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<sst xmlns="http://schemas.openxmlformats.org/spreadsheetml/2006/main" count="28701" uniqueCount="12077">
  <si>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</si>
  <si>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</si>
  <si>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</si>
  <si>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</si>
  <si>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</si>
  <si>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</si>
  <si>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</si>
  <si>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</si>
  <si>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</si>
  <si>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</si>
  <si>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</si>
  <si>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</si>
  <si>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</si>
  <si>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</si>
  <si>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</si>
  <si>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</si>
  <si>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</si>
  <si>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</si>
  <si>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</si>
  <si>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</si>
  <si>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</si>
  <si>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</si>
  <si>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</si>
  <si>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</si>
  <si>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</si>
  <si>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</si>
  <si>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</si>
  <si>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</si>
  <si>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</si>
  <si>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</si>
  <si>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</si>
  <si>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</si>
  <si>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</si>
  <si>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</si>
  <si>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</si>
  <si>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</si>
  <si>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</si>
  <si>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</si>
  <si>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</si>
  <si>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</si>
  <si>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</si>
  <si>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</si>
  <si>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</si>
  <si>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</si>
  <si>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Yoshi</t>
  </si>
  <si>
    <t>ÆTHERION</t>
  </si>
  <si>
    <t>Anon 5</t>
  </si>
  <si>
    <t>Jpep</t>
  </si>
  <si>
    <t>Arle</t>
  </si>
  <si>
    <t>frededish</t>
  </si>
  <si>
    <t>Ipsen</t>
  </si>
  <si>
    <t>JJsrl</t>
  </si>
  <si>
    <t>Zeldocto</t>
  </si>
  <si>
    <t>beans</t>
  </si>
  <si>
    <t>Noki</t>
  </si>
  <si>
    <t>Anon 4</t>
  </si>
  <si>
    <t>Guide</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</si>
  <si>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</si>
  <si>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</si>
  <si>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</si>
  <si>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</si>
  <si>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</si>
  <si>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</si>
  <si>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</si>
  <si>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</si>
  <si>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</si>
  <si>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</si>
  <si>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</si>
  <si>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</si>
  <si>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</si>
  <si>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</si>
  <si>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</si>
  <si>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</si>
  <si>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</si>
  <si>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</si>
  <si>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</si>
  <si>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</si>
  <si>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</si>
  <si>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</si>
  <si>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</si>
  <si>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</si>
  <si>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</si>
  <si>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</si>
  <si>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</si>
  <si>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</si>
  <si>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Bianco Hills</t>
  </si>
  <si>
    <t>Urbani</t>
  </si>
  <si>
    <t>ChiliChesdog</t>
  </si>
  <si>
    <t>JeffCo</t>
  </si>
  <si>
    <t>Pixel626</t>
  </si>
  <si>
    <t>anmaku</t>
  </si>
  <si>
    <t>lumardy</t>
  </si>
  <si>
    <t>Despotar</t>
  </si>
  <si>
    <t>nanashi</t>
  </si>
  <si>
    <t>toburr</t>
  </si>
  <si>
    <t>Druz</t>
  </si>
  <si>
    <t>Ricco Harbor</t>
  </si>
  <si>
    <t>Jcool114</t>
  </si>
  <si>
    <t>ToogsX</t>
  </si>
  <si>
    <t>OrnateRope</t>
  </si>
  <si>
    <t>PlantfanClub</t>
  </si>
  <si>
    <t>slime</t>
  </si>
  <si>
    <t>Sided</t>
  </si>
  <si>
    <t>Crumbliing</t>
  </si>
  <si>
    <t>Gelato Beach / Mamma Beach</t>
  </si>
  <si>
    <t>PsioNick</t>
  </si>
  <si>
    <t>Submissions</t>
  </si>
  <si>
    <t>Pinna Park</t>
  </si>
  <si>
    <t>Sirena Beach</t>
  </si>
  <si>
    <t>Noki Bay / Mare Bay</t>
  </si>
  <si>
    <t>Pianta Village / Monte Village</t>
  </si>
  <si>
    <t>Delfino Plaza</t>
  </si>
  <si>
    <t>Free ILs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</si>
  <si>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</si>
  <si>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</si>
  <si>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</si>
  <si>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</si>
  <si>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</si>
  <si>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</si>
  <si>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</si>
  <si>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</si>
  <si>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</si>
  <si>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</si>
  <si>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</si>
  <si>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</si>
  <si>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</si>
  <si>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</si>
  <si>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</si>
  <si>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Ep. 5</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</si>
  <si>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</si>
  <si>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</si>
  <si>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</si>
  <si>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</si>
  <si>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</si>
  <si>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</si>
  <si>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Lighthouse</t>
  </si>
  <si>
    <t>Ep. 2
Green Blooper</t>
  </si>
  <si>
    <t>Gold Bird</t>
  </si>
  <si>
    <t>Ep. 2
Purple Blooper</t>
  </si>
  <si>
    <t>Lilypad</t>
  </si>
  <si>
    <t>Ep. 2
Yellow Blooper</t>
  </si>
  <si>
    <t>Jail Secret</t>
  </si>
  <si>
    <t>Ep. 8
Hyper-
Hover</t>
  </si>
  <si>
    <t>Episode 1</t>
  </si>
  <si>
    <t>Pineapples + Durians</t>
  </si>
  <si>
    <t>Ep. 8
No GBS</t>
  </si>
  <si>
    <t>[1] any</t>
  </si>
  <si>
    <t>Corona Blues</t>
  </si>
  <si>
    <t>50.04</t>
  </si>
  <si>
    <t>Beach Pipe</t>
  </si>
  <si>
    <t>Ep. 2 
w/ Fludd</t>
  </si>
  <si>
    <t>Grass Pipe</t>
  </si>
  <si>
    <t>Airstrip Reds</t>
  </si>
  <si>
    <t>Left Bell</t>
  </si>
  <si>
    <t>Ep. 2 Reds</t>
  </si>
  <si>
    <t>Rocket</t>
  </si>
  <si>
    <t>No Tower</t>
  </si>
  <si>
    <t>All</t>
  </si>
  <si>
    <t>50.92</t>
  </si>
  <si>
    <t>Ep. 5 
w/ Fludd</t>
  </si>
  <si>
    <t>No Pokey</t>
  </si>
  <si>
    <t>Normal</t>
  </si>
  <si>
    <t>No Rocket</t>
  </si>
  <si>
    <t>Under- bell</t>
  </si>
  <si>
    <t>Full</t>
  </si>
  <si>
    <t>Sandbird Only</t>
  </si>
  <si>
    <t>51.57</t>
  </si>
  <si>
    <t>Yoshi Route</t>
  </si>
  <si>
    <t>DarkMan</t>
  </si>
  <si>
    <t>19</t>
  </si>
  <si>
    <t>5 Baskets</t>
  </si>
  <si>
    <t>1</t>
  </si>
  <si>
    <t>6 Baskets</t>
  </si>
  <si>
    <t>0 Δ</t>
  </si>
  <si>
    <t>1 Δ</t>
  </si>
  <si>
    <t>50.33</t>
  </si>
  <si>
    <t>4</t>
  </si>
  <si>
    <t>Ship Blues</t>
  </si>
  <si>
    <t>7</t>
  </si>
  <si>
    <t>banana</t>
  </si>
  <si>
    <t>papaya</t>
  </si>
  <si>
    <t>pineapple</t>
  </si>
  <si>
    <t>coconut</t>
  </si>
  <si>
    <t>No Basket</t>
  </si>
  <si>
    <t>Basket</t>
  </si>
  <si>
    <t>24.22</t>
  </si>
  <si>
    <t>26.02</t>
  </si>
  <si>
    <t>Outside</t>
  </si>
  <si>
    <t>25.65</t>
  </si>
  <si>
    <t>Inside</t>
  </si>
  <si>
    <t>50.98</t>
  </si>
  <si>
    <t>Hover</t>
  </si>
  <si>
    <t>14.56</t>
  </si>
  <si>
    <t>Turbo</t>
  </si>
  <si>
    <t>2 Δ</t>
  </si>
  <si>
    <t>50.38</t>
  </si>
  <si>
    <t>Banana Clip</t>
  </si>
  <si>
    <t>Yoshi Clip</t>
  </si>
  <si>
    <t>Yoshi + Fire Pianta</t>
  </si>
  <si>
    <t>From Sirena</t>
  </si>
  <si>
    <t>Yoshi Bell</t>
  </si>
  <si>
    <t>50.77</t>
  </si>
  <si>
    <t>976</t>
  </si>
  <si>
    <t>5</t>
  </si>
  <si>
    <t>13</t>
  </si>
  <si>
    <t>8</t>
  </si>
  <si>
    <t>ILs</t>
  </si>
  <si>
    <t>38</t>
  </si>
  <si>
    <t>54.53</t>
  </si>
  <si>
    <t>63</t>
  </si>
  <si>
    <t>58.324</t>
  </si>
  <si>
    <t>14.66</t>
  </si>
  <si>
    <t>52.74</t>
  </si>
  <si>
    <t>50.34</t>
  </si>
  <si>
    <t>50.55</t>
  </si>
  <si>
    <t>1:24.65</t>
  </si>
  <si>
    <t>51.00</t>
  </si>
  <si>
    <t>1:19.446</t>
  </si>
  <si>
    <t>5.59</t>
  </si>
  <si>
    <t>51.67</t>
  </si>
  <si>
    <t>1:14.40</t>
  </si>
  <si>
    <t>51.68</t>
  </si>
  <si>
    <t>1:17.14</t>
  </si>
  <si>
    <t>4:17.10</t>
  </si>
  <si>
    <t>11.74</t>
  </si>
  <si>
    <t>2:49.702</t>
  </si>
  <si>
    <t>1:22.216</t>
  </si>
  <si>
    <t>Episode 2 (Full)</t>
  </si>
  <si>
    <t>ShadowMario27</t>
  </si>
  <si>
    <t>[1] ledgegrab</t>
  </si>
  <si>
    <t>1:20.95</t>
  </si>
  <si>
    <t>18</t>
  </si>
  <si>
    <t>29.59</t>
  </si>
  <si>
    <t>2</t>
  </si>
  <si>
    <t>1:31.34</t>
  </si>
  <si>
    <t>1:23.45</t>
  </si>
  <si>
    <t>17.20</t>
  </si>
  <si>
    <t>1:08.72</t>
  </si>
  <si>
    <t>1:21.78</t>
  </si>
  <si>
    <t>2:53.473</t>
  </si>
  <si>
    <t>14.16</t>
  </si>
  <si>
    <t>1:23.23</t>
  </si>
  <si>
    <r>
      <rPr>
        <rFont val="arial,sans,sans-serif"/>
        <b/>
        <color rgb="FFFFFFFF"/>
        <sz val="10.0"/>
      </rPr>
      <t xml:space="preserve">Entries
</t>
    </r>
    <r>
      <rPr>
        <rFont val="arial,sans,sans-serif"/>
        <b val="0"/>
        <i/>
        <color rgb="FFFFFFFF"/>
        <sz val="10.0"/>
      </rPr>
      <t>(Video)</t>
    </r>
  </si>
  <si>
    <t>44.09</t>
  </si>
  <si>
    <t>1:46.073</t>
  </si>
  <si>
    <t>1.22.415</t>
  </si>
  <si>
    <t>1:21.99</t>
  </si>
  <si>
    <t>1:24.88</t>
  </si>
  <si>
    <t>1:26.619</t>
  </si>
  <si>
    <t>14.89</t>
  </si>
  <si>
    <t>1:15.80</t>
  </si>
  <si>
    <t>Ep. 3 Reds</t>
  </si>
  <si>
    <t>Ep. 6 Reds</t>
  </si>
  <si>
    <t>100 Coins</t>
  </si>
  <si>
    <t>1:23.12</t>
  </si>
  <si>
    <t>1:11.671</t>
  </si>
  <si>
    <t>5.95</t>
  </si>
  <si>
    <t>1:22.58</t>
  </si>
  <si>
    <t>1:21.76</t>
  </si>
  <si>
    <t>51.855</t>
  </si>
  <si>
    <t>1:10.604</t>
  </si>
  <si>
    <t>Ep. 4 Reds</t>
  </si>
  <si>
    <t>11.23</t>
  </si>
  <si>
    <t>20.31</t>
  </si>
  <si>
    <t>45.63</t>
  </si>
  <si>
    <t>1:23.05</t>
  </si>
  <si>
    <t>2:59.579</t>
  </si>
  <si>
    <t>2:30.81</t>
  </si>
  <si>
    <t>1:27.74</t>
  </si>
  <si>
    <t>Hidden 1</t>
  </si>
  <si>
    <t>12</t>
  </si>
  <si>
    <t>0</t>
  </si>
  <si>
    <t>Ep. 1 Reds</t>
  </si>
  <si>
    <t>1:23.78</t>
  </si>
  <si>
    <t>3</t>
  </si>
  <si>
    <t>1:20.837</t>
  </si>
  <si>
    <t>1:50.59</t>
  </si>
  <si>
    <t>50.683</t>
  </si>
  <si>
    <t>1:29.05</t>
  </si>
  <si>
    <t>14.36</t>
  </si>
  <si>
    <t>39.96</t>
  </si>
  <si>
    <t>1:23.55</t>
  </si>
  <si>
    <t>Ep. 6 (EYG)</t>
  </si>
  <si>
    <t>19.54</t>
  </si>
  <si>
    <t xml:space="preserve">  [2] Y-turn wallkicks</t>
  </si>
  <si>
    <t>1:02.26</t>
  </si>
  <si>
    <t>1:18.18</t>
  </si>
  <si>
    <t>15.43</t>
  </si>
  <si>
    <t>1:13.82</t>
  </si>
  <si>
    <t>1:18.71</t>
  </si>
  <si>
    <t>2:00.79</t>
  </si>
  <si>
    <t>2:07.13</t>
  </si>
  <si>
    <t>1:19.29</t>
  </si>
  <si>
    <t>2:16.74</t>
  </si>
  <si>
    <t>13.546</t>
  </si>
  <si>
    <t>6.26</t>
  </si>
  <si>
    <t>1:18.32</t>
  </si>
  <si>
    <t>1:35.929</t>
  </si>
  <si>
    <t>1:21.22</t>
  </si>
  <si>
    <t>1:44.22</t>
  </si>
  <si>
    <t>12.15</t>
  </si>
  <si>
    <t>1.22.27</t>
  </si>
  <si>
    <t>1:47.36</t>
  </si>
  <si>
    <t>Pogonateur</t>
  </si>
  <si>
    <t>1:27.620</t>
  </si>
  <si>
    <t>2:00.81</t>
  </si>
  <si>
    <t>14.61</t>
  </si>
  <si>
    <t>1:19.21</t>
  </si>
  <si>
    <t>1:19.17</t>
  </si>
  <si>
    <t>1:20.41</t>
  </si>
  <si>
    <t>1:18.34</t>
  </si>
  <si>
    <t>16.37</t>
  </si>
  <si>
    <t>3:04.050</t>
  </si>
  <si>
    <t>1:19.97</t>
  </si>
  <si>
    <t>1:21.08</t>
  </si>
  <si>
    <t>1:10.82</t>
  </si>
  <si>
    <t>1:06.35</t>
  </si>
  <si>
    <t>Ep. 5 Reds</t>
  </si>
  <si>
    <t>Hidden 2</t>
  </si>
  <si>
    <t>Airstrip</t>
  </si>
  <si>
    <t xml:space="preserve">  Inside</t>
  </si>
  <si>
    <t>[1] Y-cam</t>
  </si>
  <si>
    <t>6.42</t>
  </si>
  <si>
    <t>49.98</t>
  </si>
  <si>
    <t>Airstrip
100 Coins</t>
  </si>
  <si>
    <t>35.46</t>
  </si>
  <si>
    <t>Beach Shine</t>
  </si>
  <si>
    <t>Box Game 1</t>
  </si>
  <si>
    <t>Box Game 2</t>
  </si>
  <si>
    <t>29.38</t>
  </si>
  <si>
    <t>Box Game 3</t>
  </si>
  <si>
    <t>1:16.72</t>
  </si>
  <si>
    <t>52.018</t>
  </si>
  <si>
    <t>Corona Mountain</t>
  </si>
  <si>
    <t>Chuckster</t>
  </si>
  <si>
    <t>1:33.57</t>
  </si>
  <si>
    <t>3:43.25</t>
  </si>
  <si>
    <t>Light-
house</t>
  </si>
  <si>
    <t>Pachinko</t>
  </si>
  <si>
    <t>Right Bell</t>
  </si>
  <si>
    <t>2:45.298</t>
  </si>
  <si>
    <t>Shine Gate</t>
  </si>
  <si>
    <t>23.48</t>
  </si>
  <si>
    <t>Underbell</t>
  </si>
  <si>
    <t>Full Level</t>
  </si>
  <si>
    <t>1:04.91</t>
  </si>
  <si>
    <t>Secret Only</t>
  </si>
  <si>
    <t>23.62</t>
  </si>
  <si>
    <t>1:40.26</t>
  </si>
  <si>
    <t>1:25.64</t>
  </si>
  <si>
    <t>48.54</t>
  </si>
  <si>
    <t>Non- Hover</t>
  </si>
  <si>
    <t xml:space="preserve">  [2] backflip</t>
  </si>
  <si>
    <t>49.41</t>
  </si>
  <si>
    <t>Inside Only</t>
  </si>
  <si>
    <t>27.37</t>
  </si>
  <si>
    <t>1:44.04</t>
  </si>
  <si>
    <t>Non-RTA Route</t>
  </si>
  <si>
    <t>RTA Route</t>
  </si>
  <si>
    <t>49.48</t>
  </si>
  <si>
    <t>1:49.23</t>
  </si>
  <si>
    <t>10</t>
  </si>
  <si>
    <t>42.308</t>
  </si>
  <si>
    <t>50.40</t>
  </si>
  <si>
    <t>49.43</t>
  </si>
  <si>
    <t>37.46</t>
  </si>
  <si>
    <t>17.54</t>
  </si>
  <si>
    <t>49.83</t>
  </si>
  <si>
    <t>1:25.22</t>
  </si>
  <si>
    <t>US/PAL</t>
  </si>
  <si>
    <t>50.650</t>
  </si>
  <si>
    <t>47.45</t>
  </si>
  <si>
    <t>1:11.071</t>
  </si>
  <si>
    <t>JP</t>
  </si>
  <si>
    <t>49.63</t>
  </si>
  <si>
    <t>50.26</t>
  </si>
  <si>
    <t>1:20.013</t>
  </si>
  <si>
    <t>49.56</t>
  </si>
  <si>
    <t>49.66</t>
  </si>
  <si>
    <t>11.07</t>
  </si>
  <si>
    <t>No Setup</t>
  </si>
  <si>
    <t>25.00</t>
  </si>
  <si>
    <t>49.52</t>
  </si>
  <si>
    <t>Eel Only</t>
  </si>
  <si>
    <t>49.46</t>
  </si>
  <si>
    <t>1:00.60</t>
  </si>
  <si>
    <t>49.50</t>
  </si>
  <si>
    <t>21.25</t>
  </si>
  <si>
    <t>1:16.23</t>
  </si>
  <si>
    <t>49.53</t>
  </si>
  <si>
    <t>50.16</t>
  </si>
  <si>
    <t>28.46</t>
  </si>
  <si>
    <t>49.59</t>
  </si>
  <si>
    <t>Derpspace</t>
  </si>
  <si>
    <t>9</t>
  </si>
  <si>
    <t>Sm27</t>
  </si>
  <si>
    <t>Bowser Only</t>
  </si>
  <si>
    <t>978</t>
  </si>
  <si>
    <t>27</t>
  </si>
  <si>
    <t>6</t>
  </si>
  <si>
    <t>No Hyper-
Hover</t>
  </si>
  <si>
    <t>45</t>
  </si>
  <si>
    <t>15.03</t>
  </si>
  <si>
    <t>54</t>
  </si>
  <si>
    <t>Leaderboard Viewer</t>
  </si>
  <si>
    <t>51.86</t>
  </si>
  <si>
    <t>49.82</t>
  </si>
  <si>
    <t>1:19.64</t>
  </si>
  <si>
    <t>Video cutoff times →</t>
  </si>
  <si>
    <t>16.13</t>
  </si>
  <si>
    <t xml:space="preserve">  Outside</t>
  </si>
  <si>
    <t>50.83</t>
  </si>
  <si>
    <t>[1,1] ledgegrab (6 wallkicks)</t>
  </si>
  <si>
    <t>30.62</t>
  </si>
  <si>
    <t>1:19.18</t>
  </si>
  <si>
    <t>1:03.85</t>
  </si>
  <si>
    <t>37.12</t>
  </si>
  <si>
    <t>13.84</t>
  </si>
  <si>
    <t>42.86</t>
  </si>
  <si>
    <t>2:14.10</t>
  </si>
  <si>
    <t>1:09.73</t>
  </si>
  <si>
    <t>38.78</t>
  </si>
  <si>
    <t>16.00</t>
  </si>
  <si>
    <t>56.72</t>
  </si>
  <si>
    <t>31.96</t>
  </si>
  <si>
    <t>40.59</t>
  </si>
  <si>
    <t>41.32</t>
  </si>
  <si>
    <t>1:09.62</t>
  </si>
  <si>
    <t>1:04.11</t>
  </si>
  <si>
    <t>51.33</t>
  </si>
  <si>
    <t>6.39</t>
  </si>
  <si>
    <t>2:16.94</t>
  </si>
  <si>
    <t>50.09</t>
  </si>
  <si>
    <t>53.12</t>
  </si>
  <si>
    <t>33.333</t>
  </si>
  <si>
    <t>16.71</t>
  </si>
  <si>
    <t>14.63</t>
  </si>
  <si>
    <t>44.28</t>
  </si>
  <si>
    <t>30.15</t>
  </si>
  <si>
    <t>1:06.85</t>
  </si>
  <si>
    <t>55.35</t>
  </si>
  <si>
    <t>1:38.22</t>
  </si>
  <si>
    <t>1:34.01</t>
  </si>
  <si>
    <t>30.96</t>
  </si>
  <si>
    <t>15.07</t>
  </si>
  <si>
    <t>2:43.49</t>
  </si>
  <si>
    <t>34.82</t>
  </si>
  <si>
    <t>11.67</t>
  </si>
  <si>
    <t>1:05.75</t>
  </si>
  <si>
    <t>1:01.31</t>
  </si>
  <si>
    <t>2:00.99</t>
  </si>
  <si>
    <t>39.12</t>
  </si>
  <si>
    <t>18.77</t>
  </si>
  <si>
    <t>1:43.15</t>
  </si>
  <si>
    <t>1:10.10</t>
  </si>
  <si>
    <t>47.79</t>
  </si>
  <si>
    <t>31.52</t>
  </si>
  <si>
    <t>26.91</t>
  </si>
  <si>
    <t>8.64</t>
  </si>
  <si>
    <t>53.66</t>
  </si>
  <si>
    <t>18.04</t>
  </si>
  <si>
    <t>27.28</t>
  </si>
  <si>
    <t>29.08</t>
  </si>
  <si>
    <t>42.99</t>
  </si>
  <si>
    <t>31.33</t>
  </si>
  <si>
    <t>2:25.71</t>
  </si>
  <si>
    <t>Warspy</t>
  </si>
  <si>
    <t>30.42</t>
  </si>
  <si>
    <t>42.02</t>
  </si>
  <si>
    <t>28.64</t>
  </si>
  <si>
    <t>32.95</t>
  </si>
  <si>
    <t>52.93</t>
  </si>
  <si>
    <t>42.50</t>
  </si>
  <si>
    <t>48.48</t>
  </si>
  <si>
    <t>27.41</t>
  </si>
  <si>
    <t>1:29.95</t>
  </si>
  <si>
    <t>1:18.97</t>
  </si>
  <si>
    <t>34.20</t>
  </si>
  <si>
    <t>1:20.59</t>
  </si>
  <si>
    <t>11.33</t>
  </si>
  <si>
    <t>1:06.78</t>
  </si>
  <si>
    <t>42.39</t>
  </si>
  <si>
    <t>1:29.11</t>
  </si>
  <si>
    <t>1:31.31</t>
  </si>
  <si>
    <t>1:20.00</t>
  </si>
  <si>
    <t>17.34</t>
  </si>
  <si>
    <t>[1,2] ledgegrab (5 wallkicks)</t>
  </si>
  <si>
    <t>2:50.904</t>
  </si>
  <si>
    <t>51.52</t>
  </si>
  <si>
    <t>30.52</t>
  </si>
  <si>
    <t>34.43</t>
  </si>
  <si>
    <t>22.89</t>
  </si>
  <si>
    <t>23.42</t>
  </si>
  <si>
    <t>49.32</t>
  </si>
  <si>
    <t>21.34</t>
  </si>
  <si>
    <t>2:01.15</t>
  </si>
  <si>
    <t>2:31.07</t>
  </si>
  <si>
    <t>2:26.12</t>
  </si>
  <si>
    <t>21.93</t>
  </si>
  <si>
    <t>4:24.37</t>
  </si>
  <si>
    <t>31.81</t>
  </si>
  <si>
    <t>1:11.05</t>
  </si>
  <si>
    <t>43.39</t>
  </si>
  <si>
    <t>45.03</t>
  </si>
  <si>
    <t>34.367</t>
  </si>
  <si>
    <t>2:12.90</t>
  </si>
  <si>
    <t>53.87</t>
  </si>
  <si>
    <t>28.09</t>
  </si>
  <si>
    <t>32.77</t>
  </si>
  <si>
    <t>25.39</t>
  </si>
  <si>
    <t>1:31.75</t>
  </si>
  <si>
    <t>1:13.73</t>
  </si>
  <si>
    <t>11.81</t>
  </si>
  <si>
    <t>52.05</t>
  </si>
  <si>
    <t>29.82</t>
  </si>
  <si>
    <t>1:46.20</t>
  </si>
  <si>
    <t>15.59</t>
  </si>
  <si>
    <t>1:12.08</t>
  </si>
  <si>
    <t>29.48</t>
  </si>
  <si>
    <t>1:10.19</t>
  </si>
  <si>
    <t>1:09.49</t>
  </si>
  <si>
    <t>1:35.08</t>
  </si>
  <si>
    <t>42.31</t>
  </si>
  <si>
    <t>12.61</t>
  </si>
  <si>
    <t>29.52</t>
  </si>
  <si>
    <t>44.20</t>
  </si>
  <si>
    <t>1:15.26</t>
  </si>
  <si>
    <t>27.04</t>
  </si>
  <si>
    <t>2:17.43</t>
  </si>
  <si>
    <t>17.97</t>
  </si>
  <si>
    <t>27.65</t>
  </si>
  <si>
    <t>1:21.20</t>
  </si>
  <si>
    <t>1:02.92</t>
  </si>
  <si>
    <t>35.79</t>
  </si>
  <si>
    <t>1:30.11</t>
  </si>
  <si>
    <t>42.72</t>
  </si>
  <si>
    <t>Anonymous 5</t>
  </si>
  <si>
    <t>1:11.237</t>
  </si>
  <si>
    <t>1:34.45</t>
  </si>
  <si>
    <t>1:30.51</t>
  </si>
  <si>
    <t>51.10</t>
  </si>
  <si>
    <t>21.14</t>
  </si>
  <si>
    <t>22.70</t>
  </si>
  <si>
    <t>27.85</t>
  </si>
  <si>
    <t>30.09</t>
  </si>
  <si>
    <t>21.30</t>
  </si>
  <si>
    <t>30.57</t>
  </si>
  <si>
    <t>1:16.18</t>
  </si>
  <si>
    <t>51.60</t>
  </si>
  <si>
    <t>30.93</t>
  </si>
  <si>
    <t>34.200</t>
  </si>
  <si>
    <t>11.18</t>
  </si>
  <si>
    <t>31.95</t>
  </si>
  <si>
    <t>49.47</t>
  </si>
  <si>
    <t>22.77</t>
  </si>
  <si>
    <t>1:13.36</t>
  </si>
  <si>
    <t>23.26</t>
  </si>
  <si>
    <t>25.27</t>
  </si>
  <si>
    <t>27.95</t>
  </si>
  <si>
    <t>1:09.803</t>
  </si>
  <si>
    <t>25.37</t>
  </si>
  <si>
    <t>20.01</t>
  </si>
  <si>
    <t>24.54</t>
  </si>
  <si>
    <t>28.30</t>
  </si>
  <si>
    <t>10339</t>
  </si>
  <si>
    <t>21</t>
  </si>
  <si>
    <t>18.94</t>
  </si>
  <si>
    <t>14</t>
  </si>
  <si>
    <t>16</t>
  </si>
  <si>
    <t>113</t>
  </si>
  <si>
    <t>4.55</t>
  </si>
  <si>
    <t>115</t>
  </si>
  <si>
    <t>49.95</t>
  </si>
  <si>
    <t>28.86</t>
  </si>
  <si>
    <t>43.96</t>
  </si>
  <si>
    <t>2:51.17</t>
  </si>
  <si>
    <t>Episode 3 (Full)</t>
  </si>
  <si>
    <t>[1] triple jump</t>
  </si>
  <si>
    <t>37.14</t>
  </si>
  <si>
    <t>1:18.54</t>
  </si>
  <si>
    <t>38.94</t>
  </si>
  <si>
    <t>37.31</t>
  </si>
  <si>
    <t>36.57</t>
  </si>
  <si>
    <t>50.483</t>
  </si>
  <si>
    <t>38.01</t>
  </si>
  <si>
    <t>13.63</t>
  </si>
  <si>
    <t>59.55</t>
  </si>
  <si>
    <t>37.904</t>
  </si>
  <si>
    <t>39.60</t>
  </si>
  <si>
    <t>38.80</t>
  </si>
  <si>
    <t>11.24</t>
  </si>
  <si>
    <t>42.01</t>
  </si>
  <si>
    <t>1:12.79</t>
  </si>
  <si>
    <t>16.93</t>
  </si>
  <si>
    <t>38.972</t>
  </si>
  <si>
    <t>2:10.06</t>
  </si>
  <si>
    <t>1:23.28</t>
  </si>
  <si>
    <t>37.61</t>
  </si>
  <si>
    <t>37.60</t>
  </si>
  <si>
    <t>Anonymous 4</t>
  </si>
  <si>
    <t>37.85</t>
  </si>
  <si>
    <t>37.98</t>
  </si>
  <si>
    <t>1:09.15</t>
  </si>
  <si>
    <t>1:29.18</t>
  </si>
  <si>
    <t>37.84</t>
  </si>
  <si>
    <t>37.99</t>
  </si>
  <si>
    <t>1:38.91</t>
  </si>
  <si>
    <t>39.39</t>
  </si>
  <si>
    <t>15.96</t>
  </si>
  <si>
    <t>38.61</t>
  </si>
  <si>
    <t>4.45</t>
  </si>
  <si>
    <t>2:02.81</t>
  </si>
  <si>
    <t>55.71</t>
  </si>
  <si>
    <t>15.46</t>
  </si>
  <si>
    <t>4:23.27</t>
  </si>
  <si>
    <t>39.19</t>
  </si>
  <si>
    <t>39.64</t>
  </si>
  <si>
    <t>44.33</t>
  </si>
  <si>
    <t>2:58.22</t>
  </si>
  <si>
    <t>WildGeffe64</t>
  </si>
  <si>
    <t xml:space="preserve">  [2] jump-dive</t>
  </si>
  <si>
    <t>36.53</t>
  </si>
  <si>
    <t>1:03.66</t>
  </si>
  <si>
    <t>36.70</t>
  </si>
  <si>
    <t>1:08.68</t>
  </si>
  <si>
    <t>1:06.65</t>
  </si>
  <si>
    <t>34.02</t>
  </si>
  <si>
    <t>37.34</t>
  </si>
  <si>
    <t>36.54</t>
  </si>
  <si>
    <t>ChristopherCostley</t>
  </si>
  <si>
    <r>
      <rPr>
        <rFont val="arial,sans,sans-serif"/>
        <color rgb="FF1155CC"/>
        <sz val="9.0"/>
        <u/>
      </rPr>
      <t>28.</t>
    </r>
    <r>
      <rPr>
        <rFont val="arial,sans,sans-serif"/>
        <color rgb="FF1155CC"/>
        <sz val="9.0"/>
        <u/>
      </rPr>
      <t>52</t>
    </r>
  </si>
  <si>
    <t>52.04</t>
  </si>
  <si>
    <t>37.18</t>
  </si>
  <si>
    <t>37.68</t>
  </si>
  <si>
    <t>39.44</t>
  </si>
  <si>
    <t>37.33</t>
  </si>
  <si>
    <r>
      <rPr>
        <rFont val="arial,sans,sans-serif"/>
        <color rgb="FF000000"/>
        <sz val="9.0"/>
        <u/>
      </rPr>
      <t>1:47.</t>
    </r>
    <r>
      <rPr>
        <rFont val="arial,sans,sans-serif"/>
        <color rgb="FF000000"/>
        <sz val="9.0"/>
        <u/>
      </rPr>
      <t>47</t>
    </r>
  </si>
  <si>
    <t>2:13.52</t>
  </si>
  <si>
    <r>
      <rPr>
        <rFont val="arial,sans,sans-serif"/>
        <color rgb="FF000000"/>
        <sz val="9.0"/>
        <u/>
      </rPr>
      <t>1:12.</t>
    </r>
    <r>
      <rPr>
        <rFont val="arial,sans,sans-serif"/>
        <color rgb="FF000000"/>
        <sz val="9.0"/>
      </rPr>
      <t>67</t>
    </r>
  </si>
  <si>
    <t>38.104</t>
  </si>
  <si>
    <t>49.45</t>
  </si>
  <si>
    <t>2:38.60</t>
  </si>
  <si>
    <t>37.07</t>
  </si>
  <si>
    <t>AverageTrey</t>
  </si>
  <si>
    <t>16.08</t>
  </si>
  <si>
    <t>37.81</t>
  </si>
  <si>
    <t>37.04</t>
  </si>
  <si>
    <t>1:00.81</t>
  </si>
  <si>
    <t>14.34</t>
  </si>
  <si>
    <t>37.15</t>
  </si>
  <si>
    <t>23.49</t>
  </si>
  <si>
    <t>37.44</t>
  </si>
  <si>
    <t>4.95</t>
  </si>
  <si>
    <t>36.88</t>
  </si>
  <si>
    <t>43.05</t>
  </si>
  <si>
    <t>37.78</t>
  </si>
  <si>
    <t>29.65</t>
  </si>
  <si>
    <t>1:44.33</t>
  </si>
  <si>
    <t>37.94</t>
  </si>
  <si>
    <t>1:11.46</t>
  </si>
  <si>
    <t>54.68</t>
  </si>
  <si>
    <t>FoundYourGun</t>
  </si>
  <si>
    <t>17.07</t>
  </si>
  <si>
    <t>28.29</t>
  </si>
  <si>
    <t>1:34.03</t>
  </si>
  <si>
    <t>15.00</t>
  </si>
  <si>
    <t>1:20.36</t>
  </si>
  <si>
    <t>14.26</t>
  </si>
  <si>
    <t>36.79</t>
  </si>
  <si>
    <t>15.34</t>
  </si>
  <si>
    <t>1:43.103</t>
  </si>
  <si>
    <t>1:03.58</t>
  </si>
  <si>
    <t>14.20</t>
  </si>
  <si>
    <t>16.64</t>
  </si>
  <si>
    <t>42.67</t>
  </si>
  <si>
    <t>1:59.57</t>
  </si>
  <si>
    <t>14.314</t>
  </si>
  <si>
    <t>37.30</t>
  </si>
  <si>
    <t>1:03.82</t>
  </si>
  <si>
    <t>14.33</t>
  </si>
  <si>
    <t>6.52</t>
  </si>
  <si>
    <t>14.29</t>
  </si>
  <si>
    <t>44.27</t>
  </si>
  <si>
    <t>14.21</t>
  </si>
  <si>
    <t>14.40</t>
  </si>
  <si>
    <t>18.07</t>
  </si>
  <si>
    <t>14.23</t>
  </si>
  <si>
    <t>Anonymous 6</t>
  </si>
  <si>
    <t>1:08.26</t>
  </si>
  <si>
    <t>1:38.83</t>
  </si>
  <si>
    <t>14.43</t>
  </si>
  <si>
    <t>5.63</t>
  </si>
  <si>
    <t>1:19.50</t>
  </si>
  <si>
    <t>1:12.18</t>
  </si>
  <si>
    <t>14.30</t>
  </si>
  <si>
    <t>25.60</t>
  </si>
  <si>
    <t>14.19</t>
  </si>
  <si>
    <t>Zelpiku</t>
  </si>
  <si>
    <t>44.68</t>
  </si>
  <si>
    <t>1:01.58</t>
  </si>
  <si>
    <t>14.37</t>
  </si>
  <si>
    <t>1:17.66</t>
  </si>
  <si>
    <t>1:13.26</t>
  </si>
  <si>
    <t>24.95</t>
  </si>
  <si>
    <t>28.32</t>
  </si>
  <si>
    <t>14.31</t>
  </si>
  <si>
    <t>8.54</t>
  </si>
  <si>
    <t>43.44</t>
  </si>
  <si>
    <t>13.79</t>
  </si>
  <si>
    <r>
      <rPr>
        <color rgb="FF1155CC"/>
        <sz val="9.0"/>
        <u/>
      </rPr>
      <t>5.7</t>
    </r>
    <r>
      <rPr>
        <color rgb="FF1155CC"/>
        <sz val="9.0"/>
        <u/>
      </rPr>
      <t>4</t>
    </r>
  </si>
  <si>
    <t>13.81</t>
  </si>
  <si>
    <t>53.67</t>
  </si>
  <si>
    <t>966</t>
  </si>
  <si>
    <t>23</t>
  </si>
  <si>
    <t>13.93</t>
  </si>
  <si>
    <t>39</t>
  </si>
  <si>
    <t>48</t>
  </si>
  <si>
    <t>51.64</t>
  </si>
  <si>
    <t>13.80</t>
  </si>
  <si>
    <t>17.83</t>
  </si>
  <si>
    <t>1:22.89</t>
  </si>
  <si>
    <t>13.87</t>
  </si>
  <si>
    <t>1:07.33</t>
  </si>
  <si>
    <t>13.94</t>
  </si>
  <si>
    <t>28.58</t>
  </si>
  <si>
    <t>2:50.56</t>
  </si>
  <si>
    <t>1:13.43</t>
  </si>
  <si>
    <t>13.96</t>
  </si>
  <si>
    <t>43.09</t>
  </si>
  <si>
    <t>1:22.44</t>
  </si>
  <si>
    <t>14.247</t>
  </si>
  <si>
    <t>Noki Doki</t>
  </si>
  <si>
    <t>29.26</t>
  </si>
  <si>
    <t>4:27.57</t>
  </si>
  <si>
    <t>1:32.08</t>
  </si>
  <si>
    <t>41.72</t>
  </si>
  <si>
    <t>15.86</t>
  </si>
  <si>
    <t>Pokepowerz</t>
  </si>
  <si>
    <t>2:14.83</t>
  </si>
  <si>
    <t>13.82</t>
  </si>
  <si>
    <t>52.57</t>
  </si>
  <si>
    <t>1:03.02</t>
  </si>
  <si>
    <t>2:57.30</t>
  </si>
  <si>
    <t>48.77</t>
  </si>
  <si>
    <t>14.11</t>
  </si>
  <si>
    <t>FLUDDKoopa64</t>
  </si>
  <si>
    <t>13.90</t>
  </si>
  <si>
    <t>24.42</t>
  </si>
  <si>
    <t>41.70</t>
  </si>
  <si>
    <t>41.66</t>
  </si>
  <si>
    <t>13.86</t>
  </si>
  <si>
    <t>1:15.63</t>
  </si>
  <si>
    <t>28.55</t>
  </si>
  <si>
    <t>Orange</t>
  </si>
  <si>
    <t>1:13.14</t>
  </si>
  <si>
    <t>13.83</t>
  </si>
  <si>
    <t>53.44</t>
  </si>
  <si>
    <t>1:12.63</t>
  </si>
  <si>
    <t>18.33</t>
  </si>
  <si>
    <t>52.64</t>
  </si>
  <si>
    <t>13.88</t>
  </si>
  <si>
    <t>40.27</t>
  </si>
  <si>
    <t>41.06</t>
  </si>
  <si>
    <t>3:00.77</t>
  </si>
  <si>
    <t>[1] no one-slide</t>
  </si>
  <si>
    <t>22.18</t>
  </si>
  <si>
    <t>46.37</t>
  </si>
  <si>
    <t>22.57</t>
  </si>
  <si>
    <t>50.30</t>
  </si>
  <si>
    <t>24.98</t>
  </si>
  <si>
    <t>22.54</t>
  </si>
  <si>
    <t>22.45</t>
  </si>
  <si>
    <t>22.856</t>
  </si>
  <si>
    <t>35.25</t>
  </si>
  <si>
    <t>1:15.20</t>
  </si>
  <si>
    <t>1:53.14</t>
  </si>
  <si>
    <t>22.41</t>
  </si>
  <si>
    <t>10.42</t>
  </si>
  <si>
    <t>1:53.41</t>
  </si>
  <si>
    <t>1:07.13</t>
  </si>
  <si>
    <t>13.51</t>
  </si>
  <si>
    <t>42.96</t>
  </si>
  <si>
    <t>1:25.71</t>
  </si>
  <si>
    <t xml:space="preserve">  [2] one-slide</t>
  </si>
  <si>
    <t>21.78</t>
  </si>
  <si>
    <t>1:30.64</t>
  </si>
  <si>
    <t>21.90</t>
  </si>
  <si>
    <t>1:30.08</t>
  </si>
  <si>
    <t>22.24</t>
  </si>
  <si>
    <t>21.85</t>
  </si>
  <si>
    <t>2:10.38</t>
  </si>
  <si>
    <t>21.81</t>
  </si>
  <si>
    <t>22.17</t>
  </si>
  <si>
    <t>1:23.70</t>
  </si>
  <si>
    <t>22.01</t>
  </si>
  <si>
    <t>22.489</t>
  </si>
  <si>
    <t>1:27.20</t>
  </si>
  <si>
    <t>4:23.10</t>
  </si>
  <si>
    <t>3:03.33</t>
  </si>
  <si>
    <t>21.84</t>
  </si>
  <si>
    <t>50.80</t>
  </si>
  <si>
    <t>32.48</t>
  </si>
  <si>
    <t>22.22</t>
  </si>
  <si>
    <t>21.91</t>
  </si>
  <si>
    <t>26.21</t>
  </si>
  <si>
    <t>29.34</t>
  </si>
  <si>
    <t>22.11</t>
  </si>
  <si>
    <t>1:43.43</t>
  </si>
  <si>
    <t>22.29</t>
  </si>
  <si>
    <t>1:11.97</t>
  </si>
  <si>
    <t>47.95</t>
  </si>
  <si>
    <t>Episode 4</t>
  </si>
  <si>
    <t>[1] no grass-slide, no rope speedspin</t>
  </si>
  <si>
    <t>44.66</t>
  </si>
  <si>
    <t>2:52.16</t>
  </si>
  <si>
    <t>20.54</t>
  </si>
  <si>
    <t>45.43</t>
  </si>
  <si>
    <t>44.89</t>
  </si>
  <si>
    <t>47.13</t>
  </si>
  <si>
    <t>1:55.68</t>
  </si>
  <si>
    <t>1:02.61</t>
  </si>
  <si>
    <t>45.98</t>
  </si>
  <si>
    <t>2:34.91</t>
  </si>
  <si>
    <t>47.16</t>
  </si>
  <si>
    <t>22.15</t>
  </si>
  <si>
    <t>48.581</t>
  </si>
  <si>
    <t>2:30.91</t>
  </si>
  <si>
    <t>1:40.03</t>
  </si>
  <si>
    <t>26.14</t>
  </si>
  <si>
    <t>44.86</t>
  </si>
  <si>
    <t>21.48</t>
  </si>
  <si>
    <t>1:24.38</t>
  </si>
  <si>
    <t>1:41.99</t>
  </si>
  <si>
    <t>1:48.58</t>
  </si>
  <si>
    <t>45.29</t>
  </si>
  <si>
    <t>41.47</t>
  </si>
  <si>
    <t>36.20</t>
  </si>
  <si>
    <t>2:17.04</t>
  </si>
  <si>
    <t>53.77</t>
  </si>
  <si>
    <t>54.70</t>
  </si>
  <si>
    <t>27.48</t>
  </si>
  <si>
    <t>1:09.26</t>
  </si>
  <si>
    <t xml:space="preserve">  [2] grass-slide, no rope speedspin</t>
  </si>
  <si>
    <t>1:17.81</t>
  </si>
  <si>
    <t>43.53</t>
  </si>
  <si>
    <t>24.73</t>
  </si>
  <si>
    <t>33.03</t>
  </si>
  <si>
    <t>43.67</t>
  </si>
  <si>
    <t>58.51</t>
  </si>
  <si>
    <t>1:31.94</t>
  </si>
  <si>
    <t>1:17.93</t>
  </si>
  <si>
    <t>11.57</t>
  </si>
  <si>
    <t xml:space="preserve"> </t>
  </si>
  <si>
    <t>43.90</t>
  </si>
  <si>
    <t>878</t>
  </si>
  <si>
    <t>41</t>
  </si>
  <si>
    <t>1:07.97</t>
  </si>
  <si>
    <t>28.25</t>
  </si>
  <si>
    <t>45.86</t>
  </si>
  <si>
    <t>1:15.21</t>
  </si>
  <si>
    <r>
      <rPr>
        <rFont val="arial,sans,sans-serif"/>
        <color rgb="FF000000"/>
        <sz val="9.0"/>
      </rPr>
      <t>3:13.0</t>
    </r>
    <r>
      <rPr>
        <rFont val="arial,sans,sans-serif"/>
        <color rgb="FF000000"/>
        <sz val="9.0"/>
      </rPr>
      <t>9</t>
    </r>
  </si>
  <si>
    <t>1:11.66</t>
  </si>
  <si>
    <t>1:27.58</t>
  </si>
  <si>
    <t>16.27</t>
  </si>
  <si>
    <t>47.51</t>
  </si>
  <si>
    <t>28.98</t>
  </si>
  <si>
    <t>3:11.22</t>
  </si>
  <si>
    <t xml:space="preserve">    [3] grass-slide, rope speedspin</t>
  </si>
  <si>
    <t>42.03</t>
  </si>
  <si>
    <t>1:43.52</t>
  </si>
  <si>
    <t>42.57</t>
  </si>
  <si>
    <t>1:11.59</t>
  </si>
  <si>
    <t>1:14.53</t>
  </si>
  <si>
    <t>1:15.74</t>
  </si>
  <si>
    <t>42.98</t>
  </si>
  <si>
    <t>1:45.53</t>
  </si>
  <si>
    <t>53.57</t>
  </si>
  <si>
    <t>42.24</t>
  </si>
  <si>
    <t>41.43</t>
  </si>
  <si>
    <t>1:11.12</t>
  </si>
  <si>
    <t>12.41</t>
  </si>
  <si>
    <t>43.97</t>
  </si>
  <si>
    <t>18.37</t>
  </si>
  <si>
    <t>44.00</t>
  </si>
  <si>
    <t>28.61</t>
  </si>
  <si>
    <t>41.60</t>
  </si>
  <si>
    <t>43.46</t>
  </si>
  <si>
    <t>43.76</t>
  </si>
  <si>
    <t>3:01.37</t>
  </si>
  <si>
    <t>42.89</t>
  </si>
  <si>
    <t>26.94</t>
  </si>
  <si>
    <t>42.36</t>
  </si>
  <si>
    <t>1:25.89</t>
  </si>
  <si>
    <t>42.65</t>
  </si>
  <si>
    <t>52.26</t>
  </si>
  <si>
    <t>44.42</t>
  </si>
  <si>
    <t>2:20.23</t>
  </si>
  <si>
    <t>43.79</t>
  </si>
  <si>
    <t>43.80</t>
  </si>
  <si>
    <t>43.84</t>
  </si>
  <si>
    <r>
      <rPr>
        <rFont val="arial,sans,sans-serif"/>
        <color rgb="FF000000"/>
        <sz val="9.0"/>
      </rPr>
      <t>1:0</t>
    </r>
    <r>
      <rPr>
        <rFont val="arial,sans,sans-serif"/>
        <color rgb="FF000000"/>
        <sz val="9.0"/>
      </rPr>
      <t>9.79</t>
    </r>
  </si>
  <si>
    <t>17.40</t>
  </si>
  <si>
    <t>1:45.55</t>
  </si>
  <si>
    <t>1:37.97</t>
  </si>
  <si>
    <t>43.92</t>
  </si>
  <si>
    <t>16.48</t>
  </si>
  <si>
    <t>1:36.78</t>
  </si>
  <si>
    <t>45.83</t>
  </si>
  <si>
    <t>1:17.59</t>
  </si>
  <si>
    <t>1:45.51</t>
  </si>
  <si>
    <t>2:07.82</t>
  </si>
  <si>
    <t>1:04.85</t>
  </si>
  <si>
    <t>14.62</t>
  </si>
  <si>
    <t>3:05.97</t>
  </si>
  <si>
    <r>
      <rPr>
        <color rgb="FF1155CC"/>
        <sz val="9.0"/>
        <u/>
      </rPr>
      <t>38.8</t>
    </r>
    <r>
      <rPr>
        <color rgb="FF1155CC"/>
        <sz val="9.0"/>
      </rPr>
      <t>6</t>
    </r>
  </si>
  <si>
    <t>45.78</t>
  </si>
  <si>
    <t>Episode 5</t>
  </si>
  <si>
    <t>[1] log triplejump</t>
  </si>
  <si>
    <t>1:06.36</t>
  </si>
  <si>
    <t>24.56</t>
  </si>
  <si>
    <t>33.39</t>
  </si>
  <si>
    <t>1:30.14</t>
  </si>
  <si>
    <t>25.492</t>
  </si>
  <si>
    <t>1:13.65</t>
  </si>
  <si>
    <t>2:45.55</t>
  </si>
  <si>
    <t>42.82</t>
  </si>
  <si>
    <t>1:02.48</t>
  </si>
  <si>
    <t>1:44.43</t>
  </si>
  <si>
    <t>27.35</t>
  </si>
  <si>
    <t>1:32.21</t>
  </si>
  <si>
    <t xml:space="preserve">  [2] Zeldo Kick</t>
  </si>
  <si>
    <t>22.91</t>
  </si>
  <si>
    <t>1:34.25</t>
  </si>
  <si>
    <t>1:31.24</t>
  </si>
  <si>
    <t>1:52.47</t>
  </si>
  <si>
    <t>24.591</t>
  </si>
  <si>
    <t>41.23</t>
  </si>
  <si>
    <t>37.52</t>
  </si>
  <si>
    <t>44.17</t>
  </si>
  <si>
    <t>1:13.22</t>
  </si>
  <si>
    <t>1:16.xx</t>
  </si>
  <si>
    <t>20.84</t>
  </si>
  <si>
    <t>848</t>
  </si>
  <si>
    <t xml:space="preserve">    [3] rope-Y</t>
  </si>
  <si>
    <t>26</t>
  </si>
  <si>
    <t>52.59</t>
  </si>
  <si>
    <t>23.36</t>
  </si>
  <si>
    <t>1:19.94</t>
  </si>
  <si>
    <t>23.79</t>
  </si>
  <si>
    <t>21.31</t>
  </si>
  <si>
    <t>23.556</t>
  </si>
  <si>
    <t>1:21.98</t>
  </si>
  <si>
    <t>1:09.83</t>
  </si>
  <si>
    <t>1:17.06</t>
  </si>
  <si>
    <t>23.50</t>
  </si>
  <si>
    <t>21.19</t>
  </si>
  <si>
    <t>3:14.55</t>
  </si>
  <si>
    <t>1:26.52</t>
  </si>
  <si>
    <t>1:14.61</t>
  </si>
  <si>
    <t xml:space="preserve">      [3] grass-slide triple-jump</t>
  </si>
  <si>
    <t>21.82</t>
  </si>
  <si>
    <t>29.72</t>
  </si>
  <si>
    <t>30.41</t>
  </si>
  <si>
    <t>22.28</t>
  </si>
  <si>
    <t>10.69</t>
  </si>
  <si>
    <t>22.05</t>
  </si>
  <si>
    <t>31.92</t>
  </si>
  <si>
    <t>22.49</t>
  </si>
  <si>
    <t>22.30</t>
  </si>
  <si>
    <t>22.25</t>
  </si>
  <si>
    <t>3:05.63</t>
  </si>
  <si>
    <t>44.37</t>
  </si>
  <si>
    <t>1:47.16</t>
  </si>
  <si>
    <t>22.74</t>
  </si>
  <si>
    <t>Episode 6 (Full)</t>
  </si>
  <si>
    <t>[1] spin+Y, no GWKD</t>
  </si>
  <si>
    <t>1:16.59</t>
  </si>
  <si>
    <t>28.04</t>
  </si>
  <si>
    <t>1:21.66</t>
  </si>
  <si>
    <t>1:13.98</t>
  </si>
  <si>
    <t>25.17</t>
  </si>
  <si>
    <t>1:12.94</t>
  </si>
  <si>
    <t>26.98</t>
  </si>
  <si>
    <t>1:13.64</t>
  </si>
  <si>
    <t>41.13</t>
  </si>
  <si>
    <t>25.11</t>
  </si>
  <si>
    <t>3:05.77</t>
  </si>
  <si>
    <t xml:space="preserve">  [2] rollout+Y, no GWKD</t>
  </si>
  <si>
    <t>1:11.14</t>
  </si>
  <si>
    <t>1:23.91</t>
  </si>
  <si>
    <t>53.47</t>
  </si>
  <si>
    <t>35.45</t>
  </si>
  <si>
    <t>1:11.75</t>
  </si>
  <si>
    <t>20.11</t>
  </si>
  <si>
    <t>1:11.25</t>
  </si>
  <si>
    <t>44.63</t>
  </si>
  <si>
    <t>1:03.89</t>
  </si>
  <si>
    <t>1:09.07</t>
  </si>
  <si>
    <t>24.44</t>
  </si>
  <si>
    <t>1:12,34</t>
  </si>
  <si>
    <t>1:15.775</t>
  </si>
  <si>
    <t>1:53.15</t>
  </si>
  <si>
    <t>1:44.72</t>
  </si>
  <si>
    <t>6.49</t>
  </si>
  <si>
    <t>15.68</t>
  </si>
  <si>
    <t xml:space="preserve">    [3,1] speedspin, no GWKD</t>
  </si>
  <si>
    <t>1:10.31</t>
  </si>
  <si>
    <t>Anonymous 3</t>
  </si>
  <si>
    <t>1:35.05</t>
  </si>
  <si>
    <t>10073</t>
  </si>
  <si>
    <t>11</t>
  </si>
  <si>
    <t>1:10.20</t>
  </si>
  <si>
    <t>1:10.47</t>
  </si>
  <si>
    <t>2:03.35</t>
  </si>
  <si>
    <t>1:13.77</t>
  </si>
  <si>
    <t>14.39</t>
  </si>
  <si>
    <t>1:13.76</t>
  </si>
  <si>
    <t>3:18.73</t>
  </si>
  <si>
    <t>13.67</t>
  </si>
  <si>
    <t>34.35</t>
  </si>
  <si>
    <t xml:space="preserve">    [3,2] speedspin, GWKD</t>
  </si>
  <si>
    <t>1:09.31</t>
  </si>
  <si>
    <t>27.49</t>
  </si>
  <si>
    <t>41.76</t>
  </si>
  <si>
    <t>1:15.47</t>
  </si>
  <si>
    <t>2:13.99</t>
  </si>
  <si>
    <t>2:54.21</t>
  </si>
  <si>
    <t>1:03.51</t>
  </si>
  <si>
    <t>1:10.48</t>
  </si>
  <si>
    <t>1:08.33</t>
  </si>
  <si>
    <t>1:10.83</t>
  </si>
  <si>
    <t>38.22</t>
  </si>
  <si>
    <t>22.92</t>
  </si>
  <si>
    <t>1:10.90</t>
  </si>
  <si>
    <t>1:10.11</t>
  </si>
  <si>
    <t>15.98</t>
  </si>
  <si>
    <t>1:41.16</t>
  </si>
  <si>
    <t>1:11.27</t>
  </si>
  <si>
    <t>1:10.40</t>
  </si>
  <si>
    <t>26.68</t>
  </si>
  <si>
    <t>1:09.74</t>
  </si>
  <si>
    <t>55.99</t>
  </si>
  <si>
    <t>1:09.48</t>
  </si>
  <si>
    <t>1:39.65</t>
  </si>
  <si>
    <t>1:58.55</t>
  </si>
  <si>
    <t>43.66</t>
  </si>
  <si>
    <t>42.42</t>
  </si>
  <si>
    <t>[1,1] 2nd momentum spin, no GWKD</t>
  </si>
  <si>
    <t>41.36</t>
  </si>
  <si>
    <t>37.36</t>
  </si>
  <si>
    <t>1:02.18</t>
  </si>
  <si>
    <t>41.96</t>
  </si>
  <si>
    <t>Pogo</t>
  </si>
  <si>
    <t>828</t>
  </si>
  <si>
    <t>47.83</t>
  </si>
  <si>
    <t>58</t>
  </si>
  <si>
    <t>69</t>
  </si>
  <si>
    <t>51.91</t>
  </si>
  <si>
    <t>51.77</t>
  </si>
  <si>
    <t>1:23.41</t>
  </si>
  <si>
    <t>42.175</t>
  </si>
  <si>
    <t>2:04.01</t>
  </si>
  <si>
    <t>1:24.25</t>
  </si>
  <si>
    <t>49.60</t>
  </si>
  <si>
    <t>1:10.75</t>
  </si>
  <si>
    <t>42.16</t>
  </si>
  <si>
    <t>42.26</t>
  </si>
  <si>
    <t>1:16.07</t>
  </si>
  <si>
    <t>16.38</t>
  </si>
  <si>
    <r>
      <rPr>
        <rFont val="Arial"/>
        <color rgb="FF000000"/>
        <sz val="9.0"/>
      </rPr>
      <t>4</t>
    </r>
    <r>
      <rPr>
        <rFont val="Arial"/>
        <color rgb="FF000000"/>
        <sz val="9.0"/>
      </rPr>
      <t>2.65</t>
    </r>
  </si>
  <si>
    <t>4:39.90</t>
  </si>
  <si>
    <t>[1,2] 2nd momentum spin, GWKD</t>
  </si>
  <si>
    <t>40.72</t>
  </si>
  <si>
    <t>3:18.93</t>
  </si>
  <si>
    <t>43.58</t>
  </si>
  <si>
    <t>40.96</t>
  </si>
  <si>
    <t>1:27.353</t>
  </si>
  <si>
    <t>29.92</t>
  </si>
  <si>
    <t>31.79</t>
  </si>
  <si>
    <t>54.71</t>
  </si>
  <si>
    <t>1:31.51</t>
  </si>
  <si>
    <t>1:37.92</t>
  </si>
  <si>
    <t>17.33</t>
  </si>
  <si>
    <t>43.36</t>
  </si>
  <si>
    <t>1:05.432</t>
  </si>
  <si>
    <t>1:34.05</t>
  </si>
  <si>
    <t>3:25.23</t>
  </si>
  <si>
    <t xml:space="preserve">  [2,1] spin+Y, no GWKD</t>
  </si>
  <si>
    <t>40.36</t>
  </si>
  <si>
    <t>42.27</t>
  </si>
  <si>
    <t>1:46.17</t>
  </si>
  <si>
    <t>43.87</t>
  </si>
  <si>
    <t>40.79</t>
  </si>
  <si>
    <t>1:16.77</t>
  </si>
  <si>
    <t>41.24</t>
  </si>
  <si>
    <t>40.49</t>
  </si>
  <si>
    <t>1:21.48</t>
  </si>
  <si>
    <t>40.69</t>
  </si>
  <si>
    <t>1:55.13</t>
  </si>
  <si>
    <t>54.98</t>
  </si>
  <si>
    <t>41.007</t>
  </si>
  <si>
    <t>38.46</t>
  </si>
  <si>
    <t>40.95</t>
  </si>
  <si>
    <t>1:21.60</t>
  </si>
  <si>
    <t>41.12</t>
  </si>
  <si>
    <t>18.38</t>
  </si>
  <si>
    <t>41.86</t>
  </si>
  <si>
    <t>1:42.70</t>
  </si>
  <si>
    <t>45.81</t>
  </si>
  <si>
    <t>1:05.33</t>
  </si>
  <si>
    <t xml:space="preserve">  [2,2] spin+Y, GWKD</t>
  </si>
  <si>
    <t>39.72</t>
  </si>
  <si>
    <t>3:20.61</t>
  </si>
  <si>
    <t>3:27.33</t>
  </si>
  <si>
    <t>40.19</t>
  </si>
  <si>
    <t>41.45</t>
  </si>
  <si>
    <t>1:30.05</t>
  </si>
  <si>
    <t>28.08</t>
  </si>
  <si>
    <t>40.33</t>
  </si>
  <si>
    <t>53.38</t>
  </si>
  <si>
    <t>8.61</t>
  </si>
  <si>
    <t>41.141</t>
  </si>
  <si>
    <t>46.36</t>
  </si>
  <si>
    <t>52.72</t>
  </si>
  <si>
    <t>1:02.19</t>
  </si>
  <si>
    <t>53.41</t>
  </si>
  <si>
    <t>40.09</t>
  </si>
  <si>
    <t>1:21.90</t>
  </si>
  <si>
    <t>2:02.03</t>
  </si>
  <si>
    <t>41.33</t>
  </si>
  <si>
    <t>17.93</t>
  </si>
  <si>
    <t>2:11.81</t>
  </si>
  <si>
    <t>40.82</t>
  </si>
  <si>
    <t>26.82</t>
  </si>
  <si>
    <t>2:02.63</t>
  </si>
  <si>
    <t xml:space="preserve">    [3,1] spin (no Y), no GWKD</t>
  </si>
  <si>
    <t>40.76</t>
  </si>
  <si>
    <t>2:06.22</t>
  </si>
  <si>
    <t>41.29</t>
  </si>
  <si>
    <t>2:05.02</t>
  </si>
  <si>
    <t>16.04</t>
  </si>
  <si>
    <t>2:24.79</t>
  </si>
  <si>
    <t>1:29.12</t>
  </si>
  <si>
    <t xml:space="preserve">    [3,2] spin (no Y), GWKD</t>
  </si>
  <si>
    <t>49.19</t>
  </si>
  <si>
    <t>1:39.56</t>
  </si>
  <si>
    <t>40.39</t>
  </si>
  <si>
    <t>41.90</t>
  </si>
  <si>
    <t>28.57</t>
  </si>
  <si>
    <t>1:50.54</t>
  </si>
  <si>
    <t>32.05</t>
  </si>
  <si>
    <t>52.71</t>
  </si>
  <si>
    <t>2:14.38</t>
  </si>
  <si>
    <t>15.66</t>
  </si>
  <si>
    <t xml:space="preserve">      [4,1] rollout+Y, no GWKD</t>
  </si>
  <si>
    <t>40.22</t>
  </si>
  <si>
    <t>3:23.203</t>
  </si>
  <si>
    <t>25.25</t>
  </si>
  <si>
    <t>1:08.13</t>
  </si>
  <si>
    <t>40:92</t>
  </si>
  <si>
    <t>1:15.44</t>
  </si>
  <si>
    <t>35.69</t>
  </si>
  <si>
    <t>29.88</t>
  </si>
  <si>
    <t>1:20.74</t>
  </si>
  <si>
    <t>1:52.39</t>
  </si>
  <si>
    <t>10.82</t>
  </si>
  <si>
    <t>1:20.47</t>
  </si>
  <si>
    <t>40.85</t>
  </si>
  <si>
    <t>40.99</t>
  </si>
  <si>
    <t>1:09.22</t>
  </si>
  <si>
    <t>3:44.55</t>
  </si>
  <si>
    <t>42.76</t>
  </si>
  <si>
    <t>3:00.26</t>
  </si>
  <si>
    <t>1:29.81</t>
  </si>
  <si>
    <t xml:space="preserve">      [4,2] rollout+Y, GWKD</t>
  </si>
  <si>
    <t>39.35</t>
  </si>
  <si>
    <t>1:14.90</t>
  </si>
  <si>
    <t>40.16</t>
  </si>
  <si>
    <t>57.85</t>
  </si>
  <si>
    <t>1:32.03</t>
  </si>
  <si>
    <t>40.12</t>
  </si>
  <si>
    <t>24.62</t>
  </si>
  <si>
    <t>49.02</t>
  </si>
  <si>
    <t>40.26</t>
  </si>
  <si>
    <t>32.65</t>
  </si>
  <si>
    <t>1:39.26</t>
  </si>
  <si>
    <t>1:15.90</t>
  </si>
  <si>
    <t>28.65</t>
  </si>
  <si>
    <t>20.98</t>
  </si>
  <si>
    <t xml:space="preserve">        [5,1] speedspin, no GWKD</t>
  </si>
  <si>
    <t>39.89</t>
  </si>
  <si>
    <t>1:57.92</t>
  </si>
  <si>
    <t>39.95</t>
  </si>
  <si>
    <t>2:33.54</t>
  </si>
  <si>
    <t>40.15</t>
  </si>
  <si>
    <t>1:40.99</t>
  </si>
  <si>
    <t>2:28.14</t>
  </si>
  <si>
    <t>1:59.95</t>
  </si>
  <si>
    <t>40.90</t>
  </si>
  <si>
    <t>21.73</t>
  </si>
  <si>
    <t>45.13</t>
  </si>
  <si>
    <t>4:25.54</t>
  </si>
  <si>
    <t>37.23</t>
  </si>
  <si>
    <t>1:10.25</t>
  </si>
  <si>
    <t>40.92</t>
  </si>
  <si>
    <t>45.23</t>
  </si>
  <si>
    <t>1:10.13</t>
  </si>
  <si>
    <t>40.23</t>
  </si>
  <si>
    <t>40.46</t>
  </si>
  <si>
    <t>2:14.42</t>
  </si>
  <si>
    <t>1:25.43</t>
  </si>
  <si>
    <t>1:16.63</t>
  </si>
  <si>
    <t>27.22</t>
  </si>
  <si>
    <t xml:space="preserve">        [5,2] speedspin, GWKD</t>
  </si>
  <si>
    <t>38.88</t>
  </si>
  <si>
    <t>1:23.750</t>
  </si>
  <si>
    <t>27.23</t>
  </si>
  <si>
    <t>32.60</t>
  </si>
  <si>
    <t>39.30</t>
  </si>
  <si>
    <t>1:31.16</t>
  </si>
  <si>
    <t>38.99</t>
  </si>
  <si>
    <t>1:06.45</t>
  </si>
  <si>
    <t>11.01</t>
  </si>
  <si>
    <t>40.20</t>
  </si>
  <si>
    <t>51.50</t>
  </si>
  <si>
    <t>1:15.73</t>
  </si>
  <si>
    <t>29.75</t>
  </si>
  <si>
    <t>Misc ILs</t>
  </si>
  <si>
    <t>30.76</t>
  </si>
  <si>
    <t>38.95</t>
  </si>
  <si>
    <t>39.16</t>
  </si>
  <si>
    <t>15.50</t>
  </si>
  <si>
    <t>724</t>
  </si>
  <si>
    <t>1:11.81</t>
  </si>
  <si>
    <t>42</t>
  </si>
  <si>
    <t>1:21.52</t>
  </si>
  <si>
    <t>29.61</t>
  </si>
  <si>
    <t>39.75</t>
  </si>
  <si>
    <t>1:06.46</t>
  </si>
  <si>
    <t>41.19</t>
  </si>
  <si>
    <t>1:16.64</t>
  </si>
  <si>
    <t>100 Coin Shines</t>
  </si>
  <si>
    <t>1:38.79</t>
  </si>
  <si>
    <t>3:31.51</t>
  </si>
  <si>
    <t>Special Shines</t>
  </si>
  <si>
    <t>1:27.98</t>
  </si>
  <si>
    <t>Blue Coins</t>
  </si>
  <si>
    <t>39.52</t>
  </si>
  <si>
    <t>40.70</t>
  </si>
  <si>
    <t>RTA Rushes</t>
  </si>
  <si>
    <t>17.09</t>
  </si>
  <si>
    <t>3:17.61</t>
  </si>
  <si>
    <t>100 Coins + Blues Combos</t>
  </si>
  <si>
    <t>Hidden Reds Hoverless</t>
  </si>
  <si>
    <t>50 Coins</t>
  </si>
  <si>
    <t>Nozzle Rushes</t>
  </si>
  <si>
    <t>1:47.34</t>
  </si>
  <si>
    <t>Blue Coins (10 Shines No Shines)</t>
  </si>
  <si>
    <t>1:16.96</t>
  </si>
  <si>
    <t>1:18.14</t>
  </si>
  <si>
    <t>[1] no bridge one-slide</t>
  </si>
  <si>
    <t>29.09</t>
  </si>
  <si>
    <t>55.42</t>
  </si>
  <si>
    <t>Legacy Goals</t>
  </si>
  <si>
    <t>28.28</t>
  </si>
  <si>
    <t>20 Shines</t>
  </si>
  <si>
    <t>29.56</t>
  </si>
  <si>
    <t>1:15.87</t>
  </si>
  <si>
    <t>18.83</t>
  </si>
  <si>
    <t>42.49</t>
  </si>
  <si>
    <t>30.03</t>
  </si>
  <si>
    <t>43.70</t>
  </si>
  <si>
    <t>29.98</t>
  </si>
  <si>
    <r>
      <rPr>
        <rFont val="arial,sans,sans-serif"/>
        <b/>
        <color rgb="FFFFFFFF"/>
        <sz val="10.0"/>
      </rPr>
      <t xml:space="preserve">Entries
</t>
    </r>
    <r>
      <rPr>
        <rFont val="arial,sans,sans-serif"/>
        <b val="0"/>
        <i/>
        <color rgb="FFFFFFFF"/>
        <sz val="10.0"/>
      </rPr>
      <t>(Video)</t>
    </r>
  </si>
  <si>
    <t>Bianco 1</t>
  </si>
  <si>
    <t>3:07.27</t>
  </si>
  <si>
    <t>Bianco 3</t>
  </si>
  <si>
    <t>Bianco 4</t>
  </si>
  <si>
    <t>29.80</t>
  </si>
  <si>
    <t>48.06</t>
  </si>
  <si>
    <t>Ricco 1</t>
  </si>
  <si>
    <t>Ricco 2</t>
  </si>
  <si>
    <t>Ricco 4
(In A Secret)</t>
  </si>
  <si>
    <t>Ricco 5</t>
  </si>
  <si>
    <t>Gelato 1</t>
  </si>
  <si>
    <t>2:32.01</t>
  </si>
  <si>
    <t>Gelato 2</t>
  </si>
  <si>
    <t>Pinna 2</t>
  </si>
  <si>
    <t>Sirena 1</t>
  </si>
  <si>
    <t>Sirena 4</t>
  </si>
  <si>
    <t>26.35</t>
  </si>
  <si>
    <t>Noki 1</t>
  </si>
  <si>
    <t>31.031</t>
  </si>
  <si>
    <t>Pianta 1</t>
  </si>
  <si>
    <t>1:31.81</t>
  </si>
  <si>
    <t>Pianta 5
(In A Secret)</t>
  </si>
  <si>
    <t>1:31.65</t>
  </si>
  <si>
    <t>Bianco 4 Fluddless</t>
  </si>
  <si>
    <t>Bianco 4 Hoverless</t>
  </si>
  <si>
    <t>Ricco 3 Hoverless</t>
  </si>
  <si>
    <t>2:18.06</t>
  </si>
  <si>
    <t>Pinna 3 + 10 Yellow Button Coins</t>
  </si>
  <si>
    <t>Pinna 3 Hoverless</t>
  </si>
  <si>
    <t>52.17</t>
  </si>
  <si>
    <t>Wiggler + 10 Yellow Button Coins</t>
  </si>
  <si>
    <t>Pinna 5
From Back
Hoverless</t>
  </si>
  <si>
    <t>Pianta 3 Damageless</t>
  </si>
  <si>
    <t>Noki 2 Jumpless</t>
  </si>
  <si>
    <t>30.80</t>
  </si>
  <si>
    <t>Noki 2
(Blooper)</t>
  </si>
  <si>
    <t>17.77</t>
  </si>
  <si>
    <t>Underbell with Fruit</t>
  </si>
  <si>
    <t>Right Bell (Yoshi)</t>
  </si>
  <si>
    <t>Lighthouse (Yoshi)</t>
  </si>
  <si>
    <t>Lighthouse (Infinite Wall Kicks)</t>
  </si>
  <si>
    <t>Jail Secret
(Hover)</t>
  </si>
  <si>
    <t>46.61</t>
  </si>
  <si>
    <t>Sand Bird with Turbo Nozzle</t>
  </si>
  <si>
    <t>29.30</t>
  </si>
  <si>
    <t>11 in Delfino  (Pre Statue)</t>
  </si>
  <si>
    <t>30.74</t>
  </si>
  <si>
    <t>1:20.23</t>
  </si>
  <si>
    <t>3 Fruit Ladies</t>
  </si>
  <si>
    <t>4 Fruit Ladies</t>
  </si>
  <si>
    <t>15* in
Bianco 3</t>
  </si>
  <si>
    <t>15* in Bianco 3 (Spicy Pizza Route)</t>
  </si>
  <si>
    <t>20* in
Bianco 4</t>
  </si>
  <si>
    <t>20 in
Ricco 1</t>
  </si>
  <si>
    <t>1:03.11</t>
  </si>
  <si>
    <t>23 in
Ricco 1</t>
  </si>
  <si>
    <t>15 in
Gelato 1</t>
  </si>
  <si>
    <t>1:10.86</t>
  </si>
  <si>
    <t>20 in
Gelato 1</t>
  </si>
  <si>
    <t>16 in
Pinna 1</t>
  </si>
  <si>
    <t>20 in
Pinna 1</t>
  </si>
  <si>
    <t>34.69</t>
  </si>
  <si>
    <t>7 from Pinna Beach</t>
  </si>
  <si>
    <t>9* in
Sirena 2</t>
  </si>
  <si>
    <t>12 in
Sirena 3</t>
  </si>
  <si>
    <t>18 in
Sirena 4</t>
  </si>
  <si>
    <t>12 in
Noki 1</t>
  </si>
  <si>
    <t>16 in
Noki 1</t>
  </si>
  <si>
    <t>20 in Noki 1</t>
  </si>
  <si>
    <t xml:space="preserve">16* in
Pianta 3 </t>
  </si>
  <si>
    <t>1:59.24</t>
  </si>
  <si>
    <t>150 Yellow Coins from Delfino</t>
  </si>
  <si>
    <t>17.73</t>
  </si>
  <si>
    <t>1:40.12</t>
  </si>
  <si>
    <t>15 Blues from Delfino</t>
  </si>
  <si>
    <t>3 Reds Rush</t>
  </si>
  <si>
    <t>1:53.77</t>
  </si>
  <si>
    <t>2 100 Coin Shines</t>
  </si>
  <si>
    <t>18 Lives</t>
  </si>
  <si>
    <t xml:space="preserve">  [2] bridge one-slide</t>
  </si>
  <si>
    <t>16 Blues from Pianta</t>
  </si>
  <si>
    <t>15 M's Rush</t>
  </si>
  <si>
    <t>28.02</t>
  </si>
  <si>
    <t>1:59.67</t>
  </si>
  <si>
    <t>17 M's Rush</t>
  </si>
  <si>
    <t>5 NPC Blues</t>
  </si>
  <si>
    <t>3 Shines from Blue Trades</t>
  </si>
  <si>
    <t>16.57</t>
  </si>
  <si>
    <t>Bianco 100
15 Blues</t>
  </si>
  <si>
    <t>Gelato 100
15 Blues</t>
  </si>
  <si>
    <t>Ricco 100
23 Blues</t>
  </si>
  <si>
    <t>Sirena 100
18 Blues</t>
  </si>
  <si>
    <t>Noki 100
16 Blues</t>
  </si>
  <si>
    <t>Bianco 3R (Rocket)</t>
  </si>
  <si>
    <t>Ricco 4R
(Rocket)</t>
  </si>
  <si>
    <t>Gelato 1R
(Spray Only)</t>
  </si>
  <si>
    <t>Pinna 2R</t>
  </si>
  <si>
    <t>28.33</t>
  </si>
  <si>
    <t>Pinna 6R</t>
  </si>
  <si>
    <t>3:12.89</t>
  </si>
  <si>
    <t>Pianta 5R</t>
  </si>
  <si>
    <t>Sirena 2R</t>
  </si>
  <si>
    <t>Sirena 4R</t>
  </si>
  <si>
    <t>Noki 6R</t>
  </si>
  <si>
    <t>28.80</t>
  </si>
  <si>
    <t>Pianta 3 + Shine</t>
  </si>
  <si>
    <t>28.22</t>
  </si>
  <si>
    <t>Pianta 5</t>
  </si>
  <si>
    <t>1:33.78</t>
  </si>
  <si>
    <t>Bianco Turbo (4)</t>
  </si>
  <si>
    <t>1:06.53</t>
  </si>
  <si>
    <t>Ricco Rocket (3)</t>
  </si>
  <si>
    <t>Noki Rocket (1)</t>
  </si>
  <si>
    <t>13 in
Bianco 1</t>
  </si>
  <si>
    <t>14 in
Pianta 1</t>
  </si>
  <si>
    <t>3 in
Sirena 1</t>
  </si>
  <si>
    <t>22 in
Gelato 1</t>
  </si>
  <si>
    <t>Sirena 3
(No Clipping)</t>
  </si>
  <si>
    <t>28.06</t>
  </si>
  <si>
    <t>Gold Bird
(No Turbo)</t>
  </si>
  <si>
    <t>1:30.91</t>
  </si>
  <si>
    <t>34.29</t>
  </si>
  <si>
    <t>775</t>
  </si>
  <si>
    <t>28.78</t>
  </si>
  <si>
    <t>25</t>
  </si>
  <si>
    <t>2:54.91</t>
  </si>
  <si>
    <t>92</t>
  </si>
  <si>
    <t>3:51.53</t>
  </si>
  <si>
    <t>28.51</t>
  </si>
  <si>
    <t>1:04.88</t>
  </si>
  <si>
    <t>2:38.158</t>
  </si>
  <si>
    <t>29.31</t>
  </si>
  <si>
    <t>1:44.32</t>
  </si>
  <si>
    <t>2:36.756</t>
  </si>
  <si>
    <t>28.79</t>
  </si>
  <si>
    <t>1:39.52</t>
  </si>
  <si>
    <t>1:51.41</t>
  </si>
  <si>
    <t>20.70</t>
  </si>
  <si>
    <t>2:58.845</t>
  </si>
  <si>
    <t>2:25.445</t>
  </si>
  <si>
    <t>22.69</t>
  </si>
  <si>
    <t>2:48.368</t>
  </si>
  <si>
    <t>44.77</t>
  </si>
  <si>
    <t>2:32.519</t>
  </si>
  <si>
    <t>1:26.31</t>
  </si>
  <si>
    <t>21.39</t>
  </si>
  <si>
    <t>3:13.960</t>
  </si>
  <si>
    <t>25.66</t>
  </si>
  <si>
    <t>20.66</t>
  </si>
  <si>
    <t>Episode 7</t>
  </si>
  <si>
    <t>[1] no insta-kill</t>
  </si>
  <si>
    <t>16.47</t>
  </si>
  <si>
    <t>710</t>
  </si>
  <si>
    <t>3:05.752</t>
  </si>
  <si>
    <t>32</t>
  </si>
  <si>
    <t>1:20.38</t>
  </si>
  <si>
    <t>1:13.84</t>
  </si>
  <si>
    <t>16.97</t>
  </si>
  <si>
    <t>2:27.881</t>
  </si>
  <si>
    <t>1:21.75</t>
  </si>
  <si>
    <t>30.38</t>
  </si>
  <si>
    <t>1:15.77</t>
  </si>
  <si>
    <t>16.84</t>
  </si>
  <si>
    <t>3:17.630</t>
  </si>
  <si>
    <t>2:39.959</t>
  </si>
  <si>
    <t>10.83</t>
  </si>
  <si>
    <t>4:01.74</t>
  </si>
  <si>
    <t>16.66</t>
  </si>
  <si>
    <t>2:25.278</t>
  </si>
  <si>
    <t>32.38</t>
  </si>
  <si>
    <t>1:24.93</t>
  </si>
  <si>
    <t>16.83</t>
  </si>
  <si>
    <t>1:54.514</t>
  </si>
  <si>
    <t>29.35</t>
  </si>
  <si>
    <t>46.24</t>
  </si>
  <si>
    <t>2:28.715</t>
  </si>
  <si>
    <t>1:05.82</t>
  </si>
  <si>
    <t>52.30</t>
  </si>
  <si>
    <t>3:04.61</t>
  </si>
  <si>
    <t>22.95</t>
  </si>
  <si>
    <t>41.37</t>
  </si>
  <si>
    <t xml:space="preserve">  [2] insta-kill</t>
  </si>
  <si>
    <t>49.77</t>
  </si>
  <si>
    <t>1:17.07</t>
  </si>
  <si>
    <t>25.14</t>
  </si>
  <si>
    <t>1:15.41</t>
  </si>
  <si>
    <t>1:16.34</t>
  </si>
  <si>
    <t>27.55</t>
  </si>
  <si>
    <t>16.03</t>
  </si>
  <si>
    <t>27.88</t>
  </si>
  <si>
    <t>16.01</t>
  </si>
  <si>
    <t>54.387</t>
  </si>
  <si>
    <t>3:07.38</t>
  </si>
  <si>
    <t>15.99</t>
  </si>
  <si>
    <t>51.65</t>
  </si>
  <si>
    <t>19.65</t>
  </si>
  <si>
    <t>51.351</t>
  </si>
  <si>
    <t>45.16</t>
  </si>
  <si>
    <t>16.14</t>
  </si>
  <si>
    <t>1:23.416</t>
  </si>
  <si>
    <t>1:00.75</t>
  </si>
  <si>
    <t>54.087</t>
  </si>
  <si>
    <t>23.94</t>
  </si>
  <si>
    <t>1:07.77</t>
  </si>
  <si>
    <t>6.36</t>
  </si>
  <si>
    <t>16.31</t>
  </si>
  <si>
    <t>33.75</t>
  </si>
  <si>
    <t>15.21</t>
  </si>
  <si>
    <t>9704</t>
  </si>
  <si>
    <t>43.610</t>
  </si>
  <si>
    <t>98</t>
  </si>
  <si>
    <t>116</t>
  </si>
  <si>
    <t>16.07</t>
  </si>
  <si>
    <t>3:15.34</t>
  </si>
  <si>
    <t>1:06.11</t>
  </si>
  <si>
    <t>1:00.68</t>
  </si>
  <si>
    <t>16.17</t>
  </si>
  <si>
    <t>1:18.28</t>
  </si>
  <si>
    <t>33.31</t>
  </si>
  <si>
    <t>12.012</t>
  </si>
  <si>
    <t>Episode 8</t>
  </si>
  <si>
    <t>[1] no rocket rollout</t>
  </si>
  <si>
    <t>58.12</t>
  </si>
  <si>
    <t>42.409</t>
  </si>
  <si>
    <t>58.53</t>
  </si>
  <si>
    <t>59.859</t>
  </si>
  <si>
    <t>51.017</t>
  </si>
  <si>
    <t>2:52.50</t>
  </si>
  <si>
    <t>1:02.75</t>
  </si>
  <si>
    <t>1:25.385</t>
  </si>
  <si>
    <t>22.55</t>
  </si>
  <si>
    <t>2:15.59</t>
  </si>
  <si>
    <t>27.31</t>
  </si>
  <si>
    <t>1:37.95</t>
  </si>
  <si>
    <t>26.593</t>
  </si>
  <si>
    <t>1:55.22</t>
  </si>
  <si>
    <t>1:08.47</t>
  </si>
  <si>
    <t>42.69</t>
  </si>
  <si>
    <t>38.25</t>
  </si>
  <si>
    <t>1:22.048</t>
  </si>
  <si>
    <t>Jesteq</t>
  </si>
  <si>
    <t>Episode 3 Reds (IGT)</t>
  </si>
  <si>
    <t>695</t>
  </si>
  <si>
    <t>[1] hover</t>
  </si>
  <si>
    <t>41.62</t>
  </si>
  <si>
    <t>51</t>
  </si>
  <si>
    <t>1:34.327</t>
  </si>
  <si>
    <t>52.07</t>
  </si>
  <si>
    <t>56.51</t>
  </si>
  <si>
    <t>1:35.83</t>
  </si>
  <si>
    <t>1:22.87</t>
  </si>
  <si>
    <t>38.62</t>
  </si>
  <si>
    <t>43.83</t>
  </si>
  <si>
    <t>38.12</t>
  </si>
  <si>
    <t>38.59</t>
  </si>
  <si>
    <t>2:16.870</t>
  </si>
  <si>
    <t>39.86</t>
  </si>
  <si>
    <t>1:11.24</t>
  </si>
  <si>
    <t>37.75</t>
  </si>
  <si>
    <t>1:01.15</t>
  </si>
  <si>
    <t>1:44.237</t>
  </si>
  <si>
    <t>3:17.67</t>
  </si>
  <si>
    <t>27.01</t>
  </si>
  <si>
    <t>51.80</t>
  </si>
  <si>
    <t>38.15</t>
  </si>
  <si>
    <t>38.02</t>
  </si>
  <si>
    <t>2:13.72</t>
  </si>
  <si>
    <t>49.97</t>
  </si>
  <si>
    <t>38.72</t>
  </si>
  <si>
    <t>14.64</t>
  </si>
  <si>
    <t xml:space="preserve">  Reds (QFT)</t>
  </si>
  <si>
    <t>1:36.996</t>
  </si>
  <si>
    <t>44.06</t>
  </si>
  <si>
    <t>39.34</t>
  </si>
  <si>
    <t>30.05</t>
  </si>
  <si>
    <t>1:32.89</t>
  </si>
  <si>
    <t>37.170</t>
  </si>
  <si>
    <t>2:36.156</t>
  </si>
  <si>
    <t>37.63</t>
  </si>
  <si>
    <t>54.61</t>
  </si>
  <si>
    <t>1:31.98</t>
  </si>
  <si>
    <t>2:34.654</t>
  </si>
  <si>
    <t>1:37.85</t>
  </si>
  <si>
    <t>17.24</t>
  </si>
  <si>
    <t>3:08.721</t>
  </si>
  <si>
    <t>2:03.923</t>
  </si>
  <si>
    <t>1:34.15</t>
  </si>
  <si>
    <t>3:05.785</t>
  </si>
  <si>
    <t>1:07.12</t>
  </si>
  <si>
    <t>Episode 6 Reds (IGT)</t>
  </si>
  <si>
    <t>51.17</t>
  </si>
  <si>
    <t>3:29.27</t>
  </si>
  <si>
    <t>1:45.105</t>
  </si>
  <si>
    <t>2:56.376</t>
  </si>
  <si>
    <t>42.44</t>
  </si>
  <si>
    <t>50.13</t>
  </si>
  <si>
    <t>1:00.393</t>
  </si>
  <si>
    <t>57.88</t>
  </si>
  <si>
    <t>50.47</t>
  </si>
  <si>
    <t>1:46.43</t>
  </si>
  <si>
    <t>39.539</t>
  </si>
  <si>
    <t>50.60</t>
  </si>
  <si>
    <t>1:00.91</t>
  </si>
  <si>
    <t>1:59.78</t>
  </si>
  <si>
    <t>1:16.73</t>
  </si>
  <si>
    <t>1:20.914</t>
  </si>
  <si>
    <t>48.46</t>
  </si>
  <si>
    <t>2:13.600</t>
  </si>
  <si>
    <t>38.81</t>
  </si>
  <si>
    <t>50.17</t>
  </si>
  <si>
    <t>1:22.916</t>
  </si>
  <si>
    <t>58.88</t>
  </si>
  <si>
    <t>18.71</t>
  </si>
  <si>
    <t>2:27</t>
  </si>
  <si>
    <t>1:16.89</t>
  </si>
  <si>
    <t>1:42.62</t>
  </si>
  <si>
    <t>3:10.823</t>
  </si>
  <si>
    <t>1:11.87</t>
  </si>
  <si>
    <t>46.89</t>
  </si>
  <si>
    <t>2:28.948</t>
  </si>
  <si>
    <t>19.33</t>
  </si>
  <si>
    <t xml:space="preserve">  [2,1] rocket, 7th red rocket-thru</t>
  </si>
  <si>
    <t>2:46</t>
  </si>
  <si>
    <t>1:00.41</t>
  </si>
  <si>
    <t>46.99</t>
  </si>
  <si>
    <t>4:12</t>
  </si>
  <si>
    <t>3:18.72</t>
  </si>
  <si>
    <t>3:46</t>
  </si>
  <si>
    <t>17.90</t>
  </si>
  <si>
    <t>5:10</t>
  </si>
  <si>
    <t>1:18.45</t>
  </si>
  <si>
    <t>26.11</t>
  </si>
  <si>
    <t>3:22</t>
  </si>
  <si>
    <t>53.80</t>
  </si>
  <si>
    <t>29.45</t>
  </si>
  <si>
    <t>5:35</t>
  </si>
  <si>
    <t xml:space="preserve">  [2,2] rocket, 7th red ground-pound</t>
  </si>
  <si>
    <t>1:01.05</t>
  </si>
  <si>
    <t>1:04.41</t>
  </si>
  <si>
    <t>6:03</t>
  </si>
  <si>
    <t>43.12</t>
  </si>
  <si>
    <t>6:40</t>
  </si>
  <si>
    <t>1:53.30</t>
  </si>
  <si>
    <t>4:40</t>
  </si>
  <si>
    <t>2:07.86</t>
  </si>
  <si>
    <t>2:15.73</t>
  </si>
  <si>
    <t>6:54</t>
  </si>
  <si>
    <t>2:06.88</t>
  </si>
  <si>
    <t>49.01</t>
  </si>
  <si>
    <t>4:10.650</t>
  </si>
  <si>
    <t>17.00</t>
  </si>
  <si>
    <t>4:26.899</t>
  </si>
  <si>
    <t xml:space="preserve">  [2,3] rocket, 6th red 1st cycle</t>
  </si>
  <si>
    <t>1:02.25</t>
  </si>
  <si>
    <t>1:39.62</t>
  </si>
  <si>
    <t>5:30.496</t>
  </si>
  <si>
    <t>1:47.86</t>
  </si>
  <si>
    <t>1:02.11</t>
  </si>
  <si>
    <t>4:03.843</t>
  </si>
  <si>
    <t>4:19.092</t>
  </si>
  <si>
    <t>52.54</t>
  </si>
  <si>
    <t>1:00.98</t>
  </si>
  <si>
    <t>1:02.05</t>
  </si>
  <si>
    <t>39.29</t>
  </si>
  <si>
    <t>41.48</t>
  </si>
  <si>
    <t>48.81</t>
  </si>
  <si>
    <t>58.84</t>
  </si>
  <si>
    <t>1:19.05</t>
  </si>
  <si>
    <t>1:20.34</t>
  </si>
  <si>
    <t>12.39</t>
  </si>
  <si>
    <t xml:space="preserve">    [3] rocket, right side top cycle</t>
  </si>
  <si>
    <t>1:04.78</t>
  </si>
  <si>
    <t>1:00.97</t>
  </si>
  <si>
    <t>1:01.95</t>
  </si>
  <si>
    <t>36.08</t>
  </si>
  <si>
    <t>42.66</t>
  </si>
  <si>
    <t>1:29.73</t>
  </si>
  <si>
    <t>1:19.33</t>
  </si>
  <si>
    <t>1:22.46</t>
  </si>
  <si>
    <t>1:18.21</t>
  </si>
  <si>
    <t>1:01.25</t>
  </si>
  <si>
    <t>1:02.88</t>
  </si>
  <si>
    <t>50.67</t>
  </si>
  <si>
    <t>53.52</t>
  </si>
  <si>
    <t>58.458</t>
  </si>
  <si>
    <t>41.26</t>
  </si>
  <si>
    <t>34.09</t>
  </si>
  <si>
    <t>53.520</t>
  </si>
  <si>
    <t>1:01.11</t>
  </si>
  <si>
    <t>22.06</t>
  </si>
  <si>
    <t xml:space="preserve">  [2] rocket</t>
  </si>
  <si>
    <t>1:06.332</t>
  </si>
  <si>
    <t>39.27</t>
  </si>
  <si>
    <t>21.98</t>
  </si>
  <si>
    <t>41.88</t>
  </si>
  <si>
    <t>1:53.01</t>
  </si>
  <si>
    <t>58.124</t>
  </si>
  <si>
    <t>2:06.15</t>
  </si>
  <si>
    <t>41.674</t>
  </si>
  <si>
    <t>2:02.57</t>
  </si>
  <si>
    <t>1:07.300</t>
  </si>
  <si>
    <t>41.77</t>
  </si>
  <si>
    <t>43.376</t>
  </si>
  <si>
    <t>1:10.136</t>
  </si>
  <si>
    <t>16.19</t>
  </si>
  <si>
    <t>2:27.63</t>
  </si>
  <si>
    <t>21.76</t>
  </si>
  <si>
    <t>1:13.907</t>
  </si>
  <si>
    <t>3:24.16</t>
  </si>
  <si>
    <t>39.272</t>
  </si>
  <si>
    <t>4:27.21</t>
  </si>
  <si>
    <t>49.849</t>
  </si>
  <si>
    <t>1:08.28</t>
  </si>
  <si>
    <t>1:10.69</t>
  </si>
  <si>
    <t>1:44.370</t>
  </si>
  <si>
    <t>34.42</t>
  </si>
  <si>
    <t>31.765</t>
  </si>
  <si>
    <t>2:06.44</t>
  </si>
  <si>
    <t>2:36.39</t>
  </si>
  <si>
    <t>54.888</t>
  </si>
  <si>
    <t>2:16.29</t>
  </si>
  <si>
    <t>1:49.10</t>
  </si>
  <si>
    <t>19.319</t>
  </si>
  <si>
    <t>27.59</t>
  </si>
  <si>
    <t>2:42.62</t>
  </si>
  <si>
    <t>33.34</t>
  </si>
  <si>
    <t>1:30.33</t>
  </si>
  <si>
    <t>33.566</t>
  </si>
  <si>
    <t>2:16.736</t>
  </si>
  <si>
    <t>2:12.15</t>
  </si>
  <si>
    <t>11.11</t>
  </si>
  <si>
    <t>2:01.688</t>
  </si>
  <si>
    <t>51.71</t>
  </si>
  <si>
    <t>29.81</t>
  </si>
  <si>
    <t>2:20.306</t>
  </si>
  <si>
    <t>29.929</t>
  </si>
  <si>
    <t>15.63</t>
  </si>
  <si>
    <t>4:00.273</t>
  </si>
  <si>
    <t>1:12.42</t>
  </si>
  <si>
    <t>29.05</t>
  </si>
  <si>
    <t>1:14.507</t>
  </si>
  <si>
    <t>2:59.17</t>
  </si>
  <si>
    <t>Episode 1 (Full)</t>
  </si>
  <si>
    <t>44.978</t>
  </si>
  <si>
    <t>[1,1] box spin, ramp spin</t>
  </si>
  <si>
    <t>1:09.12</t>
  </si>
  <si>
    <t>50.88</t>
  </si>
  <si>
    <t>1:30.61</t>
  </si>
  <si>
    <t>40.47</t>
  </si>
  <si>
    <t>50.93</t>
  </si>
  <si>
    <t>636</t>
  </si>
  <si>
    <t>36</t>
  </si>
  <si>
    <t>52.09</t>
  </si>
  <si>
    <t>23.59</t>
  </si>
  <si>
    <t>12.51</t>
  </si>
  <si>
    <t>49</t>
  </si>
  <si>
    <t>53</t>
  </si>
  <si>
    <t>3:33.89</t>
  </si>
  <si>
    <t>29.25</t>
  </si>
  <si>
    <r>
      <rPr>
        <rFont val="Arial"/>
        <color rgb="FF1155CC"/>
        <sz val="9.0"/>
        <u/>
      </rPr>
      <t>53.4</t>
    </r>
    <r>
      <rPr>
        <rFont val="Arial"/>
        <color rgb="FF1155CC"/>
        <sz val="9.0"/>
        <u/>
      </rPr>
      <t>5</t>
    </r>
  </si>
  <si>
    <t>2:01.75</t>
  </si>
  <si>
    <t>1:40.56</t>
  </si>
  <si>
    <t>43.93</t>
  </si>
  <si>
    <t>53.953</t>
  </si>
  <si>
    <t>48.57</t>
  </si>
  <si>
    <t>2:05.291</t>
  </si>
  <si>
    <t>25.77</t>
  </si>
  <si>
    <t>27.98</t>
  </si>
  <si>
    <t>51.12</t>
  </si>
  <si>
    <t>2:50.86</t>
  </si>
  <si>
    <t>52.40</t>
  </si>
  <si>
    <t>55.28</t>
  </si>
  <si>
    <t>53.89</t>
  </si>
  <si>
    <t>2:18.43</t>
  </si>
  <si>
    <t>1:43.35</t>
  </si>
  <si>
    <t>2:14.03</t>
  </si>
  <si>
    <t>51.51</t>
  </si>
  <si>
    <t>55.37</t>
  </si>
  <si>
    <t>1:20.21</t>
  </si>
  <si>
    <t>3:17.46</t>
  </si>
  <si>
    <t>1:58.89</t>
  </si>
  <si>
    <t>38.27</t>
  </si>
  <si>
    <t>1:32.55</t>
  </si>
  <si>
    <t>2:39.14</t>
  </si>
  <si>
    <t>2:55.75</t>
  </si>
  <si>
    <t>42.14</t>
  </si>
  <si>
    <t>[1,2] box spin, speed double-jump</t>
  </si>
  <si>
    <t>50.85</t>
  </si>
  <si>
    <t>1:52.345</t>
  </si>
  <si>
    <t>1:32.44</t>
  </si>
  <si>
    <t>37.65</t>
  </si>
  <si>
    <t>1:33.19</t>
  </si>
  <si>
    <t>1:30.48</t>
  </si>
  <si>
    <t>1:07.40</t>
  </si>
  <si>
    <t>15.60</t>
  </si>
  <si>
    <t>2:29.19</t>
  </si>
  <si>
    <t>52.53</t>
  </si>
  <si>
    <t>47.00</t>
  </si>
  <si>
    <t>20.75</t>
  </si>
  <si>
    <t>50.90</t>
  </si>
  <si>
    <t>26.64</t>
  </si>
  <si>
    <t>1:15.14</t>
  </si>
  <si>
    <t>1:36.70</t>
  </si>
  <si>
    <t>46.112</t>
  </si>
  <si>
    <t xml:space="preserve">  [2,1] box triple, ramp spin</t>
  </si>
  <si>
    <t>1:14.84</t>
  </si>
  <si>
    <t>25.20</t>
  </si>
  <si>
    <t>35.40</t>
  </si>
  <si>
    <t>52.29</t>
  </si>
  <si>
    <t>30.88</t>
  </si>
  <si>
    <t>1:16.13</t>
  </si>
  <si>
    <t>51.30</t>
  </si>
  <si>
    <t>11.27</t>
  </si>
  <si>
    <t>52.89</t>
  </si>
  <si>
    <t>42.275</t>
  </si>
  <si>
    <t>31.90</t>
  </si>
  <si>
    <t>691</t>
  </si>
  <si>
    <t>22</t>
  </si>
  <si>
    <t>47.97</t>
  </si>
  <si>
    <t>52.24</t>
  </si>
  <si>
    <t>1:20.18</t>
  </si>
  <si>
    <t>22.87</t>
  </si>
  <si>
    <t xml:space="preserve">  [2,2] box triple, speed double-jump</t>
  </si>
  <si>
    <t>26.04</t>
  </si>
  <si>
    <t>1:22.10</t>
  </si>
  <si>
    <t>22.72</t>
  </si>
  <si>
    <t>50.22</t>
  </si>
  <si>
    <t>1:16.68</t>
  </si>
  <si>
    <t>1:31.191</t>
  </si>
  <si>
    <t>25.21</t>
  </si>
  <si>
    <t>1:08.25</t>
  </si>
  <si>
    <t>30.02</t>
  </si>
  <si>
    <t>25.57</t>
  </si>
  <si>
    <t>1:39.399</t>
  </si>
  <si>
    <t>19.47</t>
  </si>
  <si>
    <t>50.41</t>
  </si>
  <si>
    <t>1:19.10</t>
  </si>
  <si>
    <t>23.77</t>
  </si>
  <si>
    <t>1:33.159</t>
  </si>
  <si>
    <t>4:14.88</t>
  </si>
  <si>
    <t>1:28.32</t>
  </si>
  <si>
    <t>2:32.118</t>
  </si>
  <si>
    <t>16.53</t>
  </si>
  <si>
    <t>Rimato13</t>
  </si>
  <si>
    <t>2:20.673</t>
  </si>
  <si>
    <t>9592</t>
  </si>
  <si>
    <t>104</t>
  </si>
  <si>
    <t>3:24.71</t>
  </si>
  <si>
    <t>2:57.977</t>
  </si>
  <si>
    <t>50.74</t>
  </si>
  <si>
    <t xml:space="preserve">    [3] any, sumi skip</t>
  </si>
  <si>
    <t>1:54.247</t>
  </si>
  <si>
    <t>1:47.78</t>
  </si>
  <si>
    <t>1:18.57</t>
  </si>
  <si>
    <t>47.58</t>
  </si>
  <si>
    <t>1:23.10</t>
  </si>
  <si>
    <t>53.27</t>
  </si>
  <si>
    <t>2:54.274</t>
  </si>
  <si>
    <t>1:25.81</t>
  </si>
  <si>
    <t>37.03</t>
  </si>
  <si>
    <t>18.44</t>
  </si>
  <si>
    <t>47.84</t>
  </si>
  <si>
    <t>50.016</t>
  </si>
  <si>
    <t>1:35.061</t>
  </si>
  <si>
    <t>40.40</t>
  </si>
  <si>
    <t>3:18.63</t>
  </si>
  <si>
    <t>37.637</t>
  </si>
  <si>
    <t>1:20.56</t>
  </si>
  <si>
    <t>1:16.042</t>
  </si>
  <si>
    <t>19.18</t>
  </si>
  <si>
    <t>37.22</t>
  </si>
  <si>
    <t>44.95</t>
  </si>
  <si>
    <t>2:12.40</t>
  </si>
  <si>
    <t>2:07.227</t>
  </si>
  <si>
    <t>19.24</t>
  </si>
  <si>
    <t>1:13.973</t>
  </si>
  <si>
    <t>1:03.36</t>
  </si>
  <si>
    <t>1:08.74</t>
  </si>
  <si>
    <t>1:13.19</t>
  </si>
  <si>
    <t>1:59.619</t>
  </si>
  <si>
    <t>39.15</t>
  </si>
  <si>
    <t>2:39.792</t>
  </si>
  <si>
    <t>2:11.598</t>
  </si>
  <si>
    <t>1:52.15</t>
  </si>
  <si>
    <t>19.01</t>
  </si>
  <si>
    <t>2:28</t>
  </si>
  <si>
    <t>56.39</t>
  </si>
  <si>
    <t>15.48</t>
  </si>
  <si>
    <t>18.62</t>
  </si>
  <si>
    <t>19.26</t>
  </si>
  <si>
    <t>37.72</t>
  </si>
  <si>
    <t>19.14</t>
  </si>
  <si>
    <t>3:12</t>
  </si>
  <si>
    <t>1:46.66</t>
  </si>
  <si>
    <t>1:56.73</t>
  </si>
  <si>
    <t>2:07.05</t>
  </si>
  <si>
    <t>1:05.35</t>
  </si>
  <si>
    <t>5:47</t>
  </si>
  <si>
    <t>14.94</t>
  </si>
  <si>
    <t>6:27</t>
  </si>
  <si>
    <t>18.51</t>
  </si>
  <si>
    <t>51.94</t>
  </si>
  <si>
    <t>19.41</t>
  </si>
  <si>
    <t>2:18.56</t>
  </si>
  <si>
    <t>18.67</t>
  </si>
  <si>
    <t>3:27.34</t>
  </si>
  <si>
    <t>5:32.27</t>
  </si>
  <si>
    <t>1:06.30</t>
  </si>
  <si>
    <t>16.51</t>
  </si>
  <si>
    <t>34.00</t>
  </si>
  <si>
    <t>1:00.593</t>
  </si>
  <si>
    <t>14.51</t>
  </si>
  <si>
    <t>1:15.55</t>
  </si>
  <si>
    <t>3:00.24</t>
  </si>
  <si>
    <t>56.13</t>
  </si>
  <si>
    <t>44.04</t>
  </si>
  <si>
    <t>1:02.81</t>
  </si>
  <si>
    <t>1:03.363</t>
  </si>
  <si>
    <t>17.88</t>
  </si>
  <si>
    <t>54.58</t>
  </si>
  <si>
    <t>23.12</t>
  </si>
  <si>
    <t>58.792</t>
  </si>
  <si>
    <t>18.09</t>
  </si>
  <si>
    <t>17.87</t>
  </si>
  <si>
    <t>1:38.25</t>
  </si>
  <si>
    <t>1:43.49</t>
  </si>
  <si>
    <t>18.14</t>
  </si>
  <si>
    <t>27.66</t>
  </si>
  <si>
    <t>25.325</t>
  </si>
  <si>
    <t>17.91</t>
  </si>
  <si>
    <t>55</t>
  </si>
  <si>
    <t>1:37.89</t>
  </si>
  <si>
    <t>18.11</t>
  </si>
  <si>
    <t>2:00.68</t>
  </si>
  <si>
    <t>15.13</t>
  </si>
  <si>
    <t>44.80</t>
  </si>
  <si>
    <t>1:21.23</t>
  </si>
  <si>
    <t>20</t>
  </si>
  <si>
    <t>44.97</t>
  </si>
  <si>
    <t>1:42.9</t>
  </si>
  <si>
    <t>1:32.00</t>
  </si>
  <si>
    <t>1:01.52</t>
  </si>
  <si>
    <t>58.61</t>
  </si>
  <si>
    <t>3:25.638</t>
  </si>
  <si>
    <t>1:01.35</t>
  </si>
  <si>
    <t>638</t>
  </si>
  <si>
    <t>57</t>
  </si>
  <si>
    <t>52.84</t>
  </si>
  <si>
    <t>[1] standard</t>
  </si>
  <si>
    <t>627</t>
  </si>
  <si>
    <t>1:58.94</t>
  </si>
  <si>
    <t>31.09</t>
  </si>
  <si>
    <t>17</t>
  </si>
  <si>
    <t>67</t>
  </si>
  <si>
    <t>31.19</t>
  </si>
  <si>
    <r>
      <rPr>
        <rFont val="arial,sans,sans-serif"/>
        <color rgb="FF000000"/>
        <sz val="9.0"/>
        <u/>
      </rPr>
      <t>1:22.</t>
    </r>
    <r>
      <rPr>
        <rFont val="arial,sans,sans-serif"/>
        <color rgb="FF000000"/>
        <sz val="9.0"/>
        <u/>
      </rPr>
      <t>02</t>
    </r>
  </si>
  <si>
    <t>3:40.59</t>
  </si>
  <si>
    <t>2:22.609</t>
  </si>
  <si>
    <t>39.14</t>
  </si>
  <si>
    <t>1:29.08</t>
  </si>
  <si>
    <t>1:14.69</t>
  </si>
  <si>
    <t>1:17.40</t>
  </si>
  <si>
    <t>2:36.97</t>
  </si>
  <si>
    <t>33.867</t>
  </si>
  <si>
    <t>2:39.025</t>
  </si>
  <si>
    <t>4:25.63</t>
  </si>
  <si>
    <t>3:42.35</t>
  </si>
  <si>
    <t>18.81</t>
  </si>
  <si>
    <t>30.56</t>
  </si>
  <si>
    <t>1:31.60</t>
  </si>
  <si>
    <t>17.21</t>
  </si>
  <si>
    <t>1:13.25</t>
  </si>
  <si>
    <t>3:15.64</t>
  </si>
  <si>
    <t>2:22.308</t>
  </si>
  <si>
    <t>44.60</t>
  </si>
  <si>
    <t>1:48.67</t>
  </si>
  <si>
    <t>1:19.24</t>
  </si>
  <si>
    <t>1:21.64</t>
  </si>
  <si>
    <t>58.62</t>
  </si>
  <si>
    <t>1:17.97</t>
  </si>
  <si>
    <t>1:39.06</t>
  </si>
  <si>
    <t>18.57</t>
  </si>
  <si>
    <t>2:48.77</t>
  </si>
  <si>
    <t>31.44</t>
  </si>
  <si>
    <t>45.67</t>
  </si>
  <si>
    <t>2:37.22</t>
  </si>
  <si>
    <t>3:15.35</t>
  </si>
  <si>
    <t>1:11.62</t>
  </si>
  <si>
    <t>2:59.412</t>
  </si>
  <si>
    <t>3:16.19</t>
  </si>
  <si>
    <t>2:45.76</t>
  </si>
  <si>
    <t>2:14.067</t>
  </si>
  <si>
    <t>1:27.65</t>
  </si>
  <si>
    <t>54.05</t>
  </si>
  <si>
    <t>39.79</t>
  </si>
  <si>
    <t xml:space="preserve">  [2] sumi skip</t>
  </si>
  <si>
    <t>2:55.208</t>
  </si>
  <si>
    <t>28.99</t>
  </si>
  <si>
    <t>8.70</t>
  </si>
  <si>
    <t>51.28</t>
  </si>
  <si>
    <t>1:02.79</t>
  </si>
  <si>
    <t>2:23.243</t>
  </si>
  <si>
    <t>1:18.93</t>
  </si>
  <si>
    <t>2:01.66</t>
  </si>
  <si>
    <t>52.85</t>
  </si>
  <si>
    <t>2:09.229</t>
  </si>
  <si>
    <t>2:07.03</t>
  </si>
  <si>
    <t>1:47.77</t>
  </si>
  <si>
    <t>2:01.58</t>
  </si>
  <si>
    <t>1:43.48</t>
  </si>
  <si>
    <t>1:59.58</t>
  </si>
  <si>
    <t>33.900</t>
  </si>
  <si>
    <t>1:57.40</t>
  </si>
  <si>
    <t>15.77</t>
  </si>
  <si>
    <t>4:17.30</t>
  </si>
  <si>
    <t>18.01</t>
  </si>
  <si>
    <t>3:14.22</t>
  </si>
  <si>
    <t>2:23.476</t>
  </si>
  <si>
    <t>1:08.48</t>
  </si>
  <si>
    <t>35.63</t>
  </si>
  <si>
    <t>27.53</t>
  </si>
  <si>
    <t>52.18</t>
  </si>
  <si>
    <t>31.364</t>
  </si>
  <si>
    <t>30.18</t>
  </si>
  <si>
    <t>1:49.79</t>
  </si>
  <si>
    <t>43.22</t>
  </si>
  <si>
    <t>1:12.34</t>
  </si>
  <si>
    <t>1:08.568</t>
  </si>
  <si>
    <t>1:17.43</t>
  </si>
  <si>
    <t>3:03.81</t>
  </si>
  <si>
    <t>1:07.22</t>
  </si>
  <si>
    <t>59.31</t>
  </si>
  <si>
    <t>33.82</t>
  </si>
  <si>
    <t>57.22</t>
  </si>
  <si>
    <t>1:09.41</t>
  </si>
  <si>
    <t>12.278</t>
  </si>
  <si>
    <t>24.21</t>
  </si>
  <si>
    <t>1:40.89</t>
  </si>
  <si>
    <t>2:31.37</t>
  </si>
  <si>
    <r>
      <rPr>
        <rFont val="arial,sans,sans-serif"/>
        <color rgb="FF000000"/>
        <sz val="9.0"/>
        <u/>
      </rPr>
      <t>28.</t>
    </r>
    <r>
      <rPr>
        <rFont val="arial,sans,sans-serif"/>
        <color rgb="FF000000"/>
        <sz val="9.0"/>
        <u/>
      </rPr>
      <t>71</t>
    </r>
  </si>
  <si>
    <t>47.847</t>
  </si>
  <si>
    <t>1:25:05</t>
  </si>
  <si>
    <t>1:43.86</t>
  </si>
  <si>
    <t>1:44.96</t>
  </si>
  <si>
    <t>52.085</t>
  </si>
  <si>
    <t>1:46.573</t>
  </si>
  <si>
    <t>1:59.45</t>
  </si>
  <si>
    <t>51.21</t>
  </si>
  <si>
    <t>45.31</t>
  </si>
  <si>
    <t>41.87</t>
  </si>
  <si>
    <t>53.153</t>
  </si>
  <si>
    <t>39.33</t>
  </si>
  <si>
    <t>54.854</t>
  </si>
  <si>
    <t>45.44</t>
  </si>
  <si>
    <t>1:44.xx</t>
  </si>
  <si>
    <t>1:40.00</t>
  </si>
  <si>
    <t>1:46.04</t>
  </si>
  <si>
    <t>1:05.46</t>
  </si>
  <si>
    <t>2:25.74</t>
  </si>
  <si>
    <t>1:44.337</t>
  </si>
  <si>
    <t>51.11</t>
  </si>
  <si>
    <t>572</t>
  </si>
  <si>
    <t>1:37.49</t>
  </si>
  <si>
    <t>32.39</t>
  </si>
  <si>
    <t>30</t>
  </si>
  <si>
    <t>2:34.954</t>
  </si>
  <si>
    <t>1:22.91</t>
  </si>
  <si>
    <t>1:09.32</t>
  </si>
  <si>
    <t>2:44.497</t>
  </si>
  <si>
    <t>3:19.699</t>
  </si>
  <si>
    <t>3:24.10</t>
  </si>
  <si>
    <t>1:58.10</t>
  </si>
  <si>
    <t>41.99</t>
  </si>
  <si>
    <t>[1] blooper</t>
  </si>
  <si>
    <t>35.06</t>
  </si>
  <si>
    <t>3:06.319</t>
  </si>
  <si>
    <t>1:31.64</t>
  </si>
  <si>
    <t>50.19</t>
  </si>
  <si>
    <t>1:49.62</t>
  </si>
  <si>
    <t>3:22.46</t>
  </si>
  <si>
    <t>38.004</t>
  </si>
  <si>
    <t>27.52</t>
  </si>
  <si>
    <t>2:57.87</t>
  </si>
  <si>
    <t>1:19.92</t>
  </si>
  <si>
    <t>41.91</t>
  </si>
  <si>
    <t>1:04.161</t>
  </si>
  <si>
    <t>37.00</t>
  </si>
  <si>
    <t>1:17.30</t>
  </si>
  <si>
    <t>1:17.22</t>
  </si>
  <si>
    <t>11.26</t>
  </si>
  <si>
    <t>44</t>
  </si>
  <si>
    <t>1:24.74</t>
  </si>
  <si>
    <t>54.64</t>
  </si>
  <si>
    <t>2:18.87</t>
  </si>
  <si>
    <t>1:08.49</t>
  </si>
  <si>
    <t>20.38</t>
  </si>
  <si>
    <t>44.99</t>
  </si>
  <si>
    <t>35.235</t>
  </si>
  <si>
    <t>3:10.60</t>
  </si>
  <si>
    <t>1:19.61</t>
  </si>
  <si>
    <t>1:29.65</t>
  </si>
  <si>
    <t>2:12.89</t>
  </si>
  <si>
    <t>51.90</t>
  </si>
  <si>
    <t>3:02.24</t>
  </si>
  <si>
    <t>1:04.82</t>
  </si>
  <si>
    <t xml:space="preserve">  [2,1] jesus strat, blooperless</t>
  </si>
  <si>
    <t>33.40</t>
  </si>
  <si>
    <t>1:35.28</t>
  </si>
  <si>
    <t>2:32</t>
  </si>
  <si>
    <t>1:27.60</t>
  </si>
  <si>
    <t>4:39</t>
  </si>
  <si>
    <t>1:48.16</t>
  </si>
  <si>
    <t>16.96</t>
  </si>
  <si>
    <t>3:53</t>
  </si>
  <si>
    <t>33.400</t>
  </si>
  <si>
    <t>51.46</t>
  </si>
  <si>
    <t>3:24.82</t>
  </si>
  <si>
    <t>1:08.35</t>
  </si>
  <si>
    <t>33.60</t>
  </si>
  <si>
    <t>5:13</t>
  </si>
  <si>
    <t>6:32</t>
  </si>
  <si>
    <t>4:33</t>
  </si>
  <si>
    <t>34.12</t>
  </si>
  <si>
    <t>1:13.94</t>
  </si>
  <si>
    <t>4:15.38</t>
  </si>
  <si>
    <t xml:space="preserve">  [2,2] triplejump, blooperless</t>
  </si>
  <si>
    <t>5:50.31</t>
  </si>
  <si>
    <t>30.16</t>
  </si>
  <si>
    <t>4:53.15</t>
  </si>
  <si>
    <t>22.46</t>
  </si>
  <si>
    <t>2:58.31</t>
  </si>
  <si>
    <t>36.62</t>
  </si>
  <si>
    <t>43.33</t>
  </si>
  <si>
    <t>1:04.52</t>
  </si>
  <si>
    <t>1:42.61</t>
  </si>
  <si>
    <t>48.66</t>
  </si>
  <si>
    <t>30.75</t>
  </si>
  <si>
    <t>32.732</t>
  </si>
  <si>
    <t>1:21</t>
  </si>
  <si>
    <t>1:13</t>
  </si>
  <si>
    <t>35.001</t>
  </si>
  <si>
    <t>28.18</t>
  </si>
  <si>
    <t>21.23</t>
  </si>
  <si>
    <t>19.652</t>
  </si>
  <si>
    <t>1:39.33</t>
  </si>
  <si>
    <t>2:07.23</t>
  </si>
  <si>
    <t>32.43</t>
  </si>
  <si>
    <t>2:00.21</t>
  </si>
  <si>
    <t>2:28.20</t>
  </si>
  <si>
    <t>1:50.777</t>
  </si>
  <si>
    <t>2:06</t>
  </si>
  <si>
    <t>21.88</t>
  </si>
  <si>
    <t>2:39.57</t>
  </si>
  <si>
    <t>1:26.50</t>
  </si>
  <si>
    <t>504</t>
  </si>
  <si>
    <t>549</t>
  </si>
  <si>
    <t>4:26.57</t>
  </si>
  <si>
    <t>40</t>
  </si>
  <si>
    <t>34</t>
  </si>
  <si>
    <t>3:41.29</t>
  </si>
  <si>
    <t>53.81</t>
  </si>
  <si>
    <t>2:38.21</t>
  </si>
  <si>
    <t>2:39.61</t>
  </si>
  <si>
    <t>1:23.65</t>
  </si>
  <si>
    <t>20.97</t>
  </si>
  <si>
    <t>1:11.39</t>
  </si>
  <si>
    <t>2:18.00</t>
  </si>
  <si>
    <t>1:16.67</t>
  </si>
  <si>
    <t>24.99</t>
  </si>
  <si>
    <t>21.02</t>
  </si>
  <si>
    <t>45.26</t>
  </si>
  <si>
    <t>4:42.07</t>
  </si>
  <si>
    <t>3:16.05</t>
  </si>
  <si>
    <t>22.889</t>
  </si>
  <si>
    <t>2:13.06</t>
  </si>
  <si>
    <t>3:30.22</t>
  </si>
  <si>
    <t>2:36.69</t>
  </si>
  <si>
    <t>2:50.22</t>
  </si>
  <si>
    <t>27.72</t>
  </si>
  <si>
    <t>2:13.55</t>
  </si>
  <si>
    <t>17.23</t>
  </si>
  <si>
    <t>1:43.92</t>
  </si>
  <si>
    <t>23.99</t>
  </si>
  <si>
    <t>3:24.11</t>
  </si>
  <si>
    <t>32.40</t>
  </si>
  <si>
    <t>2:15.01</t>
  </si>
  <si>
    <t>1:30.85</t>
  </si>
  <si>
    <t>1:48.94</t>
  </si>
  <si>
    <t xml:space="preserve">  [2] blooperless</t>
  </si>
  <si>
    <t>29.20</t>
  </si>
  <si>
    <t>1:16.90</t>
  </si>
  <si>
    <t>11.64</t>
  </si>
  <si>
    <t>18.88</t>
  </si>
  <si>
    <t>1:19.22</t>
  </si>
  <si>
    <t>56.02</t>
  </si>
  <si>
    <t>52.02</t>
  </si>
  <si>
    <t>19.08</t>
  </si>
  <si>
    <t>19.11</t>
  </si>
  <si>
    <t>57.18</t>
  </si>
  <si>
    <t>1:17.52</t>
  </si>
  <si>
    <t>54.31</t>
  </si>
  <si>
    <t>43.16</t>
  </si>
  <si>
    <t>20.67</t>
  </si>
  <si>
    <t>1:02.69</t>
  </si>
  <si>
    <t>46.57</t>
  </si>
  <si>
    <t>19.34</t>
  </si>
  <si>
    <t>55.54</t>
  </si>
  <si>
    <t>1:41</t>
  </si>
  <si>
    <t>3:17.87</t>
  </si>
  <si>
    <t>1:43.60</t>
  </si>
  <si>
    <t>1:28.42</t>
  </si>
  <si>
    <t>1:12.53</t>
  </si>
  <si>
    <t>20.320</t>
  </si>
  <si>
    <t>1:38.70</t>
  </si>
  <si>
    <t>1:37.96</t>
  </si>
  <si>
    <t>54.17</t>
  </si>
  <si>
    <t>2:54</t>
  </si>
  <si>
    <t>1:07.09</t>
  </si>
  <si>
    <t>3:18</t>
  </si>
  <si>
    <t>2:09.89</t>
  </si>
  <si>
    <t>19.45</t>
  </si>
  <si>
    <t>1:09.85</t>
  </si>
  <si>
    <t>2:04.69</t>
  </si>
  <si>
    <t>18.85</t>
  </si>
  <si>
    <t>1:45.02</t>
  </si>
  <si>
    <t>2:01.12</t>
  </si>
  <si>
    <t>19.06</t>
  </si>
  <si>
    <t>19.85</t>
  </si>
  <si>
    <t>1:28.71</t>
  </si>
  <si>
    <t>19.31</t>
  </si>
  <si>
    <t>2:08.36</t>
  </si>
  <si>
    <t>1:14</t>
  </si>
  <si>
    <t>2:20</t>
  </si>
  <si>
    <t>1:17.87</t>
  </si>
  <si>
    <t>2:06.43</t>
  </si>
  <si>
    <t>19.28</t>
  </si>
  <si>
    <t>41.50</t>
  </si>
  <si>
    <t>2:22</t>
  </si>
  <si>
    <t>2:29</t>
  </si>
  <si>
    <t>12.57</t>
  </si>
  <si>
    <t>1:37.66</t>
  </si>
  <si>
    <t>3:51</t>
  </si>
  <si>
    <t>29.14</t>
  </si>
  <si>
    <t>1:53.53</t>
  </si>
  <si>
    <t>3:27</t>
  </si>
  <si>
    <t>5:08</t>
  </si>
  <si>
    <t>43.77</t>
  </si>
  <si>
    <t>Episode 3</t>
  </si>
  <si>
    <t>[1] spin-jump</t>
  </si>
  <si>
    <t>2:01.57</t>
  </si>
  <si>
    <t>16.52</t>
  </si>
  <si>
    <t>48.05</t>
  </si>
  <si>
    <t>4:32</t>
  </si>
  <si>
    <t>16.34</t>
  </si>
  <si>
    <t>18.218</t>
  </si>
  <si>
    <t>3:19.30</t>
  </si>
  <si>
    <t>16.24</t>
  </si>
  <si>
    <t>26.65</t>
  </si>
  <si>
    <t>6:29</t>
  </si>
  <si>
    <t>1:09.02</t>
  </si>
  <si>
    <t>38.08</t>
  </si>
  <si>
    <t>27.68</t>
  </si>
  <si>
    <t>56.38</t>
  </si>
  <si>
    <t>2:18.86</t>
  </si>
  <si>
    <t>1:01.18</t>
  </si>
  <si>
    <t>17.08</t>
  </si>
  <si>
    <t>17.51</t>
  </si>
  <si>
    <t>1:16.29</t>
  </si>
  <si>
    <t>3:02.05</t>
  </si>
  <si>
    <t>1:08.42</t>
  </si>
  <si>
    <t>28.68</t>
  </si>
  <si>
    <t>1:21.51</t>
  </si>
  <si>
    <t>480</t>
  </si>
  <si>
    <t>1:49.61</t>
  </si>
  <si>
    <t xml:space="preserve">  [2] front-slide beyblade</t>
  </si>
  <si>
    <t>2:12.93</t>
  </si>
  <si>
    <t>15.04</t>
  </si>
  <si>
    <t>31</t>
  </si>
  <si>
    <t>44.13</t>
  </si>
  <si>
    <t>1:04.25</t>
  </si>
  <si>
    <t>3:45.38</t>
  </si>
  <si>
    <t>2:37.47</t>
  </si>
  <si>
    <t>36.89</t>
  </si>
  <si>
    <t>15.83</t>
  </si>
  <si>
    <t>18.10</t>
  </si>
  <si>
    <t>1:33.09</t>
  </si>
  <si>
    <t>3:11.14</t>
  </si>
  <si>
    <t>2:49.38</t>
  </si>
  <si>
    <t>510</t>
  </si>
  <si>
    <t>1:22.71</t>
  </si>
  <si>
    <t>1:21.89</t>
  </si>
  <si>
    <t>3:16.95</t>
  </si>
  <si>
    <t>1:22.50</t>
  </si>
  <si>
    <t>1:10.55</t>
  </si>
  <si>
    <t>1:17.20</t>
  </si>
  <si>
    <t>4:33.10</t>
  </si>
  <si>
    <t>15.24</t>
  </si>
  <si>
    <t>3:24.79</t>
  </si>
  <si>
    <t>1:33.71</t>
  </si>
  <si>
    <t>3:12.64</t>
  </si>
  <si>
    <t>17.10</t>
  </si>
  <si>
    <t>3:18.28</t>
  </si>
  <si>
    <t>43.68</t>
  </si>
  <si>
    <t>1:51.55</t>
  </si>
  <si>
    <t>1:18.82</t>
  </si>
  <si>
    <t>3:13.21</t>
  </si>
  <si>
    <t>1:19.63</t>
  </si>
  <si>
    <t>1:34.51</t>
  </si>
  <si>
    <t>56.35</t>
  </si>
  <si>
    <t>1:20.33</t>
  </si>
  <si>
    <t>20.91</t>
  </si>
  <si>
    <t>15.26</t>
  </si>
  <si>
    <t>47.57</t>
  </si>
  <si>
    <t>3:15.57</t>
  </si>
  <si>
    <t>2:46.83</t>
  </si>
  <si>
    <t>2:35.85</t>
  </si>
  <si>
    <t>1:46.67</t>
  </si>
  <si>
    <t>1:30.94</t>
  </si>
  <si>
    <t>46.90</t>
  </si>
  <si>
    <t>1:06.32</t>
  </si>
  <si>
    <t>2:18.04</t>
  </si>
  <si>
    <t>1:13.28</t>
  </si>
  <si>
    <t>50.69</t>
  </si>
  <si>
    <t xml:space="preserve">    [3] back-slide beyblade</t>
  </si>
  <si>
    <t>1:42.35</t>
  </si>
  <si>
    <t>16.63</t>
  </si>
  <si>
    <t>3:27.20</t>
  </si>
  <si>
    <t>30.89</t>
  </si>
  <si>
    <t>1:08.54</t>
  </si>
  <si>
    <t>34.92</t>
  </si>
  <si>
    <t>1:15.37</t>
  </si>
  <si>
    <t>14.74</t>
  </si>
  <si>
    <t>23.16</t>
  </si>
  <si>
    <t>3:04.84</t>
  </si>
  <si>
    <t>1:08.39</t>
  </si>
  <si>
    <t>55.17</t>
  </si>
  <si>
    <t>14.54</t>
  </si>
  <si>
    <t>14.47</t>
  </si>
  <si>
    <t>2:11.89</t>
  </si>
  <si>
    <t>21.09</t>
  </si>
  <si>
    <t>45.47</t>
  </si>
  <si>
    <t>1:26.16</t>
  </si>
  <si>
    <t>20.76</t>
  </si>
  <si>
    <t>Switchmaster</t>
  </si>
  <si>
    <t>506</t>
  </si>
  <si>
    <t>56.71</t>
  </si>
  <si>
    <t>35</t>
  </si>
  <si>
    <t>1:24.98</t>
  </si>
  <si>
    <t>1:11.96</t>
  </si>
  <si>
    <t>15.648</t>
  </si>
  <si>
    <t>14.81</t>
  </si>
  <si>
    <t>1:17.31</t>
  </si>
  <si>
    <t>14.84</t>
  </si>
  <si>
    <t>1:15.43</t>
  </si>
  <si>
    <t>33.38</t>
  </si>
  <si>
    <t>17.41</t>
  </si>
  <si>
    <t>59.65</t>
  </si>
  <si>
    <t>4:43.52</t>
  </si>
  <si>
    <t>3:30.91</t>
  </si>
  <si>
    <t>1:35.71</t>
  </si>
  <si>
    <t>47.41</t>
  </si>
  <si>
    <t>16.77</t>
  </si>
  <si>
    <t>10.98</t>
  </si>
  <si>
    <t>50.11</t>
  </si>
  <si>
    <t>14.76</t>
  </si>
  <si>
    <t>14.80</t>
  </si>
  <si>
    <t>31.58</t>
  </si>
  <si>
    <t>1:18.26</t>
  </si>
  <si>
    <t>19.48</t>
  </si>
  <si>
    <t>53.96</t>
  </si>
  <si>
    <t>26.57</t>
  </si>
  <si>
    <t>3:11.04</t>
  </si>
  <si>
    <t>1:33.13</t>
  </si>
  <si>
    <t>48.67</t>
  </si>
  <si>
    <t>1:06.26</t>
  </si>
  <si>
    <t>14.90</t>
  </si>
  <si>
    <t>1:48</t>
  </si>
  <si>
    <t>15.81</t>
  </si>
  <si>
    <t>17.47</t>
  </si>
  <si>
    <t>22.67</t>
  </si>
  <si>
    <t>2:03</t>
  </si>
  <si>
    <t>2:44</t>
  </si>
  <si>
    <t>1:38.49</t>
  </si>
  <si>
    <t>1:50</t>
  </si>
  <si>
    <t>1:49.15</t>
  </si>
  <si>
    <t>1:54.52</t>
  </si>
  <si>
    <t>2:01.44</t>
  </si>
  <si>
    <t>22.84</t>
  </si>
  <si>
    <t>2:52.76</t>
  </si>
  <si>
    <t>3:31</t>
  </si>
  <si>
    <t>3:21.94</t>
  </si>
  <si>
    <t>1:08.05</t>
  </si>
  <si>
    <t>35.03</t>
  </si>
  <si>
    <t>2:01.60</t>
  </si>
  <si>
    <t>2:59.00</t>
  </si>
  <si>
    <t>14.91</t>
  </si>
  <si>
    <t>1:47.03</t>
  </si>
  <si>
    <t>1:10.68</t>
  </si>
  <si>
    <t>31.88</t>
  </si>
  <si>
    <t>1:40.64</t>
  </si>
  <si>
    <t>28.71</t>
  </si>
  <si>
    <t>1:59.80</t>
  </si>
  <si>
    <t>Episode 4 (Full)</t>
  </si>
  <si>
    <t>[1] no beyblade</t>
  </si>
  <si>
    <t>37.73</t>
  </si>
  <si>
    <t>25.40</t>
  </si>
  <si>
    <t>45.46</t>
  </si>
  <si>
    <t>40.44</t>
  </si>
  <si>
    <t>1:20.05</t>
  </si>
  <si>
    <t>1:38.00</t>
  </si>
  <si>
    <t>1:26.82</t>
  </si>
  <si>
    <t>1:15.93</t>
  </si>
  <si>
    <t>Paper</t>
  </si>
  <si>
    <t>33</t>
  </si>
  <si>
    <t>24.59</t>
  </si>
  <si>
    <t>2:16.93</t>
  </si>
  <si>
    <t>1:21.54</t>
  </si>
  <si>
    <t>3:32.30</t>
  </si>
  <si>
    <t>1:29.68</t>
  </si>
  <si>
    <t>17.13</t>
  </si>
  <si>
    <t>1:24.50</t>
  </si>
  <si>
    <t>3:17.xx</t>
  </si>
  <si>
    <t>46.68</t>
  </si>
  <si>
    <t>1:47.80</t>
  </si>
  <si>
    <t>55.88</t>
  </si>
  <si>
    <t>47.81</t>
  </si>
  <si>
    <t>3:11.31</t>
  </si>
  <si>
    <t>1:25.01</t>
  </si>
  <si>
    <t>1:30.67</t>
  </si>
  <si>
    <t>53.11</t>
  </si>
  <si>
    <t>47.77</t>
  </si>
  <si>
    <t>1:02.78</t>
  </si>
  <si>
    <t>1:12.62</t>
  </si>
  <si>
    <t>9389</t>
  </si>
  <si>
    <t>1:55.43</t>
  </si>
  <si>
    <t>17.70</t>
  </si>
  <si>
    <t>1:45.25</t>
  </si>
  <si>
    <t>1:51.49</t>
  </si>
  <si>
    <t>1:59.94</t>
  </si>
  <si>
    <t>3:18.75</t>
  </si>
  <si>
    <t>1:08.17</t>
  </si>
  <si>
    <t>2:57.xx</t>
  </si>
  <si>
    <t>1:09.34</t>
  </si>
  <si>
    <t>1:41.83</t>
  </si>
  <si>
    <t>49.87</t>
  </si>
  <si>
    <t>28.48</t>
  </si>
  <si>
    <t>1:37.60</t>
  </si>
  <si>
    <t>1:59.81</t>
  </si>
  <si>
    <t>59.14</t>
  </si>
  <si>
    <t>45.80</t>
  </si>
  <si>
    <t>477</t>
  </si>
  <si>
    <t>38.52</t>
  </si>
  <si>
    <t>49.09</t>
  </si>
  <si>
    <t>46.82</t>
  </si>
  <si>
    <t>1:20.84</t>
  </si>
  <si>
    <t>4:25.96</t>
  </si>
  <si>
    <t>53.62</t>
  </si>
  <si>
    <t>46.19</t>
  </si>
  <si>
    <t>1:34.64</t>
  </si>
  <si>
    <t>1:29.29</t>
  </si>
  <si>
    <t>1:08.85</t>
  </si>
  <si>
    <t>3:47.65</t>
  </si>
  <si>
    <t>43.26</t>
  </si>
  <si>
    <t>ModestTomato</t>
  </si>
  <si>
    <t>409</t>
  </si>
  <si>
    <t>1:53.51</t>
  </si>
  <si>
    <t>1:23.95</t>
  </si>
  <si>
    <t>29</t>
  </si>
  <si>
    <t>37</t>
  </si>
  <si>
    <t>2:39.359</t>
  </si>
  <si>
    <t>1:01.38</t>
  </si>
  <si>
    <t>1:21.84</t>
  </si>
  <si>
    <t>22.04</t>
  </si>
  <si>
    <t>1:24.07</t>
  </si>
  <si>
    <t>3:00.43</t>
  </si>
  <si>
    <t>3:15.89</t>
  </si>
  <si>
    <t>2:47.46</t>
  </si>
  <si>
    <t xml:space="preserve">  [2] beyblade</t>
  </si>
  <si>
    <t>2:35.78</t>
  </si>
  <si>
    <t>3:00.81</t>
  </si>
  <si>
    <t>1:23.38</t>
  </si>
  <si>
    <t>3:39.64</t>
  </si>
  <si>
    <t>1:58.39</t>
  </si>
  <si>
    <t>54.63</t>
  </si>
  <si>
    <t>1:04.18</t>
  </si>
  <si>
    <t>2:16.01</t>
  </si>
  <si>
    <t>2:18.15</t>
  </si>
  <si>
    <t>2:20.08</t>
  </si>
  <si>
    <t>2:19.81</t>
  </si>
  <si>
    <t>3:29.26</t>
  </si>
  <si>
    <t>1:37.79</t>
  </si>
  <si>
    <t>44.38</t>
  </si>
  <si>
    <t>1:51.03</t>
  </si>
  <si>
    <t>2:57.06</t>
  </si>
  <si>
    <t>43.72</t>
  </si>
  <si>
    <t>1:59.50</t>
  </si>
  <si>
    <t>1:59.26</t>
  </si>
  <si>
    <t>4:14.93</t>
  </si>
  <si>
    <t>3:36.93</t>
  </si>
  <si>
    <t>1:10.02</t>
  </si>
  <si>
    <t>37.53</t>
  </si>
  <si>
    <t>30.14</t>
  </si>
  <si>
    <t>1:21.62</t>
  </si>
  <si>
    <t>44.71</t>
  </si>
  <si>
    <t>4:30.02</t>
  </si>
  <si>
    <t>3:04.37</t>
  </si>
  <si>
    <t>1:13.49</t>
  </si>
  <si>
    <t>2:26.22</t>
  </si>
  <si>
    <t>26.99</t>
  </si>
  <si>
    <t>1:38.69</t>
  </si>
  <si>
    <t>1:19.20</t>
  </si>
  <si>
    <t>44.64</t>
  </si>
  <si>
    <t>36.81</t>
  </si>
  <si>
    <t>1:59.63</t>
  </si>
  <si>
    <t>28.95</t>
  </si>
  <si>
    <t>1:46.72</t>
  </si>
  <si>
    <t>44.39</t>
  </si>
  <si>
    <t>44.48</t>
  </si>
  <si>
    <t>56.84</t>
  </si>
  <si>
    <t>54.01</t>
  </si>
  <si>
    <t>1:49.19</t>
  </si>
  <si>
    <t>2:04.93</t>
  </si>
  <si>
    <t>39.28</t>
  </si>
  <si>
    <t>45.01</t>
  </si>
  <si>
    <t>46.16</t>
  </si>
  <si>
    <t>1:26.45</t>
  </si>
  <si>
    <t>2:01.00</t>
  </si>
  <si>
    <t>1:11.03</t>
  </si>
  <si>
    <t>42.34</t>
  </si>
  <si>
    <t>424</t>
  </si>
  <si>
    <t>30.91</t>
  </si>
  <si>
    <t>1:27.34</t>
  </si>
  <si>
    <t>1:11.33</t>
  </si>
  <si>
    <t>3:32.83</t>
  </si>
  <si>
    <t>1:32.77</t>
  </si>
  <si>
    <t>17.50</t>
  </si>
  <si>
    <t>1:11.23</t>
  </si>
  <si>
    <t>3:18.32</t>
  </si>
  <si>
    <t>2:13.56</t>
  </si>
  <si>
    <t>1:20.67</t>
  </si>
  <si>
    <t>1:22.20</t>
  </si>
  <si>
    <t>3:12.68</t>
  </si>
  <si>
    <t>55.64</t>
  </si>
  <si>
    <t>54.24</t>
  </si>
  <si>
    <t>43.88</t>
  </si>
  <si>
    <t>17.03</t>
  </si>
  <si>
    <t>1:41.44</t>
  </si>
  <si>
    <t>2:02.49</t>
  </si>
  <si>
    <t>16.23</t>
  </si>
  <si>
    <t>3:21.23</t>
  </si>
  <si>
    <t>8.49</t>
  </si>
  <si>
    <t>34.93</t>
  </si>
  <si>
    <t>44.32</t>
  </si>
  <si>
    <t>44.11</t>
  </si>
  <si>
    <t>1:48.15</t>
  </si>
  <si>
    <t>1:16.40</t>
  </si>
  <si>
    <t>2:57.94</t>
  </si>
  <si>
    <t>1:05.73</t>
  </si>
  <si>
    <t>1:43.79</t>
  </si>
  <si>
    <t>54.59</t>
  </si>
  <si>
    <t>50.15</t>
  </si>
  <si>
    <t>44.91</t>
  </si>
  <si>
    <t>46.80</t>
  </si>
  <si>
    <t>15.97</t>
  </si>
  <si>
    <t>45.65</t>
  </si>
  <si>
    <t>26.29</t>
  </si>
  <si>
    <t>57.45</t>
  </si>
  <si>
    <t>27.79</t>
  </si>
  <si>
    <t>1:40.18</t>
  </si>
  <si>
    <t>1:59</t>
  </si>
  <si>
    <t>2:06.62</t>
  </si>
  <si>
    <t>44.83</t>
  </si>
  <si>
    <t>43.29</t>
  </si>
  <si>
    <t>Corginess</t>
  </si>
  <si>
    <t>360</t>
  </si>
  <si>
    <t>1:56</t>
  </si>
  <si>
    <t>1:19.43</t>
  </si>
  <si>
    <t>4:22.48</t>
  </si>
  <si>
    <t>1:03.25</t>
  </si>
  <si>
    <t>1:25.97</t>
  </si>
  <si>
    <t>3:22.31</t>
  </si>
  <si>
    <t>1:54.74</t>
  </si>
  <si>
    <t>1:20.78</t>
  </si>
  <si>
    <t>1:29.69</t>
  </si>
  <si>
    <t>1:46</t>
  </si>
  <si>
    <t>1:18.76</t>
  </si>
  <si>
    <t>22.62</t>
  </si>
  <si>
    <t>52.91</t>
  </si>
  <si>
    <t>3:16.43</t>
  </si>
  <si>
    <t>2:54.63</t>
  </si>
  <si>
    <t>[1] yellow cycle</t>
  </si>
  <si>
    <t>2:55</t>
  </si>
  <si>
    <t>1:24.29</t>
  </si>
  <si>
    <t>53.05</t>
  </si>
  <si>
    <t>3:00</t>
  </si>
  <si>
    <t>1:10.79</t>
  </si>
  <si>
    <t>3:41</t>
  </si>
  <si>
    <t>2:10.22</t>
  </si>
  <si>
    <t>2:17.11</t>
  </si>
  <si>
    <t>17.64</t>
  </si>
  <si>
    <t>34.000</t>
  </si>
  <si>
    <t>2:14</t>
  </si>
  <si>
    <t>16.41</t>
  </si>
  <si>
    <t>1:56.23</t>
  </si>
  <si>
    <t>1:53.36</t>
  </si>
  <si>
    <t>1:52.03</t>
  </si>
  <si>
    <r>
      <rPr>
        <b/>
        <color rgb="FFB35C00"/>
        <sz val="9.0"/>
        <u/>
      </rPr>
      <t>40</t>
    </r>
    <r>
      <rPr>
        <b/>
        <color rgb="FFB35C00"/>
        <sz val="9.0"/>
        <u/>
      </rPr>
      <t>.38</t>
    </r>
  </si>
  <si>
    <t>43.54</t>
  </si>
  <si>
    <t>18.06</t>
  </si>
  <si>
    <t>3:18.01</t>
  </si>
  <si>
    <t>2:17</t>
  </si>
  <si>
    <t>3:50.16</t>
  </si>
  <si>
    <t>32.766</t>
  </si>
  <si>
    <t>2:57.33</t>
  </si>
  <si>
    <t>1:20.43</t>
  </si>
  <si>
    <t>55.11</t>
  </si>
  <si>
    <t>2:14.68</t>
  </si>
  <si>
    <t>1:20</t>
  </si>
  <si>
    <t xml:space="preserve">  [2,1] "backup" blue cycle</t>
  </si>
  <si>
    <t>30.86</t>
  </si>
  <si>
    <t>1:38.65</t>
  </si>
  <si>
    <t>2:18</t>
  </si>
  <si>
    <t>peaches</t>
  </si>
  <si>
    <t>346</t>
  </si>
  <si>
    <t>1:34.08</t>
  </si>
  <si>
    <t>1:13.24</t>
  </si>
  <si>
    <t>3:23.44</t>
  </si>
  <si>
    <t>1:38.15</t>
  </si>
  <si>
    <t>39.10</t>
  </si>
  <si>
    <t>1:30.54</t>
  </si>
  <si>
    <t>31.1</t>
  </si>
  <si>
    <t>3:25.29</t>
  </si>
  <si>
    <t>43.81</t>
  </si>
  <si>
    <t>1:24.97</t>
  </si>
  <si>
    <t>1:27.09</t>
  </si>
  <si>
    <t>59.96</t>
  </si>
  <si>
    <t>31.49</t>
  </si>
  <si>
    <t>3:34.94</t>
  </si>
  <si>
    <t>3:11.57</t>
  </si>
  <si>
    <t>35.96</t>
  </si>
  <si>
    <t>1:24.46</t>
  </si>
  <si>
    <t>1:05.25</t>
  </si>
  <si>
    <t>1:04.564</t>
  </si>
  <si>
    <t>1:00.55</t>
  </si>
  <si>
    <t>1:01.71</t>
  </si>
  <si>
    <t>2:06.80</t>
  </si>
  <si>
    <t>2:30.06</t>
  </si>
  <si>
    <t>2:21.49</t>
  </si>
  <si>
    <t>1:38.95</t>
  </si>
  <si>
    <t>1:55.20</t>
  </si>
  <si>
    <t>2:11.51</t>
  </si>
  <si>
    <t>1:59.89</t>
  </si>
  <si>
    <t>2:06.40</t>
  </si>
  <si>
    <t>3:35.27</t>
  </si>
  <si>
    <t>1:00</t>
  </si>
  <si>
    <t>1:53.83</t>
  </si>
  <si>
    <t>1:24.02</t>
  </si>
  <si>
    <t xml:space="preserve">  [2,2] blue cycle</t>
  </si>
  <si>
    <t>4:28.62</t>
  </si>
  <si>
    <t>3:02.38</t>
  </si>
  <si>
    <t>1:13.29</t>
  </si>
  <si>
    <t>58.78</t>
  </si>
  <si>
    <t>1:35.18</t>
  </si>
  <si>
    <t>29.42</t>
  </si>
  <si>
    <t>1:08</t>
  </si>
  <si>
    <t>1:37.45</t>
  </si>
  <si>
    <t>1:53.92</t>
  </si>
  <si>
    <t>2:11.35</t>
  </si>
  <si>
    <t>45.37</t>
  </si>
  <si>
    <t>49.349</t>
  </si>
  <si>
    <t>30.39</t>
  </si>
  <si>
    <t>1:21.81</t>
  </si>
  <si>
    <t>1:58.xx</t>
  </si>
  <si>
    <t>SB</t>
  </si>
  <si>
    <t>317</t>
  </si>
  <si>
    <t>1:44.65</t>
  </si>
  <si>
    <t>29.99</t>
  </si>
  <si>
    <t>1:19.88</t>
  </si>
  <si>
    <t>1:11.88</t>
  </si>
  <si>
    <t>4:33.58</t>
  </si>
  <si>
    <t>29.96</t>
  </si>
  <si>
    <t>3:20.36</t>
  </si>
  <si>
    <t>1:17.90</t>
  </si>
  <si>
    <t>30.26</t>
  </si>
  <si>
    <t>3:17.75</t>
  </si>
  <si>
    <t>2:42.79</t>
  </si>
  <si>
    <t>18.00</t>
  </si>
  <si>
    <t>1:53.67</t>
  </si>
  <si>
    <t>Larvi</t>
  </si>
  <si>
    <t>367</t>
  </si>
  <si>
    <t>16.80</t>
  </si>
  <si>
    <t>3:20.92</t>
  </si>
  <si>
    <t>30.65</t>
  </si>
  <si>
    <t>3:48.78</t>
  </si>
  <si>
    <t>2:59.53</t>
  </si>
  <si>
    <t>2:44.88</t>
  </si>
  <si>
    <t>3:14.99</t>
  </si>
  <si>
    <t>30.06</t>
  </si>
  <si>
    <t>2:57.57</t>
  </si>
  <si>
    <t>26.61</t>
  </si>
  <si>
    <t>1:54.11</t>
  </si>
  <si>
    <t>30.51</t>
  </si>
  <si>
    <t>30.46</t>
  </si>
  <si>
    <t>290</t>
  </si>
  <si>
    <t>48.27</t>
  </si>
  <si>
    <t>31.83</t>
  </si>
  <si>
    <t>1:04.94</t>
  </si>
  <si>
    <t>1:21.57</t>
  </si>
  <si>
    <t>1:31.38</t>
  </si>
  <si>
    <t>29.06</t>
  </si>
  <si>
    <t>30.58</t>
  </si>
  <si>
    <t>4:50.50</t>
  </si>
  <si>
    <t>3:40.45</t>
  </si>
  <si>
    <t>1:36.37</t>
  </si>
  <si>
    <t>35.53</t>
  </si>
  <si>
    <t>1:31.43</t>
  </si>
  <si>
    <t>3:22.96</t>
  </si>
  <si>
    <t>52.03</t>
  </si>
  <si>
    <t>30.19</t>
  </si>
  <si>
    <t>48.24</t>
  </si>
  <si>
    <t>1:53.37</t>
  </si>
  <si>
    <t>42.55</t>
  </si>
  <si>
    <t>1:28.61</t>
  </si>
  <si>
    <t>1:24.60</t>
  </si>
  <si>
    <t>1:24.06</t>
  </si>
  <si>
    <t>3:31.60</t>
  </si>
  <si>
    <t>57.21</t>
  </si>
  <si>
    <t>41.39</t>
  </si>
  <si>
    <t>1:10.62</t>
  </si>
  <si>
    <t>2:16.66</t>
  </si>
  <si>
    <t>2:12.14</t>
  </si>
  <si>
    <t>2:15.96</t>
  </si>
  <si>
    <t>2:13.09</t>
  </si>
  <si>
    <t>33.87</t>
  </si>
  <si>
    <t>1:52.87</t>
  </si>
  <si>
    <t>1:55.76</t>
  </si>
  <si>
    <t>1:56.57</t>
  </si>
  <si>
    <t>19.56</t>
  </si>
  <si>
    <t>3:41.35</t>
  </si>
  <si>
    <t>38.63</t>
  </si>
  <si>
    <t>32.16</t>
  </si>
  <si>
    <t>2:03.64</t>
  </si>
  <si>
    <t>2:47.26</t>
  </si>
  <si>
    <t>4:02.94</t>
  </si>
  <si>
    <t>3:27.06</t>
  </si>
  <si>
    <t>1:18.39</t>
  </si>
  <si>
    <t>1:38</t>
  </si>
  <si>
    <t>1:34.71</t>
  </si>
  <si>
    <t>28.94</t>
  </si>
  <si>
    <t>1:51.66</t>
  </si>
  <si>
    <t>2:11.69</t>
  </si>
  <si>
    <t>1:38.04</t>
  </si>
  <si>
    <t>[1] smokestack</t>
  </si>
  <si>
    <t>14.93</t>
  </si>
  <si>
    <t>1:51</t>
  </si>
  <si>
    <t>41.95</t>
  </si>
  <si>
    <t>3:34</t>
  </si>
  <si>
    <t>15.015</t>
  </si>
  <si>
    <t>32.71</t>
  </si>
  <si>
    <t>281</t>
  </si>
  <si>
    <t>1:58.68</t>
  </si>
  <si>
    <t>51.97</t>
  </si>
  <si>
    <t>53.73</t>
  </si>
  <si>
    <t>42.61</t>
  </si>
  <si>
    <t>1:21.39</t>
  </si>
  <si>
    <t>2:19</t>
  </si>
  <si>
    <t>45.95</t>
  </si>
  <si>
    <t xml:space="preserve">  [2] no beyblade</t>
  </si>
  <si>
    <t>25.38</t>
  </si>
  <si>
    <t>1:28</t>
  </si>
  <si>
    <t>1:19.79</t>
  </si>
  <si>
    <t>4:07</t>
  </si>
  <si>
    <t>3:34.17</t>
  </si>
  <si>
    <t>1:32.80</t>
  </si>
  <si>
    <t>3:26.18</t>
  </si>
  <si>
    <t>15.33</t>
  </si>
  <si>
    <t>11.06</t>
  </si>
  <si>
    <t>43.91</t>
  </si>
  <si>
    <t>5:37.04</t>
  </si>
  <si>
    <t>1:20.24</t>
  </si>
  <si>
    <t>1:01.02</t>
  </si>
  <si>
    <t>47.11</t>
  </si>
  <si>
    <t>3:19.68</t>
  </si>
  <si>
    <t>1:21.86</t>
  </si>
  <si>
    <t>15.148</t>
  </si>
  <si>
    <t>48.23</t>
  </si>
  <si>
    <t>1:13.59</t>
  </si>
  <si>
    <t>42.19</t>
  </si>
  <si>
    <t>1:28.21</t>
  </si>
  <si>
    <t>17.68</t>
  </si>
  <si>
    <t>58.58</t>
  </si>
  <si>
    <t>3:27.42</t>
  </si>
  <si>
    <t>1:08.15</t>
  </si>
  <si>
    <t>1:33.67</t>
  </si>
  <si>
    <t xml:space="preserve">    [3] beyblade, spinjump dive</t>
  </si>
  <si>
    <t>3:04.13</t>
  </si>
  <si>
    <t>12.66</t>
  </si>
  <si>
    <t>1:45.59</t>
  </si>
  <si>
    <t>35.32</t>
  </si>
  <si>
    <t>51.37</t>
  </si>
  <si>
    <t>45.50</t>
  </si>
  <si>
    <t>55.58</t>
  </si>
  <si>
    <t>12.96</t>
  </si>
  <si>
    <t>55.74</t>
  </si>
  <si>
    <t>13.03</t>
  </si>
  <si>
    <t>1:35.xx</t>
  </si>
  <si>
    <t>12.67</t>
  </si>
  <si>
    <t>280</t>
  </si>
  <si>
    <t>49.74</t>
  </si>
  <si>
    <t>4:36.02</t>
  </si>
  <si>
    <t>56</t>
  </si>
  <si>
    <t>3:35.84</t>
  </si>
  <si>
    <t>43.78</t>
  </si>
  <si>
    <t>20.94</t>
  </si>
  <si>
    <t>1:43.46</t>
  </si>
  <si>
    <t>1:20.52</t>
  </si>
  <si>
    <t>13.13</t>
  </si>
  <si>
    <t>1:12.85</t>
  </si>
  <si>
    <t>2:07.70</t>
  </si>
  <si>
    <t>2:00</t>
  </si>
  <si>
    <t>14.748</t>
  </si>
  <si>
    <t>2:33.51</t>
  </si>
  <si>
    <t>Dex</t>
  </si>
  <si>
    <t>21.28</t>
  </si>
  <si>
    <t>48.74</t>
  </si>
  <si>
    <t>332</t>
  </si>
  <si>
    <t>3:33.03</t>
  </si>
  <si>
    <t>58.94</t>
  </si>
  <si>
    <t>2:25.77</t>
  </si>
  <si>
    <t>3:46.81</t>
  </si>
  <si>
    <t>12.80</t>
  </si>
  <si>
    <t>12.83</t>
  </si>
  <si>
    <t>1:58.06</t>
  </si>
  <si>
    <t>13.06</t>
  </si>
  <si>
    <t>22.07</t>
  </si>
  <si>
    <t>3:36.76</t>
  </si>
  <si>
    <t>4:11.97</t>
  </si>
  <si>
    <t>2:41.01</t>
  </si>
  <si>
    <t>1:11.95</t>
  </si>
  <si>
    <t>4:23.94</t>
  </si>
  <si>
    <t>1:40.06</t>
  </si>
  <si>
    <t>3:06:10</t>
  </si>
  <si>
    <t>13.50</t>
  </si>
  <si>
    <t>1:11.09</t>
  </si>
  <si>
    <t>45.19</t>
  </si>
  <si>
    <t>29.44</t>
  </si>
  <si>
    <t>2:35.95</t>
  </si>
  <si>
    <t>1:44.02</t>
  </si>
  <si>
    <t>2:04.78</t>
  </si>
  <si>
    <t>1:46.90</t>
  </si>
  <si>
    <t>1:43.69</t>
  </si>
  <si>
    <t>Jeff</t>
  </si>
  <si>
    <t>2:41.77</t>
  </si>
  <si>
    <t>243</t>
  </si>
  <si>
    <t>56.85</t>
  </si>
  <si>
    <t>3:27.54</t>
  </si>
  <si>
    <t>1:24.53</t>
  </si>
  <si>
    <t>4:41.91</t>
  </si>
  <si>
    <t xml:space="preserve">      [4] beyblade, speed double-jump</t>
  </si>
  <si>
    <t>12.43</t>
  </si>
  <si>
    <t>1:35.41</t>
  </si>
  <si>
    <t>1:33.30</t>
  </si>
  <si>
    <t>3:29.30</t>
  </si>
  <si>
    <t>1:03.65</t>
  </si>
  <si>
    <t>3:15.67</t>
  </si>
  <si>
    <t>55.43</t>
  </si>
  <si>
    <t>12.55</t>
  </si>
  <si>
    <t>3:27.40</t>
  </si>
  <si>
    <t>3:13.68</t>
  </si>
  <si>
    <t>1:17.77</t>
  </si>
  <si>
    <t>2:23.56</t>
  </si>
  <si>
    <t>53.95</t>
  </si>
  <si>
    <t>2:31.16</t>
  </si>
  <si>
    <t>2:16.53</t>
  </si>
  <si>
    <t>12.60</t>
  </si>
  <si>
    <t>3:21.09</t>
  </si>
  <si>
    <t>2:03.07</t>
  </si>
  <si>
    <t>3:39.83</t>
  </si>
  <si>
    <t>12.53</t>
  </si>
  <si>
    <t>3:43.80</t>
  </si>
  <si>
    <t>2:31.71</t>
  </si>
  <si>
    <t>27.64</t>
  </si>
  <si>
    <t>3:14.85</t>
  </si>
  <si>
    <t>2:21.24</t>
  </si>
  <si>
    <t>12.64</t>
  </si>
  <si>
    <t>1:12.67</t>
  </si>
  <si>
    <t>1:34.82</t>
  </si>
  <si>
    <t>31.73</t>
  </si>
  <si>
    <t>1:51.00</t>
  </si>
  <si>
    <t>2:11.63</t>
  </si>
  <si>
    <t>2:01.52</t>
  </si>
  <si>
    <t>1:34.62</t>
  </si>
  <si>
    <t>1:18.27</t>
  </si>
  <si>
    <t>[1] sewer</t>
  </si>
  <si>
    <t>237</t>
  </si>
  <si>
    <t>58.81</t>
  </si>
  <si>
    <t>31.78</t>
  </si>
  <si>
    <t>1:02.31</t>
  </si>
  <si>
    <t>2:55.23</t>
  </si>
  <si>
    <t>33.28</t>
  </si>
  <si>
    <t>2:58.74</t>
  </si>
  <si>
    <t xml:space="preserve">  [2] catwalks, ramp spin</t>
  </si>
  <si>
    <t>1:55</t>
  </si>
  <si>
    <t>55.51</t>
  </si>
  <si>
    <t>1:44</t>
  </si>
  <si>
    <t>1:15.69</t>
  </si>
  <si>
    <t>2:44.45</t>
  </si>
  <si>
    <t>56.88</t>
  </si>
  <si>
    <t>1:49</t>
  </si>
  <si>
    <t>1:00.04</t>
  </si>
  <si>
    <t>2:56</t>
  </si>
  <si>
    <t>1:48.03</t>
  </si>
  <si>
    <t>1:01.361</t>
  </si>
  <si>
    <t>56.15</t>
  </si>
  <si>
    <t>1:52.13</t>
  </si>
  <si>
    <t>4:02</t>
  </si>
  <si>
    <t>56.31</t>
  </si>
  <si>
    <t>57.91</t>
  </si>
  <si>
    <t>246</t>
  </si>
  <si>
    <t>42.62</t>
  </si>
  <si>
    <t>55.75</t>
  </si>
  <si>
    <t>1:24.90</t>
  </si>
  <si>
    <t>4:23.75</t>
  </si>
  <si>
    <t>1:41.63</t>
  </si>
  <si>
    <t>4:01</t>
  </si>
  <si>
    <t>56.54</t>
  </si>
  <si>
    <t>3:33.41</t>
  </si>
  <si>
    <t>1:21.10</t>
  </si>
  <si>
    <t>12.44</t>
  </si>
  <si>
    <t>3:19.13</t>
  </si>
  <si>
    <t>1:57</t>
  </si>
  <si>
    <t>3:11.15</t>
  </si>
  <si>
    <t>29.55</t>
  </si>
  <si>
    <t>1:31.52</t>
  </si>
  <si>
    <t>1:46.40</t>
  </si>
  <si>
    <t>56.17</t>
  </si>
  <si>
    <t>2:30.05</t>
  </si>
  <si>
    <t>3:19</t>
  </si>
  <si>
    <t>2:17.64</t>
  </si>
  <si>
    <t>1:59.64</t>
  </si>
  <si>
    <t>1:55.64</t>
  </si>
  <si>
    <t>18.23</t>
  </si>
  <si>
    <t>44.43</t>
  </si>
  <si>
    <t xml:space="preserve">    [3,1] catwalks, speed double-jump</t>
  </si>
  <si>
    <t>3:53.68</t>
  </si>
  <si>
    <t>53.94</t>
  </si>
  <si>
    <t>4:15.70</t>
  </si>
  <si>
    <t>3:25.64</t>
  </si>
  <si>
    <t>1:17.80</t>
  </si>
  <si>
    <t>1:34.32</t>
  </si>
  <si>
    <t>1:14.13</t>
  </si>
  <si>
    <t>54.74</t>
  </si>
  <si>
    <t>1:50.31</t>
  </si>
  <si>
    <t>53.69</t>
  </si>
  <si>
    <t>2:14.73</t>
  </si>
  <si>
    <t>2:07.xx</t>
  </si>
  <si>
    <t>1:15.36</t>
  </si>
  <si>
    <t>55.67</t>
  </si>
  <si>
    <t>2:24</t>
  </si>
  <si>
    <t>223</t>
  </si>
  <si>
    <t>3:05</t>
  </si>
  <si>
    <t>54.73</t>
  </si>
  <si>
    <t>52.63</t>
  </si>
  <si>
    <t>1:26.38</t>
  </si>
  <si>
    <t>1:26.67</t>
  </si>
  <si>
    <t>2:18.36</t>
  </si>
  <si>
    <t>4:37.80</t>
  </si>
  <si>
    <t>2:42</t>
  </si>
  <si>
    <t>1:08.65</t>
  </si>
  <si>
    <t>55.455</t>
  </si>
  <si>
    <t>56.67</t>
  </si>
  <si>
    <t>56.28</t>
  </si>
  <si>
    <t>1:29.28</t>
  </si>
  <si>
    <t>3:29.90</t>
  </si>
  <si>
    <t>1:00.25</t>
  </si>
  <si>
    <t>46.30</t>
  </si>
  <si>
    <t>1:56.87</t>
  </si>
  <si>
    <t>1:23.58</t>
  </si>
  <si>
    <t>1:07.92</t>
  </si>
  <si>
    <t>1:17.17</t>
  </si>
  <si>
    <t>55.38</t>
  </si>
  <si>
    <t>1:34.12</t>
  </si>
  <si>
    <t>3:14.89</t>
  </si>
  <si>
    <t>1:19.55</t>
  </si>
  <si>
    <t>1:31.82</t>
  </si>
  <si>
    <t>1:31.92</t>
  </si>
  <si>
    <t>59.75</t>
  </si>
  <si>
    <t>1:10.89</t>
  </si>
  <si>
    <t>326</t>
  </si>
  <si>
    <t>18.50</t>
  </si>
  <si>
    <t>1:54.82</t>
  </si>
  <si>
    <t>4:09.58</t>
  </si>
  <si>
    <t>1:08.32</t>
  </si>
  <si>
    <t xml:space="preserve">    [3,2] catwalks, speed double-jump, sumi</t>
  </si>
  <si>
    <t>1:31.77</t>
  </si>
  <si>
    <t>3:26.80</t>
  </si>
  <si>
    <t>1:17.83</t>
  </si>
  <si>
    <t>2:57.96</t>
  </si>
  <si>
    <t>3:25.65</t>
  </si>
  <si>
    <t>30.11</t>
  </si>
  <si>
    <t>2:33.91</t>
  </si>
  <si>
    <t>2:26.27</t>
  </si>
  <si>
    <t>48.71</t>
  </si>
  <si>
    <t>SidedWilliams</t>
  </si>
  <si>
    <t>185</t>
  </si>
  <si>
    <t>4:04.30</t>
  </si>
  <si>
    <t>3:22.06</t>
  </si>
  <si>
    <t>2:58.99</t>
  </si>
  <si>
    <t>3:32.67</t>
  </si>
  <si>
    <t>17.96</t>
  </si>
  <si>
    <t>1:07.01</t>
  </si>
  <si>
    <t>2:30.69</t>
  </si>
  <si>
    <t>3:30.97</t>
  </si>
  <si>
    <t>2:10.51</t>
  </si>
  <si>
    <t>Episode 6</t>
  </si>
  <si>
    <t>1:10.15</t>
  </si>
  <si>
    <t>[1] ⟳ clockwise "boomer" route</t>
  </si>
  <si>
    <t>55.81</t>
  </si>
  <si>
    <t>1:32.84</t>
  </si>
  <si>
    <t>53.08</t>
  </si>
  <si>
    <t>21.06</t>
  </si>
  <si>
    <t>21.18</t>
  </si>
  <si>
    <t>55.85</t>
  </si>
  <si>
    <t>1:01.85</t>
  </si>
  <si>
    <t>36.45</t>
  </si>
  <si>
    <t>1:32.81</t>
  </si>
  <si>
    <t>20.33</t>
  </si>
  <si>
    <t>1:16.17</t>
  </si>
  <si>
    <t>59.32</t>
  </si>
  <si>
    <t>14.53</t>
  </si>
  <si>
    <t>1:31.95</t>
  </si>
  <si>
    <t>31.69</t>
  </si>
  <si>
    <t>59.05</t>
  </si>
  <si>
    <t>34.49</t>
  </si>
  <si>
    <t>3:35.87</t>
  </si>
  <si>
    <t>11.00</t>
  </si>
  <si>
    <t>1:05.55</t>
  </si>
  <si>
    <t>1:42.59</t>
  </si>
  <si>
    <t>1:49.46</t>
  </si>
  <si>
    <t>xenophanes</t>
  </si>
  <si>
    <t>119</t>
  </si>
  <si>
    <t>55.24</t>
  </si>
  <si>
    <t>49.44</t>
  </si>
  <si>
    <t>1:53.10</t>
  </si>
  <si>
    <t>5:33.90</t>
  </si>
  <si>
    <t>1:25.819</t>
  </si>
  <si>
    <t>2:21.44</t>
  </si>
  <si>
    <t>4:15.989</t>
  </si>
  <si>
    <t>2:09.81</t>
  </si>
  <si>
    <t>1:28.53</t>
  </si>
  <si>
    <t>1:29.94</t>
  </si>
  <si>
    <t>1:07.29</t>
  </si>
  <si>
    <t>2:38.72</t>
  </si>
  <si>
    <t>1:29.567</t>
  </si>
  <si>
    <t>1:05.38</t>
  </si>
  <si>
    <t>3:20.967</t>
  </si>
  <si>
    <t>1:25.885</t>
  </si>
  <si>
    <t xml:space="preserve">  [2,1] ⟲ counter-clockwise route</t>
  </si>
  <si>
    <t>1:33.90</t>
  </si>
  <si>
    <t>1:58.77</t>
  </si>
  <si>
    <t>1:11.938</t>
  </si>
  <si>
    <t>26.893</t>
  </si>
  <si>
    <t>3:57.58</t>
  </si>
  <si>
    <t>1:33.80</t>
  </si>
  <si>
    <t>3:55.268</t>
  </si>
  <si>
    <t>21.60</t>
  </si>
  <si>
    <t>2:05</t>
  </si>
  <si>
    <t>4:03.610</t>
  </si>
  <si>
    <t>56.08</t>
  </si>
  <si>
    <t>1:18.011</t>
  </si>
  <si>
    <t>1:29.37</t>
  </si>
  <si>
    <t>31.531</t>
  </si>
  <si>
    <t>1:54.214</t>
  </si>
  <si>
    <t>2:24.477</t>
  </si>
  <si>
    <t>1:32.98</t>
  </si>
  <si>
    <t>2:04.60</t>
  </si>
  <si>
    <t>1:33.25</t>
  </si>
  <si>
    <t>Fred45566</t>
  </si>
  <si>
    <t>118</t>
  </si>
  <si>
    <t>1:33.12</t>
  </si>
  <si>
    <t>3:35.78</t>
  </si>
  <si>
    <t>3:36.51</t>
  </si>
  <si>
    <t>1:43</t>
  </si>
  <si>
    <t>2:37</t>
  </si>
  <si>
    <t>53.60</t>
  </si>
  <si>
    <t>3:31.22</t>
  </si>
  <si>
    <t>1:33.68</t>
  </si>
  <si>
    <t>1:06.29</t>
  </si>
  <si>
    <t>29.32</t>
  </si>
  <si>
    <t>1:59.00</t>
  </si>
  <si>
    <t>3:42.28</t>
  </si>
  <si>
    <t>3:11.94</t>
  </si>
  <si>
    <t>1:35.85</t>
  </si>
  <si>
    <t>27.15</t>
  </si>
  <si>
    <t>1:43.39</t>
  </si>
  <si>
    <t>33.68</t>
  </si>
  <si>
    <t>2:13.60</t>
  </si>
  <si>
    <t>1:33.41</t>
  </si>
  <si>
    <t>49.24</t>
  </si>
  <si>
    <t>35.22</t>
  </si>
  <si>
    <t>Expreli</t>
  </si>
  <si>
    <t>122</t>
  </si>
  <si>
    <t>36.25</t>
  </si>
  <si>
    <t>1:25.17</t>
  </si>
  <si>
    <t>1:45.26</t>
  </si>
  <si>
    <t>5:27.81</t>
  </si>
  <si>
    <t>3:41.52</t>
  </si>
  <si>
    <t>24.04</t>
  </si>
  <si>
    <t>1:13.79</t>
  </si>
  <si>
    <t>3:27.27</t>
  </si>
  <si>
    <t>4:10</t>
  </si>
  <si>
    <t>26.95</t>
  </si>
  <si>
    <t>55.61</t>
  </si>
  <si>
    <t>3:00.88</t>
  </si>
  <si>
    <t>1:03.09</t>
  </si>
  <si>
    <t>316</t>
  </si>
  <si>
    <t>18.34</t>
  </si>
  <si>
    <t>3:58.26</t>
  </si>
  <si>
    <t>1:26.77</t>
  </si>
  <si>
    <t>1:33.64</t>
  </si>
  <si>
    <t>1:27.49</t>
  </si>
  <si>
    <t>2:40.543</t>
  </si>
  <si>
    <t>4:15.61</t>
  </si>
  <si>
    <t>1:16.80</t>
  </si>
  <si>
    <t>9200</t>
  </si>
  <si>
    <t>31.76</t>
  </si>
  <si>
    <t>2:01.31</t>
  </si>
  <si>
    <t>2:24.23</t>
  </si>
  <si>
    <t>89</t>
  </si>
  <si>
    <t>1:03.16</t>
  </si>
  <si>
    <t>114</t>
  </si>
  <si>
    <t>3:04.184</t>
  </si>
  <si>
    <t>55.44</t>
  </si>
  <si>
    <t>1:32.325</t>
  </si>
  <si>
    <t>4:48.655</t>
  </si>
  <si>
    <t xml:space="preserve">  [2,2] ⟲ counter-clockwise, left of pillar</t>
  </si>
  <si>
    <t>1:34.18</t>
  </si>
  <si>
    <t>13.69</t>
  </si>
  <si>
    <t>1:40.533</t>
  </si>
  <si>
    <t>1:33.93</t>
  </si>
  <si>
    <t>1:33.81</t>
  </si>
  <si>
    <t>2:36.122</t>
  </si>
  <si>
    <t>1:29.289</t>
  </si>
  <si>
    <t>2:20.67</t>
  </si>
  <si>
    <t>1:10.85</t>
  </si>
  <si>
    <t>38.48</t>
  </si>
  <si>
    <t>1:33.88</t>
  </si>
  <si>
    <t>2:49.969</t>
  </si>
  <si>
    <t>3:47.794</t>
  </si>
  <si>
    <t>1:33.83</t>
  </si>
  <si>
    <t>3:27.15</t>
  </si>
  <si>
    <t>3:16.963</t>
  </si>
  <si>
    <t>1:27.754</t>
  </si>
  <si>
    <t>1:05.065</t>
  </si>
  <si>
    <t>57.11</t>
  </si>
  <si>
    <t>1:33.426</t>
  </si>
  <si>
    <t>3:11.911</t>
  </si>
  <si>
    <t>39.32</t>
  </si>
  <si>
    <t>1:33.65</t>
  </si>
  <si>
    <t>1:33.73</t>
  </si>
  <si>
    <t>3:28.408</t>
  </si>
  <si>
    <t>1:32.28</t>
  </si>
  <si>
    <t>1:29.155</t>
  </si>
  <si>
    <t>2:47.87</t>
  </si>
  <si>
    <t>18.418</t>
  </si>
  <si>
    <t>2:00.386</t>
  </si>
  <si>
    <t>22.93</t>
  </si>
  <si>
    <t>4:14.86</t>
  </si>
  <si>
    <t>2:33.02</t>
  </si>
  <si>
    <t>2:43.81</t>
  </si>
  <si>
    <t>1:56.382</t>
  </si>
  <si>
    <t>4:03.476</t>
  </si>
  <si>
    <t>1:32.32</t>
  </si>
  <si>
    <t>54.320</t>
  </si>
  <si>
    <t>32.132</t>
  </si>
  <si>
    <t>3:24.003</t>
  </si>
  <si>
    <t xml:space="preserve">  Full Level</t>
  </si>
  <si>
    <t>34.17</t>
  </si>
  <si>
    <t>14.57</t>
  </si>
  <si>
    <t>47.98</t>
  </si>
  <si>
    <t>1:54.63</t>
  </si>
  <si>
    <t>1:13.93</t>
  </si>
  <si>
    <t>1:28.254</t>
  </si>
  <si>
    <t>52.152</t>
  </si>
  <si>
    <t>36.669</t>
  </si>
  <si>
    <t>2:19.906</t>
  </si>
  <si>
    <t>48.314</t>
  </si>
  <si>
    <t>1:08.76</t>
  </si>
  <si>
    <t>49.616</t>
  </si>
  <si>
    <t>47.33</t>
  </si>
  <si>
    <t>RSW</t>
  </si>
  <si>
    <t>111</t>
  </si>
  <si>
    <t>1:24.01</t>
  </si>
  <si>
    <t>5:24.78</t>
  </si>
  <si>
    <t>1:37.88</t>
  </si>
  <si>
    <t>1:41.47</t>
  </si>
  <si>
    <t>1:02.662</t>
  </si>
  <si>
    <t>4:02.09</t>
  </si>
  <si>
    <t>1:20.14</t>
  </si>
  <si>
    <t>1:28.11</t>
  </si>
  <si>
    <t>1:03.33</t>
  </si>
  <si>
    <t>1:58.20</t>
  </si>
  <si>
    <t>59.72</t>
  </si>
  <si>
    <t>3:11.38</t>
  </si>
  <si>
    <t>1:50.243</t>
  </si>
  <si>
    <t>1:11.43</t>
  </si>
  <si>
    <t>2:30.60</t>
  </si>
  <si>
    <t>1:58.30</t>
  </si>
  <si>
    <t>48.61</t>
  </si>
  <si>
    <t>05.16</t>
  </si>
  <si>
    <t>4:06.02</t>
  </si>
  <si>
    <t xml:space="preserve">  Button Press</t>
  </si>
  <si>
    <t>9.42</t>
  </si>
  <si>
    <t>3:39.67</t>
  </si>
  <si>
    <t>2:00.019</t>
  </si>
  <si>
    <t>2:08.61</t>
  </si>
  <si>
    <t>9.56</t>
  </si>
  <si>
    <t>18.58</t>
  </si>
  <si>
    <t>9.926</t>
  </si>
  <si>
    <t>2:53.006</t>
  </si>
  <si>
    <t>1:47.79</t>
  </si>
  <si>
    <t>Bramz</t>
  </si>
  <si>
    <t>110</t>
  </si>
  <si>
    <t>10.16</t>
  </si>
  <si>
    <t>56.78</t>
  </si>
  <si>
    <t>10.160</t>
  </si>
  <si>
    <t>1:12.43</t>
  </si>
  <si>
    <t>5:29.59</t>
  </si>
  <si>
    <t>48.82</t>
  </si>
  <si>
    <t>3:08.988</t>
  </si>
  <si>
    <t>1:30.01</t>
  </si>
  <si>
    <t>18.97</t>
  </si>
  <si>
    <t>1:24.70</t>
  </si>
  <si>
    <t>3:48.42</t>
  </si>
  <si>
    <t>49.40</t>
  </si>
  <si>
    <t>28.26</t>
  </si>
  <si>
    <t>9.65</t>
  </si>
  <si>
    <t>1:10.96</t>
  </si>
  <si>
    <t>3:46.059</t>
  </si>
  <si>
    <t>2:12.49</t>
  </si>
  <si>
    <t>8.67</t>
  </si>
  <si>
    <t>58.72</t>
  </si>
  <si>
    <t>28.01</t>
  </si>
  <si>
    <t>2:19.706</t>
  </si>
  <si>
    <t>19.10</t>
  </si>
  <si>
    <t>2:02.18</t>
  </si>
  <si>
    <t>3:47.66</t>
  </si>
  <si>
    <t>1:10.42</t>
  </si>
  <si>
    <t>1:53.680</t>
  </si>
  <si>
    <t>27.42</t>
  </si>
  <si>
    <t>2:38.12</t>
  </si>
  <si>
    <t>16.916</t>
  </si>
  <si>
    <t>16.90</t>
  </si>
  <si>
    <t>16.783</t>
  </si>
  <si>
    <t>2:44.18</t>
  </si>
  <si>
    <t>48.73</t>
  </si>
  <si>
    <t>16.60</t>
  </si>
  <si>
    <t>2:36.256</t>
  </si>
  <si>
    <t>105</t>
  </si>
  <si>
    <t>1:22.92</t>
  </si>
  <si>
    <t>1:33.259</t>
  </si>
  <si>
    <t>16.69</t>
  </si>
  <si>
    <t>32.98</t>
  </si>
  <si>
    <t>1:31.62</t>
  </si>
  <si>
    <t>4:51.92</t>
  </si>
  <si>
    <t>52.94</t>
  </si>
  <si>
    <t>43.86</t>
  </si>
  <si>
    <t>53.35</t>
  </si>
  <si>
    <t>6:23</t>
  </si>
  <si>
    <t>3:49.66</t>
  </si>
  <si>
    <t xml:space="preserve">  [2] spray early trigger</t>
  </si>
  <si>
    <t>3:43.09</t>
  </si>
  <si>
    <t>11.20</t>
  </si>
  <si>
    <t>34.38</t>
  </si>
  <si>
    <t>54.95</t>
  </si>
  <si>
    <t>1:26.84</t>
  </si>
  <si>
    <t>3:48.09</t>
  </si>
  <si>
    <t>1:11.16</t>
  </si>
  <si>
    <t>1:23.30</t>
  </si>
  <si>
    <t>3:49.99</t>
  </si>
  <si>
    <t>1:35.26</t>
  </si>
  <si>
    <t>2:12.03</t>
  </si>
  <si>
    <t>299</t>
  </si>
  <si>
    <t>99</t>
  </si>
  <si>
    <t>52</t>
  </si>
  <si>
    <t>54.44</t>
  </si>
  <si>
    <t>3:14.38</t>
  </si>
  <si>
    <t>48.72</t>
  </si>
  <si>
    <t>3:43.94</t>
  </si>
  <si>
    <t>4:48.66</t>
  </si>
  <si>
    <t>3:26.83</t>
  </si>
  <si>
    <t>3:19.22</t>
  </si>
  <si>
    <t>3:29.88</t>
  </si>
  <si>
    <t>2:48.52</t>
  </si>
  <si>
    <t>5:12.37</t>
  </si>
  <si>
    <t>3:27.12</t>
  </si>
  <si>
    <t>4:17.58</t>
  </si>
  <si>
    <t>3:03.91</t>
  </si>
  <si>
    <t>2:45.87</t>
  </si>
  <si>
    <t>2:04.79</t>
  </si>
  <si>
    <t xml:space="preserve">    [3] spam spray early trigger</t>
  </si>
  <si>
    <t>2:46.98</t>
  </si>
  <si>
    <t>57.76</t>
  </si>
  <si>
    <t>56.11</t>
  </si>
  <si>
    <t>1:06.76</t>
  </si>
  <si>
    <t>2:13.69</t>
  </si>
  <si>
    <t>56.05</t>
  </si>
  <si>
    <t>2:33.01</t>
  </si>
  <si>
    <t>35.19</t>
  </si>
  <si>
    <t>3:51.97</t>
  </si>
  <si>
    <t>1:04.72</t>
  </si>
  <si>
    <t>9.89</t>
  </si>
  <si>
    <t>15.53</t>
  </si>
  <si>
    <t>1:31.01</t>
  </si>
  <si>
    <t>2:08</t>
  </si>
  <si>
    <t>2:41</t>
  </si>
  <si>
    <t>2:11</t>
  </si>
  <si>
    <t>2:24.88</t>
  </si>
  <si>
    <t>3:23</t>
  </si>
  <si>
    <t>3:07</t>
  </si>
  <si>
    <t>4:31</t>
  </si>
  <si>
    <t>2:34</t>
  </si>
  <si>
    <t>4:37</t>
  </si>
  <si>
    <t>2:04</t>
  </si>
  <si>
    <t>22.61</t>
  </si>
  <si>
    <t>4:03</t>
  </si>
  <si>
    <t>3:09.77</t>
  </si>
  <si>
    <t>21.95</t>
  </si>
  <si>
    <t>2:38</t>
  </si>
  <si>
    <t>1:32</t>
  </si>
  <si>
    <t>2:50</t>
  </si>
  <si>
    <t>1:04.34</t>
  </si>
  <si>
    <t>2:03.87</t>
  </si>
  <si>
    <t>4:00.25</t>
  </si>
  <si>
    <t>4:01.54</t>
  </si>
  <si>
    <t>1:26.18</t>
  </si>
  <si>
    <t>4:21.05</t>
  </si>
  <si>
    <t>15.79</t>
  </si>
  <si>
    <t>32.91</t>
  </si>
  <si>
    <t>33.93</t>
  </si>
  <si>
    <t>45.02</t>
  </si>
  <si>
    <t>2:28.37</t>
  </si>
  <si>
    <t>2:24.82</t>
  </si>
  <si>
    <t>79</t>
  </si>
  <si>
    <t>5:27.52</t>
  </si>
  <si>
    <t>1:30.31</t>
  </si>
  <si>
    <t xml:space="preserve">      [4,1] insta-kill (any)</t>
  </si>
  <si>
    <t>14.99</t>
  </si>
  <si>
    <t>1:27.91</t>
  </si>
  <si>
    <t>1:02.96</t>
  </si>
  <si>
    <t>1:06</t>
  </si>
  <si>
    <t>15.29</t>
  </si>
  <si>
    <t>2:59.18</t>
  </si>
  <si>
    <t>2:26</t>
  </si>
  <si>
    <t>2:31</t>
  </si>
  <si>
    <t>3:54.05</t>
  </si>
  <si>
    <t>297</t>
  </si>
  <si>
    <t>2:10.92</t>
  </si>
  <si>
    <t>1:32.62</t>
  </si>
  <si>
    <t>2:26.91</t>
  </si>
  <si>
    <t>37.70</t>
  </si>
  <si>
    <t>2:02.95</t>
  </si>
  <si>
    <t>4:51.40</t>
  </si>
  <si>
    <t>1:12.66</t>
  </si>
  <si>
    <t>2:28.30</t>
  </si>
  <si>
    <t>11.51</t>
  </si>
  <si>
    <t>15.22</t>
  </si>
  <si>
    <t>MachinArle</t>
  </si>
  <si>
    <t>4:20.69</t>
  </si>
  <si>
    <t>70</t>
  </si>
  <si>
    <t>3:10.32</t>
  </si>
  <si>
    <t>2:57.50</t>
  </si>
  <si>
    <t>3:21.17</t>
  </si>
  <si>
    <t>2:46.86</t>
  </si>
  <si>
    <t>3:45.14</t>
  </si>
  <si>
    <t>3:20.41</t>
  </si>
  <si>
    <t>2:50.61</t>
  </si>
  <si>
    <t>3:29.66</t>
  </si>
  <si>
    <t>2:38.46</t>
  </si>
  <si>
    <t>15.06</t>
  </si>
  <si>
    <t>15.02</t>
  </si>
  <si>
    <t>2:37.58</t>
  </si>
  <si>
    <t>2:07.58</t>
  </si>
  <si>
    <t>2:31.62</t>
  </si>
  <si>
    <t>28.34</t>
  </si>
  <si>
    <t>3:24.88</t>
  </si>
  <si>
    <t>53.32</t>
  </si>
  <si>
    <t>57.87</t>
  </si>
  <si>
    <t>1:01.64</t>
  </si>
  <si>
    <t>35.76</t>
  </si>
  <si>
    <t>15.54</t>
  </si>
  <si>
    <t>1:12.70</t>
  </si>
  <si>
    <t>1:07.48</t>
  </si>
  <si>
    <t>9.94</t>
  </si>
  <si>
    <t>26.90</t>
  </si>
  <si>
    <t>29.33</t>
  </si>
  <si>
    <t>4:18</t>
  </si>
  <si>
    <t>2:21</t>
  </si>
  <si>
    <t>4:05</t>
  </si>
  <si>
    <t>3:24</t>
  </si>
  <si>
    <t>1:45.70</t>
  </si>
  <si>
    <t>38.85</t>
  </si>
  <si>
    <t>35.08</t>
  </si>
  <si>
    <t>42.35</t>
  </si>
  <si>
    <t xml:space="preserve">      [4,2] insta-kill (y-turn)</t>
  </si>
  <si>
    <t>1:28.26</t>
  </si>
  <si>
    <t>12.47</t>
  </si>
  <si>
    <t>1:49.70</t>
  </si>
  <si>
    <t>302</t>
  </si>
  <si>
    <t>58.41</t>
  </si>
  <si>
    <t>2:13.77</t>
  </si>
  <si>
    <t>3:11.81</t>
  </si>
  <si>
    <t>44.14</t>
  </si>
  <si>
    <t>2:52.33</t>
  </si>
  <si>
    <t>2:32.93</t>
  </si>
  <si>
    <t>2:17.59</t>
  </si>
  <si>
    <t>2:02.36</t>
  </si>
  <si>
    <t>spilledBeans</t>
  </si>
  <si>
    <t>60</t>
  </si>
  <si>
    <t>2:46.02</t>
  </si>
  <si>
    <t>[1] rocket storage strat</t>
  </si>
  <si>
    <t>17.74</t>
  </si>
  <si>
    <t>47.36</t>
  </si>
  <si>
    <t>1:24.72</t>
  </si>
  <si>
    <t>48.52</t>
  </si>
  <si>
    <t>26.93</t>
  </si>
  <si>
    <t>46.31</t>
  </si>
  <si>
    <t>54.84</t>
  </si>
  <si>
    <t>1:02.77</t>
  </si>
  <si>
    <t>44.85</t>
  </si>
  <si>
    <t>35.35</t>
  </si>
  <si>
    <t>48.10</t>
  </si>
  <si>
    <t>45.96</t>
  </si>
  <si>
    <t>1:38.99</t>
  </si>
  <si>
    <t>2:48</t>
  </si>
  <si>
    <t>1:07.95</t>
  </si>
  <si>
    <t>1:43.9</t>
  </si>
  <si>
    <t>2:09.82</t>
  </si>
  <si>
    <t>1:33.61</t>
  </si>
  <si>
    <t>1:30.18</t>
  </si>
  <si>
    <t>MrYhatoh</t>
  </si>
  <si>
    <t>43</t>
  </si>
  <si>
    <t>1:50.34</t>
  </si>
  <si>
    <t>1:35.02</t>
  </si>
  <si>
    <t>4:22.19</t>
  </si>
  <si>
    <t>36.02</t>
  </si>
  <si>
    <t>20.89</t>
  </si>
  <si>
    <t>3:36.40</t>
  </si>
  <si>
    <t>1:35.34</t>
  </si>
  <si>
    <t>1:15.53</t>
  </si>
  <si>
    <t>5:46.50</t>
  </si>
  <si>
    <t>3:45.59</t>
  </si>
  <si>
    <t>2:20.86</t>
  </si>
  <si>
    <t>22.50</t>
  </si>
  <si>
    <t>Episode 4 Reds (IGT)</t>
  </si>
  <si>
    <t>1:01.54</t>
  </si>
  <si>
    <t>3:59.27</t>
  </si>
  <si>
    <t>21.00</t>
  </si>
  <si>
    <t>3:46.76</t>
  </si>
  <si>
    <t>2:26.47</t>
  </si>
  <si>
    <t>1:01.28</t>
  </si>
  <si>
    <t>Mevius0229</t>
  </si>
  <si>
    <t>20.20</t>
  </si>
  <si>
    <t>1:00.28</t>
  </si>
  <si>
    <t>252</t>
  </si>
  <si>
    <t>30.92</t>
  </si>
  <si>
    <t>11.21</t>
  </si>
  <si>
    <t>28</t>
  </si>
  <si>
    <t>1:54.87</t>
  </si>
  <si>
    <t>2:53.43</t>
  </si>
  <si>
    <t>3:22.97</t>
  </si>
  <si>
    <t>52.01</t>
  </si>
  <si>
    <t>59.51</t>
  </si>
  <si>
    <t>1:00.01</t>
  </si>
  <si>
    <t>Xeifo</t>
  </si>
  <si>
    <t>22.83</t>
  </si>
  <si>
    <t>1:00.51</t>
  </si>
  <si>
    <t>57.02</t>
  </si>
  <si>
    <t>1:28.89</t>
  </si>
  <si>
    <t>3:58.69</t>
  </si>
  <si>
    <t>1:47.54</t>
  </si>
  <si>
    <t>18.45</t>
  </si>
  <si>
    <t>58.18</t>
  </si>
  <si>
    <t>22.75</t>
  </si>
  <si>
    <t>1:08.40</t>
  </si>
  <si>
    <t>23.92</t>
  </si>
  <si>
    <t>1:02.72</t>
  </si>
  <si>
    <t>1:14.10</t>
  </si>
  <si>
    <t>1:42.99</t>
  </si>
  <si>
    <t>4:35.07</t>
  </si>
  <si>
    <t>1:22.45</t>
  </si>
  <si>
    <t>32.02</t>
  </si>
  <si>
    <t>1:36.02</t>
  </si>
  <si>
    <t>31.39</t>
  </si>
  <si>
    <t>56.62</t>
  </si>
  <si>
    <t>34.10</t>
  </si>
  <si>
    <t xml:space="preserve"> Reds (QFT)</t>
  </si>
  <si>
    <t>25.80</t>
  </si>
  <si>
    <t>42.70</t>
  </si>
  <si>
    <t>43.04</t>
  </si>
  <si>
    <t>53.06</t>
  </si>
  <si>
    <t>26.53</t>
  </si>
  <si>
    <t>20.14</t>
  </si>
  <si>
    <t>42.642</t>
  </si>
  <si>
    <t>45.111</t>
  </si>
  <si>
    <t>24.84</t>
  </si>
  <si>
    <t>26.41</t>
  </si>
  <si>
    <t>47.514</t>
  </si>
  <si>
    <t>57.27</t>
  </si>
  <si>
    <t>2:43.11</t>
  </si>
  <si>
    <t>20.64</t>
  </si>
  <si>
    <t>21.47</t>
  </si>
  <si>
    <t>9167</t>
  </si>
  <si>
    <t>2:39</t>
  </si>
  <si>
    <t>1:18.46</t>
  </si>
  <si>
    <t>30.49</t>
  </si>
  <si>
    <t>87</t>
  </si>
  <si>
    <t>50.51</t>
  </si>
  <si>
    <t>Reed</t>
  </si>
  <si>
    <t xml:space="preserve">
</t>
  </si>
  <si>
    <t>1:18.24</t>
  </si>
  <si>
    <t>2:10.00</t>
  </si>
  <si>
    <t>36.55</t>
  </si>
  <si>
    <t>3:39.27</t>
  </si>
  <si>
    <t>1:10.00</t>
  </si>
  <si>
    <t>2:15.62</t>
  </si>
  <si>
    <t>2:08.394</t>
  </si>
  <si>
    <t>2:04.21</t>
  </si>
  <si>
    <t>24</t>
  </si>
  <si>
    <t>2:10.60</t>
  </si>
  <si>
    <t>1:08.11</t>
  </si>
  <si>
    <t>GravityBeatle</t>
  </si>
  <si>
    <t>1:43.76</t>
  </si>
  <si>
    <t>5:55.52</t>
  </si>
  <si>
    <t>4:17.13</t>
  </si>
  <si>
    <t>1:30.40</t>
  </si>
  <si>
    <t>4:17.62</t>
  </si>
  <si>
    <t>2:13.62</t>
  </si>
  <si>
    <t>38.91</t>
  </si>
  <si>
    <t>4:15.47</t>
  </si>
  <si>
    <t>47.99</t>
  </si>
  <si>
    <t>1:28.47</t>
  </si>
  <si>
    <t>2:49.75</t>
  </si>
  <si>
    <t>248</t>
  </si>
  <si>
    <t>3:30.076</t>
  </si>
  <si>
    <t>39.31</t>
  </si>
  <si>
    <t>5:37.55</t>
  </si>
  <si>
    <t>3:36.04</t>
  </si>
  <si>
    <t>2:46.68</t>
  </si>
  <si>
    <t>3:18.97</t>
  </si>
  <si>
    <t>2:28.50</t>
  </si>
  <si>
    <t>39.57</t>
  </si>
  <si>
    <t>2:46.49</t>
  </si>
  <si>
    <t>3:07.65</t>
  </si>
  <si>
    <t>4:36.09</t>
  </si>
  <si>
    <t>3:46.64</t>
  </si>
  <si>
    <t>43.38</t>
  </si>
  <si>
    <t>3:52.14</t>
  </si>
  <si>
    <t>41.341</t>
  </si>
  <si>
    <t>3:29.59</t>
  </si>
  <si>
    <t>4:22.39</t>
  </si>
  <si>
    <t>2:24.611</t>
  </si>
  <si>
    <t>2:49.46</t>
  </si>
  <si>
    <t>Anonymous 2</t>
  </si>
  <si>
    <t>1:55.30</t>
  </si>
  <si>
    <t>2:57.24</t>
  </si>
  <si>
    <t>1:23.77</t>
  </si>
  <si>
    <t>1:11.36</t>
  </si>
  <si>
    <t>1:14.46</t>
  </si>
  <si>
    <t>57.67</t>
  </si>
  <si>
    <t>57.891</t>
  </si>
  <si>
    <t>1:34.11</t>
  </si>
  <si>
    <t>1:03.55</t>
  </si>
  <si>
    <t>46.74</t>
  </si>
  <si>
    <t>39.21</t>
  </si>
  <si>
    <t>lilGreenYoshi</t>
  </si>
  <si>
    <t>1:50.367</t>
  </si>
  <si>
    <t>2:47.066</t>
  </si>
  <si>
    <t>1:01.68</t>
  </si>
  <si>
    <t>1:43.99</t>
  </si>
  <si>
    <t>1:25.67</t>
  </si>
  <si>
    <t>39.82</t>
  </si>
  <si>
    <t>3:25.772</t>
  </si>
  <si>
    <t>1:59.87</t>
  </si>
  <si>
    <t>4:56.74</t>
  </si>
  <si>
    <t>39.02</t>
  </si>
  <si>
    <t>Odme_</t>
  </si>
  <si>
    <t>18.27</t>
  </si>
  <si>
    <t>19.05</t>
  </si>
  <si>
    <t>205</t>
  </si>
  <si>
    <t>46.33</t>
  </si>
  <si>
    <t>1:26.81</t>
  </si>
  <si>
    <t>3:17.52</t>
  </si>
  <si>
    <t>19.68</t>
  </si>
  <si>
    <t>2:08.88</t>
  </si>
  <si>
    <t>20.387</t>
  </si>
  <si>
    <t>19.13</t>
  </si>
  <si>
    <t>26.01</t>
  </si>
  <si>
    <t>6:32.36</t>
  </si>
  <si>
    <t>2:18.89</t>
  </si>
  <si>
    <t>21.04</t>
  </si>
  <si>
    <t>18.87</t>
  </si>
  <si>
    <t>42.22</t>
  </si>
  <si>
    <t>2:41.27</t>
  </si>
  <si>
    <t>4:17.69</t>
  </si>
  <si>
    <t>19.78</t>
  </si>
  <si>
    <t>19.38</t>
  </si>
  <si>
    <t>2:21.68</t>
  </si>
  <si>
    <t>2:11.46</t>
  </si>
  <si>
    <t>2:41.02</t>
  </si>
  <si>
    <t>49.06</t>
  </si>
  <si>
    <t>MichaelGuy</t>
  </si>
  <si>
    <t>3:10.01</t>
  </si>
  <si>
    <t>6:49.47</t>
  </si>
  <si>
    <t>41.68</t>
  </si>
  <si>
    <t>4:45.67</t>
  </si>
  <si>
    <t>2:11.58</t>
  </si>
  <si>
    <t>1:25.23</t>
  </si>
  <si>
    <t>3:08.81</t>
  </si>
  <si>
    <t>2:12.26</t>
  </si>
  <si>
    <t>4:20.97</t>
  </si>
  <si>
    <t>2:05.29</t>
  </si>
  <si>
    <t>3:51.07</t>
  </si>
  <si>
    <t>18.90</t>
  </si>
  <si>
    <t>4:52.60</t>
  </si>
  <si>
    <t>1:54.67</t>
  </si>
  <si>
    <t>2:09.67</t>
  </si>
  <si>
    <t>2:55.49</t>
  </si>
  <si>
    <t>19.62</t>
  </si>
  <si>
    <t>Tom$</t>
  </si>
  <si>
    <t>52.87</t>
  </si>
  <si>
    <t>19.77</t>
  </si>
  <si>
    <t>1:31.73</t>
  </si>
  <si>
    <t>19.30</t>
  </si>
  <si>
    <t>2:10.89</t>
  </si>
  <si>
    <t>20.18</t>
  </si>
  <si>
    <t>1:19.23</t>
  </si>
  <si>
    <t>DespotarTV</t>
  </si>
  <si>
    <t>187</t>
  </si>
  <si>
    <t>3:52.69</t>
  </si>
  <si>
    <t>45.82</t>
  </si>
  <si>
    <t>47.53</t>
  </si>
  <si>
    <t>Episode 2</t>
  </si>
  <si>
    <t>[1] rocket</t>
  </si>
  <si>
    <t>1:40.95</t>
  </si>
  <si>
    <t>46.53</t>
  </si>
  <si>
    <t>1:14.38</t>
  </si>
  <si>
    <t>mars</t>
  </si>
  <si>
    <t>1:47.12</t>
  </si>
  <si>
    <t>1:25.08</t>
  </si>
  <si>
    <t>11.12</t>
  </si>
  <si>
    <t>51.15</t>
  </si>
  <si>
    <t>1:44.704</t>
  </si>
  <si>
    <t>1:48.46</t>
  </si>
  <si>
    <t>36.39</t>
  </si>
  <si>
    <t>31.18</t>
  </si>
  <si>
    <t>56.65</t>
  </si>
  <si>
    <t>1:42.72</t>
  </si>
  <si>
    <t>MoJungo</t>
  </si>
  <si>
    <t>42.92</t>
  </si>
  <si>
    <t>45.64</t>
  </si>
  <si>
    <t>1:29.90</t>
  </si>
  <si>
    <t>1:28.45</t>
  </si>
  <si>
    <t>47.69</t>
  </si>
  <si>
    <t>1:28.20</t>
  </si>
  <si>
    <t>1:53</t>
  </si>
  <si>
    <t>50.08</t>
  </si>
  <si>
    <t xml:space="preserve">  [2] hover</t>
  </si>
  <si>
    <t>1:44.59</t>
  </si>
  <si>
    <t>Ian</t>
  </si>
  <si>
    <t>33.65</t>
  </si>
  <si>
    <t>1:45.95</t>
  </si>
  <si>
    <t>1:09.57</t>
  </si>
  <si>
    <t>22.02</t>
  </si>
  <si>
    <t>48.22</t>
  </si>
  <si>
    <t>20.80</t>
  </si>
  <si>
    <t>mdmason85</t>
  </si>
  <si>
    <t>Hexaroot</t>
  </si>
  <si>
    <t>184</t>
  </si>
  <si>
    <t>2:06.39</t>
  </si>
  <si>
    <t>1:49.07</t>
  </si>
  <si>
    <t>3:02.21</t>
  </si>
  <si>
    <t>3:05.98</t>
  </si>
  <si>
    <t>4:19.13</t>
  </si>
  <si>
    <t>2:31.11</t>
  </si>
  <si>
    <t>2:57.86</t>
  </si>
  <si>
    <t>2:01.42</t>
  </si>
  <si>
    <t>2:45.10</t>
  </si>
  <si>
    <t>59.48</t>
  </si>
  <si>
    <t>56.30</t>
  </si>
  <si>
    <t>36.29</t>
  </si>
  <si>
    <t>2:27.60</t>
  </si>
  <si>
    <t>[1] RTA pattern</t>
  </si>
  <si>
    <t>21.63</t>
  </si>
  <si>
    <t>1:13.37</t>
  </si>
  <si>
    <t>57.38</t>
  </si>
  <si>
    <t>1:11.32</t>
  </si>
  <si>
    <t>1:59.819</t>
  </si>
  <si>
    <t>3:13</t>
  </si>
  <si>
    <t>4:08.481</t>
  </si>
  <si>
    <t>2:40.56</t>
  </si>
  <si>
    <t>1:13.60</t>
  </si>
  <si>
    <t>45.22</t>
  </si>
  <si>
    <t>1:36</t>
  </si>
  <si>
    <t>fizz</t>
  </si>
  <si>
    <t>2:04.06</t>
  </si>
  <si>
    <t>1:15.57</t>
  </si>
  <si>
    <t>6:23.92</t>
  </si>
  <si>
    <t>3:40.94</t>
  </si>
  <si>
    <t>53.31</t>
  </si>
  <si>
    <t>32.03</t>
  </si>
  <si>
    <t>182</t>
  </si>
  <si>
    <t>1:11.72</t>
  </si>
  <si>
    <t>3:19.75</t>
  </si>
  <si>
    <t>4:14.55</t>
  </si>
  <si>
    <t>Drew The Cougar</t>
  </si>
  <si>
    <t>4:33.84</t>
  </si>
  <si>
    <t>4:21.58</t>
  </si>
  <si>
    <t>1:27.06</t>
  </si>
  <si>
    <t>[1] rocket, full storages</t>
  </si>
  <si>
    <t>4:22.61</t>
  </si>
  <si>
    <t>45.99</t>
  </si>
  <si>
    <t>57.28</t>
  </si>
  <si>
    <t>2:46.41</t>
  </si>
  <si>
    <t>2:49.74</t>
  </si>
  <si>
    <t>2:20.63</t>
  </si>
  <si>
    <t>1:04.08</t>
  </si>
  <si>
    <t>57.04</t>
  </si>
  <si>
    <t>37.39</t>
  </si>
  <si>
    <t>1:05.15</t>
  </si>
  <si>
    <t>37.26</t>
  </si>
  <si>
    <t>11.47</t>
  </si>
  <si>
    <t>48.65</t>
  </si>
  <si>
    <t>1:08.56</t>
  </si>
  <si>
    <t>8.94</t>
  </si>
  <si>
    <t>56.21</t>
  </si>
  <si>
    <t>55.94</t>
  </si>
  <si>
    <t>50.12</t>
  </si>
  <si>
    <t>1:03.29</t>
  </si>
  <si>
    <t>50.39</t>
  </si>
  <si>
    <t>switch_runner</t>
  </si>
  <si>
    <t>28.42</t>
  </si>
  <si>
    <t>3:37</t>
  </si>
  <si>
    <t>3:02</t>
  </si>
  <si>
    <t>46</t>
  </si>
  <si>
    <t>2:01</t>
  </si>
  <si>
    <t>1:04.80</t>
  </si>
  <si>
    <t>1:41.70</t>
  </si>
  <si>
    <t>54.94</t>
  </si>
  <si>
    <t>8:28</t>
  </si>
  <si>
    <t>5:41</t>
  </si>
  <si>
    <t>29.78</t>
  </si>
  <si>
    <t>34.98</t>
  </si>
  <si>
    <t>28.89</t>
  </si>
  <si>
    <t>9.19</t>
  </si>
  <si>
    <t>1:11</t>
  </si>
  <si>
    <t>Aurelia400</t>
  </si>
  <si>
    <t>2:12</t>
  </si>
  <si>
    <t>2:25</t>
  </si>
  <si>
    <t>5:05</t>
  </si>
  <si>
    <t>Anonymous 9</t>
  </si>
  <si>
    <t>148</t>
  </si>
  <si>
    <t>3:29.34</t>
  </si>
  <si>
    <t>3:32.54</t>
  </si>
  <si>
    <t>25.75</t>
  </si>
  <si>
    <t>3:49.30</t>
  </si>
  <si>
    <t>12.54</t>
  </si>
  <si>
    <t>2:09.08</t>
  </si>
  <si>
    <t>54.38</t>
  </si>
  <si>
    <t>31.02</t>
  </si>
  <si>
    <t>1:02.66</t>
  </si>
  <si>
    <t>36.15</t>
  </si>
  <si>
    <t>27.86</t>
  </si>
  <si>
    <t>2:09</t>
  </si>
  <si>
    <t>2:07</t>
  </si>
  <si>
    <t>3:29</t>
  </si>
  <si>
    <t>3:55</t>
  </si>
  <si>
    <t>2:58</t>
  </si>
  <si>
    <t>2:36</t>
  </si>
  <si>
    <t>29.18</t>
  </si>
  <si>
    <t>27.08</t>
  </si>
  <si>
    <t>140</t>
  </si>
  <si>
    <t>4:15.60</t>
  </si>
  <si>
    <t>3:26.54</t>
  </si>
  <si>
    <t>2:52.59</t>
  </si>
  <si>
    <t>3:41.19</t>
  </si>
  <si>
    <t>3:24.87</t>
  </si>
  <si>
    <t>47.06</t>
  </si>
  <si>
    <t>2:15.26</t>
  </si>
  <si>
    <t>26.18</t>
  </si>
  <si>
    <t>2:18.93</t>
  </si>
  <si>
    <t>58.99</t>
  </si>
  <si>
    <t>37.45</t>
  </si>
  <si>
    <t>19.52</t>
  </si>
  <si>
    <t>1:19.56</t>
  </si>
  <si>
    <t>58.32</t>
  </si>
  <si>
    <t>18.70</t>
  </si>
  <si>
    <t>1:25.51</t>
  </si>
  <si>
    <t>18.24</t>
  </si>
  <si>
    <t>58.28</t>
  </si>
  <si>
    <t>Episode 5 (Full)</t>
  </si>
  <si>
    <t>1:35.40</t>
  </si>
  <si>
    <t>57.99</t>
  </si>
  <si>
    <t>Ivey</t>
  </si>
  <si>
    <t>131</t>
  </si>
  <si>
    <t>3:50.52</t>
  </si>
  <si>
    <t>3:13.36</t>
  </si>
  <si>
    <t>2:24.54</t>
  </si>
  <si>
    <t>3:46.08</t>
  </si>
  <si>
    <t>3:49.01</t>
  </si>
  <si>
    <t>22.96</t>
  </si>
  <si>
    <t>1:05.45</t>
  </si>
  <si>
    <t>54.14</t>
  </si>
  <si>
    <t>39.63</t>
  </si>
  <si>
    <t>1:14.95</t>
  </si>
  <si>
    <t>1:05.17</t>
  </si>
  <si>
    <t>37.56</t>
  </si>
  <si>
    <t>1:24.04</t>
  </si>
  <si>
    <t>1:10.33</t>
  </si>
  <si>
    <t>26.74</t>
  </si>
  <si>
    <t>30.69</t>
  </si>
  <si>
    <t>3:15</t>
  </si>
  <si>
    <t>31.65</t>
  </si>
  <si>
    <t xml:space="preserve">  [2] turbo</t>
  </si>
  <si>
    <t>1:00.33</t>
  </si>
  <si>
    <t>25.18</t>
  </si>
  <si>
    <t>56.52</t>
  </si>
  <si>
    <t>53.33</t>
  </si>
  <si>
    <t>24.23</t>
  </si>
  <si>
    <t>129</t>
  </si>
  <si>
    <t>19.53</t>
  </si>
  <si>
    <t>1:03.53</t>
  </si>
  <si>
    <t>5:20.00</t>
  </si>
  <si>
    <t>52.90</t>
  </si>
  <si>
    <t>23.88</t>
  </si>
  <si>
    <t>3:07.95</t>
  </si>
  <si>
    <t>6.32</t>
  </si>
  <si>
    <t>9164</t>
  </si>
  <si>
    <t>3:25.47</t>
  </si>
  <si>
    <t>3:07.98</t>
  </si>
  <si>
    <t>4:33.86</t>
  </si>
  <si>
    <t>3:55.48</t>
  </si>
  <si>
    <t>3:23.69</t>
  </si>
  <si>
    <t>82</t>
  </si>
  <si>
    <t>4:24.22</t>
  </si>
  <si>
    <t>3:01.26</t>
  </si>
  <si>
    <t>3:16.73</t>
  </si>
  <si>
    <t>2:16.34</t>
  </si>
  <si>
    <t>[1,1] no insta-kill</t>
  </si>
  <si>
    <t>1:27.97</t>
  </si>
  <si>
    <t>39.73</t>
  </si>
  <si>
    <t>56.86</t>
  </si>
  <si>
    <t>36.82</t>
  </si>
  <si>
    <t>19.37</t>
  </si>
  <si>
    <t>4:30</t>
  </si>
  <si>
    <t>2:47</t>
  </si>
  <si>
    <t>13.73</t>
  </si>
  <si>
    <t>19.60</t>
  </si>
  <si>
    <t>3:10</t>
  </si>
  <si>
    <t>19.67</t>
  </si>
  <si>
    <t>5:56</t>
  </si>
  <si>
    <t>20.153</t>
  </si>
  <si>
    <t>6:09</t>
  </si>
  <si>
    <t>7:12</t>
  </si>
  <si>
    <t>2:13.42</t>
  </si>
  <si>
    <t xml:space="preserve">  </t>
  </si>
  <si>
    <t>21.37</t>
  </si>
  <si>
    <t>30.98</t>
  </si>
  <si>
    <t>33.25</t>
  </si>
  <si>
    <t>35.05</t>
  </si>
  <si>
    <t>1:11.01</t>
  </si>
  <si>
    <t>19.70</t>
  </si>
  <si>
    <t>38.65</t>
  </si>
  <si>
    <t>59.68</t>
  </si>
  <si>
    <t>17.30</t>
  </si>
  <si>
    <t>7.12</t>
  </si>
  <si>
    <t>1:25</t>
  </si>
  <si>
    <t>1:23</t>
  </si>
  <si>
    <t>1:48.28</t>
  </si>
  <si>
    <t>[1,2] failed insta-kill</t>
  </si>
  <si>
    <t>2:55.33</t>
  </si>
  <si>
    <t>3:24.29</t>
  </si>
  <si>
    <t>3:52:35</t>
  </si>
  <si>
    <t>2:59.15</t>
  </si>
  <si>
    <t>2:56.83</t>
  </si>
  <si>
    <t>2:00.50</t>
  </si>
  <si>
    <t>1:02.98</t>
  </si>
  <si>
    <t>41.92</t>
  </si>
  <si>
    <t>1:14:09</t>
  </si>
  <si>
    <t>54.87</t>
  </si>
  <si>
    <t>57.60</t>
  </si>
  <si>
    <t>1:58</t>
  </si>
  <si>
    <t>2:02</t>
  </si>
  <si>
    <t>3:45</t>
  </si>
  <si>
    <t>4:21</t>
  </si>
  <si>
    <t>3:04</t>
  </si>
  <si>
    <t>1:18</t>
  </si>
  <si>
    <t>3:20</t>
  </si>
  <si>
    <t>3:21.25</t>
  </si>
  <si>
    <t>3:26.42</t>
  </si>
  <si>
    <t>3:51.28</t>
  </si>
  <si>
    <t>4:15.01</t>
  </si>
  <si>
    <t>3:14.45</t>
  </si>
  <si>
    <t>2:08.65</t>
  </si>
  <si>
    <t>19.39</t>
  </si>
  <si>
    <t>33.85</t>
  </si>
  <si>
    <t>29.89</t>
  </si>
  <si>
    <t>1:13.63</t>
  </si>
  <si>
    <t>1:01.63</t>
  </si>
  <si>
    <t>46.94</t>
  </si>
  <si>
    <t>1:06.12</t>
  </si>
  <si>
    <t>32.19</t>
  </si>
  <si>
    <t>18.18</t>
  </si>
  <si>
    <t>18.284</t>
  </si>
  <si>
    <t>18.30</t>
  </si>
  <si>
    <t>1:04.68</t>
  </si>
  <si>
    <t>1:01.08</t>
  </si>
  <si>
    <t>112</t>
  </si>
  <si>
    <t>45.93</t>
  </si>
  <si>
    <t>50.81</t>
  </si>
  <si>
    <t>1:09.23</t>
  </si>
  <si>
    <t>18.35</t>
  </si>
  <si>
    <t>[1] normal GBS</t>
  </si>
  <si>
    <t>30.82</t>
  </si>
  <si>
    <t>36.31</t>
  </si>
  <si>
    <t>34.39</t>
  </si>
  <si>
    <t>27.21</t>
  </si>
  <si>
    <t>40.45</t>
  </si>
  <si>
    <t>32.899</t>
  </si>
  <si>
    <t>1:22.47</t>
  </si>
  <si>
    <t>33.46</t>
  </si>
  <si>
    <t>1:08.12</t>
  </si>
  <si>
    <t>31.22</t>
  </si>
  <si>
    <t>42.95</t>
  </si>
  <si>
    <t>41.52</t>
  </si>
  <si>
    <t>33.95</t>
  </si>
  <si>
    <t>85</t>
  </si>
  <si>
    <t>2:22.00</t>
  </si>
  <si>
    <t>49.37</t>
  </si>
  <si>
    <t>38.19</t>
  </si>
  <si>
    <t>3:42.789</t>
  </si>
  <si>
    <t>57.824</t>
  </si>
  <si>
    <t>47.31</t>
  </si>
  <si>
    <t>41.775</t>
  </si>
  <si>
    <t>1:18.711</t>
  </si>
  <si>
    <t>42.07</t>
  </si>
  <si>
    <t>1:04.831</t>
  </si>
  <si>
    <t>35.402</t>
  </si>
  <si>
    <t>53.686</t>
  </si>
  <si>
    <t>49.983</t>
  </si>
  <si>
    <t xml:space="preserve">  [2,1] roof-throw GBS, normal spot</t>
  </si>
  <si>
    <t>31.28</t>
  </si>
  <si>
    <t>33.36</t>
  </si>
  <si>
    <t>53.13</t>
  </si>
  <si>
    <t>44.50</t>
  </si>
  <si>
    <t>52.32</t>
  </si>
  <si>
    <t>27.62</t>
  </si>
  <si>
    <t>29.29</t>
  </si>
  <si>
    <t>28.62</t>
  </si>
  <si>
    <t>76</t>
  </si>
  <si>
    <t>1:22.59</t>
  </si>
  <si>
    <t>47.10</t>
  </si>
  <si>
    <t>28.92</t>
  </si>
  <si>
    <t>26.77</t>
  </si>
  <si>
    <t>42.12</t>
  </si>
  <si>
    <t xml:space="preserve">  [2,2] roof-throw GBS, yossy spot</t>
  </si>
  <si>
    <t>27.03</t>
  </si>
  <si>
    <t>1:29.64</t>
  </si>
  <si>
    <t>57.68</t>
  </si>
  <si>
    <t>1:15.00</t>
  </si>
  <si>
    <t>27.67</t>
  </si>
  <si>
    <t>1:40.15</t>
  </si>
  <si>
    <t>27.45</t>
  </si>
  <si>
    <t>51.62</t>
  </si>
  <si>
    <t>34.22</t>
  </si>
  <si>
    <t>27.74</t>
  </si>
  <si>
    <t>22.53</t>
  </si>
  <si>
    <t>48.16</t>
  </si>
  <si>
    <t>62</t>
  </si>
  <si>
    <t>21.01</t>
  </si>
  <si>
    <t>27.29</t>
  </si>
  <si>
    <t>3:29.23</t>
  </si>
  <si>
    <t>28.73</t>
  </si>
  <si>
    <t>28.12</t>
  </si>
  <si>
    <t>27.58</t>
  </si>
  <si>
    <t>2:06.23</t>
  </si>
  <si>
    <t>2:31.57</t>
  </si>
  <si>
    <t>2:21.73</t>
  </si>
  <si>
    <t>4:21.67</t>
  </si>
  <si>
    <t>1:10.52</t>
  </si>
  <si>
    <t>45.09</t>
  </si>
  <si>
    <t>2:04.97</t>
  </si>
  <si>
    <t xml:space="preserve">    [3] backflip GBS</t>
  </si>
  <si>
    <t>26.36</t>
  </si>
  <si>
    <t>27.92</t>
  </si>
  <si>
    <t>26.59</t>
  </si>
  <si>
    <t>Denial</t>
  </si>
  <si>
    <t>3:59.54</t>
  </si>
  <si>
    <t>4:28.73</t>
  </si>
  <si>
    <t>3:12.11</t>
  </si>
  <si>
    <t>2:24.02</t>
  </si>
  <si>
    <t>1:00.12</t>
  </si>
  <si>
    <t>27.99</t>
  </si>
  <si>
    <t>1:33.46</t>
  </si>
  <si>
    <t>3:01</t>
  </si>
  <si>
    <t>29.91</t>
  </si>
  <si>
    <t>Episode 1 Reds (IGT)</t>
  </si>
  <si>
    <t>39.38</t>
  </si>
  <si>
    <t>1:04.77</t>
  </si>
  <si>
    <t>42.80</t>
  </si>
  <si>
    <t>1:15.33</t>
  </si>
  <si>
    <t>40.62</t>
  </si>
  <si>
    <t>1:12.46</t>
  </si>
  <si>
    <t>41.22</t>
  </si>
  <si>
    <t>37.28</t>
  </si>
  <si>
    <t>34.85</t>
  </si>
  <si>
    <t>40.65</t>
  </si>
  <si>
    <t>33.88</t>
  </si>
  <si>
    <t>mae</t>
  </si>
  <si>
    <t>1:31.58</t>
  </si>
  <si>
    <t>5:23.60</t>
  </si>
  <si>
    <t>3:08.11</t>
  </si>
  <si>
    <t>40.75</t>
  </si>
  <si>
    <t>51.20</t>
  </si>
  <si>
    <t>2:36.04</t>
  </si>
  <si>
    <t>26.97</t>
  </si>
  <si>
    <t>3:13.06</t>
  </si>
  <si>
    <t>1:39.45</t>
  </si>
  <si>
    <t>45.72</t>
  </si>
  <si>
    <t>1:01.61</t>
  </si>
  <si>
    <t>2:16.92</t>
  </si>
  <si>
    <t>38.13</t>
  </si>
  <si>
    <t>2:45</t>
  </si>
  <si>
    <t>1:26.01</t>
  </si>
  <si>
    <t>35.97</t>
  </si>
  <si>
    <t>1:03.22</t>
  </si>
  <si>
    <t>34.401</t>
  </si>
  <si>
    <t>37.270</t>
  </si>
  <si>
    <t>1:30.87</t>
  </si>
  <si>
    <t>1:22</t>
  </si>
  <si>
    <t>30.63</t>
  </si>
  <si>
    <t>2:58.00</t>
  </si>
  <si>
    <t>2:59.90</t>
  </si>
  <si>
    <t>21.38</t>
  </si>
  <si>
    <t>23.23</t>
  </si>
  <si>
    <t>1:16.33</t>
  </si>
  <si>
    <t>11.16</t>
  </si>
  <si>
    <t>trwr</t>
  </si>
  <si>
    <t>2:19.72</t>
  </si>
  <si>
    <t>2:38.02</t>
  </si>
  <si>
    <t>2:26.01</t>
  </si>
  <si>
    <t>2:22.36</t>
  </si>
  <si>
    <t>25.09</t>
  </si>
  <si>
    <t>27.70</t>
  </si>
  <si>
    <t>35.75</t>
  </si>
  <si>
    <t>1:15.06</t>
  </si>
  <si>
    <t>1:00.61</t>
  </si>
  <si>
    <t>27.87</t>
  </si>
  <si>
    <t>20.30</t>
  </si>
  <si>
    <t>23.91</t>
  </si>
  <si>
    <t>6.45</t>
  </si>
  <si>
    <t>29.86</t>
  </si>
  <si>
    <t>9134</t>
  </si>
  <si>
    <t>78</t>
  </si>
  <si>
    <t>Park Entry</t>
  </si>
  <si>
    <t>8.09</t>
  </si>
  <si>
    <t>36.48</t>
  </si>
  <si>
    <t>8.13</t>
  </si>
  <si>
    <t>13.66</t>
  </si>
  <si>
    <t>8.23</t>
  </si>
  <si>
    <t>8.10</t>
  </si>
  <si>
    <t>41.69</t>
  </si>
  <si>
    <t>Danieru</t>
  </si>
  <si>
    <t>2:10.26</t>
  </si>
  <si>
    <t>8.15</t>
  </si>
  <si>
    <t>8.19</t>
  </si>
  <si>
    <t>1:07.34</t>
  </si>
  <si>
    <t>[1] no DM shot</t>
  </si>
  <si>
    <t>47.72</t>
  </si>
  <si>
    <t xml:space="preserve">  [2] DM shot, basic 4th grab</t>
  </si>
  <si>
    <t>54.20</t>
  </si>
  <si>
    <t>16.21</t>
  </si>
  <si>
    <t>3:34.95</t>
  </si>
  <si>
    <t>2:53.76</t>
  </si>
  <si>
    <t>45.36</t>
  </si>
  <si>
    <t>1:36.75</t>
  </si>
  <si>
    <t>1:16.46</t>
  </si>
  <si>
    <t>1:24.80</t>
  </si>
  <si>
    <t>1:14.83</t>
  </si>
  <si>
    <t>43.48</t>
  </si>
  <si>
    <t>29.69</t>
  </si>
  <si>
    <t>53.75</t>
  </si>
  <si>
    <t>52.22</t>
  </si>
  <si>
    <t>1:37.25</t>
  </si>
  <si>
    <t>1:33</t>
  </si>
  <si>
    <t>1:29</t>
  </si>
  <si>
    <t xml:space="preserve">    [3] DM shot, early 4th grab after 3rd</t>
  </si>
  <si>
    <t>49.67</t>
  </si>
  <si>
    <t>4:37.82</t>
  </si>
  <si>
    <t>7:40.94</t>
  </si>
  <si>
    <t>29.85</t>
  </si>
  <si>
    <t>49.27</t>
  </si>
  <si>
    <t>2:43.80</t>
  </si>
  <si>
    <t>1:20.10</t>
  </si>
  <si>
    <t>1:16.83</t>
  </si>
  <si>
    <t>50.06</t>
  </si>
  <si>
    <t>1:11.13</t>
  </si>
  <si>
    <t>50.37</t>
  </si>
  <si>
    <t>51.41</t>
  </si>
  <si>
    <t>50.23</t>
  </si>
  <si>
    <t>17.94</t>
  </si>
  <si>
    <t>48.89</t>
  </si>
  <si>
    <t>1:07.63</t>
  </si>
  <si>
    <t xml:space="preserve">      [4] DM shot, early 4th grab before 3rd</t>
  </si>
  <si>
    <t>48.39</t>
  </si>
  <si>
    <t>48.58</t>
  </si>
  <si>
    <t>26.85</t>
  </si>
  <si>
    <t>49.29</t>
  </si>
  <si>
    <t>49.64</t>
  </si>
  <si>
    <t>Papaccino</t>
  </si>
  <si>
    <t>48.75</t>
  </si>
  <si>
    <t>41.27</t>
  </si>
  <si>
    <t>30.73</t>
  </si>
  <si>
    <t>41.78</t>
  </si>
  <si>
    <t>3:45.93</t>
  </si>
  <si>
    <t>2:15.52</t>
  </si>
  <si>
    <t>31.38</t>
  </si>
  <si>
    <t>46.62</t>
  </si>
  <si>
    <t>6.61</t>
  </si>
  <si>
    <t>jpep</t>
  </si>
  <si>
    <t>6.67</t>
  </si>
  <si>
    <t>24.88</t>
  </si>
  <si>
    <t>1:11.08</t>
  </si>
  <si>
    <t>1:13.45</t>
  </si>
  <si>
    <t>6.69</t>
  </si>
  <si>
    <t>10.32</t>
  </si>
  <si>
    <t>47.78</t>
  </si>
  <si>
    <t>3:19.29</t>
  </si>
  <si>
    <t>41.98</t>
  </si>
  <si>
    <t>47.88</t>
  </si>
  <si>
    <t>2:09.37</t>
  </si>
  <si>
    <t>2:34.94</t>
  </si>
  <si>
    <t>43.20</t>
  </si>
  <si>
    <t>42.17</t>
  </si>
  <si>
    <t>42.32</t>
  </si>
  <si>
    <t>3:47.26</t>
  </si>
  <si>
    <t>1:09.42</t>
  </si>
  <si>
    <t>41.59</t>
  </si>
  <si>
    <t>53.34</t>
  </si>
  <si>
    <t>28.70</t>
  </si>
  <si>
    <t>26.72</t>
  </si>
  <si>
    <t>28.54</t>
  </si>
  <si>
    <t>32.06</t>
  </si>
  <si>
    <t>PlantFanClub</t>
  </si>
  <si>
    <t>5:42.56</t>
  </si>
  <si>
    <t>28.828</t>
  </si>
  <si>
    <t>1:25.86</t>
  </si>
  <si>
    <t>28.82</t>
  </si>
  <si>
    <t>2:51.671</t>
  </si>
  <si>
    <t>1:09.502</t>
  </si>
  <si>
    <t>1:11.85</t>
  </si>
  <si>
    <t>2:57.00</t>
  </si>
  <si>
    <t>28.97</t>
  </si>
  <si>
    <t>50.05</t>
  </si>
  <si>
    <t>1:27</t>
  </si>
  <si>
    <t>1:12</t>
  </si>
  <si>
    <t>41.25</t>
  </si>
  <si>
    <t>28.31</t>
  </si>
  <si>
    <t>15.37</t>
  </si>
  <si>
    <t>12.26</t>
  </si>
  <si>
    <t>1:11.55</t>
  </si>
  <si>
    <t>12.35</t>
  </si>
  <si>
    <t>39.22</t>
  </si>
  <si>
    <t>12.27</t>
  </si>
  <si>
    <t>1:09.79</t>
  </si>
  <si>
    <t>12.30</t>
  </si>
  <si>
    <t>12.46</t>
  </si>
  <si>
    <t>39.55</t>
  </si>
  <si>
    <t>12.36</t>
  </si>
  <si>
    <t>weird_th</t>
  </si>
  <si>
    <t>43.41</t>
  </si>
  <si>
    <t>2:32.57</t>
  </si>
  <si>
    <t>[1] go around</t>
  </si>
  <si>
    <t>24.75</t>
  </si>
  <si>
    <t>2:19.38</t>
  </si>
  <si>
    <t>Ian_LC</t>
  </si>
  <si>
    <t>32.73</t>
  </si>
  <si>
    <t>55.34</t>
  </si>
  <si>
    <t>42.13</t>
  </si>
  <si>
    <t>47.814</t>
  </si>
  <si>
    <t>21.51</t>
  </si>
  <si>
    <t>Embouchure</t>
  </si>
  <si>
    <t>23.03</t>
  </si>
  <si>
    <t xml:space="preserve">  [2] boat-hop</t>
  </si>
  <si>
    <t>36.98</t>
  </si>
  <si>
    <t>1:14.04</t>
  </si>
  <si>
    <t>37.90</t>
  </si>
  <si>
    <t>38.75</t>
  </si>
  <si>
    <t>9.76</t>
  </si>
  <si>
    <t>38.92</t>
  </si>
  <si>
    <t>24.67</t>
  </si>
  <si>
    <t>20.60</t>
  </si>
  <si>
    <t>23.57</t>
  </si>
  <si>
    <t xml:space="preserve">    [3] Yamata cycle</t>
  </si>
  <si>
    <t>36.36</t>
  </si>
  <si>
    <t>6.31</t>
  </si>
  <si>
    <t>9064</t>
  </si>
  <si>
    <t>15</t>
  </si>
  <si>
    <t>88</t>
  </si>
  <si>
    <t>50.66</t>
  </si>
  <si>
    <t>36.60</t>
  </si>
  <si>
    <t xml:space="preserve">      [4] TAS</t>
  </si>
  <si>
    <t>36.63</t>
  </si>
  <si>
    <t>32.04</t>
  </si>
  <si>
    <t>Ricrexx</t>
  </si>
  <si>
    <t>32.33</t>
  </si>
  <si>
    <t>1:06.97</t>
  </si>
  <si>
    <t>2:14.06</t>
  </si>
  <si>
    <t>1:08.38</t>
  </si>
  <si>
    <t>35.02</t>
  </si>
  <si>
    <t>38.39</t>
  </si>
  <si>
    <t>55.07</t>
  </si>
  <si>
    <t>33.08</t>
  </si>
  <si>
    <t>42.59</t>
  </si>
  <si>
    <t>schmittd</t>
  </si>
  <si>
    <t>34.06</t>
  </si>
  <si>
    <t>49.76</t>
  </si>
  <si>
    <t>3:58.29</t>
  </si>
  <si>
    <t>32.18</t>
  </si>
  <si>
    <t>4:57</t>
  </si>
  <si>
    <t>14.17</t>
  </si>
  <si>
    <t>43.65</t>
  </si>
  <si>
    <t>35.85</t>
  </si>
  <si>
    <t>[1] right-side</t>
  </si>
  <si>
    <t>Rox</t>
  </si>
  <si>
    <t>54.48</t>
  </si>
  <si>
    <t>1:38.38</t>
  </si>
  <si>
    <t>57.08</t>
  </si>
  <si>
    <t>57.190</t>
  </si>
  <si>
    <t>56.01</t>
  </si>
  <si>
    <t>1:38.74</t>
  </si>
  <si>
    <t>58.38</t>
  </si>
  <si>
    <t>58.15</t>
  </si>
  <si>
    <t>32.86</t>
  </si>
  <si>
    <t>55.90</t>
  </si>
  <si>
    <t>1:03.18</t>
  </si>
  <si>
    <t>TheHaywire</t>
  </si>
  <si>
    <t>2:03.81</t>
  </si>
  <si>
    <t>38.40</t>
  </si>
  <si>
    <t>41.93</t>
  </si>
  <si>
    <t xml:space="preserve">  [2,1] left-side, no damage gp cancel</t>
  </si>
  <si>
    <t>25.52</t>
  </si>
  <si>
    <t>55.18</t>
  </si>
  <si>
    <t>8.71</t>
  </si>
  <si>
    <t>rudhira</t>
  </si>
  <si>
    <t>51.14</t>
  </si>
  <si>
    <t>5:19</t>
  </si>
  <si>
    <t xml:space="preserve">  [2,2] left-side, damage gp cancel</t>
  </si>
  <si>
    <t>18.03</t>
  </si>
  <si>
    <t>3:25.24</t>
  </si>
  <si>
    <t>52.80</t>
  </si>
  <si>
    <t>4:17.68</t>
  </si>
  <si>
    <t>25.44</t>
  </si>
  <si>
    <t>45:13</t>
  </si>
  <si>
    <t>3:52</t>
  </si>
  <si>
    <t>28.81</t>
  </si>
  <si>
    <t>11:23</t>
  </si>
  <si>
    <t>53.01</t>
  </si>
  <si>
    <t>averag6trova</t>
  </si>
  <si>
    <t>52.98</t>
  </si>
  <si>
    <t>32.35</t>
  </si>
  <si>
    <t>52.97</t>
  </si>
  <si>
    <t>41.71</t>
  </si>
  <si>
    <t>45.18</t>
  </si>
  <si>
    <t>[1] tree triple-jump</t>
  </si>
  <si>
    <t>44.93</t>
  </si>
  <si>
    <t>1:14.88</t>
  </si>
  <si>
    <t>51.87</t>
  </si>
  <si>
    <t>pixel626</t>
  </si>
  <si>
    <t>11.19</t>
  </si>
  <si>
    <t>42.56</t>
  </si>
  <si>
    <t xml:space="preserve">  [2,1] boat movement</t>
  </si>
  <si>
    <t>43.23</t>
  </si>
  <si>
    <t>44.10</t>
  </si>
  <si>
    <t>1:40.29</t>
  </si>
  <si>
    <t>44.53</t>
  </si>
  <si>
    <t>50.86</t>
  </si>
  <si>
    <t>plankton</t>
  </si>
  <si>
    <t>33.81</t>
  </si>
  <si>
    <t>22.36</t>
  </si>
  <si>
    <t>47.75</t>
  </si>
  <si>
    <t xml:space="preserve">  [2,2] advanced boat movement</t>
  </si>
  <si>
    <t>42.442</t>
  </si>
  <si>
    <t>2:00.95</t>
  </si>
  <si>
    <t>DrewCoug</t>
  </si>
  <si>
    <t>2:27.04</t>
  </si>
  <si>
    <t>4:24.41</t>
  </si>
  <si>
    <t xml:space="preserve">    [3] boat beyblade</t>
  </si>
  <si>
    <t>43.08</t>
  </si>
  <si>
    <t>1:10.65</t>
  </si>
  <si>
    <t>47.50</t>
  </si>
  <si>
    <t>43.10</t>
  </si>
  <si>
    <t>AlaeusSR</t>
  </si>
  <si>
    <t>33.27</t>
  </si>
  <si>
    <t>1:32.19</t>
  </si>
  <si>
    <t>10.94</t>
  </si>
  <si>
    <t>[1] over top right</t>
  </si>
  <si>
    <t>51.27</t>
  </si>
  <si>
    <t>MadTyro</t>
  </si>
  <si>
    <t>28.56</t>
  </si>
  <si>
    <t>1:02:35</t>
  </si>
  <si>
    <t>29.19</t>
  </si>
  <si>
    <t xml:space="preserve">  [2] over top center</t>
  </si>
  <si>
    <t>48.35</t>
  </si>
  <si>
    <t>1:02.30</t>
  </si>
  <si>
    <t>40.07</t>
  </si>
  <si>
    <t>SantaAries</t>
  </si>
  <si>
    <t>29.21</t>
  </si>
  <si>
    <t>43.57</t>
  </si>
  <si>
    <t>48.80</t>
  </si>
  <si>
    <t>26.52</t>
  </si>
  <si>
    <t>pancake</t>
  </si>
  <si>
    <t>28.69</t>
  </si>
  <si>
    <t>2:16.76</t>
  </si>
  <si>
    <t>17.61</t>
  </si>
  <si>
    <t>29.22</t>
  </si>
  <si>
    <t>30.66</t>
  </si>
  <si>
    <t>1:17.33</t>
  </si>
  <si>
    <t>1:28.00</t>
  </si>
  <si>
    <t>42.20</t>
  </si>
  <si>
    <t>29.596</t>
  </si>
  <si>
    <t>20.77</t>
  </si>
  <si>
    <t>29.62</t>
  </si>
  <si>
    <t>1:14.07</t>
  </si>
  <si>
    <t>30.25</t>
  </si>
  <si>
    <t>29.95</t>
  </si>
  <si>
    <t>9.23</t>
  </si>
  <si>
    <t>27.12</t>
  </si>
  <si>
    <t>31.61</t>
  </si>
  <si>
    <t>22.68</t>
  </si>
  <si>
    <t>27.13</t>
  </si>
  <si>
    <t>27.25</t>
  </si>
  <si>
    <t>27.77</t>
  </si>
  <si>
    <t>8924</t>
  </si>
  <si>
    <t>90</t>
  </si>
  <si>
    <t>28.428</t>
  </si>
  <si>
    <t>101</t>
  </si>
  <si>
    <t>1:18.95</t>
  </si>
  <si>
    <t>36.93</t>
  </si>
  <si>
    <t>27.38</t>
  </si>
  <si>
    <t>42.73</t>
  </si>
  <si>
    <t>28.05</t>
  </si>
  <si>
    <t>2:14.27</t>
  </si>
  <si>
    <t>1:09.10</t>
  </si>
  <si>
    <t>18.17</t>
  </si>
  <si>
    <t>24.69</t>
  </si>
  <si>
    <t>1:05.65</t>
  </si>
  <si>
    <t>19.80</t>
  </si>
  <si>
    <t>31.197</t>
  </si>
  <si>
    <t>2:18.16</t>
  </si>
  <si>
    <t>16.68</t>
  </si>
  <si>
    <t xml:space="preserve">  Full (EYG)</t>
  </si>
  <si>
    <t>[1,1] 2-stu (JP)</t>
  </si>
  <si>
    <t>1:21.28</t>
  </si>
  <si>
    <t>14.44</t>
  </si>
  <si>
    <t>44.55</t>
  </si>
  <si>
    <t>1:32.06</t>
  </si>
  <si>
    <t>54.11</t>
  </si>
  <si>
    <t>1:22.63</t>
  </si>
  <si>
    <t>1:23.48</t>
  </si>
  <si>
    <t>1:37.82</t>
  </si>
  <si>
    <t>1:24.59</t>
  </si>
  <si>
    <t>47.27</t>
  </si>
  <si>
    <t>1:01.41</t>
  </si>
  <si>
    <t>1:59.98</t>
  </si>
  <si>
    <t>1:23.59</t>
  </si>
  <si>
    <t>39.24</t>
  </si>
  <si>
    <t>[1,2] 2-stu (PAL/U)</t>
  </si>
  <si>
    <t>1:18.20</t>
  </si>
  <si>
    <t>1:42.12</t>
  </si>
  <si>
    <t>1:34.55</t>
  </si>
  <si>
    <t>1:02.62</t>
  </si>
  <si>
    <t>46.39</t>
  </si>
  <si>
    <t xml:space="preserve">  [2,1] 1-stu (JP)</t>
  </si>
  <si>
    <t>1:15.51</t>
  </si>
  <si>
    <t>1:19.39</t>
  </si>
  <si>
    <t>1:15.95</t>
  </si>
  <si>
    <t>1:20.01</t>
  </si>
  <si>
    <t>1:37.42</t>
  </si>
  <si>
    <t>32.85</t>
  </si>
  <si>
    <t>1:16.15</t>
  </si>
  <si>
    <t>53.61</t>
  </si>
  <si>
    <t>41.73</t>
  </si>
  <si>
    <t xml:space="preserve">  [2,2] 1-stu (PAL/U)</t>
  </si>
  <si>
    <t>1:12.68</t>
  </si>
  <si>
    <t>1:19.12</t>
  </si>
  <si>
    <t>1:22.06</t>
  </si>
  <si>
    <t>1:24.32</t>
  </si>
  <si>
    <t>1:18.58</t>
  </si>
  <si>
    <t>1:29.78</t>
  </si>
  <si>
    <t xml:space="preserve">  Outside (3YG)</t>
  </si>
  <si>
    <t>34.11</t>
  </si>
  <si>
    <t>58.30</t>
  </si>
  <si>
    <t>52.73</t>
  </si>
  <si>
    <t>21.07</t>
  </si>
  <si>
    <t>1:53.25</t>
  </si>
  <si>
    <t>2:29.97</t>
  </si>
  <si>
    <t>[1,2] 1-stu 2-pound (JP)</t>
  </si>
  <si>
    <t>2:23.93</t>
  </si>
  <si>
    <t>22.00</t>
  </si>
  <si>
    <t>4:25.94</t>
  </si>
  <si>
    <t>1:11.02</t>
  </si>
  <si>
    <t>[1,3] 1-stu 1-pound 1-circle(JP)</t>
  </si>
  <si>
    <t>2:19.92</t>
  </si>
  <si>
    <t>53.64</t>
  </si>
  <si>
    <t>50.24</t>
  </si>
  <si>
    <t>27.94</t>
  </si>
  <si>
    <t>11.38</t>
  </si>
  <si>
    <t>53.09</t>
  </si>
  <si>
    <t>[1,4] 1-stu 1-pound (JP)</t>
  </si>
  <si>
    <t>46.77</t>
  </si>
  <si>
    <t>47.20</t>
  </si>
  <si>
    <t>1:38.02</t>
  </si>
  <si>
    <t xml:space="preserve">  [2,1] 2-stu (PAL/U)</t>
  </si>
  <si>
    <t>40.74</t>
  </si>
  <si>
    <t>27.05</t>
  </si>
  <si>
    <t>44.57</t>
  </si>
  <si>
    <t>2:17.16</t>
  </si>
  <si>
    <t>18.26</t>
  </si>
  <si>
    <t>49.81</t>
  </si>
  <si>
    <t>1:29.02</t>
  </si>
  <si>
    <t>44.36</t>
  </si>
  <si>
    <t>1:33.51</t>
  </si>
  <si>
    <t xml:space="preserve">  Outside (5YG)</t>
  </si>
  <si>
    <t>[1] 2-stu</t>
  </si>
  <si>
    <t>1:09.86</t>
  </si>
  <si>
    <t>23.13</t>
  </si>
  <si>
    <t>21.10</t>
  </si>
  <si>
    <t xml:space="preserve">  [2] 1-stu</t>
  </si>
  <si>
    <t>1:15.64</t>
  </si>
  <si>
    <t>31.68</t>
  </si>
  <si>
    <t xml:space="preserve">  Yoshi Mount (EYG)</t>
  </si>
  <si>
    <t>[1] banana</t>
  </si>
  <si>
    <t>10.72</t>
  </si>
  <si>
    <t>50.65</t>
  </si>
  <si>
    <t>10.76</t>
  </si>
  <si>
    <t>25.15</t>
  </si>
  <si>
    <t>10.75</t>
  </si>
  <si>
    <t>20.00</t>
  </si>
  <si>
    <t>12.87</t>
  </si>
  <si>
    <t>11.42</t>
  </si>
  <si>
    <t>12.84</t>
  </si>
  <si>
    <t>11.13</t>
  </si>
  <si>
    <t>8542</t>
  </si>
  <si>
    <t>83</t>
  </si>
  <si>
    <t>50.56</t>
  </si>
  <si>
    <t>1:19.38</t>
  </si>
  <si>
    <t>36.96</t>
  </si>
  <si>
    <t>[1] papaya</t>
  </si>
  <si>
    <t>10.90</t>
  </si>
  <si>
    <t>11.78</t>
  </si>
  <si>
    <t>10.92</t>
  </si>
  <si>
    <t>2:15.45</t>
  </si>
  <si>
    <t>38.32</t>
  </si>
  <si>
    <t>[1] pineapple</t>
  </si>
  <si>
    <t>10.74</t>
  </si>
  <si>
    <t>42.46</t>
  </si>
  <si>
    <t>11.50</t>
  </si>
  <si>
    <t>49.96</t>
  </si>
  <si>
    <t>43.64</t>
  </si>
  <si>
    <t>[1] coconut</t>
  </si>
  <si>
    <t>14.60</t>
  </si>
  <si>
    <t>15.76</t>
  </si>
  <si>
    <t>14.73</t>
  </si>
  <si>
    <t>1:38.07</t>
  </si>
  <si>
    <t>1:33.91</t>
  </si>
  <si>
    <t>[1] left</t>
  </si>
  <si>
    <t>12.99</t>
  </si>
  <si>
    <t>38.50</t>
  </si>
  <si>
    <t>13.01</t>
  </si>
  <si>
    <t>1:04.39</t>
  </si>
  <si>
    <t>13.26</t>
  </si>
  <si>
    <t>13.07</t>
  </si>
  <si>
    <t>13.16</t>
  </si>
  <si>
    <t>8.57</t>
  </si>
  <si>
    <t>13.046</t>
  </si>
  <si>
    <t>26.40</t>
  </si>
  <si>
    <t>13.00</t>
  </si>
  <si>
    <t>48.53</t>
  </si>
  <si>
    <t>41.65</t>
  </si>
  <si>
    <t>13.10</t>
  </si>
  <si>
    <t>28.47</t>
  </si>
  <si>
    <t xml:space="preserve">  [2] right</t>
  </si>
  <si>
    <t>12.19</t>
  </si>
  <si>
    <t>52.44</t>
  </si>
  <si>
    <t>12.28</t>
  </si>
  <si>
    <t>40.83</t>
  </si>
  <si>
    <t>12.34</t>
  </si>
  <si>
    <t>45.48</t>
  </si>
  <si>
    <t>12.22</t>
  </si>
  <si>
    <t>1:12.65</t>
  </si>
  <si>
    <r>
      <rPr>
        <rFont val="Arial"/>
        <color rgb="FF1155CC"/>
        <sz val="9.0"/>
        <u/>
      </rPr>
      <t>12.2</t>
    </r>
    <r>
      <rPr>
        <rFont val="Arial"/>
        <color rgb="FF1155CC"/>
        <sz val="9.0"/>
        <u/>
      </rPr>
      <t>4</t>
    </r>
  </si>
  <si>
    <t>1:15.52</t>
  </si>
  <si>
    <t>10.46</t>
  </si>
  <si>
    <t>12.76</t>
  </si>
  <si>
    <t>59.71</t>
  </si>
  <si>
    <t>1:29.91</t>
  </si>
  <si>
    <t>1:14.16</t>
  </si>
  <si>
    <t>1:27.71</t>
  </si>
  <si>
    <t>[1] no holy rocket</t>
  </si>
  <si>
    <t>1:18.91</t>
  </si>
  <si>
    <t>32.61</t>
  </si>
  <si>
    <t>1:05.68</t>
  </si>
  <si>
    <t>1:06.166</t>
  </si>
  <si>
    <t>48.90</t>
  </si>
  <si>
    <t>2:09.77</t>
  </si>
  <si>
    <t>2:30.27</t>
  </si>
  <si>
    <t>10.26</t>
  </si>
  <si>
    <t>2:24.40</t>
  </si>
  <si>
    <t>4:27.34</t>
  </si>
  <si>
    <t>11.044</t>
  </si>
  <si>
    <t>1:12.19</t>
  </si>
  <si>
    <t>Episode 2 Reds (IGT)</t>
  </si>
  <si>
    <t>[1] normal cycle</t>
  </si>
  <si>
    <t>36.18</t>
  </si>
  <si>
    <t>35.88</t>
  </si>
  <si>
    <t>34.01</t>
  </si>
  <si>
    <t>32.83</t>
  </si>
  <si>
    <t>1:31.99</t>
  </si>
  <si>
    <t>51.88</t>
  </si>
  <si>
    <t xml:space="preserve">  [2] early cycle</t>
  </si>
  <si>
    <t>15.57</t>
  </si>
  <si>
    <t>29.28</t>
  </si>
  <si>
    <t>35.44</t>
  </si>
  <si>
    <t>30.23</t>
  </si>
  <si>
    <t>2:17.86</t>
  </si>
  <si>
    <t>1:28.84</t>
  </si>
  <si>
    <t>1:25.37</t>
  </si>
  <si>
    <t>1:28.64</t>
  </si>
  <si>
    <t>1:25.29</t>
  </si>
  <si>
    <t>1:26.14</t>
  </si>
  <si>
    <t>1:25.54</t>
  </si>
  <si>
    <t>1:16.31</t>
  </si>
  <si>
    <t>50.417</t>
  </si>
  <si>
    <t>22.63</t>
  </si>
  <si>
    <t>51.117</t>
  </si>
  <si>
    <t>46.446</t>
  </si>
  <si>
    <t>1:14.89</t>
  </si>
  <si>
    <t>1:34.99</t>
  </si>
  <si>
    <t>6.56</t>
  </si>
  <si>
    <t>1:22.64</t>
  </si>
  <si>
    <t>shoutplenty</t>
  </si>
  <si>
    <t>8540</t>
  </si>
  <si>
    <t>1:22.182</t>
  </si>
  <si>
    <t>Hotel Entry</t>
  </si>
  <si>
    <t>2:19.93</t>
  </si>
  <si>
    <t>[1] no stair rollout cancel</t>
  </si>
  <si>
    <t>10.65</t>
  </si>
  <si>
    <t>38.49</t>
  </si>
  <si>
    <t>10.77</t>
  </si>
  <si>
    <t>11.03</t>
  </si>
  <si>
    <t>10.73</t>
  </si>
  <si>
    <t>10.93</t>
  </si>
  <si>
    <t>10.70</t>
  </si>
  <si>
    <t>38.35</t>
  </si>
  <si>
    <t>10.96</t>
  </si>
  <si>
    <t>10.80</t>
  </si>
  <si>
    <t>10.86</t>
  </si>
  <si>
    <t>10.85</t>
  </si>
  <si>
    <t>16.94</t>
  </si>
  <si>
    <t xml:space="preserve">  [2] stair rollout cancel</t>
  </si>
  <si>
    <t>10.56</t>
  </si>
  <si>
    <t>10.60</t>
  </si>
  <si>
    <t>1:38.05</t>
  </si>
  <si>
    <t>Casino Entry</t>
  </si>
  <si>
    <t>15.61</t>
  </si>
  <si>
    <t>15.78</t>
  </si>
  <si>
    <t>16.67</t>
  </si>
  <si>
    <t>15.65</t>
  </si>
  <si>
    <t>16.05</t>
  </si>
  <si>
    <t>15.72</t>
  </si>
  <si>
    <t>15.87</t>
  </si>
  <si>
    <t>16.02</t>
  </si>
  <si>
    <t>15.89</t>
  </si>
  <si>
    <t>4.35</t>
  </si>
  <si>
    <t>4.40</t>
  </si>
  <si>
    <t>47.29</t>
  </si>
  <si>
    <t>4.41</t>
  </si>
  <si>
    <t>26.42</t>
  </si>
  <si>
    <t>[1] no momentum spin</t>
  </si>
  <si>
    <t>54.51</t>
  </si>
  <si>
    <t>27.71</t>
  </si>
  <si>
    <t xml:space="preserve">  [2] momentum spin</t>
  </si>
  <si>
    <t>50.32</t>
  </si>
  <si>
    <t>51.58</t>
  </si>
  <si>
    <t>43.02</t>
  </si>
  <si>
    <t>53.119</t>
  </si>
  <si>
    <t>2:36.72</t>
  </si>
  <si>
    <t>51.49</t>
  </si>
  <si>
    <t>[1] no momentum spin, no GWKD</t>
  </si>
  <si>
    <t>36.61</t>
  </si>
  <si>
    <t>39.65</t>
  </si>
  <si>
    <t xml:space="preserve">  [2] momentum spin, no GWKD</t>
  </si>
  <si>
    <t>33.51</t>
  </si>
  <si>
    <t>34.26</t>
  </si>
  <si>
    <t>34.41</t>
  </si>
  <si>
    <t>33.91</t>
  </si>
  <si>
    <t>35.602</t>
  </si>
  <si>
    <t>35.12</t>
  </si>
  <si>
    <t>39.74</t>
  </si>
  <si>
    <t>33.78</t>
  </si>
  <si>
    <t>34.88</t>
  </si>
  <si>
    <t>34.19</t>
  </si>
  <si>
    <t>34.91</t>
  </si>
  <si>
    <t xml:space="preserve">    [3] momentum spin, GWKD</t>
  </si>
  <si>
    <t>33.61</t>
  </si>
  <si>
    <t>21.74</t>
  </si>
  <si>
    <t>34.81</t>
  </si>
  <si>
    <t>2:09.57</t>
  </si>
  <si>
    <t>2:25.86</t>
  </si>
  <si>
    <t>21.94</t>
  </si>
  <si>
    <t xml:space="preserve">  Outside (Level start)</t>
  </si>
  <si>
    <t>15.45</t>
  </si>
  <si>
    <t>4:24.84</t>
  </si>
  <si>
    <t>15.58</t>
  </si>
  <si>
    <t>1:11.22</t>
  </si>
  <si>
    <t>16.12</t>
  </si>
  <si>
    <t>15.90</t>
  </si>
  <si>
    <t>15.62</t>
  </si>
  <si>
    <t>2:25.39</t>
  </si>
  <si>
    <t xml:space="preserve">  [2] boo bounce</t>
  </si>
  <si>
    <t>28.59</t>
  </si>
  <si>
    <t>15.41</t>
  </si>
  <si>
    <t>32.97</t>
  </si>
  <si>
    <t>1:36.89</t>
  </si>
  <si>
    <t>15.73</t>
  </si>
  <si>
    <t>52.99</t>
  </si>
  <si>
    <t xml:space="preserve">  Outside (Hotel start)</t>
  </si>
  <si>
    <t>4.06</t>
  </si>
  <si>
    <t>4.19</t>
  </si>
  <si>
    <t>4.88</t>
  </si>
  <si>
    <t>4.22</t>
  </si>
  <si>
    <t>1:11.49</t>
  </si>
  <si>
    <t>4.46</t>
  </si>
  <si>
    <t>4.16</t>
  </si>
  <si>
    <t>1:45.39</t>
  </si>
  <si>
    <t>44.54</t>
  </si>
  <si>
    <t>3.92</t>
  </si>
  <si>
    <t>4.13</t>
  </si>
  <si>
    <t>30.08</t>
  </si>
  <si>
    <t>4.08</t>
  </si>
  <si>
    <t>44.30</t>
  </si>
  <si>
    <t xml:space="preserve">    [3] TAS strat</t>
  </si>
  <si>
    <t>3.59</t>
  </si>
  <si>
    <t>28.14</t>
  </si>
  <si>
    <t>2:14.93</t>
  </si>
  <si>
    <t>[1] front-side pole, no GWK</t>
  </si>
  <si>
    <t>23.85</t>
  </si>
  <si>
    <t>24.52</t>
  </si>
  <si>
    <t>1:28.37</t>
  </si>
  <si>
    <t>24.33</t>
  </si>
  <si>
    <t>1:01.78</t>
  </si>
  <si>
    <t>1:35.86</t>
  </si>
  <si>
    <t xml:space="preserve">  [2] back-side pole, no GWK</t>
  </si>
  <si>
    <t>23.29</t>
  </si>
  <si>
    <t>42.79</t>
  </si>
  <si>
    <t>24.46</t>
  </si>
  <si>
    <t>23.83</t>
  </si>
  <si>
    <t>24.50</t>
  </si>
  <si>
    <t>25.33</t>
  </si>
  <si>
    <t>23.73</t>
  </si>
  <si>
    <t xml:space="preserve">    [3] back-side pole, GWK</t>
  </si>
  <si>
    <t>22.35</t>
  </si>
  <si>
    <t>23.22</t>
  </si>
  <si>
    <t>20.53</t>
  </si>
  <si>
    <t>23.33</t>
  </si>
  <si>
    <t>20.43</t>
  </si>
  <si>
    <t>23.15</t>
  </si>
  <si>
    <t>31.04</t>
  </si>
  <si>
    <t>22.32</t>
  </si>
  <si>
    <t>50.57</t>
  </si>
  <si>
    <t>[1] groundpound, no GWK</t>
  </si>
  <si>
    <t>22.73</t>
  </si>
  <si>
    <t>21.87</t>
  </si>
  <si>
    <t xml:space="preserve">  [2] no gp, front-side pole, no GWK</t>
  </si>
  <si>
    <t>24.10</t>
  </si>
  <si>
    <t>20.57</t>
  </si>
  <si>
    <t xml:space="preserve">    [3] no gp, back-side pole, no GWK</t>
  </si>
  <si>
    <t>11.30</t>
  </si>
  <si>
    <t>25.04</t>
  </si>
  <si>
    <t>11.66</t>
  </si>
  <si>
    <t>BlazeRol</t>
  </si>
  <si>
    <t>12.33</t>
  </si>
  <si>
    <t>12.13</t>
  </si>
  <si>
    <t>8521</t>
  </si>
  <si>
    <t>93</t>
  </si>
  <si>
    <t xml:space="preserve">      [4] no gp, back-side pole, GWK</t>
  </si>
  <si>
    <t>11.08</t>
  </si>
  <si>
    <t>36.80</t>
  </si>
  <si>
    <t>11.36</t>
  </si>
  <si>
    <t>10.79</t>
  </si>
  <si>
    <t>11.40</t>
  </si>
  <si>
    <t>2:14.53</t>
  </si>
  <si>
    <t>1:08.67</t>
  </si>
  <si>
    <t>[1] no momentum spin/buttslides</t>
  </si>
  <si>
    <t>52.79</t>
  </si>
  <si>
    <t>56.47</t>
  </si>
  <si>
    <t>2:19.08</t>
  </si>
  <si>
    <t xml:space="preserve">  [2] no buttslides, momentum spin</t>
  </si>
  <si>
    <t>50.35</t>
  </si>
  <si>
    <t>49.86</t>
  </si>
  <si>
    <t>54.18</t>
  </si>
  <si>
    <t>54.60</t>
  </si>
  <si>
    <t>52.10</t>
  </si>
  <si>
    <t>54.00</t>
  </si>
  <si>
    <t>51.39</t>
  </si>
  <si>
    <t>1:01.40</t>
  </si>
  <si>
    <t>55.21</t>
  </si>
  <si>
    <t xml:space="preserve">    [3] 1st wall-kick, momentum spin</t>
  </si>
  <si>
    <t>1:38.62</t>
  </si>
  <si>
    <t xml:space="preserve">      [4] 1st buttslide, momentum spin</t>
  </si>
  <si>
    <t>32.82</t>
  </si>
  <si>
    <t>50.10</t>
  </si>
  <si>
    <t>1:00.78</t>
  </si>
  <si>
    <t>51.09</t>
  </si>
  <si>
    <t>54.154</t>
  </si>
  <si>
    <t>2:06.98</t>
  </si>
  <si>
    <t>38.45</t>
  </si>
  <si>
    <t>1:39.16</t>
  </si>
  <si>
    <t xml:space="preserve">        [5] both buttslides, no platform skips</t>
  </si>
  <si>
    <t>1:04.75</t>
  </si>
  <si>
    <t>49.35</t>
  </si>
  <si>
    <t>48.85</t>
  </si>
  <si>
    <t>41.42</t>
  </si>
  <si>
    <t>25.88</t>
  </si>
  <si>
    <t>34.30</t>
  </si>
  <si>
    <t>25.97</t>
  </si>
  <si>
    <t>52.78</t>
  </si>
  <si>
    <t>27:95</t>
  </si>
  <si>
    <t>42.40</t>
  </si>
  <si>
    <t>23.70</t>
  </si>
  <si>
    <t>24.31</t>
  </si>
  <si>
    <t>27.57</t>
  </si>
  <si>
    <t>23.98</t>
  </si>
  <si>
    <t>24.94</t>
  </si>
  <si>
    <t>1:19.74</t>
  </si>
  <si>
    <t>24.25</t>
  </si>
  <si>
    <t>24.90</t>
  </si>
  <si>
    <t>10.40</t>
  </si>
  <si>
    <t>23.90</t>
  </si>
  <si>
    <t>24.24</t>
  </si>
  <si>
    <t>23.74</t>
  </si>
  <si>
    <t>24.14</t>
  </si>
  <si>
    <t>1:10.53</t>
  </si>
  <si>
    <t>24.57</t>
  </si>
  <si>
    <t>23.67</t>
  </si>
  <si>
    <t>1:29.54</t>
  </si>
  <si>
    <t>1:19.96</t>
  </si>
  <si>
    <t>24.77</t>
  </si>
  <si>
    <t>34.58</t>
  </si>
  <si>
    <t>23.04</t>
  </si>
  <si>
    <t>22.19</t>
  </si>
  <si>
    <t>23.40</t>
  </si>
  <si>
    <t>47.52</t>
  </si>
  <si>
    <t>25.725</t>
  </si>
  <si>
    <t>23.51</t>
  </si>
  <si>
    <t>23.54</t>
  </si>
  <si>
    <t>20.61</t>
  </si>
  <si>
    <t>23.97</t>
  </si>
  <si>
    <t>2:02.33</t>
  </si>
  <si>
    <t>23.08</t>
  </si>
  <si>
    <t>23.68</t>
  </si>
  <si>
    <t>23.27</t>
  </si>
  <si>
    <t>23.44</t>
  </si>
  <si>
    <t>23.28</t>
  </si>
  <si>
    <t>23.21</t>
  </si>
  <si>
    <t>24.08</t>
  </si>
  <si>
    <t>54.27</t>
  </si>
  <si>
    <t>21.75</t>
  </si>
  <si>
    <t>21.70</t>
  </si>
  <si>
    <t>53.25</t>
  </si>
  <si>
    <t>28.91</t>
  </si>
  <si>
    <t>1:11.51</t>
  </si>
  <si>
    <t>26.32</t>
  </si>
  <si>
    <t>25.31</t>
  </si>
  <si>
    <t>26.49</t>
  </si>
  <si>
    <t>44.67</t>
  </si>
  <si>
    <t>25.46</t>
  </si>
  <si>
    <t>25.85</t>
  </si>
  <si>
    <t>25.76</t>
  </si>
  <si>
    <t>27.18</t>
  </si>
  <si>
    <t xml:space="preserve">  Casino</t>
  </si>
  <si>
    <t>8.66</t>
  </si>
  <si>
    <t>2:16.69</t>
  </si>
  <si>
    <t>8.80</t>
  </si>
  <si>
    <t>17.60</t>
  </si>
  <si>
    <t>8.79</t>
  </si>
  <si>
    <t>8.76</t>
  </si>
  <si>
    <t>1:04.35</t>
  </si>
  <si>
    <t>8.89</t>
  </si>
  <si>
    <t>42.83</t>
  </si>
  <si>
    <t>[1] no cycle skips</t>
  </si>
  <si>
    <t>2:09.18</t>
  </si>
  <si>
    <t>2:03.16</t>
  </si>
  <si>
    <t>2:38.258</t>
  </si>
  <si>
    <t>21.03</t>
  </si>
  <si>
    <t>1:16.86</t>
  </si>
  <si>
    <t>30.79</t>
  </si>
  <si>
    <t>20.63</t>
  </si>
  <si>
    <t>20.73</t>
  </si>
  <si>
    <t>22.08</t>
  </si>
  <si>
    <t>20.74</t>
  </si>
  <si>
    <t>49.72</t>
  </si>
  <si>
    <t>22.756</t>
  </si>
  <si>
    <t>22.52</t>
  </si>
  <si>
    <t>20.79</t>
  </si>
  <si>
    <t>20.96</t>
  </si>
  <si>
    <t>[1] JP</t>
  </si>
  <si>
    <t>19.57</t>
  </si>
  <si>
    <t>47.64</t>
  </si>
  <si>
    <t>46.04</t>
  </si>
  <si>
    <t>1.02.328</t>
  </si>
  <si>
    <t>6.47</t>
  </si>
  <si>
    <t>8357</t>
  </si>
  <si>
    <t xml:space="preserve">  [2] US / PAL</t>
  </si>
  <si>
    <t>66</t>
  </si>
  <si>
    <t>1:19.25</t>
  </si>
  <si>
    <t>37.01</t>
  </si>
  <si>
    <t>48.88</t>
  </si>
  <si>
    <t>[1] no quick kill</t>
  </si>
  <si>
    <t>22.90</t>
  </si>
  <si>
    <t>24.03</t>
  </si>
  <si>
    <t>2:11.20</t>
  </si>
  <si>
    <t>23.590</t>
  </si>
  <si>
    <t>25.058</t>
  </si>
  <si>
    <t>1:09.11</t>
  </si>
  <si>
    <t>27.82</t>
  </si>
  <si>
    <t>23.10</t>
  </si>
  <si>
    <t>59.77</t>
  </si>
  <si>
    <t xml:space="preserve">  [2] quick kill</t>
  </si>
  <si>
    <t>51.47</t>
  </si>
  <si>
    <t>21.79</t>
  </si>
  <si>
    <t>2:22.46</t>
  </si>
  <si>
    <t>50.20</t>
  </si>
  <si>
    <t>16.91</t>
  </si>
  <si>
    <t>22.12</t>
  </si>
  <si>
    <t>22.10</t>
  </si>
  <si>
    <t>1:37.52</t>
  </si>
  <si>
    <t>22.13</t>
  </si>
  <si>
    <t>15.16</t>
  </si>
  <si>
    <t>1:01.65</t>
  </si>
  <si>
    <t>[1] Paper route</t>
  </si>
  <si>
    <t>4:25.44</t>
  </si>
  <si>
    <t>2:04.86</t>
  </si>
  <si>
    <t>39.50</t>
  </si>
  <si>
    <t>1:46.16</t>
  </si>
  <si>
    <t>1:08.08</t>
  </si>
  <si>
    <t>4:20.24</t>
  </si>
  <si>
    <t>4:23.44</t>
  </si>
  <si>
    <t>8.74</t>
  </si>
  <si>
    <t>4:22.14</t>
  </si>
  <si>
    <t>1:03.21</t>
  </si>
  <si>
    <t>4.21.57</t>
  </si>
  <si>
    <t>18.15</t>
  </si>
  <si>
    <t>4:23.14</t>
  </si>
  <si>
    <t>31.85</t>
  </si>
  <si>
    <t>4:13.36</t>
  </si>
  <si>
    <t>42.52</t>
  </si>
  <si>
    <t>4:23.47</t>
  </si>
  <si>
    <t>2:15.76</t>
  </si>
  <si>
    <t>1:08.52</t>
  </si>
  <si>
    <t>42.10</t>
  </si>
  <si>
    <t>1:08.69</t>
  </si>
  <si>
    <t>32.94</t>
  </si>
  <si>
    <t>1:09.75</t>
  </si>
  <si>
    <t>1:07.62</t>
  </si>
  <si>
    <t>1:09.89</t>
  </si>
  <si>
    <t>1:05.18</t>
  </si>
  <si>
    <t>51.89</t>
  </si>
  <si>
    <t>1:14.31</t>
  </si>
  <si>
    <t>1:16.74</t>
  </si>
  <si>
    <t>43.34</t>
  </si>
  <si>
    <t>43.343</t>
  </si>
  <si>
    <t>1:00.56</t>
  </si>
  <si>
    <t>44.61</t>
  </si>
  <si>
    <t>45.845</t>
  </si>
  <si>
    <t>42.29</t>
  </si>
  <si>
    <t xml:space="preserve">  Reds Button Press</t>
  </si>
  <si>
    <t>[1] no brick skip</t>
  </si>
  <si>
    <t>1:34.34</t>
  </si>
  <si>
    <t>52.12</t>
  </si>
  <si>
    <t>2:04.39</t>
  </si>
  <si>
    <t xml:space="preserve">  [2] brick skip</t>
  </si>
  <si>
    <t>12.56</t>
  </si>
  <si>
    <t>2:31.00</t>
  </si>
  <si>
    <t>2:24.83</t>
  </si>
  <si>
    <t>13.58</t>
  </si>
  <si>
    <t>13.863</t>
  </si>
  <si>
    <t>12.86</t>
  </si>
  <si>
    <t>54.34</t>
  </si>
  <si>
    <t>28.24</t>
  </si>
  <si>
    <t>32.87</t>
  </si>
  <si>
    <t>12.81</t>
  </si>
  <si>
    <t>42.94</t>
  </si>
  <si>
    <t>31.16</t>
  </si>
  <si>
    <t>31.798</t>
  </si>
  <si>
    <t>31.664</t>
  </si>
  <si>
    <t>29.996</t>
  </si>
  <si>
    <t>2:17.19</t>
  </si>
  <si>
    <t>1:25.56</t>
  </si>
  <si>
    <t>1:04.51</t>
  </si>
  <si>
    <t>[1] Sirena 7</t>
  </si>
  <si>
    <t>2:34.22</t>
  </si>
  <si>
    <t>1:30.38</t>
  </si>
  <si>
    <t>2:09.94</t>
  </si>
  <si>
    <t>2:07.927</t>
  </si>
  <si>
    <t>1:31.71</t>
  </si>
  <si>
    <t>21.68</t>
  </si>
  <si>
    <t>19.29</t>
  </si>
  <si>
    <t>1:16.98</t>
  </si>
  <si>
    <t>11.56</t>
  </si>
  <si>
    <t>23.00</t>
  </si>
  <si>
    <t>53.45</t>
  </si>
  <si>
    <t>53.97</t>
  </si>
  <si>
    <t>25.61</t>
  </si>
  <si>
    <t xml:space="preserve"> 55.688</t>
  </si>
  <si>
    <t>55.05</t>
  </si>
  <si>
    <t>55.31</t>
  </si>
  <si>
    <t>28.11</t>
  </si>
  <si>
    <t>1:00.88</t>
  </si>
  <si>
    <t>24.80</t>
  </si>
  <si>
    <t>1:07.967</t>
  </si>
  <si>
    <t>24.61</t>
  </si>
  <si>
    <t>nindiddeh</t>
  </si>
  <si>
    <t>8323</t>
  </si>
  <si>
    <t>86</t>
  </si>
  <si>
    <t>1:18.78</t>
  </si>
  <si>
    <t>54.92</t>
  </si>
  <si>
    <t>[1] sideflip wallkicks</t>
  </si>
  <si>
    <t>28.19</t>
  </si>
  <si>
    <t>29.729</t>
  </si>
  <si>
    <t>2:09.96</t>
  </si>
  <si>
    <r>
      <rPr>
        <color rgb="FF000000"/>
        <sz val="9.0"/>
      </rPr>
      <t>1:07.5</t>
    </r>
    <r>
      <rPr>
        <color rgb="FF000000"/>
        <sz val="9.0"/>
      </rPr>
      <t>6</t>
    </r>
  </si>
  <si>
    <t>38.05</t>
  </si>
  <si>
    <t xml:space="preserve">  [2] triangle wallkicks</t>
  </si>
  <si>
    <t>Version</t>
  </si>
  <si>
    <t>28.36</t>
  </si>
  <si>
    <t>SoB</t>
  </si>
  <si>
    <t>Bianco 2</t>
  </si>
  <si>
    <t>Bianco 5</t>
  </si>
  <si>
    <t>Gelato 8</t>
  </si>
  <si>
    <t>Gelato 7</t>
  </si>
  <si>
    <t>39.92</t>
  </si>
  <si>
    <t>Pianta 2</t>
  </si>
  <si>
    <t>Pianta 3</t>
  </si>
  <si>
    <t>1:05.02</t>
  </si>
  <si>
    <t>Pianta 4</t>
  </si>
  <si>
    <t>Pianta 6</t>
  </si>
  <si>
    <t>Pianta 7</t>
  </si>
  <si>
    <t>Pinna 1</t>
  </si>
  <si>
    <t>28.60</t>
  </si>
  <si>
    <t>Pinna 3</t>
  </si>
  <si>
    <t>Pinna 4</t>
  </si>
  <si>
    <t>Pinna 6</t>
  </si>
  <si>
    <t>Pinna 7</t>
  </si>
  <si>
    <t>29.062</t>
  </si>
  <si>
    <t>Ricco 3</t>
  </si>
  <si>
    <t>Ricco 4</t>
  </si>
  <si>
    <t>Ricco 6</t>
  </si>
  <si>
    <t>49.58</t>
  </si>
  <si>
    <t>Ricco 7</t>
  </si>
  <si>
    <t>Bianco 6</t>
  </si>
  <si>
    <t>Bianco 7</t>
  </si>
  <si>
    <t>Sirena 2</t>
  </si>
  <si>
    <t>Sirena 3</t>
  </si>
  <si>
    <t>Sirena 5</t>
  </si>
  <si>
    <t>Sirena 6</t>
  </si>
  <si>
    <t>Sirena 7</t>
  </si>
  <si>
    <t>Noki 2</t>
  </si>
  <si>
    <t>Noki 3</t>
  </si>
  <si>
    <t>Noki 4</t>
  </si>
  <si>
    <t>Noki 5</t>
  </si>
  <si>
    <t>16.55</t>
  </si>
  <si>
    <t>Noki 6</t>
  </si>
  <si>
    <t>Noki 7</t>
  </si>
  <si>
    <t>Corona</t>
  </si>
  <si>
    <t>PB</t>
  </si>
  <si>
    <t>Difference</t>
  </si>
  <si>
    <t>Comment</t>
  </si>
  <si>
    <t>NTSC-J Combined</t>
  </si>
  <si>
    <t>NTSC-J</t>
  </si>
  <si>
    <t>10:11.91</t>
  </si>
  <si>
    <t>1:11.83</t>
  </si>
  <si>
    <t>1:57.79</t>
  </si>
  <si>
    <t>2:39.05</t>
  </si>
  <si>
    <t>1:50.65</t>
  </si>
  <si>
    <t>28.21</t>
  </si>
  <si>
    <t>47.28</t>
  </si>
  <si>
    <t>1:16.14</t>
  </si>
  <si>
    <t>1:22.35</t>
  </si>
  <si>
    <t>1:12.98</t>
  </si>
  <si>
    <t>1:17.34</t>
  </si>
  <si>
    <t>1:41.69</t>
  </si>
  <si>
    <t>47.18</t>
  </si>
  <si>
    <t>28.52</t>
  </si>
  <si>
    <t>2:08.42</t>
  </si>
  <si>
    <t>1:15.30</t>
  </si>
  <si>
    <t>1:24.68</t>
  </si>
  <si>
    <t>57.55</t>
  </si>
  <si>
    <t>1:41.20</t>
  </si>
  <si>
    <t>1:26.55</t>
  </si>
  <si>
    <t>1:19.89</t>
  </si>
  <si>
    <t>47.04</t>
  </si>
  <si>
    <t>1:47.27</t>
  </si>
  <si>
    <t>47.74</t>
  </si>
  <si>
    <t>2:23.97</t>
  </si>
  <si>
    <t>56.73</t>
  </si>
  <si>
    <t>55.01</t>
  </si>
  <si>
    <t>1:26.46</t>
  </si>
  <si>
    <t>2:39.52</t>
  </si>
  <si>
    <t>1:21.68</t>
  </si>
  <si>
    <t>55.62</t>
  </si>
  <si>
    <t>1:24.58</t>
  </si>
  <si>
    <t>1:37.80</t>
  </si>
  <si>
    <t>55.00</t>
  </si>
  <si>
    <t>1:57.08</t>
  </si>
  <si>
    <t>1:34.49</t>
  </si>
  <si>
    <t>1:19.86</t>
  </si>
  <si>
    <t>2:24.46</t>
  </si>
  <si>
    <t>1:12:23</t>
  </si>
  <si>
    <t>PAL Combined</t>
  </si>
  <si>
    <t>PAL</t>
  </si>
  <si>
    <t>10:15.97</t>
  </si>
  <si>
    <t>1:59.07</t>
  </si>
  <si>
    <t>2:40.69</t>
  </si>
  <si>
    <t>1:52.22</t>
  </si>
  <si>
    <t>48.19</t>
  </si>
  <si>
    <t>1:18.51</t>
  </si>
  <si>
    <t>1:13.78</t>
  </si>
  <si>
    <t>1:22.32</t>
  </si>
  <si>
    <t>1:43.17</t>
  </si>
  <si>
    <t>2:12.27</t>
  </si>
  <si>
    <t>1:15.86</t>
  </si>
  <si>
    <t>1:17.91</t>
  </si>
  <si>
    <t>1:01.75</t>
  </si>
  <si>
    <t>1:25.27</t>
  </si>
  <si>
    <t>43.71</t>
  </si>
  <si>
    <t>1:00.15</t>
  </si>
  <si>
    <t>1:44.06</t>
  </si>
  <si>
    <t>47.17</t>
  </si>
  <si>
    <t>1:27.95</t>
  </si>
  <si>
    <t>42.97</t>
  </si>
  <si>
    <t>47.48</t>
  </si>
  <si>
    <t>1:49.35</t>
  </si>
  <si>
    <t>2:23.89</t>
  </si>
  <si>
    <t>57.30</t>
  </si>
  <si>
    <t>1:27.13</t>
  </si>
  <si>
    <t>2:31.10</t>
  </si>
  <si>
    <t>56.25</t>
  </si>
  <si>
    <t>1:25.48</t>
  </si>
  <si>
    <t>55.79</t>
  </si>
  <si>
    <t>47.62</t>
  </si>
  <si>
    <t>2:00.12</t>
  </si>
  <si>
    <t>1:36.68</t>
  </si>
  <si>
    <t>1:21.06</t>
  </si>
  <si>
    <t>43.42</t>
  </si>
  <si>
    <t>2:26.06</t>
  </si>
  <si>
    <t>1:14:51</t>
  </si>
  <si>
    <t>NTSC-U Combined</t>
  </si>
  <si>
    <t>NTSC-U</t>
  </si>
  <si>
    <t>10:18.22</t>
  </si>
  <si>
    <t>1:13.47</t>
  </si>
  <si>
    <t>2:00.57</t>
  </si>
  <si>
    <t>2:44.03</t>
  </si>
  <si>
    <t>1:55.38</t>
  </si>
  <si>
    <t>1:25.09</t>
  </si>
  <si>
    <t>1:26.40</t>
  </si>
  <si>
    <t>58.02</t>
  </si>
  <si>
    <t>1:15.09</t>
  </si>
  <si>
    <t>1:45.65</t>
  </si>
  <si>
    <t>2:15.60</t>
  </si>
  <si>
    <t>42.87</t>
  </si>
  <si>
    <t>18.61</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</si>
  <si>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</si>
  <si>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</si>
  <si>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</si>
  <si>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</si>
  <si>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</si>
  <si>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</si>
  <si>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</si>
  <si>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</si>
  <si>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</si>
  <si>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</si>
  <si>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</si>
  <si>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</si>
  <si>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</si>
  <si>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</si>
  <si>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</si>
  <si>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</si>
  <si>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</si>
  <si>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</si>
  <si>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</si>
  <si>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</si>
  <si>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59.61</t>
  </si>
  <si>
    <t>1:24.19</t>
  </si>
  <si>
    <t>2:03.96</t>
  </si>
  <si>
    <t>43.40</t>
  </si>
  <si>
    <t>1:38.19</t>
  </si>
  <si>
    <t>2:28.90</t>
  </si>
  <si>
    <t>1:15:44</t>
  </si>
  <si>
    <t>58.39</t>
  </si>
  <si>
    <t>25.45</t>
  </si>
  <si>
    <t>1:57.86</t>
  </si>
  <si>
    <t>[1] 5-tooth</t>
  </si>
  <si>
    <t>1:43.78</t>
  </si>
  <si>
    <t>41.55</t>
  </si>
  <si>
    <t>1:46.21</t>
  </si>
  <si>
    <t>1:52.48</t>
  </si>
  <si>
    <t xml:space="preserve">  [2] 6-tooth</t>
  </si>
  <si>
    <t>43.43</t>
  </si>
  <si>
    <t>1:34.23</t>
  </si>
  <si>
    <t>27.32</t>
  </si>
  <si>
    <t>1:33.53</t>
  </si>
  <si>
    <t>1:41.76</t>
  </si>
  <si>
    <t>1:20.70</t>
  </si>
  <si>
    <t>1:32.95</t>
  </si>
  <si>
    <t>1:36.096</t>
  </si>
  <si>
    <t>1:34.83</t>
  </si>
  <si>
    <t>1:34.21</t>
  </si>
  <si>
    <t>1:39.92</t>
  </si>
  <si>
    <t>1:30.93</t>
  </si>
  <si>
    <t>1:36.99</t>
  </si>
  <si>
    <t xml:space="preserve">    [3] 6.5-tooth ("TAS Eel")</t>
  </si>
  <si>
    <t>1:27.14</t>
  </si>
  <si>
    <t>48.50</t>
  </si>
  <si>
    <t>2:28.83</t>
  </si>
  <si>
    <t>1:12.09</t>
  </si>
  <si>
    <t>1:28.15</t>
  </si>
  <si>
    <t>43.19</t>
  </si>
  <si>
    <t xml:space="preserve">      [4] 7-tooth</t>
  </si>
  <si>
    <t>31.97</t>
  </si>
  <si>
    <t>1:27.35</t>
  </si>
  <si>
    <t>1:30.42</t>
  </si>
  <si>
    <t>11.94</t>
  </si>
  <si>
    <t>51.55</t>
  </si>
  <si>
    <t>1:28.22</t>
  </si>
  <si>
    <t>15.56</t>
  </si>
  <si>
    <t>1:10.22</t>
  </si>
  <si>
    <t>1:26.88</t>
  </si>
  <si>
    <t>12.74</t>
  </si>
  <si>
    <t>29.24</t>
  </si>
  <si>
    <t>1:17.21</t>
  </si>
  <si>
    <t>49.00</t>
  </si>
  <si>
    <t>2:18.66</t>
  </si>
  <si>
    <t>1:20.04</t>
  </si>
  <si>
    <t>1:31:11</t>
  </si>
  <si>
    <t>18.20</t>
  </si>
  <si>
    <t>1:02.95</t>
  </si>
  <si>
    <t>37.83</t>
  </si>
  <si>
    <t>2:26.98</t>
  </si>
  <si>
    <t>35.26</t>
  </si>
  <si>
    <t>20.23</t>
  </si>
  <si>
    <t>1:18.44</t>
  </si>
  <si>
    <r>
      <rPr>
        <color rgb="FF1155CC"/>
        <sz val="9.0"/>
        <u/>
      </rPr>
      <t>30.6</t>
    </r>
    <r>
      <rPr>
        <color rgb="FF1155CC"/>
        <sz val="9.0"/>
        <u/>
      </rPr>
      <t>1</t>
    </r>
  </si>
  <si>
    <t>1:26.78</t>
  </si>
  <si>
    <t>2:44.76</t>
  </si>
  <si>
    <t>46.97</t>
  </si>
  <si>
    <t>55.08</t>
  </si>
  <si>
    <t>6.59</t>
  </si>
  <si>
    <t>1:13.10</t>
  </si>
  <si>
    <t>8184</t>
  </si>
  <si>
    <t>1:34.52</t>
  </si>
  <si>
    <t>102</t>
  </si>
  <si>
    <t>51.61</t>
  </si>
  <si>
    <t>1:20.26</t>
  </si>
  <si>
    <t>[1] bounce</t>
  </si>
  <si>
    <t>12.73</t>
  </si>
  <si>
    <t>2:24.57</t>
  </si>
  <si>
    <t>12.90</t>
  </si>
  <si>
    <t>1:11 is free</t>
  </si>
  <si>
    <t>2:14.00</t>
  </si>
  <si>
    <t>13.40</t>
  </si>
  <si>
    <t>10:13.88</t>
  </si>
  <si>
    <t>1:12.17</t>
  </si>
  <si>
    <t>12.94</t>
  </si>
  <si>
    <t>1:58.81</t>
  </si>
  <si>
    <t>2:41.72</t>
  </si>
  <si>
    <t>1:51.54</t>
  </si>
  <si>
    <t>1:16.84</t>
  </si>
  <si>
    <t>2:09.91</t>
  </si>
  <si>
    <t>55.92</t>
  </si>
  <si>
    <t>16.95</t>
  </si>
  <si>
    <t xml:space="preserve">  [2] bounceless</t>
  </si>
  <si>
    <t>1:42.13</t>
  </si>
  <si>
    <t>47.68</t>
  </si>
  <si>
    <t>12.69</t>
  </si>
  <si>
    <t>2:09.12</t>
  </si>
  <si>
    <t>1:15.54</t>
  </si>
  <si>
    <t>12.49</t>
  </si>
  <si>
    <t>1:16.27</t>
  </si>
  <si>
    <t>1:24.91</t>
  </si>
  <si>
    <t>1:54.21</t>
  </si>
  <si>
    <t>1:01.45</t>
  </si>
  <si>
    <t>59.22</t>
  </si>
  <si>
    <t>1:41.30</t>
  </si>
  <si>
    <t>1:27.05</t>
  </si>
  <si>
    <t>46.98</t>
  </si>
  <si>
    <t>1:06.066</t>
  </si>
  <si>
    <t>1:13.20</t>
  </si>
  <si>
    <t>1:25.41</t>
  </si>
  <si>
    <t>1:03.54</t>
  </si>
  <si>
    <t>26.25</t>
  </si>
  <si>
    <t>1:48.17</t>
  </si>
  <si>
    <t xml:space="preserve">  Il Piantissimo Talk</t>
  </si>
  <si>
    <t>10.95</t>
  </si>
  <si>
    <t>47.94</t>
  </si>
  <si>
    <t>2:26.18</t>
  </si>
  <si>
    <t>10.61</t>
  </si>
  <si>
    <t>11.152</t>
  </si>
  <si>
    <t>57.15</t>
  </si>
  <si>
    <t>1:27.62</t>
  </si>
  <si>
    <t>2:42.69</t>
  </si>
  <si>
    <t>2:25.44</t>
  </si>
  <si>
    <t>1:24.08</t>
  </si>
  <si>
    <t>[1] cliff outside, green inside</t>
  </si>
  <si>
    <t>55.33</t>
  </si>
  <si>
    <t>55.89</t>
  </si>
  <si>
    <t>56.50</t>
  </si>
  <si>
    <t>55.52</t>
  </si>
  <si>
    <t>57.81</t>
  </si>
  <si>
    <t>1:58.51</t>
  </si>
  <si>
    <t xml:space="preserve">  [2,1] rope outside, green inside</t>
  </si>
  <si>
    <t>51.99</t>
  </si>
  <si>
    <t>1:20.11</t>
  </si>
  <si>
    <t>43.14</t>
  </si>
  <si>
    <t>2:25.17</t>
  </si>
  <si>
    <t>54.76</t>
  </si>
  <si>
    <t>1:12:43</t>
  </si>
  <si>
    <t>53.48</t>
  </si>
  <si>
    <t>10:12.54</t>
  </si>
  <si>
    <t>1:11.90</t>
  </si>
  <si>
    <t>1:57.82</t>
  </si>
  <si>
    <t>2:40.85</t>
  </si>
  <si>
    <t>1:51.12</t>
  </si>
  <si>
    <t>47.35</t>
  </si>
  <si>
    <t>1:16.39</t>
  </si>
  <si>
    <t>55.76</t>
  </si>
  <si>
    <t>1:19.31</t>
  </si>
  <si>
    <t>1:42.30</t>
  </si>
  <si>
    <t>1:29.66</t>
  </si>
  <si>
    <t>1:24.71</t>
  </si>
  <si>
    <t>1:58.32</t>
  </si>
  <si>
    <t>1:43.63</t>
  </si>
  <si>
    <t>1:26.75</t>
  </si>
  <si>
    <t>1:17.35</t>
  </si>
  <si>
    <t>1:26.86</t>
  </si>
  <si>
    <t>53.29</t>
  </si>
  <si>
    <t>48.02</t>
  </si>
  <si>
    <t>2:27.06</t>
  </si>
  <si>
    <t>1:28.62</t>
  </si>
  <si>
    <t>1:28.55</t>
  </si>
  <si>
    <t>2:42.93</t>
  </si>
  <si>
    <t>1:24.48</t>
  </si>
  <si>
    <t>55.78</t>
  </si>
  <si>
    <t>1:24.79</t>
  </si>
  <si>
    <t>55.40</t>
  </si>
  <si>
    <t>2:01.51</t>
  </si>
  <si>
    <t>1:35.67</t>
  </si>
  <si>
    <t>1:21.33</t>
  </si>
  <si>
    <t>46.10</t>
  </si>
  <si>
    <t>2:25.04</t>
  </si>
  <si>
    <t>1:13:17</t>
  </si>
  <si>
    <t>52.52</t>
  </si>
  <si>
    <t>10:13.51</t>
  </si>
  <si>
    <t>56.60</t>
  </si>
  <si>
    <t>53.20</t>
  </si>
  <si>
    <t>52.27</t>
  </si>
  <si>
    <t>1:12.27</t>
  </si>
  <si>
    <t>1:58.63</t>
  </si>
  <si>
    <t>2:39.09</t>
  </si>
  <si>
    <t>2:29.90</t>
  </si>
  <si>
    <t>2:26.10</t>
  </si>
  <si>
    <t>1:51.83</t>
  </si>
  <si>
    <t xml:space="preserve">  [2,2] rope outside, Galapagos inside</t>
  </si>
  <si>
    <t>1:18.69</t>
  </si>
  <si>
    <t>1:23.51</t>
  </si>
  <si>
    <t>1:13.56</t>
  </si>
  <si>
    <t>51.31</t>
  </si>
  <si>
    <r>
      <rPr>
        <rFont val="arial,sans,sans-serif"/>
        <color rgb="FF000000"/>
        <sz val="9.0"/>
        <u/>
      </rPr>
      <t>1:20</t>
    </r>
    <r>
      <rPr>
        <rFont val="arial,sans,sans-serif"/>
        <color rgb="FF000000"/>
        <sz val="9.0"/>
        <u/>
      </rPr>
      <t>.75</t>
    </r>
  </si>
  <si>
    <t>1:42.33</t>
  </si>
  <si>
    <t>2:10.59</t>
  </si>
  <si>
    <t>2:07.00</t>
  </si>
  <si>
    <t>1:16.71</t>
  </si>
  <si>
    <t>1:25.24</t>
  </si>
  <si>
    <t>1:59.84</t>
  </si>
  <si>
    <t>59.36</t>
  </si>
  <si>
    <t>1:44.66</t>
  </si>
  <si>
    <t>51.25</t>
  </si>
  <si>
    <t>46.88</t>
  </si>
  <si>
    <t>32.72</t>
  </si>
  <si>
    <t>[1] blue cycle</t>
  </si>
  <si>
    <t>1:32.50</t>
  </si>
  <si>
    <t>47.87</t>
  </si>
  <si>
    <t>2:26.23</t>
  </si>
  <si>
    <t>32.12</t>
  </si>
  <si>
    <t>57.35</t>
  </si>
  <si>
    <t>13.68</t>
  </si>
  <si>
    <t>2:45.40</t>
  </si>
  <si>
    <t>33.52</t>
  </si>
  <si>
    <t>56.22</t>
  </si>
  <si>
    <t>1:25.11</t>
  </si>
  <si>
    <t>36.603</t>
  </si>
  <si>
    <t>1:13.46</t>
  </si>
  <si>
    <t>1:20.57</t>
  </si>
  <si>
    <t>2:01.06</t>
  </si>
  <si>
    <t>1:35.84</t>
  </si>
  <si>
    <t>1:20.83</t>
  </si>
  <si>
    <t>1:09.25</t>
  </si>
  <si>
    <t xml:space="preserve">  [2] cycleless</t>
  </si>
  <si>
    <t>2:25.30</t>
  </si>
  <si>
    <t>1:37.32</t>
  </si>
  <si>
    <t>31.98</t>
  </si>
  <si>
    <t>1:13:44</t>
  </si>
  <si>
    <t>31.08</t>
  </si>
  <si>
    <t>1:12 is free</t>
  </si>
  <si>
    <t>10:12.95</t>
  </si>
  <si>
    <t>13.11</t>
  </si>
  <si>
    <t>1:12.26</t>
  </si>
  <si>
    <t>2:39.72</t>
  </si>
  <si>
    <t>1:50.85</t>
  </si>
  <si>
    <t>45.445</t>
  </si>
  <si>
    <t>30.95</t>
  </si>
  <si>
    <t>1:18.68</t>
  </si>
  <si>
    <t>1:18.80</t>
  </si>
  <si>
    <t>51.76</t>
  </si>
  <si>
    <t>2:10.98</t>
  </si>
  <si>
    <t>1:56.55</t>
  </si>
  <si>
    <t xml:space="preserve">    [3,1] Traditional RTA Green cycle</t>
  </si>
  <si>
    <t>30.61</t>
  </si>
  <si>
    <t>1:45.57</t>
  </si>
  <si>
    <t>1:26.80</t>
  </si>
  <si>
    <t>30.99</t>
  </si>
  <si>
    <t>1:17.74</t>
  </si>
  <si>
    <t>30.68</t>
  </si>
  <si>
    <t>1:28.09</t>
  </si>
  <si>
    <t>1:20.55</t>
  </si>
  <si>
    <t>31.34</t>
  </si>
  <si>
    <t>1:49.26</t>
  </si>
  <si>
    <t>30.67</t>
  </si>
  <si>
    <t>2:25.60</t>
  </si>
  <si>
    <t>39.36</t>
  </si>
  <si>
    <t>1:29.35</t>
  </si>
  <si>
    <t>31.62</t>
  </si>
  <si>
    <t>30.71</t>
  </si>
  <si>
    <t>1:24.33</t>
  </si>
  <si>
    <t>55.59</t>
  </si>
  <si>
    <t>1:21.21</t>
  </si>
  <si>
    <t>1:58.70</t>
  </si>
  <si>
    <t>1:35.43</t>
  </si>
  <si>
    <t>1:31.08</t>
  </si>
  <si>
    <t>54.77</t>
  </si>
  <si>
    <t xml:space="preserve">    [3,2] Green cycle/Galapagos hybrid</t>
  </si>
  <si>
    <t>1:12:49</t>
  </si>
  <si>
    <t>1:13 is free</t>
  </si>
  <si>
    <t>21.61</t>
  </si>
  <si>
    <t>1:58.65</t>
  </si>
  <si>
    <t>2:39.53</t>
  </si>
  <si>
    <t>1:51.98</t>
  </si>
  <si>
    <t>47.38</t>
  </si>
  <si>
    <t>1:22.65</t>
  </si>
  <si>
    <t>55.95</t>
  </si>
  <si>
    <t>1:13.09</t>
  </si>
  <si>
    <t>2:11.32</t>
  </si>
  <si>
    <t>1:15.32</t>
  </si>
  <si>
    <t>1:16.20</t>
  </si>
  <si>
    <t>30.78</t>
  </si>
  <si>
    <t>1:24.95</t>
  </si>
  <si>
    <t>1:57.85</t>
  </si>
  <si>
    <t>59.42</t>
  </si>
  <si>
    <t>1:42.90</t>
  </si>
  <si>
    <t>1:26.90</t>
  </si>
  <si>
    <t>1:16.93</t>
  </si>
  <si>
    <t>1:47.73</t>
  </si>
  <si>
    <t>2:36.80</t>
  </si>
  <si>
    <t>32.46</t>
  </si>
  <si>
    <t>30.59</t>
  </si>
  <si>
    <t>2:46.20</t>
  </si>
  <si>
    <t>23.07</t>
  </si>
  <si>
    <t>31.35</t>
  </si>
  <si>
    <t>27.11</t>
  </si>
  <si>
    <t>25.73</t>
  </si>
  <si>
    <t xml:space="preserve">      [4] Galapagos cycle</t>
  </si>
  <si>
    <t>29.60</t>
  </si>
  <si>
    <t>29.76</t>
  </si>
  <si>
    <t>6.57</t>
  </si>
  <si>
    <t>2:01.98</t>
  </si>
  <si>
    <t>1:34.63</t>
  </si>
  <si>
    <t>29.68</t>
  </si>
  <si>
    <t>8056</t>
  </si>
  <si>
    <t>117</t>
  </si>
  <si>
    <t>2:25.56</t>
  </si>
  <si>
    <t>1:13:33</t>
  </si>
  <si>
    <t>hello plankton</t>
  </si>
  <si>
    <t>10:13.55</t>
  </si>
  <si>
    <t>1:12.06</t>
  </si>
  <si>
    <t>2:41.20</t>
  </si>
  <si>
    <t>1:51.48</t>
  </si>
  <si>
    <t>37.51</t>
  </si>
  <si>
    <t>1:17.79</t>
  </si>
  <si>
    <t>1:13.21</t>
  </si>
  <si>
    <t>1:18.92</t>
  </si>
  <si>
    <t>1:42.73</t>
  </si>
  <si>
    <t>1:15.72</t>
  </si>
  <si>
    <t>1:17.02</t>
  </si>
  <si>
    <t>1:25.20</t>
  </si>
  <si>
    <t>2:00.49</t>
  </si>
  <si>
    <t>59.59</t>
  </si>
  <si>
    <t>1:45.04</t>
  </si>
  <si>
    <t>1:27.66</t>
  </si>
  <si>
    <t>30.44</t>
  </si>
  <si>
    <t>48.21</t>
  </si>
  <si>
    <t>1:48.10</t>
  </si>
  <si>
    <t>29.71</t>
  </si>
  <si>
    <t>47.96</t>
  </si>
  <si>
    <t>2:28.93</t>
  </si>
  <si>
    <t>1:28.56</t>
  </si>
  <si>
    <t>57.09</t>
  </si>
  <si>
    <t>1:29.49</t>
  </si>
  <si>
    <t>2:45.46</t>
  </si>
  <si>
    <t>55.12</t>
  </si>
  <si>
    <t>2:02.53</t>
  </si>
  <si>
    <t>1:36.01</t>
  </si>
  <si>
    <t>1:21.30</t>
  </si>
  <si>
    <t>46.35</t>
  </si>
  <si>
    <t>2:24.80</t>
  </si>
  <si>
    <t>1:14:22</t>
  </si>
  <si>
    <t>toobou</t>
  </si>
  <si>
    <t>10:14.76</t>
  </si>
  <si>
    <t>1:12.69</t>
  </si>
  <si>
    <t>2:19.30</t>
  </si>
  <si>
    <t>1:59.76</t>
  </si>
  <si>
    <t>2:39.81</t>
  </si>
  <si>
    <t>1:51.96</t>
  </si>
  <si>
    <t>1:10.18</t>
  </si>
  <si>
    <t>47.80</t>
  </si>
  <si>
    <t>[1] cliff entry</t>
  </si>
  <si>
    <t>1:21.73</t>
  </si>
  <si>
    <t>23.65</t>
  </si>
  <si>
    <t>1:44.29</t>
  </si>
  <si>
    <t>2:11.93</t>
  </si>
  <si>
    <t>1:15.65</t>
  </si>
  <si>
    <t>1:17.55</t>
  </si>
  <si>
    <t>1:25.18</t>
  </si>
  <si>
    <t>1:57.58</t>
  </si>
  <si>
    <t>23.69</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</si>
  <si>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</si>
  <si>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</si>
  <si>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</si>
  <si>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</si>
  <si>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</si>
  <si>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</si>
  <si>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</si>
  <si>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</si>
  <si>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</si>
  <si>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</si>
  <si>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</si>
  <si>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</si>
  <si>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</si>
  <si>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</si>
  <si>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</si>
  <si>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</si>
  <si>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</si>
  <si>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</si>
  <si>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</si>
  <si>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</si>
  <si>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1:00.94</t>
  </si>
  <si>
    <t>1:13.08</t>
  </si>
  <si>
    <t>1:59.66</t>
  </si>
  <si>
    <t>2:36.18</t>
  </si>
  <si>
    <t>2:42.20</t>
  </si>
  <si>
    <t>24.86</t>
  </si>
  <si>
    <r>
      <rPr>
        <color rgb="FF000000"/>
        <sz val="9.0"/>
        <u/>
      </rPr>
      <t>50.</t>
    </r>
    <r>
      <rPr>
        <color rgb="FF000000"/>
        <sz val="9.0"/>
        <u/>
      </rPr>
      <t>36</t>
    </r>
  </si>
  <si>
    <t>52.95</t>
  </si>
  <si>
    <t xml:space="preserve">  [2,1] classic ropes</t>
  </si>
  <si>
    <t>1:20.42</t>
  </si>
  <si>
    <t>1:14.25</t>
  </si>
  <si>
    <t>1:23.98</t>
  </si>
  <si>
    <t>2:12.46</t>
  </si>
  <si>
    <t>30.29</t>
  </si>
  <si>
    <t>20.78</t>
  </si>
  <si>
    <t>1:55.66</t>
  </si>
  <si>
    <t>21.20</t>
  </si>
  <si>
    <t>21.97</t>
  </si>
  <si>
    <t>1:37.08</t>
  </si>
  <si>
    <t>1:28.28</t>
  </si>
  <si>
    <t>21.57</t>
  </si>
  <si>
    <t>15.08</t>
  </si>
  <si>
    <t>46.84</t>
  </si>
  <si>
    <t>1:00.65</t>
  </si>
  <si>
    <t>1:28.12</t>
  </si>
  <si>
    <t>2:13.23</t>
  </si>
  <si>
    <t>40.04</t>
  </si>
  <si>
    <t>1:49.78</t>
  </si>
  <si>
    <t>2:24.60</t>
  </si>
  <si>
    <t>18.64</t>
  </si>
  <si>
    <t>1:48.97</t>
  </si>
  <si>
    <t>9.01</t>
  </si>
  <si>
    <t>59.62</t>
  </si>
  <si>
    <t>20.62</t>
  </si>
  <si>
    <t>27.76</t>
  </si>
  <si>
    <t>2:45.72</t>
  </si>
  <si>
    <t>40.25</t>
  </si>
  <si>
    <t>2:40.31</t>
  </si>
  <si>
    <t>49.84</t>
  </si>
  <si>
    <t xml:space="preserve">  [2,2] Nanashi "Nashi" ropes</t>
  </si>
  <si>
    <t>42.11</t>
  </si>
  <si>
    <t>20.55</t>
  </si>
  <si>
    <t>21.32</t>
  </si>
  <si>
    <t>20.47</t>
  </si>
  <si>
    <t>26.31</t>
  </si>
  <si>
    <t>1:26.93</t>
  </si>
  <si>
    <t>i love PAL</t>
  </si>
  <si>
    <t>10:13.683</t>
  </si>
  <si>
    <t>1:12.834</t>
  </si>
  <si>
    <t>1:59.253</t>
  </si>
  <si>
    <t>10.89</t>
  </si>
  <si>
    <r>
      <rPr>
        <rFont val="Arial"/>
        <color rgb="FF000000"/>
        <sz val="9.0"/>
        <u/>
      </rPr>
      <t>2:39.28</t>
    </r>
    <r>
      <rPr>
        <rFont val="Arial"/>
        <color rgb="FF000000"/>
        <sz val="9.0"/>
      </rPr>
      <t>9</t>
    </r>
  </si>
  <si>
    <t>1:12.07</t>
  </si>
  <si>
    <t>1:25.34</t>
  </si>
  <si>
    <t>1:52.782</t>
  </si>
  <si>
    <t>1:35.29</t>
  </si>
  <si>
    <t>47.505</t>
  </si>
  <si>
    <t>1:17.519</t>
  </si>
  <si>
    <t>1:22.48</t>
  </si>
  <si>
    <t>19.64</t>
  </si>
  <si>
    <t>56.041</t>
  </si>
  <si>
    <t>51.82</t>
  </si>
  <si>
    <t>1:13.464</t>
  </si>
  <si>
    <t>1:21.867</t>
  </si>
  <si>
    <t>1:42.321</t>
  </si>
  <si>
    <t>34.56</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</si>
  <si>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</si>
  <si>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</si>
  <si>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</si>
  <si>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</si>
  <si>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</si>
  <si>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</si>
  <si>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</si>
  <si>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</si>
  <si>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</si>
  <si>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</si>
  <si>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</si>
  <si>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</si>
  <si>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</si>
  <si>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</si>
  <si>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</si>
  <si>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</si>
  <si>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</si>
  <si>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</si>
  <si>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</si>
  <si>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</si>
  <si>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</si>
  <si>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</si>
  <si>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</si>
  <si>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</si>
  <si>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</si>
  <si>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</si>
  <si>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</si>
  <si>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</si>
  <si>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</si>
  <si>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</si>
  <si>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</si>
  <si>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</si>
  <si>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21.27</t>
  </si>
  <si>
    <t>20.420</t>
  </si>
  <si>
    <t>10:14.87</t>
  </si>
  <si>
    <t>1:58.73</t>
  </si>
  <si>
    <t>2:41.56</t>
  </si>
  <si>
    <t>1:52.11</t>
  </si>
  <si>
    <t>47.59</t>
  </si>
  <si>
    <t>1:19.26</t>
  </si>
  <si>
    <t>1:23.57</t>
  </si>
  <si>
    <t>56.03</t>
  </si>
  <si>
    <t>1:20.13</t>
  </si>
  <si>
    <t>1:42.93</t>
  </si>
  <si>
    <t>2:12.13</t>
  </si>
  <si>
    <t>19.91</t>
  </si>
  <si>
    <t>2:00.41</t>
  </si>
  <si>
    <t>1:17.16</t>
  </si>
  <si>
    <t>1:58.50</t>
  </si>
  <si>
    <t>59.23</t>
  </si>
  <si>
    <t>1:43.66</t>
  </si>
  <si>
    <t>1:17.82</t>
  </si>
  <si>
    <t>1:27.10</t>
  </si>
  <si>
    <t>1:48.22</t>
  </si>
  <si>
    <t>19.82</t>
  </si>
  <si>
    <t>47.93</t>
  </si>
  <si>
    <t>2:28.66</t>
  </si>
  <si>
    <t>2:27.47</t>
  </si>
  <si>
    <t>19.92</t>
  </si>
  <si>
    <t>2:25.36</t>
  </si>
  <si>
    <t>21.86</t>
  </si>
  <si>
    <t>1:29.45</t>
  </si>
  <si>
    <t>57.26</t>
  </si>
  <si>
    <t>1:29.50</t>
  </si>
  <si>
    <t>2:45.16</t>
  </si>
  <si>
    <t>1:24.15</t>
  </si>
  <si>
    <t>56.29</t>
  </si>
  <si>
    <t>1:25.55</t>
  </si>
  <si>
    <t>1:21.02</t>
  </si>
  <si>
    <t>2:01.87</t>
  </si>
  <si>
    <t>1:35.73</t>
  </si>
  <si>
    <t>1:10.29</t>
  </si>
  <si>
    <t>44.19</t>
  </si>
  <si>
    <t>2:24.41</t>
  </si>
  <si>
    <t>1:21.93</t>
  </si>
  <si>
    <t>2:28.84</t>
  </si>
  <si>
    <t>18.78</t>
  </si>
  <si>
    <t>1:14:19</t>
  </si>
  <si>
    <t>road to low 1:11</t>
  </si>
  <si>
    <t>10:13.42</t>
  </si>
  <si>
    <t>1:58.21</t>
  </si>
  <si>
    <t>19.00</t>
  </si>
  <si>
    <t>2:41.30</t>
  </si>
  <si>
    <t>1:51.58</t>
  </si>
  <si>
    <t>33.54</t>
  </si>
  <si>
    <t>47.60</t>
  </si>
  <si>
    <t>1:23.52</t>
  </si>
  <si>
    <t>1:43.81</t>
  </si>
  <si>
    <t>47.42</t>
  </si>
  <si>
    <t>2:10.07</t>
  </si>
  <si>
    <t>19.719</t>
  </si>
  <si>
    <t>1:25.57</t>
  </si>
  <si>
    <t>2:00.71</t>
  </si>
  <si>
    <t>15.70</t>
  </si>
  <si>
    <t>1:45.27</t>
  </si>
  <si>
    <t>18.96</t>
  </si>
  <si>
    <t>1:15.38</t>
  </si>
  <si>
    <t>1:27.85</t>
  </si>
  <si>
    <t>47.07</t>
  </si>
  <si>
    <t>1:18.13</t>
  </si>
  <si>
    <t>1:20.65</t>
  </si>
  <si>
    <t>1:08.09</t>
  </si>
  <si>
    <t>1:49.50</t>
  </si>
  <si>
    <t>47.82</t>
  </si>
  <si>
    <t>2:24.25</t>
  </si>
  <si>
    <t>1:46.31</t>
  </si>
  <si>
    <t>57.62</t>
  </si>
  <si>
    <t>1:27.96</t>
  </si>
  <si>
    <t>2:46.78</t>
  </si>
  <si>
    <t>1:26.03</t>
  </si>
  <si>
    <t>56.64</t>
  </si>
  <si>
    <t>18.98</t>
  </si>
  <si>
    <t>1:22.31</t>
  </si>
  <si>
    <t>2:03.42</t>
  </si>
  <si>
    <t>1:35.69</t>
  </si>
  <si>
    <t>1:22.25</t>
  </si>
  <si>
    <t>2:28.40</t>
  </si>
  <si>
    <t>1:14:10</t>
  </si>
  <si>
    <t>12.78</t>
  </si>
  <si>
    <t>I have a very slow Wii</t>
  </si>
  <si>
    <t>10:16.05</t>
  </si>
  <si>
    <t>1:13.11</t>
  </si>
  <si>
    <t>2:00.62</t>
  </si>
  <si>
    <t>2:41.04</t>
  </si>
  <si>
    <t>1:53.54</t>
  </si>
  <si>
    <t>48.63</t>
  </si>
  <si>
    <t>1:19.66</t>
  </si>
  <si>
    <t>1:23.50</t>
  </si>
  <si>
    <t>57.42</t>
  </si>
  <si>
    <t>1:13.99</t>
  </si>
  <si>
    <t>1:45.43</t>
  </si>
  <si>
    <t>47.91</t>
  </si>
  <si>
    <t>2:11.78</t>
  </si>
  <si>
    <t>1:15.83</t>
  </si>
  <si>
    <t xml:space="preserve">    [3] spam-spray early trigger</t>
  </si>
  <si>
    <t>1:25.68</t>
  </si>
  <si>
    <t>18.73</t>
  </si>
  <si>
    <t>1:45.64</t>
  </si>
  <si>
    <t>1:28.24</t>
  </si>
  <si>
    <t>2:17.76</t>
  </si>
  <si>
    <t>48.01</t>
  </si>
  <si>
    <t>2:28.76</t>
  </si>
  <si>
    <t>58.16</t>
  </si>
  <si>
    <t>2:43.40</t>
  </si>
  <si>
    <t>1:26.48</t>
  </si>
  <si>
    <t>55.48</t>
  </si>
  <si>
    <t>1:36.08</t>
  </si>
  <si>
    <t>1:21.65</t>
  </si>
  <si>
    <t>2:27.58</t>
  </si>
  <si>
    <t>1:14:03</t>
  </si>
  <si>
    <t>:）</t>
  </si>
  <si>
    <t>Banova</t>
  </si>
  <si>
    <t>10:16.07</t>
  </si>
  <si>
    <t>1:30.35</t>
  </si>
  <si>
    <t>1:00.48</t>
  </si>
  <si>
    <t>19.84</t>
  </si>
  <si>
    <t>39.66</t>
  </si>
  <si>
    <t>20.020</t>
  </si>
  <si>
    <t>42.93</t>
  </si>
  <si>
    <t>1:32.65</t>
  </si>
  <si>
    <t>1:28.81</t>
  </si>
  <si>
    <t>1:13.00</t>
  </si>
  <si>
    <t>20.59</t>
  </si>
  <si>
    <t>2:41.61</t>
  </si>
  <si>
    <t>20.02</t>
  </si>
  <si>
    <t>1:53.55</t>
  </si>
  <si>
    <t>32.75</t>
  </si>
  <si>
    <t>33.79</t>
  </si>
  <si>
    <t>23.20</t>
  </si>
  <si>
    <t>29.73</t>
  </si>
  <si>
    <t>36.46</t>
  </si>
  <si>
    <t>23.32</t>
  </si>
  <si>
    <t xml:space="preserve">      [4,1] insta-kill (spinjump)</t>
  </si>
  <si>
    <t>25.58</t>
  </si>
  <si>
    <t>6.63</t>
  </si>
  <si>
    <t>7938</t>
  </si>
  <si>
    <t>56.70</t>
  </si>
  <si>
    <t>1:13.90</t>
  </si>
  <si>
    <t>1:24.31</t>
  </si>
  <si>
    <t>1:43.61</t>
  </si>
  <si>
    <t>2:12.87</t>
  </si>
  <si>
    <t>15.74</t>
  </si>
  <si>
    <t>48.30</t>
  </si>
  <si>
    <t>2:12.50</t>
  </si>
  <si>
    <t>16.116</t>
  </si>
  <si>
    <t>1:15.91</t>
  </si>
  <si>
    <t>1:18.22</t>
  </si>
  <si>
    <t>1:25.96</t>
  </si>
  <si>
    <t xml:space="preserve">      [4,2] insta-kill (backflip)</t>
  </si>
  <si>
    <t>1:57.88</t>
  </si>
  <si>
    <t>46.48</t>
  </si>
  <si>
    <t>1:00.38</t>
  </si>
  <si>
    <t>16.616</t>
  </si>
  <si>
    <t>1:45.00</t>
  </si>
  <si>
    <t>1:18.48</t>
  </si>
  <si>
    <t>Episode 8 (Full)</t>
  </si>
  <si>
    <t>1:20.73</t>
  </si>
  <si>
    <t>1:12.91</t>
  </si>
  <si>
    <t>48.40</t>
  </si>
  <si>
    <t>1:12.072</t>
  </si>
  <si>
    <t>2:25.67</t>
  </si>
  <si>
    <t>57.83</t>
  </si>
  <si>
    <t>1:28.51</t>
  </si>
  <si>
    <t>2:47.16</t>
  </si>
  <si>
    <t>1:18.90</t>
  </si>
  <si>
    <t>57.98</t>
  </si>
  <si>
    <t>56.00</t>
  </si>
  <si>
    <t>1:10.09</t>
  </si>
  <si>
    <t>1:21.40</t>
  </si>
  <si>
    <t>1:06.88</t>
  </si>
  <si>
    <t>2:02.23</t>
  </si>
  <si>
    <t>1:36.73</t>
  </si>
  <si>
    <t>1:22.41</t>
  </si>
  <si>
    <t>2:27.01</t>
  </si>
  <si>
    <t>10:13.35</t>
  </si>
  <si>
    <t>1:05.85</t>
  </si>
  <si>
    <t>1:58.44</t>
  </si>
  <si>
    <t>1:07.52</t>
  </si>
  <si>
    <t>2:40.27</t>
  </si>
  <si>
    <t>1:50.89</t>
  </si>
  <si>
    <t>1:01.34</t>
  </si>
  <si>
    <t>1:08.62</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</si>
  <si>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</si>
  <si>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</si>
  <si>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</si>
  <si>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</si>
  <si>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</si>
  <si>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</si>
  <si>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</si>
  <si>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</si>
  <si>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</si>
  <si>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</si>
  <si>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</si>
  <si>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</si>
  <si>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</si>
  <si>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</si>
  <si>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</si>
  <si>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</si>
  <si>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</si>
  <si>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</si>
  <si>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</si>
  <si>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</si>
  <si>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</si>
  <si>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</si>
  <si>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40.37</t>
  </si>
  <si>
    <t>56.24</t>
  </si>
  <si>
    <t>1:26.54</t>
  </si>
  <si>
    <t>55.66</t>
  </si>
  <si>
    <t>2:02.31</t>
  </si>
  <si>
    <t>1:35.82</t>
  </si>
  <si>
    <t>46.17</t>
  </si>
  <si>
    <t>2:27.76</t>
  </si>
  <si>
    <t>1:14:13</t>
  </si>
  <si>
    <t>cool ting</t>
  </si>
  <si>
    <t>40.707</t>
  </si>
  <si>
    <t>10:19.70</t>
  </si>
  <si>
    <t>1:12.55</t>
  </si>
  <si>
    <t>44.477</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</si>
  <si>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</si>
  <si>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</si>
  <si>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</si>
  <si>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</si>
  <si>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</si>
  <si>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</si>
  <si>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</si>
  <si>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</si>
  <si>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</si>
  <si>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</si>
  <si>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</si>
  <si>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</si>
  <si>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</si>
  <si>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</si>
  <si>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</si>
  <si>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</si>
  <si>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</si>
  <si>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</si>
  <si>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</si>
  <si>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</si>
  <si>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</si>
  <si>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52.45</t>
  </si>
  <si>
    <t>1:13:46</t>
  </si>
  <si>
    <t>Soon I will become a legend</t>
  </si>
  <si>
    <t>AudioKillers</t>
  </si>
  <si>
    <t>10:17.67</t>
  </si>
  <si>
    <t>1:12.73</t>
  </si>
  <si>
    <t>1:59.34</t>
  </si>
  <si>
    <t>2:43.55</t>
  </si>
  <si>
    <t>1:53.17</t>
  </si>
  <si>
    <t>1:23.13</t>
  </si>
  <si>
    <t>[1] episode 2</t>
  </si>
  <si>
    <t>1:21.31</t>
  </si>
  <si>
    <t>2:11.55</t>
  </si>
  <si>
    <t>1:15.66</t>
  </si>
  <si>
    <t>1:26.43</t>
  </si>
  <si>
    <t>2:01.08</t>
  </si>
  <si>
    <t>1:44.09</t>
  </si>
  <si>
    <t>1:28.08</t>
  </si>
  <si>
    <t>1:18.31</t>
  </si>
  <si>
    <t>1:28.13</t>
  </si>
  <si>
    <t>1:20.63</t>
  </si>
  <si>
    <t>1:49.90</t>
  </si>
  <si>
    <t>2:32.12</t>
  </si>
  <si>
    <t>1:30.57</t>
  </si>
  <si>
    <t>2:41.82</t>
  </si>
  <si>
    <t>1:28.65</t>
  </si>
  <si>
    <t>10.63</t>
  </si>
  <si>
    <t>1:26.08</t>
  </si>
  <si>
    <t>55.60</t>
  </si>
  <si>
    <t xml:space="preserve">  [2] episode 7</t>
  </si>
  <si>
    <t>30.90</t>
  </si>
  <si>
    <t>2:04.04</t>
  </si>
  <si>
    <t>1:22.01</t>
  </si>
  <si>
    <t>2:27.12</t>
  </si>
  <si>
    <t>1:16:23</t>
  </si>
  <si>
    <t>Imagine</t>
  </si>
  <si>
    <t>TheCeddyWithin</t>
  </si>
  <si>
    <t>10:15.59</t>
  </si>
  <si>
    <t>1:12.97</t>
  </si>
  <si>
    <t>1:59.62</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</si>
  <si>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</si>
  <si>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</si>
  <si>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</si>
  <si>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</si>
  <si>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</si>
  <si>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</si>
  <si>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</si>
  <si>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</si>
  <si>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</si>
  <si>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</si>
  <si>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</si>
  <si>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</si>
  <si>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</si>
  <si>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</si>
  <si>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</si>
  <si>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</si>
  <si>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</si>
  <si>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</si>
  <si>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</si>
  <si>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31.12</t>
  </si>
  <si>
    <t>1:26.57</t>
  </si>
  <si>
    <t>56.43</t>
  </si>
  <si>
    <t>1:22.09</t>
  </si>
  <si>
    <t>1:59.04</t>
  </si>
  <si>
    <t>1:35.15</t>
  </si>
  <si>
    <t>42.91</t>
  </si>
  <si>
    <t>2:29.42</t>
  </si>
  <si>
    <t>1:15:17</t>
  </si>
  <si>
    <t>1:14 soonTM</t>
  </si>
  <si>
    <t>Fech8763</t>
  </si>
  <si>
    <t>10:14.28</t>
  </si>
  <si>
    <t>1:12.21</t>
  </si>
  <si>
    <t>1:58.25</t>
  </si>
  <si>
    <t>2:39.06</t>
  </si>
  <si>
    <t>1:52.46</t>
  </si>
  <si>
    <t>1:23.73</t>
  </si>
  <si>
    <t>35.59</t>
  </si>
  <si>
    <t>1:22.16</t>
  </si>
  <si>
    <t>1:42.68</t>
  </si>
  <si>
    <t>47.56</t>
  </si>
  <si>
    <t>2:13.25</t>
  </si>
  <si>
    <t>2:00.06</t>
  </si>
  <si>
    <t>59.90</t>
  </si>
  <si>
    <t>1:45.72</t>
  </si>
  <si>
    <t>47.24</t>
  </si>
  <si>
    <t>1:18.11</t>
  </si>
  <si>
    <t>1:28.98</t>
  </si>
  <si>
    <t>1:20.61</t>
  </si>
  <si>
    <t>1:49.91</t>
  </si>
  <si>
    <t>48.12</t>
  </si>
  <si>
    <t>[1] standard route</t>
  </si>
  <si>
    <t>1:29.57</t>
  </si>
  <si>
    <t>2:49.12</t>
  </si>
  <si>
    <t>56.27</t>
  </si>
  <si>
    <t>2:04.14</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</si>
  <si>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</si>
  <si>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</si>
  <si>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</si>
  <si>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</si>
  <si>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</si>
  <si>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</si>
  <si>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</si>
  <si>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</si>
  <si>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</si>
  <si>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</si>
  <si>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</si>
  <si>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</si>
  <si>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</si>
  <si>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</si>
  <si>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</si>
  <si>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</si>
  <si>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</si>
  <si>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</si>
  <si>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</si>
  <si>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</si>
  <si>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</si>
  <si>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</si>
  <si>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</si>
  <si>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</si>
  <si>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</si>
  <si>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</si>
  <si>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</si>
  <si>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</si>
  <si>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</si>
  <si>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</si>
  <si>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</si>
  <si>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</si>
  <si>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</si>
  <si>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</si>
  <si>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</si>
  <si>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</si>
  <si>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</si>
  <si>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</si>
  <si>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</si>
  <si>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</si>
  <si>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</si>
  <si>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</si>
  <si>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1:21.11</t>
  </si>
  <si>
    <t>49.03</t>
  </si>
  <si>
    <t>1:50.57</t>
  </si>
  <si>
    <t>48.32</t>
  </si>
  <si>
    <t>32.29</t>
  </si>
  <si>
    <t>1:30.43</t>
  </si>
  <si>
    <t>58.56</t>
  </si>
  <si>
    <t>1:29.99</t>
  </si>
  <si>
    <t>2:45.00</t>
  </si>
  <si>
    <t>1:18.59</t>
  </si>
  <si>
    <t>57.07</t>
  </si>
  <si>
    <t xml:space="preserve">  [2] Nanashi route</t>
  </si>
  <si>
    <t>56.97</t>
  </si>
  <si>
    <t>1:24.51</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</si>
  <si>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</si>
  <si>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</si>
  <si>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</si>
  <si>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</si>
  <si>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</si>
  <si>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</si>
  <si>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</si>
  <si>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</si>
  <si>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</si>
  <si>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</si>
  <si>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</si>
  <si>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</si>
  <si>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</si>
  <si>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</si>
  <si>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</si>
  <si>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</si>
  <si>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</si>
  <si>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</si>
  <si>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</si>
  <si>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</si>
  <si>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</si>
  <si>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</si>
  <si>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</si>
  <si>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</si>
  <si>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</si>
  <si>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</si>
  <si>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</si>
  <si>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</si>
  <si>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</si>
  <si>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</si>
  <si>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</si>
  <si>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</si>
  <si>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</si>
  <si>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</si>
  <si>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</si>
  <si>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</si>
  <si>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1:59.71</t>
  </si>
  <si>
    <t>2:40.34</t>
  </si>
  <si>
    <t>1:54.86</t>
  </si>
  <si>
    <t>1:23.74</t>
  </si>
  <si>
    <t>56.75</t>
  </si>
  <si>
    <t>1:26.30</t>
  </si>
  <si>
    <t>1:45.60</t>
  </si>
  <si>
    <t>48.18</t>
  </si>
  <si>
    <t>2:14.23</t>
  </si>
  <si>
    <t>1:15.84</t>
  </si>
  <si>
    <t>[1,1] normal 1st, bad 3rd (normal)</t>
  </si>
  <si>
    <t>51.44</t>
  </si>
  <si>
    <t>51.78</t>
  </si>
  <si>
    <t>1:28.76</t>
  </si>
  <si>
    <t>1:18.07</t>
  </si>
  <si>
    <t>2:30.30</t>
  </si>
  <si>
    <t>51.951</t>
  </si>
  <si>
    <t>1:30.19</t>
  </si>
  <si>
    <t>58.66</t>
  </si>
  <si>
    <t>1:30.77</t>
  </si>
  <si>
    <t>2:48.40</t>
  </si>
  <si>
    <t>57.19</t>
  </si>
  <si>
    <t>2:04.00</t>
  </si>
  <si>
    <t>1:35.93</t>
  </si>
  <si>
    <t>1:22.30</t>
  </si>
  <si>
    <t>46.29</t>
  </si>
  <si>
    <t>1:14:56</t>
  </si>
  <si>
    <t xml:space="preserve">broken loads </t>
  </si>
  <si>
    <t>10:16.04</t>
  </si>
  <si>
    <t>1:59.90</t>
  </si>
  <si>
    <t>2:42.89</t>
  </si>
  <si>
    <t>1:52.94</t>
  </si>
  <si>
    <t>1:21.70</t>
  </si>
  <si>
    <t>26.15</t>
  </si>
  <si>
    <t>1:14.22</t>
  </si>
  <si>
    <t>1:22.29</t>
  </si>
  <si>
    <t>1:45.88</t>
  </si>
  <si>
    <t>48.20</t>
  </si>
  <si>
    <t>2:13.13</t>
  </si>
  <si>
    <t>1:16.01</t>
  </si>
  <si>
    <t>1:17.58</t>
  </si>
  <si>
    <t>1:28.10</t>
  </si>
  <si>
    <t>2:18.51</t>
  </si>
  <si>
    <t>1:18.43</t>
  </si>
  <si>
    <t>1:28.25</t>
  </si>
  <si>
    <t>1:48.18</t>
  </si>
  <si>
    <t>[1,2] normal 1st, bad 3rd (early)</t>
  </si>
  <si>
    <t>2:36.86</t>
  </si>
  <si>
    <t>1:30.44</t>
  </si>
  <si>
    <t>57.80</t>
  </si>
  <si>
    <t>1:30.66</t>
  </si>
  <si>
    <t>2:47.21</t>
  </si>
  <si>
    <t>1:26.28</t>
  </si>
  <si>
    <t>1:21.80</t>
  </si>
  <si>
    <t>2:03.43</t>
  </si>
  <si>
    <t>1:35.98</t>
  </si>
  <si>
    <t>46.93</t>
  </si>
  <si>
    <t>2:28.97</t>
  </si>
  <si>
    <t>getting fasdt</t>
  </si>
  <si>
    <t>48.181</t>
  </si>
  <si>
    <t>Pancakez</t>
  </si>
  <si>
    <t>10:16.00</t>
  </si>
  <si>
    <t>1:12.88</t>
  </si>
  <si>
    <t>2:41.28</t>
  </si>
  <si>
    <t>1:20.72</t>
  </si>
  <si>
    <t>56.61</t>
  </si>
  <si>
    <t>1:13.70</t>
  </si>
  <si>
    <t>47.67</t>
  </si>
  <si>
    <t>47.70</t>
  </si>
  <si>
    <t>2:13.95</t>
  </si>
  <si>
    <t>1:15.85</t>
  </si>
  <si>
    <t>1:26.00</t>
  </si>
  <si>
    <t>2:04.17</t>
  </si>
  <si>
    <t>1:00.08</t>
  </si>
  <si>
    <t>1:46.12</t>
  </si>
  <si>
    <t>1:28.85</t>
  </si>
  <si>
    <t>1:20.31</t>
  </si>
  <si>
    <t>1:37.30</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</si>
  <si>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</si>
  <si>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</si>
  <si>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</si>
  <si>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</si>
  <si>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</si>
  <si>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</si>
  <si>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</si>
  <si>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</si>
  <si>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</si>
  <si>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</si>
  <si>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</si>
  <si>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</si>
  <si>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</si>
  <si>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</si>
  <si>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</si>
  <si>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</si>
  <si>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</si>
  <si>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</si>
  <si>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</si>
  <si>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</si>
  <si>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</si>
  <si>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</si>
  <si>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</si>
  <si>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1:14.54</t>
  </si>
  <si>
    <t>57.24</t>
  </si>
  <si>
    <t>1:15.39</t>
  </si>
  <si>
    <t>1:24.78</t>
  </si>
  <si>
    <t>1:44.16</t>
  </si>
  <si>
    <t>2:14.58</t>
  </si>
  <si>
    <t>1:00.79</t>
  </si>
  <si>
    <t>1:28.54</t>
  </si>
  <si>
    <t>[1,3] normal 1st, good 3rd (wait at wall)</t>
  </si>
  <si>
    <t>49.15</t>
  </si>
  <si>
    <t>1:19.09</t>
  </si>
  <si>
    <t>1:30.12</t>
  </si>
  <si>
    <t>1:20.97</t>
  </si>
  <si>
    <t>49.13</t>
  </si>
  <si>
    <t>2:33.63</t>
  </si>
  <si>
    <t>1:30.34</t>
  </si>
  <si>
    <t>58.93</t>
  </si>
  <si>
    <t>2:50.41</t>
  </si>
  <si>
    <t>1:17.56</t>
  </si>
  <si>
    <t>57.65</t>
  </si>
  <si>
    <t>1:26.34</t>
  </si>
  <si>
    <t>56.42</t>
  </si>
  <si>
    <t>1:24.20</t>
  </si>
  <si>
    <t>2:04.76</t>
  </si>
  <si>
    <t>1:37.75</t>
  </si>
  <si>
    <t>1:22.98</t>
  </si>
  <si>
    <t>46.34</t>
  </si>
  <si>
    <t>47.43</t>
  </si>
  <si>
    <t>47.71</t>
  </si>
  <si>
    <t>2:29.53</t>
  </si>
  <si>
    <t>1:15:32</t>
  </si>
  <si>
    <t>Samura1man</t>
  </si>
  <si>
    <t>10:18.23</t>
  </si>
  <si>
    <t>2:41.08</t>
  </si>
  <si>
    <t>49.16</t>
  </si>
  <si>
    <t>1:23.27</t>
  </si>
  <si>
    <t>7927</t>
  </si>
  <si>
    <t>57.34</t>
  </si>
  <si>
    <t>47.080</t>
  </si>
  <si>
    <t>1:15.12</t>
  </si>
  <si>
    <t>1:45.75</t>
  </si>
  <si>
    <t>2:14.36</t>
  </si>
  <si>
    <t>1:16.22</t>
  </si>
  <si>
    <t>1:17.64</t>
  </si>
  <si>
    <t>1:26.42</t>
  </si>
  <si>
    <t>2:04.22</t>
  </si>
  <si>
    <t>59.79</t>
  </si>
  <si>
    <t>1:46.95</t>
  </si>
  <si>
    <t>1:28.34</t>
  </si>
  <si>
    <t>50.89</t>
  </si>
  <si>
    <t>48.07</t>
  </si>
  <si>
    <t>2:29.00</t>
  </si>
  <si>
    <t>1:30.81</t>
  </si>
  <si>
    <t>58.71</t>
  </si>
  <si>
    <t>2:48.05</t>
  </si>
  <si>
    <t>1:29.36</t>
  </si>
  <si>
    <t>57.79</t>
  </si>
  <si>
    <t>56.55</t>
  </si>
  <si>
    <t>1:23.01</t>
  </si>
  <si>
    <t>1:36.07</t>
  </si>
  <si>
    <t>2:28.58</t>
  </si>
  <si>
    <t>1:15:14</t>
  </si>
  <si>
    <t>10:16.16</t>
  </si>
  <si>
    <t>1:12.96</t>
  </si>
  <si>
    <t>2:00.13</t>
  </si>
  <si>
    <t>2:45.03</t>
  </si>
  <si>
    <t>1:53.19</t>
  </si>
  <si>
    <t>[1,4] normal 1st, good 3rd (bait chomp)</t>
  </si>
  <si>
    <t>57.56</t>
  </si>
  <si>
    <t>1:13.91</t>
  </si>
  <si>
    <t>1:26.63</t>
  </si>
  <si>
    <t>1:45.68</t>
  </si>
  <si>
    <t>1:26.21</t>
  </si>
  <si>
    <t>1:58.79</t>
  </si>
  <si>
    <t>1:00.26</t>
  </si>
  <si>
    <t>1:47.87</t>
  </si>
  <si>
    <t>1:28.44</t>
  </si>
  <si>
    <t>1:18.33</t>
  </si>
  <si>
    <t>1:28.60</t>
  </si>
  <si>
    <t>1:20.99</t>
  </si>
  <si>
    <t>1:51.04</t>
  </si>
  <si>
    <t>48.13</t>
  </si>
  <si>
    <t>2:31.47</t>
  </si>
  <si>
    <t>48.94</t>
  </si>
  <si>
    <t>57.53</t>
  </si>
  <si>
    <t>1:30.89</t>
  </si>
  <si>
    <t>2:48.20</t>
  </si>
  <si>
    <t>57.48</t>
  </si>
  <si>
    <t>43.13</t>
  </si>
  <si>
    <t>1:26.15</t>
  </si>
  <si>
    <t>1:21.49</t>
  </si>
  <si>
    <t>2:05.76</t>
  </si>
  <si>
    <t>1:36.29</t>
  </si>
  <si>
    <t>2:35.75</t>
  </si>
  <si>
    <t>1:16:29</t>
  </si>
  <si>
    <t>10:18.05</t>
  </si>
  <si>
    <t>1:12.95</t>
  </si>
  <si>
    <t>45.34</t>
  </si>
  <si>
    <t>1:09.61</t>
  </si>
  <si>
    <t>2:43.33</t>
  </si>
  <si>
    <t>39.59</t>
  </si>
  <si>
    <t>1:01.94</t>
  </si>
  <si>
    <t>41.79</t>
  </si>
  <si>
    <t>1:23.31</t>
  </si>
  <si>
    <t>1:16.25</t>
  </si>
  <si>
    <t>1:27.84</t>
  </si>
  <si>
    <t>1:47.30</t>
  </si>
  <si>
    <t>[1,5] normal 1st, good 3rd (slide past)</t>
  </si>
  <si>
    <t>42.90</t>
  </si>
  <si>
    <t>16.81</t>
  </si>
  <si>
    <t>44.12</t>
  </si>
  <si>
    <t>2:33.12</t>
  </si>
  <si>
    <t>58.82</t>
  </si>
  <si>
    <t>2:48.71</t>
  </si>
  <si>
    <t>1:29.27</t>
  </si>
  <si>
    <t>57.37</t>
  </si>
  <si>
    <t>44.844</t>
  </si>
  <si>
    <t>45.14</t>
  </si>
  <si>
    <t>1:23.64</t>
  </si>
  <si>
    <t>2:04.23</t>
  </si>
  <si>
    <t>1:35.90</t>
  </si>
  <si>
    <t>45.33</t>
  </si>
  <si>
    <t>46.56</t>
  </si>
  <si>
    <t>1:36.93</t>
  </si>
  <si>
    <t>1:14:46</t>
  </si>
  <si>
    <t>44.65</t>
  </si>
  <si>
    <t>ok might not get wr before i get 1:12 sob</t>
  </si>
  <si>
    <t>43.74</t>
  </si>
  <si>
    <t>43.49</t>
  </si>
  <si>
    <t>10:18.13</t>
  </si>
  <si>
    <t>1:13.68</t>
  </si>
  <si>
    <t>2:47.49</t>
  </si>
  <si>
    <t>15.10</t>
  </si>
  <si>
    <t>49.73</t>
  </si>
  <si>
    <t>53.21</t>
  </si>
  <si>
    <t>1:19.76</t>
  </si>
  <si>
    <t>1:24.99</t>
  </si>
  <si>
    <t>59.88</t>
  </si>
  <si>
    <t>56.83</t>
  </si>
  <si>
    <t>1:13.81</t>
  </si>
  <si>
    <t>44.44</t>
  </si>
  <si>
    <t>1:49.80</t>
  </si>
  <si>
    <t>1:20.03</t>
  </si>
  <si>
    <t>1:25.69</t>
  </si>
  <si>
    <t xml:space="preserve">  [2,1] forgotten 1st, bad 3rd</t>
  </si>
  <si>
    <t>1:56.47</t>
  </si>
  <si>
    <t>1:00.49</t>
  </si>
  <si>
    <t>1:45.97</t>
  </si>
  <si>
    <t>1:29.41</t>
  </si>
  <si>
    <t>1:21.45</t>
  </si>
  <si>
    <t>46.58</t>
  </si>
  <si>
    <t>1:52.34</t>
  </si>
  <si>
    <t>2:30.10</t>
  </si>
  <si>
    <t>1:31.87</t>
  </si>
  <si>
    <t>27.96</t>
  </si>
  <si>
    <t>58.96</t>
  </si>
  <si>
    <t>29.51</t>
  </si>
  <si>
    <t>2:52.06</t>
  </si>
  <si>
    <t>1:24.23</t>
  </si>
  <si>
    <t>57.50</t>
  </si>
  <si>
    <t>43.94</t>
  </si>
  <si>
    <t>2:00.37</t>
  </si>
  <si>
    <t>53.887</t>
  </si>
  <si>
    <t>40.05</t>
  </si>
  <si>
    <t>1:25.88</t>
  </si>
  <si>
    <t>2:31.13</t>
  </si>
  <si>
    <t>1:17:25</t>
  </si>
  <si>
    <t>why is consistency impossible</t>
  </si>
  <si>
    <t>Yossy</t>
  </si>
  <si>
    <t>28.72</t>
  </si>
  <si>
    <t>10:17.42</t>
  </si>
  <si>
    <t>1:12.92</t>
  </si>
  <si>
    <t>33.55</t>
  </si>
  <si>
    <t>1:59.36</t>
  </si>
  <si>
    <t>2:41.22</t>
  </si>
  <si>
    <t>1:53.68</t>
  </si>
  <si>
    <t>53.24</t>
  </si>
  <si>
    <t>48.84</t>
  </si>
  <si>
    <t>1:23.84</t>
  </si>
  <si>
    <t>1:23.93</t>
  </si>
  <si>
    <t>56.96</t>
  </si>
  <si>
    <t>1:14.76</t>
  </si>
  <si>
    <t>1:25.15</t>
  </si>
  <si>
    <t>2:13.35</t>
  </si>
  <si>
    <t>1:16.11</t>
  </si>
  <si>
    <t>1:26.59</t>
  </si>
  <si>
    <t>2:00.66</t>
  </si>
  <si>
    <t>1:46.30</t>
  </si>
  <si>
    <t>1:28.57</t>
  </si>
  <si>
    <t>43.73</t>
  </si>
  <si>
    <t>48.34</t>
  </si>
  <si>
    <t>1:28.69</t>
  </si>
  <si>
    <t>27.75</t>
  </si>
  <si>
    <t>1:50.50</t>
  </si>
  <si>
    <t>2:37.14</t>
  </si>
  <si>
    <t>1:30.82</t>
  </si>
  <si>
    <t>57.97</t>
  </si>
  <si>
    <t>1:31.39</t>
  </si>
  <si>
    <t>1:20.68</t>
  </si>
  <si>
    <t>2:47.00</t>
  </si>
  <si>
    <t>57.77</t>
  </si>
  <si>
    <t>1:23.53</t>
  </si>
  <si>
    <t>2:06.08</t>
  </si>
  <si>
    <t>1:36.22</t>
  </si>
  <si>
    <t>2:31.65</t>
  </si>
  <si>
    <t>1:14:55</t>
  </si>
  <si>
    <t>1:07.85</t>
  </si>
  <si>
    <t>10:14.88</t>
  </si>
  <si>
    <t>1:12.90</t>
  </si>
  <si>
    <t>1:59.61</t>
  </si>
  <si>
    <t>2:46.25</t>
  </si>
  <si>
    <t>1:54.38</t>
  </si>
  <si>
    <t>49.18</t>
  </si>
  <si>
    <t>1:23.87</t>
  </si>
  <si>
    <t>57.33</t>
  </si>
  <si>
    <t xml:space="preserve">  [2,2] forgotten 1st, bad 2nd, good 3rd</t>
  </si>
  <si>
    <t>43.30</t>
  </si>
  <si>
    <t>1:25.28</t>
  </si>
  <si>
    <t>1:44.61</t>
  </si>
  <si>
    <t>48.49</t>
  </si>
  <si>
    <t>2:13.63</t>
  </si>
  <si>
    <t>1:16.44</t>
  </si>
  <si>
    <t>1:20.29</t>
  </si>
  <si>
    <t>2:02.69</t>
  </si>
  <si>
    <t>1:00.62</t>
  </si>
  <si>
    <t>1:47.04</t>
  </si>
  <si>
    <t>1:28.07</t>
  </si>
  <si>
    <t>1:18.17</t>
  </si>
  <si>
    <t>1:29.79</t>
  </si>
  <si>
    <t>1:20.62</t>
  </si>
  <si>
    <t>1:49.63</t>
  </si>
  <si>
    <t>2:38.42</t>
  </si>
  <si>
    <t>1:30.37</t>
  </si>
  <si>
    <t>58.25</t>
  </si>
  <si>
    <t>1:28.50</t>
  </si>
  <si>
    <t>2:52.02</t>
  </si>
  <si>
    <t>56.80</t>
  </si>
  <si>
    <t>1:26.89</t>
  </si>
  <si>
    <t>56.07</t>
  </si>
  <si>
    <t>1:22.70</t>
  </si>
  <si>
    <t>51.66</t>
  </si>
  <si>
    <t>2:04.64</t>
  </si>
  <si>
    <t>1:36.41</t>
  </si>
  <si>
    <t>2:30.20</t>
  </si>
  <si>
    <t xml:space="preserve">is okay </t>
  </si>
  <si>
    <t>49.783</t>
  </si>
  <si>
    <t>34.95</t>
  </si>
  <si>
    <t>2:44.41</t>
  </si>
  <si>
    <t>1:54.64</t>
  </si>
  <si>
    <t>22.59</t>
  </si>
  <si>
    <t>56.93</t>
  </si>
  <si>
    <t>1:14.51</t>
  </si>
  <si>
    <t>1:44.48</t>
  </si>
  <si>
    <t>2:18.61</t>
  </si>
  <si>
    <t>1:16.41</t>
  </si>
  <si>
    <t>1:20.91</t>
  </si>
  <si>
    <t>1:25.74</t>
  </si>
  <si>
    <t>44.07</t>
  </si>
  <si>
    <t>1:00.54</t>
  </si>
  <si>
    <t>1:46.86</t>
  </si>
  <si>
    <t>1:29.31</t>
  </si>
  <si>
    <t>1:21.01</t>
  </si>
  <si>
    <t>1:51.05</t>
  </si>
  <si>
    <t>2:41.62</t>
  </si>
  <si>
    <t>57.84</t>
  </si>
  <si>
    <t>1:30.32</t>
  </si>
  <si>
    <t>2:49.19</t>
  </si>
  <si>
    <t>1:18.64</t>
  </si>
  <si>
    <t>46.00</t>
  </si>
  <si>
    <t>1:21.13</t>
  </si>
  <si>
    <t>2:06.79</t>
  </si>
  <si>
    <t>2:29.73</t>
  </si>
  <si>
    <t>wanna thank my mom, dad and middle school teacher</t>
  </si>
  <si>
    <t>2:26.40</t>
  </si>
  <si>
    <t>10:19.60</t>
  </si>
  <si>
    <t>1:13.30</t>
  </si>
  <si>
    <t>2:43.47</t>
  </si>
  <si>
    <t>1:52.73</t>
  </si>
  <si>
    <t>-</t>
  </si>
  <si>
    <t>57.43</t>
  </si>
  <si>
    <t>1:15.46</t>
  </si>
  <si>
    <t>48.37</t>
  </si>
  <si>
    <t>2:01.47</t>
  </si>
  <si>
    <t>1:00.89</t>
  </si>
  <si>
    <t>1:48.00</t>
  </si>
  <si>
    <t>1:30.65</t>
  </si>
  <si>
    <t>1:50.36</t>
  </si>
  <si>
    <t>2:26.15</t>
  </si>
  <si>
    <t>1:31.25</t>
  </si>
  <si>
    <t>4:23.87</t>
  </si>
  <si>
    <t>59.10</t>
  </si>
  <si>
    <t>1:29.34</t>
  </si>
  <si>
    <t>2:48.97</t>
  </si>
  <si>
    <t>56.90</t>
  </si>
  <si>
    <t xml:space="preserve">  [2,3] forgotten 1st, good 2nd + 3rd</t>
  </si>
  <si>
    <t>1:22.22</t>
  </si>
  <si>
    <t>47.22</t>
  </si>
  <si>
    <t>40.54</t>
  </si>
  <si>
    <t>2:28.87</t>
  </si>
  <si>
    <t>1:15:56</t>
  </si>
  <si>
    <t>Epic</t>
  </si>
  <si>
    <t>10:17.28</t>
  </si>
  <si>
    <t>2:00.11</t>
  </si>
  <si>
    <t>2:27.43</t>
  </si>
  <si>
    <t>2:42.33</t>
  </si>
  <si>
    <t>1:53.13</t>
  </si>
  <si>
    <t>48.92</t>
  </si>
  <si>
    <t>1:15.07</t>
  </si>
  <si>
    <t>1:23.20</t>
  </si>
  <si>
    <t>1:44.40</t>
  </si>
  <si>
    <t>2:14.29</t>
  </si>
  <si>
    <t>1:16.42</t>
  </si>
  <si>
    <t>1:26.61</t>
  </si>
  <si>
    <t>2:02.72</t>
  </si>
  <si>
    <t>59.87</t>
  </si>
  <si>
    <t>1:47.19</t>
  </si>
  <si>
    <t>41.07</t>
  </si>
  <si>
    <t>53.51</t>
  </si>
  <si>
    <t>1:29.77</t>
  </si>
  <si>
    <t>1:50.82</t>
  </si>
  <si>
    <t>2:35.69</t>
  </si>
  <si>
    <t>59.41</t>
  </si>
  <si>
    <t>2:49.39</t>
  </si>
  <si>
    <t>1:27.82</t>
  </si>
  <si>
    <t>56.76</t>
  </si>
  <si>
    <t>1:28.23</t>
  </si>
  <si>
    <t>57.17</t>
  </si>
  <si>
    <t>44.78</t>
  </si>
  <si>
    <t>1:22.93</t>
  </si>
  <si>
    <t>2:04.91</t>
  </si>
  <si>
    <t>1:23.63</t>
  </si>
  <si>
    <t>2:28.61</t>
  </si>
  <si>
    <t>1:14:48</t>
  </si>
  <si>
    <t>10:16.80</t>
  </si>
  <si>
    <t>2:00.24</t>
  </si>
  <si>
    <t>2:45.26</t>
  </si>
  <si>
    <t>1:56.63</t>
  </si>
  <si>
    <t>33.05</t>
  </si>
  <si>
    <t>56.66</t>
  </si>
  <si>
    <t>1:13.96</t>
  </si>
  <si>
    <t>1:25.03</t>
  </si>
  <si>
    <t>1:44.60</t>
  </si>
  <si>
    <t>2:11.85</t>
  </si>
  <si>
    <t>1:13.97</t>
  </si>
  <si>
    <t>41.20</t>
  </si>
  <si>
    <t>1:16.04</t>
  </si>
  <si>
    <t>1:22.33</t>
  </si>
  <si>
    <t>1:00.11</t>
  </si>
  <si>
    <t>1:28.70</t>
  </si>
  <si>
    <t>1:29.33</t>
  </si>
  <si>
    <t>1:21.05</t>
  </si>
  <si>
    <t>1:51.35</t>
  </si>
  <si>
    <t>2:32.54</t>
  </si>
  <si>
    <t>1:29.71</t>
  </si>
  <si>
    <t>1:31.47</t>
  </si>
  <si>
    <t>1:30.36</t>
  </si>
  <si>
    <t>1:07.78</t>
  </si>
  <si>
    <t>57.54</t>
  </si>
  <si>
    <t>1:27.46</t>
  </si>
  <si>
    <t>1:22.84</t>
  </si>
  <si>
    <t>2:04.65</t>
  </si>
  <si>
    <t>1:36.25</t>
  </si>
  <si>
    <t>40.94</t>
  </si>
  <si>
    <t>47.03</t>
  </si>
  <si>
    <t>2:29.13</t>
  </si>
  <si>
    <t>1:15:18</t>
  </si>
  <si>
    <t>52.75</t>
  </si>
  <si>
    <t xml:space="preserve">Yuto </t>
  </si>
  <si>
    <t>10:17.22</t>
  </si>
  <si>
    <t>2:00.32</t>
  </si>
  <si>
    <t>12.88</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</si>
  <si>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</si>
  <si>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</si>
  <si>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</si>
  <si>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</si>
  <si>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</si>
  <si>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</si>
  <si>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</si>
  <si>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</si>
  <si>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</si>
  <si>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</si>
  <si>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</si>
  <si>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</si>
  <si>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</si>
  <si>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</si>
  <si>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</si>
  <si>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</si>
  <si>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</si>
  <si>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</si>
  <si>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</si>
  <si>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</si>
  <si>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</si>
  <si>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</si>
  <si>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</si>
  <si>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</si>
  <si>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</si>
  <si>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51.40</t>
  </si>
  <si>
    <t>1:22.88</t>
  </si>
  <si>
    <t>2:04.05</t>
  </si>
  <si>
    <t>1:36.16</t>
  </si>
  <si>
    <t>46.76</t>
  </si>
  <si>
    <t>1:14:59</t>
  </si>
  <si>
    <t>Skitch</t>
  </si>
  <si>
    <t>10:14.83</t>
  </si>
  <si>
    <t>2:42.91</t>
  </si>
  <si>
    <t>1:53.62</t>
  </si>
  <si>
    <t>2:18.53</t>
  </si>
  <si>
    <t>[1] no GWKD (no momentum-spin)</t>
  </si>
  <si>
    <t>47.49</t>
  </si>
  <si>
    <t>1:23.33</t>
  </si>
  <si>
    <t>1:23.67</t>
  </si>
  <si>
    <t>1:14.41</t>
  </si>
  <si>
    <t>1:21.26</t>
  </si>
  <si>
    <t>1:44.86</t>
  </si>
  <si>
    <t>1:16.28</t>
  </si>
  <si>
    <t>1:17.09</t>
  </si>
  <si>
    <t>1:28.83</t>
  </si>
  <si>
    <t>2:08.09</t>
  </si>
  <si>
    <t>1:00.29</t>
  </si>
  <si>
    <t>32.69</t>
  </si>
  <si>
    <t>1:47.37</t>
  </si>
  <si>
    <t>1:30.41</t>
  </si>
  <si>
    <t>47.40</t>
  </si>
  <si>
    <t>1:19.28</t>
  </si>
  <si>
    <t>1:21.61</t>
  </si>
  <si>
    <t>1:21.50</t>
  </si>
  <si>
    <t>1:52.01</t>
  </si>
  <si>
    <t>1:02.55</t>
  </si>
  <si>
    <t>2:42.15</t>
  </si>
  <si>
    <t>1:29.48</t>
  </si>
  <si>
    <t>2:52.82</t>
  </si>
  <si>
    <t>43.15</t>
  </si>
  <si>
    <t>2:06.81</t>
  </si>
  <si>
    <t>1:36.19</t>
  </si>
  <si>
    <t>1:23.15</t>
  </si>
  <si>
    <t>2:29.39</t>
  </si>
  <si>
    <t>Bounceyboy</t>
  </si>
  <si>
    <t>33.20</t>
  </si>
  <si>
    <t>10:18.18</t>
  </si>
  <si>
    <t>2:43.00</t>
  </si>
  <si>
    <t>1:57.67</t>
  </si>
  <si>
    <t>1:22.60</t>
  </si>
  <si>
    <t>1:23.86</t>
  </si>
  <si>
    <t>1:14.81</t>
  </si>
  <si>
    <t>1:44.35</t>
  </si>
  <si>
    <t>48.11</t>
  </si>
  <si>
    <t>2:12.18</t>
  </si>
  <si>
    <t>2:03.76</t>
  </si>
  <si>
    <t>21.53</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</si>
  <si>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</si>
  <si>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</si>
  <si>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</si>
  <si>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</si>
  <si>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</si>
  <si>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</si>
  <si>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</si>
  <si>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</si>
  <si>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</si>
  <si>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</si>
  <si>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</si>
  <si>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</si>
  <si>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</si>
  <si>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</si>
  <si>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</si>
  <si>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</si>
  <si>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</si>
  <si>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</si>
  <si>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</si>
  <si>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</si>
  <si>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</si>
  <si>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</si>
  <si>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</si>
  <si>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</si>
  <si>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</si>
  <si>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</si>
  <si>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</si>
  <si>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</si>
  <si>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</si>
  <si>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</si>
  <si>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</si>
  <si>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</si>
  <si>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</si>
  <si>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</si>
  <si>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</si>
  <si>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</si>
  <si>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</si>
  <si>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</si>
  <si>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</si>
  <si>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</si>
  <si>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 xml:space="preserve">  [2,1] GWKD, sideflip ms</t>
  </si>
  <si>
    <t>58.67</t>
  </si>
  <si>
    <t>1:31.66</t>
  </si>
  <si>
    <t>2:48.54</t>
  </si>
  <si>
    <t>56.99</t>
  </si>
  <si>
    <t>2:07.40</t>
  </si>
  <si>
    <t>1:36.44</t>
  </si>
  <si>
    <t>1:23.35</t>
  </si>
  <si>
    <t>44.15</t>
  </si>
  <si>
    <t>2:30.63</t>
  </si>
  <si>
    <t>1:15:36</t>
  </si>
  <si>
    <t>30.463</t>
  </si>
  <si>
    <t>31.15</t>
  </si>
  <si>
    <t>Dutchj</t>
  </si>
  <si>
    <t>10:18.71</t>
  </si>
  <si>
    <t>22.94</t>
  </si>
  <si>
    <t>2:01.63</t>
  </si>
  <si>
    <t>2:44.14</t>
  </si>
  <si>
    <t>1:14.77</t>
  </si>
  <si>
    <t>1:46.29</t>
  </si>
  <si>
    <t>2:14.94</t>
  </si>
  <si>
    <t>30.33</t>
  </si>
  <si>
    <t>2:03.83</t>
  </si>
  <si>
    <t>1:46.93</t>
  </si>
  <si>
    <t>25.28</t>
  </si>
  <si>
    <t>30.85</t>
  </si>
  <si>
    <t>48.56</t>
  </si>
  <si>
    <t>1:20.80</t>
  </si>
  <si>
    <t>1:29.51</t>
  </si>
  <si>
    <t>48.86</t>
  </si>
  <si>
    <t>1:52.58</t>
  </si>
  <si>
    <t>2:33.92</t>
  </si>
  <si>
    <t>2:47.84</t>
  </si>
  <si>
    <t>1:28.91</t>
  </si>
  <si>
    <t>58.24</t>
  </si>
  <si>
    <t>1:27.02</t>
  </si>
  <si>
    <t>27.51</t>
  </si>
  <si>
    <t>2:03.90</t>
  </si>
  <si>
    <t>1:36.20</t>
  </si>
  <si>
    <t>2:33.04</t>
  </si>
  <si>
    <t>1:15:59</t>
  </si>
  <si>
    <t>20.44</t>
  </si>
  <si>
    <t xml:space="preserve">  [2,2] GWKD, triple-jump-dive ms</t>
  </si>
  <si>
    <t>2:46.37</t>
  </si>
  <si>
    <t>1:26.09</t>
  </si>
  <si>
    <t>58.21</t>
  </si>
  <si>
    <t>1:46.36</t>
  </si>
  <si>
    <t>1:48.07</t>
  </si>
  <si>
    <t>48.41</t>
  </si>
  <si>
    <t>1:19.57</t>
  </si>
  <si>
    <t>1:30.90</t>
  </si>
  <si>
    <t>49.25</t>
  </si>
  <si>
    <t>1:50.91</t>
  </si>
  <si>
    <t>49.61</t>
  </si>
  <si>
    <t>6.72</t>
  </si>
  <si>
    <t>2:37.69</t>
  </si>
  <si>
    <t>2:51.27</t>
  </si>
  <si>
    <t>7852</t>
  </si>
  <si>
    <t>1:24.26</t>
  </si>
  <si>
    <t>2:04.26</t>
  </si>
  <si>
    <t>1:38.46</t>
  </si>
  <si>
    <t>1:23.47</t>
  </si>
  <si>
    <t>51.81</t>
  </si>
  <si>
    <t>10:21.63</t>
  </si>
  <si>
    <t>1:13.92</t>
  </si>
  <si>
    <t>2:02.89</t>
  </si>
  <si>
    <t>2:43.04</t>
  </si>
  <si>
    <t>1:54.33</t>
  </si>
  <si>
    <t>50.07</t>
  </si>
  <si>
    <t>1:25.21</t>
  </si>
  <si>
    <t>1:48.66</t>
  </si>
  <si>
    <t>1:28.96</t>
  </si>
  <si>
    <t>1:21.97</t>
  </si>
  <si>
    <t xml:space="preserve">  [2,3] GWKD, spin-jump-dive ms</t>
  </si>
  <si>
    <t>1:00.71</t>
  </si>
  <si>
    <t>1:29.82</t>
  </si>
  <si>
    <t>49.36</t>
  </si>
  <si>
    <t>37.62</t>
  </si>
  <si>
    <t>1:31.23</t>
  </si>
  <si>
    <t>1:21.71</t>
  </si>
  <si>
    <t>49.39</t>
  </si>
  <si>
    <t>1:51.93</t>
  </si>
  <si>
    <t>49.21</t>
  </si>
  <si>
    <t>2:34.86</t>
  </si>
  <si>
    <t>1:31.28</t>
  </si>
  <si>
    <t>1:30.10</t>
  </si>
  <si>
    <t>58.19</t>
  </si>
  <si>
    <t>58.11</t>
  </si>
  <si>
    <t>1:25.87</t>
  </si>
  <si>
    <t>2:08.25</t>
  </si>
  <si>
    <t>1:37.76</t>
  </si>
  <si>
    <t>2:35.83</t>
  </si>
  <si>
    <t>1:17:45</t>
  </si>
  <si>
    <t>10:18.96</t>
  </si>
  <si>
    <t>2:19.24</t>
  </si>
  <si>
    <t>1:13.61</t>
  </si>
  <si>
    <t>2:00.36</t>
  </si>
  <si>
    <t>30.94</t>
  </si>
  <si>
    <t>2:45.99</t>
  </si>
  <si>
    <t>1:55.74</t>
  </si>
  <si>
    <t>1:10.74</t>
  </si>
  <si>
    <t>31.32</t>
  </si>
  <si>
    <t>1:22.79</t>
  </si>
  <si>
    <t>1:15.08</t>
  </si>
  <si>
    <t>1:25.72</t>
  </si>
  <si>
    <t>1:48.95</t>
  </si>
  <si>
    <t>2:15.54</t>
  </si>
  <si>
    <t>1:16.47</t>
  </si>
  <si>
    <t>31.51</t>
  </si>
  <si>
    <t>1:29.39</t>
  </si>
  <si>
    <t>1:00.02</t>
  </si>
  <si>
    <t>1:47.24</t>
  </si>
  <si>
    <t>1:29.53</t>
  </si>
  <si>
    <t>1:19.00</t>
  </si>
  <si>
    <t>1:51.75</t>
  </si>
  <si>
    <t>2:35.14</t>
  </si>
  <si>
    <t>30.34</t>
  </si>
  <si>
    <t>59.25</t>
  </si>
  <si>
    <t>1:32.17</t>
  </si>
  <si>
    <t>2:53.37</t>
  </si>
  <si>
    <t>1:34.02</t>
  </si>
  <si>
    <t>58.26</t>
  </si>
  <si>
    <t>1:28.18</t>
  </si>
  <si>
    <t>2:08.70</t>
  </si>
  <si>
    <t>1:35.23</t>
  </si>
  <si>
    <t>1:24.40</t>
  </si>
  <si>
    <t>2:29.71</t>
  </si>
  <si>
    <t>[1] right</t>
  </si>
  <si>
    <t>46.07</t>
  </si>
  <si>
    <t>1:17:14</t>
  </si>
  <si>
    <t>46.54</t>
  </si>
  <si>
    <t>frankfurters</t>
  </si>
  <si>
    <t>1:02.24</t>
  </si>
  <si>
    <t>Saro</t>
  </si>
  <si>
    <t>10:18.64</t>
  </si>
  <si>
    <t>1:13.54</t>
  </si>
  <si>
    <t>46.21</t>
  </si>
  <si>
    <t>2:00.23</t>
  </si>
  <si>
    <t>2:42.18</t>
  </si>
  <si>
    <t>1:55.58</t>
  </si>
  <si>
    <t>58.04</t>
  </si>
  <si>
    <t>48.47</t>
  </si>
  <si>
    <t>2:18.26</t>
  </si>
  <si>
    <t>1:27.67</t>
  </si>
  <si>
    <t>2:01.46</t>
  </si>
  <si>
    <t>49.23</t>
  </si>
  <si>
    <t>1:46.94</t>
  </si>
  <si>
    <t>1:52.30</t>
  </si>
  <si>
    <t>48.28</t>
  </si>
  <si>
    <t>2:39.89</t>
  </si>
  <si>
    <t>1:32.05</t>
  </si>
  <si>
    <t>2:30.78</t>
  </si>
  <si>
    <t>58.50</t>
  </si>
  <si>
    <t>2:53.54</t>
  </si>
  <si>
    <t>1:20.15</t>
  </si>
  <si>
    <t>58.55</t>
  </si>
  <si>
    <t>1:27.76</t>
  </si>
  <si>
    <t>1:26.27</t>
  </si>
  <si>
    <t>2:08.94</t>
  </si>
  <si>
    <t>1:23.19</t>
  </si>
  <si>
    <t>2:33.79</t>
  </si>
  <si>
    <t>1:16:44</t>
  </si>
  <si>
    <t>FluddHentai</t>
  </si>
  <si>
    <t>10:19.96</t>
  </si>
  <si>
    <t>1:13.57</t>
  </si>
  <si>
    <t>51.02</t>
  </si>
  <si>
    <t>2:01.80</t>
  </si>
  <si>
    <t>2:47.89</t>
  </si>
  <si>
    <t>1:53.87</t>
  </si>
  <si>
    <t>1:25.02</t>
  </si>
  <si>
    <t>46.83</t>
  </si>
  <si>
    <t>1:45.18</t>
  </si>
  <si>
    <t>2:17.40</t>
  </si>
  <si>
    <t>49.31</t>
  </si>
  <si>
    <t>1:16.36</t>
  </si>
  <si>
    <t>49.91</t>
  </si>
  <si>
    <t>47.26</t>
  </si>
  <si>
    <t>1:25.95</t>
  </si>
  <si>
    <t>46.20</t>
  </si>
  <si>
    <t>2:04.99</t>
  </si>
  <si>
    <t>1:01.37</t>
  </si>
  <si>
    <t>1:48.53</t>
  </si>
  <si>
    <t>1:30.49</t>
  </si>
  <si>
    <t>1:18.52</t>
  </si>
  <si>
    <t>1:29.04</t>
  </si>
  <si>
    <t>1:51.97</t>
  </si>
  <si>
    <t xml:space="preserve">  [2] center</t>
  </si>
  <si>
    <t>1:30.58</t>
  </si>
  <si>
    <t>2:48.87</t>
  </si>
  <si>
    <t>1:24.85</t>
  </si>
  <si>
    <t>59.70</t>
  </si>
  <si>
    <t>1:31.09</t>
  </si>
  <si>
    <t>55.80</t>
  </si>
  <si>
    <t>45.27</t>
  </si>
  <si>
    <t>2:07.77</t>
  </si>
  <si>
    <t>1:37.91</t>
  </si>
  <si>
    <t>1:27.24</t>
  </si>
  <si>
    <t>2:34.26</t>
  </si>
  <si>
    <t>1:18:34</t>
  </si>
  <si>
    <t>45.10</t>
  </si>
  <si>
    <t>10:20.38</t>
  </si>
  <si>
    <t>2:01.34</t>
  </si>
  <si>
    <t>1:55.82</t>
  </si>
  <si>
    <t>1:25.31</t>
  </si>
  <si>
    <t>1:14.93</t>
  </si>
  <si>
    <t>1:48.34</t>
  </si>
  <si>
    <t>2:18.71</t>
  </si>
  <si>
    <t>1:16.52</t>
  </si>
  <si>
    <t>1:20.60</t>
  </si>
  <si>
    <t>1:01.06</t>
  </si>
  <si>
    <t>1:46.38</t>
  </si>
  <si>
    <t>1:39.25</t>
  </si>
  <si>
    <t>1:21.92</t>
  </si>
  <si>
    <t>1:52.92</t>
  </si>
  <si>
    <t>2:33.37</t>
  </si>
  <si>
    <t>1:31.40</t>
  </si>
  <si>
    <t>59.03</t>
  </si>
  <si>
    <t>1:30.98</t>
  </si>
  <si>
    <t>2:50.21</t>
  </si>
  <si>
    <t>58.27</t>
  </si>
  <si>
    <t>57.69</t>
  </si>
  <si>
    <t>46.85</t>
  </si>
  <si>
    <t>2:08.71</t>
  </si>
  <si>
    <t>1:38.06</t>
  </si>
  <si>
    <t>1:25.44</t>
  </si>
  <si>
    <t>2:38.14</t>
  </si>
  <si>
    <t>1:16:52</t>
  </si>
  <si>
    <t>10:20.51</t>
  </si>
  <si>
    <t>1:13.58</t>
  </si>
  <si>
    <t>2:01.86</t>
  </si>
  <si>
    <t>2:44.51</t>
  </si>
  <si>
    <t>1:55.45</t>
  </si>
  <si>
    <t>45.70</t>
  </si>
  <si>
    <t>46.64</t>
  </si>
  <si>
    <t>1:15.28</t>
  </si>
  <si>
    <t>1:27.33</t>
  </si>
  <si>
    <t>1:47.70</t>
  </si>
  <si>
    <t>48.51</t>
  </si>
  <si>
    <t>1:16.56</t>
  </si>
  <si>
    <t>1:29.97</t>
  </si>
  <si>
    <t>2:05.81</t>
  </si>
  <si>
    <t>1:46.42</t>
  </si>
  <si>
    <t>1:29.23</t>
  </si>
  <si>
    <t>1:19.71</t>
  </si>
  <si>
    <t>1:29.98</t>
  </si>
  <si>
    <t>1:21.35</t>
  </si>
  <si>
    <t>48.17</t>
  </si>
  <si>
    <t>2:37.37</t>
  </si>
  <si>
    <t>45.57</t>
  </si>
  <si>
    <t>59.15</t>
  </si>
  <si>
    <t>1:33.05</t>
  </si>
  <si>
    <t>2:49.88</t>
  </si>
  <si>
    <t>1:31</t>
  </si>
  <si>
    <t>56.89</t>
  </si>
  <si>
    <t>45.56</t>
  </si>
  <si>
    <t>2:05.62</t>
  </si>
  <si>
    <t>1:36.71</t>
  </si>
  <si>
    <t>1:25.83</t>
  </si>
  <si>
    <t>2:32.43</t>
  </si>
  <si>
    <t>1:16:22</t>
  </si>
  <si>
    <t>:)</t>
  </si>
  <si>
    <t>ivey</t>
  </si>
  <si>
    <t>10:21.9</t>
  </si>
  <si>
    <t>1:13.74</t>
  </si>
  <si>
    <t>2:02.62</t>
  </si>
  <si>
    <t>1:56.3</t>
  </si>
  <si>
    <t>1:23.24</t>
  </si>
  <si>
    <t>57.93</t>
  </si>
  <si>
    <t>1:48.13</t>
  </si>
  <si>
    <t>2:15.84</t>
  </si>
  <si>
    <t>1:23.21</t>
  </si>
  <si>
    <t>1:29.1</t>
  </si>
  <si>
    <t>2:05.6</t>
  </si>
  <si>
    <t>59.98</t>
  </si>
  <si>
    <t>1:47.59</t>
  </si>
  <si>
    <t>1:30.04</t>
  </si>
  <si>
    <t>47.9</t>
  </si>
  <si>
    <t xml:space="preserve">    [3] left</t>
  </si>
  <si>
    <t>1:51.70</t>
  </si>
  <si>
    <t>2:36.37</t>
  </si>
  <si>
    <t>1:31.26</t>
  </si>
  <si>
    <t>59.39</t>
  </si>
  <si>
    <t>2:52.56</t>
  </si>
  <si>
    <t>1:31.17</t>
  </si>
  <si>
    <t>1:23.6</t>
  </si>
  <si>
    <t>2:09.51</t>
  </si>
  <si>
    <t>1:35.56</t>
  </si>
  <si>
    <t>1:23.56</t>
  </si>
  <si>
    <t xml:space="preserve"> 43.8</t>
  </si>
  <si>
    <t>2:32.16</t>
  </si>
  <si>
    <t>1:17:32</t>
  </si>
  <si>
    <t>i need to come back</t>
  </si>
  <si>
    <t>44.74</t>
  </si>
  <si>
    <t>10:22.11</t>
  </si>
  <si>
    <t>1:13.55</t>
  </si>
  <si>
    <t>2:01.01</t>
  </si>
  <si>
    <t>2:45.74</t>
  </si>
  <si>
    <t>1:57.51</t>
  </si>
  <si>
    <t>1:25.66</t>
  </si>
  <si>
    <t>58.49</t>
  </si>
  <si>
    <t>1:48.47</t>
  </si>
  <si>
    <t>2:15.68</t>
  </si>
  <si>
    <t>1:17.03</t>
  </si>
  <si>
    <t>1:28.66</t>
  </si>
  <si>
    <t>1:47.53</t>
  </si>
  <si>
    <t>48.98</t>
  </si>
  <si>
    <t>49.51</t>
  </si>
  <si>
    <t>1:52.08</t>
  </si>
  <si>
    <t>19.81</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</si>
  <si>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</si>
  <si>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</si>
  <si>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</si>
  <si>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</si>
  <si>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</si>
  <si>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</si>
  <si>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</si>
  <si>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</si>
  <si>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</si>
  <si>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</si>
  <si>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</si>
  <si>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</si>
  <si>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</si>
  <si>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</si>
  <si>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</si>
  <si>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</si>
  <si>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</si>
  <si>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</si>
  <si>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</si>
  <si>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</si>
  <si>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</si>
  <si>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43.63</t>
  </si>
  <si>
    <t>2:15.98</t>
  </si>
  <si>
    <t>2:12.82</t>
  </si>
  <si>
    <t>1:28.94</t>
  </si>
  <si>
    <t>1:13.69</t>
  </si>
  <si>
    <t>1:29.44</t>
  </si>
  <si>
    <t>1:20.69</t>
  </si>
  <si>
    <t>45.04</t>
  </si>
  <si>
    <t>2:39.45</t>
  </si>
  <si>
    <t>58.69</t>
  </si>
  <si>
    <t>1:32.34</t>
  </si>
  <si>
    <t>2:50.32</t>
  </si>
  <si>
    <t>57.01</t>
  </si>
  <si>
    <t>56.58</t>
  </si>
  <si>
    <t>1:24.14</t>
  </si>
  <si>
    <t>2:15.31</t>
  </si>
  <si>
    <t>1:23.39</t>
  </si>
  <si>
    <t>49.90</t>
  </si>
  <si>
    <t>2:36.31</t>
  </si>
  <si>
    <t>1:15:29</t>
  </si>
  <si>
    <t>43.99</t>
  </si>
  <si>
    <t>10:20.58</t>
  </si>
  <si>
    <t>2:46.59</t>
  </si>
  <si>
    <t>1:56.86</t>
  </si>
  <si>
    <t>59.81</t>
  </si>
  <si>
    <t>1:31.22</t>
  </si>
  <si>
    <t>1:49.11</t>
  </si>
  <si>
    <t>2:15.33</t>
  </si>
  <si>
    <t>1:23.60</t>
  </si>
  <si>
    <t>1:28.78</t>
  </si>
  <si>
    <t>1:00.40</t>
  </si>
  <si>
    <t>1:46.76</t>
  </si>
  <si>
    <t>1:21.85</t>
  </si>
  <si>
    <t>1:51.32</t>
  </si>
  <si>
    <t>48.08</t>
  </si>
  <si>
    <t>2:42.19</t>
  </si>
  <si>
    <t>1:30.78</t>
  </si>
  <si>
    <t>58.97</t>
  </si>
  <si>
    <t>2:48.04</t>
  </si>
  <si>
    <t>1:33.66</t>
  </si>
  <si>
    <t>8.87</t>
  </si>
  <si>
    <t>57.96</t>
  </si>
  <si>
    <t>1:27.15</t>
  </si>
  <si>
    <t>1:23.03</t>
  </si>
  <si>
    <t>2:08.78</t>
  </si>
  <si>
    <t>2:35.44</t>
  </si>
  <si>
    <t>imagine being good at manta</t>
  </si>
  <si>
    <t>10:21.58</t>
  </si>
  <si>
    <t>1:14.48</t>
  </si>
  <si>
    <t>2:46.81</t>
  </si>
  <si>
    <t>1:57.44</t>
  </si>
  <si>
    <t>58.54</t>
  </si>
  <si>
    <t>1:25.50</t>
  </si>
  <si>
    <t>2:16.61</t>
  </si>
  <si>
    <t>1:20.51</t>
  </si>
  <si>
    <t>[1] no pink pianta skip</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</si>
  <si>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</si>
  <si>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</si>
  <si>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</si>
  <si>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</si>
  <si>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</si>
  <si>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</si>
  <si>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</si>
  <si>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</si>
  <si>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</si>
  <si>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</si>
  <si>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</si>
  <si>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</si>
  <si>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</si>
  <si>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</si>
  <si>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</si>
  <si>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</si>
  <si>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</si>
  <si>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</si>
  <si>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</si>
  <si>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</si>
  <si>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</si>
  <si>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</si>
  <si>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</si>
  <si>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</si>
  <si>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</si>
  <si>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</si>
  <si>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</si>
  <si>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</si>
  <si>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</si>
  <si>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</si>
  <si>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</si>
  <si>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</si>
  <si>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</si>
  <si>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</si>
  <si>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</si>
  <si>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</si>
  <si>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</si>
  <si>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37.35</t>
  </si>
  <si>
    <t>57.46</t>
  </si>
  <si>
    <t>2:08.04</t>
  </si>
  <si>
    <t>1:36.46</t>
  </si>
  <si>
    <t>1:23.61</t>
  </si>
  <si>
    <t>2:36.55</t>
  </si>
  <si>
    <t>10:21.54</t>
  </si>
  <si>
    <t>2:01.11</t>
  </si>
  <si>
    <t>1:56.30</t>
  </si>
  <si>
    <t>58.89</t>
  </si>
  <si>
    <t>1:26.44</t>
  </si>
  <si>
    <t>52.485</t>
  </si>
  <si>
    <t>1:47.84</t>
  </si>
  <si>
    <t>1:16.91</t>
  </si>
  <si>
    <t>1:29.80</t>
  </si>
  <si>
    <t>1:01.22</t>
  </si>
  <si>
    <t>1:47.52</t>
  </si>
  <si>
    <t>49.08</t>
  </si>
  <si>
    <t>1:21.96</t>
  </si>
  <si>
    <t>1:22.05</t>
  </si>
  <si>
    <t>49.28</t>
  </si>
  <si>
    <t>2:30.65</t>
  </si>
  <si>
    <t>2:39.69</t>
  </si>
  <si>
    <t>1:30.46</t>
  </si>
  <si>
    <t>2:52.68</t>
  </si>
  <si>
    <t>1:32.57</t>
  </si>
  <si>
    <t>1:38.52</t>
  </si>
  <si>
    <t>2:34.96</t>
  </si>
  <si>
    <t>25.82</t>
  </si>
  <si>
    <t>I love eel mouth</t>
  </si>
  <si>
    <t>10:22.45</t>
  </si>
  <si>
    <t>2:03.14</t>
  </si>
  <si>
    <t>2:43.23</t>
  </si>
  <si>
    <t>1:56.74</t>
  </si>
  <si>
    <t>1:25.76</t>
  </si>
  <si>
    <t>1:23.18</t>
  </si>
  <si>
    <t>1:31.02</t>
  </si>
  <si>
    <t>1:48.57</t>
  </si>
  <si>
    <t>2:17.54</t>
  </si>
  <si>
    <t>2:09.44</t>
  </si>
  <si>
    <t>1:47.88</t>
  </si>
  <si>
    <t>1:30.29</t>
  </si>
  <si>
    <t>1:22.24</t>
  </si>
  <si>
    <t>1:52.33</t>
  </si>
  <si>
    <t>2:33.19</t>
  </si>
  <si>
    <t>32.96</t>
  </si>
  <si>
    <t>1:31.88</t>
  </si>
  <si>
    <t>59.38</t>
  </si>
  <si>
    <t>1:32.60</t>
  </si>
  <si>
    <t>2:52.94</t>
  </si>
  <si>
    <t>28.628</t>
  </si>
  <si>
    <t>57.75</t>
  </si>
  <si>
    <t>1:36.03</t>
  </si>
  <si>
    <t>2:38.07</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</si>
  <si>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</si>
  <si>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</si>
  <si>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</si>
  <si>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</si>
  <si>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</si>
  <si>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</si>
  <si>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</si>
  <si>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</si>
  <si>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</si>
  <si>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</si>
  <si>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</si>
  <si>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</si>
  <si>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</si>
  <si>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</si>
  <si>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</si>
  <si>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</si>
  <si>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</si>
  <si>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</si>
  <si>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</si>
  <si>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</si>
  <si>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26.27</t>
  </si>
  <si>
    <t>2:50.69</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</si>
  <si>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</si>
  <si>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</si>
  <si>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</si>
  <si>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</si>
  <si>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</si>
  <si>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</si>
  <si>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</si>
  <si>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</si>
  <si>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</si>
  <si>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</si>
  <si>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</si>
  <si>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</si>
  <si>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</si>
  <si>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</si>
  <si>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</si>
  <si>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</si>
  <si>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</si>
  <si>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</si>
  <si>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</si>
  <si>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</si>
  <si>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</si>
  <si>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</si>
  <si>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</si>
  <si>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</si>
  <si>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</si>
  <si>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</si>
  <si>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</si>
  <si>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</si>
  <si>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</si>
  <si>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2:39.67</t>
  </si>
  <si>
    <t>1:16:46</t>
  </si>
  <si>
    <t>yes my golds are bad dont be toxic</t>
  </si>
  <si>
    <t>PangaeaPanga</t>
  </si>
  <si>
    <t>12.63</t>
  </si>
  <si>
    <t>10:20.52</t>
  </si>
  <si>
    <t>20.45</t>
  </si>
  <si>
    <t>19.72</t>
  </si>
  <si>
    <t>2:43.29</t>
  </si>
  <si>
    <t>1:58.24</t>
  </si>
  <si>
    <t>1:25.04</t>
  </si>
  <si>
    <t>1:23.83</t>
  </si>
  <si>
    <t>59.64</t>
  </si>
  <si>
    <t>1:30.83</t>
  </si>
  <si>
    <t>2:14.12</t>
  </si>
  <si>
    <t>1:16.30</t>
  </si>
  <si>
    <t>2:11.64</t>
  </si>
  <si>
    <t>1:20.76</t>
  </si>
  <si>
    <t>1:00.30</t>
  </si>
  <si>
    <t>1:48.80</t>
  </si>
  <si>
    <t>1:21.74</t>
  </si>
  <si>
    <t>20.95</t>
  </si>
  <si>
    <t>1:32.83</t>
  </si>
  <si>
    <t>59.60</t>
  </si>
  <si>
    <t>1:33.04</t>
  </si>
  <si>
    <t>2:50.11</t>
  </si>
  <si>
    <t>58.09</t>
  </si>
  <si>
    <t>1:32.12</t>
  </si>
  <si>
    <t>1:23.92</t>
  </si>
  <si>
    <t>2:04.82</t>
  </si>
  <si>
    <t>1:36.18</t>
  </si>
  <si>
    <t>46.60</t>
  </si>
  <si>
    <t>2:35.47</t>
  </si>
  <si>
    <t>23.857</t>
  </si>
  <si>
    <t>20.19</t>
  </si>
  <si>
    <t>20.88</t>
  </si>
  <si>
    <t>1:25.94</t>
  </si>
  <si>
    <t>BadKid</t>
  </si>
  <si>
    <t>Sarcrai</t>
  </si>
  <si>
    <t>10:21.33</t>
  </si>
  <si>
    <t>2:01.68</t>
  </si>
  <si>
    <t>2:48.18</t>
  </si>
  <si>
    <t>1:28.19</t>
  </si>
  <si>
    <t>1:36.47</t>
  </si>
  <si>
    <t>2:16.81</t>
  </si>
  <si>
    <t>1:26.99</t>
  </si>
  <si>
    <t>2:09.95</t>
  </si>
  <si>
    <t>1:00.39</t>
  </si>
  <si>
    <t>1:48.55</t>
  </si>
  <si>
    <t>1:30.39</t>
  </si>
  <si>
    <t>1:30.73</t>
  </si>
  <si>
    <t>49.05</t>
  </si>
  <si>
    <t>1:52.12</t>
  </si>
  <si>
    <t>2:34.33</t>
  </si>
  <si>
    <t>1:32.31</t>
  </si>
  <si>
    <t>1:32.94</t>
  </si>
  <si>
    <t>19.75</t>
  </si>
  <si>
    <t>1:32.58</t>
  </si>
  <si>
    <t>1:30.70</t>
  </si>
  <si>
    <t>57.59</t>
  </si>
  <si>
    <t>2:08.05</t>
  </si>
  <si>
    <t>1:36.23</t>
  </si>
  <si>
    <t>1:29.24</t>
  </si>
  <si>
    <t>47.21</t>
  </si>
  <si>
    <t>2:40.05</t>
  </si>
  <si>
    <t>20.07</t>
  </si>
  <si>
    <t>1:17:54</t>
  </si>
  <si>
    <t>19.98</t>
  </si>
  <si>
    <t>Gohgo</t>
  </si>
  <si>
    <t>10:18.79</t>
  </si>
  <si>
    <t>2:00.72</t>
  </si>
  <si>
    <t>1:59.10</t>
  </si>
  <si>
    <t>48.00</t>
  </si>
  <si>
    <t>2:16.37</t>
  </si>
  <si>
    <t>1:27.81</t>
  </si>
  <si>
    <t>2:09.16</t>
  </si>
  <si>
    <t>1:00.73</t>
  </si>
  <si>
    <t>1:48.96</t>
  </si>
  <si>
    <t>34.59</t>
  </si>
  <si>
    <t>1:30.59</t>
  </si>
  <si>
    <t>1:53.00</t>
  </si>
  <si>
    <t>2:40.98</t>
  </si>
  <si>
    <t>1:33.20</t>
  </si>
  <si>
    <t>2:53.60</t>
  </si>
  <si>
    <t>[1] no spam-spray unlock</t>
  </si>
  <si>
    <t>1:29.40</t>
  </si>
  <si>
    <t>58.48</t>
  </si>
  <si>
    <t>2:18.94</t>
  </si>
  <si>
    <t>2:15.67</t>
  </si>
  <si>
    <t>1:36.56</t>
  </si>
  <si>
    <t>23.39</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</si>
  <si>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</si>
  <si>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</si>
  <si>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</si>
  <si>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</si>
  <si>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</si>
  <si>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</si>
  <si>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</si>
  <si>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</si>
  <si>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</si>
  <si>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</si>
  <si>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</si>
  <si>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</si>
  <si>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</si>
  <si>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</si>
  <si>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</si>
  <si>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</si>
  <si>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</si>
  <si>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</si>
  <si>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</si>
  <si>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</si>
  <si>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t>21.67</t>
  </si>
  <si>
    <t>2:54.05</t>
  </si>
  <si>
    <t>2:17.89</t>
  </si>
  <si>
    <t>1:31.44</t>
  </si>
  <si>
    <t>58.03</t>
  </si>
  <si>
    <t>1:25.25</t>
  </si>
  <si>
    <t>2:06.99</t>
  </si>
  <si>
    <t>1:38.53</t>
  </si>
  <si>
    <t>1:24.57</t>
  </si>
  <si>
    <t>47.76</t>
  </si>
  <si>
    <t>2:38.51</t>
  </si>
  <si>
    <t>1:17:16</t>
  </si>
  <si>
    <t>2:09.46</t>
  </si>
  <si>
    <t>10:23.52</t>
  </si>
  <si>
    <t>1:14.09</t>
  </si>
  <si>
    <t>1:59.56</t>
  </si>
  <si>
    <t>50.02</t>
  </si>
  <si>
    <t>2:26.72</t>
  </si>
  <si>
    <t>59.54</t>
  </si>
  <si>
    <t>1:27.69</t>
  </si>
  <si>
    <t>2:15.86</t>
  </si>
  <si>
    <t>2:06.83</t>
  </si>
  <si>
    <t>1:01.39</t>
  </si>
  <si>
    <t>2:23.20</t>
  </si>
  <si>
    <t>1:22.23</t>
  </si>
  <si>
    <t>2:35.54</t>
  </si>
  <si>
    <t>1:32.53</t>
  </si>
  <si>
    <t>2:15.06</t>
  </si>
  <si>
    <t>59.52</t>
  </si>
  <si>
    <t>1:32.33</t>
  </si>
  <si>
    <t>2:48.07</t>
  </si>
  <si>
    <t>59.09</t>
  </si>
  <si>
    <t>58.74</t>
  </si>
  <si>
    <t>2:08.69</t>
  </si>
  <si>
    <t>1:38.44</t>
  </si>
  <si>
    <t>2:15.46</t>
  </si>
  <si>
    <t>4:24.07</t>
  </si>
  <si>
    <t>1:29.03</t>
  </si>
  <si>
    <t>2:39.29</t>
  </si>
  <si>
    <t>1:17:04</t>
  </si>
  <si>
    <t>PAL SoB Archived</t>
  </si>
  <si>
    <t>scorpi</t>
  </si>
  <si>
    <t>10:22.98</t>
  </si>
  <si>
    <t>2:16.43</t>
  </si>
  <si>
    <t>1:13.53</t>
  </si>
  <si>
    <t>2:46.92</t>
  </si>
  <si>
    <t>1:08.79</t>
  </si>
  <si>
    <t>1:57.61</t>
  </si>
  <si>
    <t>49.5</t>
  </si>
  <si>
    <t>59.45</t>
  </si>
  <si>
    <t xml:space="preserve">   1:15.76</t>
  </si>
  <si>
    <t>1:27.78</t>
  </si>
  <si>
    <t>2:17.46</t>
  </si>
  <si>
    <t>1:16.50</t>
  </si>
  <si>
    <t>1:29.85</t>
  </si>
  <si>
    <t xml:space="preserve">   1:00.69</t>
  </si>
  <si>
    <t xml:space="preserve">   1:47.80</t>
  </si>
  <si>
    <t>2:18.37</t>
  </si>
  <si>
    <t xml:space="preserve">   1:22.75</t>
  </si>
  <si>
    <t>1:53.18</t>
  </si>
  <si>
    <t>2:43.56</t>
  </si>
  <si>
    <t>59.06</t>
  </si>
  <si>
    <t>1:35.00</t>
  </si>
  <si>
    <t>2:48.96</t>
  </si>
  <si>
    <t>1:25.32</t>
  </si>
  <si>
    <t>58.34</t>
  </si>
  <si>
    <t>2:16.13</t>
  </si>
  <si>
    <t>2:39.01</t>
  </si>
  <si>
    <t>2:08.91</t>
  </si>
  <si>
    <t>1:18:42</t>
  </si>
  <si>
    <t>2:18.11</t>
  </si>
  <si>
    <t xml:space="preserve">1:17 pls </t>
  </si>
  <si>
    <t>10:23.00</t>
  </si>
  <si>
    <t>1:14.65</t>
  </si>
  <si>
    <t>2:02.85</t>
  </si>
  <si>
    <t>2:46.77</t>
  </si>
  <si>
    <t>1:25.38</t>
  </si>
  <si>
    <t>1:00.21</t>
  </si>
  <si>
    <t>1:27.83</t>
  </si>
  <si>
    <t>1:47.44</t>
  </si>
  <si>
    <t>53.40</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</si>
  <si>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</si>
  <si>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</si>
  <si>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</si>
  <si>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</si>
  <si>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</si>
  <si>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</si>
  <si>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</si>
  <si>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</si>
  <si>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</si>
  <si>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</si>
  <si>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</si>
  <si>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</si>
  <si>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</si>
  <si>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</si>
  <si>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</si>
  <si>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</si>
  <si>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</si>
  <si>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</si>
  <si>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</si>
  <si>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1:02.56</t>
  </si>
  <si>
    <t>34.40</t>
  </si>
  <si>
    <t>10:22.79</t>
  </si>
  <si>
    <t>1:14.29</t>
  </si>
  <si>
    <t>2:02.91</t>
  </si>
  <si>
    <t>2:45.86</t>
  </si>
  <si>
    <t>1:59.15</t>
  </si>
  <si>
    <t>1:25.75</t>
  </si>
  <si>
    <t>1:26.72</t>
  </si>
  <si>
    <t>1:16.21</t>
  </si>
  <si>
    <t>1:28.04</t>
  </si>
  <si>
    <t>49.10</t>
  </si>
  <si>
    <t>2:19.82</t>
  </si>
  <si>
    <t>1:17.36</t>
  </si>
  <si>
    <t>1:30.17</t>
  </si>
  <si>
    <t>2:04.95</t>
  </si>
  <si>
    <t>1:01.13</t>
  </si>
  <si>
    <t>1:48.08</t>
  </si>
  <si>
    <t>1:35.76</t>
  </si>
  <si>
    <t>1:31.36</t>
  </si>
  <si>
    <t>1:07.133</t>
  </si>
  <si>
    <t>1:51.60</t>
  </si>
  <si>
    <t>48.87</t>
  </si>
  <si>
    <t>1:34.20</t>
  </si>
  <si>
    <t>1:32.66</t>
  </si>
  <si>
    <t>2:51.15</t>
  </si>
  <si>
    <t>2:10.42</t>
  </si>
  <si>
    <t>1:24.09</t>
  </si>
  <si>
    <t>2:34.70</t>
  </si>
  <si>
    <t>1:06.39</t>
  </si>
  <si>
    <t>13.64</t>
  </si>
  <si>
    <t>1:17:33</t>
  </si>
  <si>
    <t>ok</t>
  </si>
  <si>
    <t>10:26.32</t>
  </si>
  <si>
    <t>52.46</t>
  </si>
  <si>
    <t>[1] double-jump dive</t>
  </si>
  <si>
    <t>18.63</t>
  </si>
  <si>
    <t>18.93</t>
  </si>
  <si>
    <t>2:04.74</t>
  </si>
  <si>
    <t>19.03</t>
  </si>
  <si>
    <t>2:47.90</t>
  </si>
  <si>
    <t>19.17</t>
  </si>
  <si>
    <t>1:15.10</t>
  </si>
  <si>
    <t>19.20</t>
  </si>
  <si>
    <t>1:59.14</t>
  </si>
  <si>
    <t xml:space="preserve">  [2] triple-jump hover-cancel</t>
  </si>
  <si>
    <t>1:42.76</t>
  </si>
  <si>
    <t>18.53</t>
  </si>
  <si>
    <t>13.28</t>
  </si>
  <si>
    <t>19.63</t>
  </si>
  <si>
    <t>18.91</t>
  </si>
  <si>
    <t>18.80</t>
  </si>
  <si>
    <t>29.46</t>
  </si>
  <si>
    <t>18.65</t>
  </si>
  <si>
    <t xml:space="preserve">    [3] insta-kill</t>
  </si>
  <si>
    <t>2:16.83</t>
  </si>
  <si>
    <t>2:17.91</t>
  </si>
  <si>
    <t>18.54</t>
  </si>
  <si>
    <t>18.651</t>
  </si>
  <si>
    <t>1:29.30</t>
  </si>
  <si>
    <t>2:04.63</t>
  </si>
  <si>
    <t>1:48.64</t>
  </si>
  <si>
    <t>18.49</t>
  </si>
  <si>
    <t>1:18.10</t>
  </si>
  <si>
    <t>1:29.47</t>
  </si>
  <si>
    <t>48.95</t>
  </si>
  <si>
    <t>53.93</t>
  </si>
  <si>
    <t>1:23.76</t>
  </si>
  <si>
    <t>1:23.016</t>
  </si>
  <si>
    <t>1:23.71</t>
  </si>
  <si>
    <t>22.79</t>
  </si>
  <si>
    <t>Episode 5 Reds (IGT)</t>
  </si>
  <si>
    <t>1:53.24</t>
  </si>
  <si>
    <t>39.139</t>
  </si>
  <si>
    <t>40.97</t>
  </si>
  <si>
    <t>11.63</t>
  </si>
  <si>
    <t>32.15</t>
  </si>
  <si>
    <t>58.79</t>
  </si>
  <si>
    <t>37.48</t>
  </si>
  <si>
    <t>24.65</t>
  </si>
  <si>
    <t>2:53.27</t>
  </si>
  <si>
    <t>25.41</t>
  </si>
  <si>
    <t>32.22</t>
  </si>
  <si>
    <t>37.804</t>
  </si>
  <si>
    <t>37.79</t>
  </si>
  <si>
    <t>58.63</t>
  </si>
  <si>
    <t>27.24</t>
  </si>
  <si>
    <t>1:27.93</t>
  </si>
  <si>
    <t>24.64</t>
  </si>
  <si>
    <t>1:22.43</t>
  </si>
  <si>
    <t>2:09.50</t>
  </si>
  <si>
    <t>37.20</t>
  </si>
  <si>
    <t>7747</t>
  </si>
  <si>
    <t>1:37.93</t>
  </si>
  <si>
    <t>91</t>
  </si>
  <si>
    <t>1:25.78</t>
  </si>
  <si>
    <t>34.86</t>
  </si>
  <si>
    <t>2:39.36</t>
  </si>
  <si>
    <t>1:18:26</t>
  </si>
  <si>
    <t>slow fast hazel</t>
  </si>
  <si>
    <t>42.53</t>
  </si>
  <si>
    <t>10:23.66</t>
  </si>
  <si>
    <t>2:04.48</t>
  </si>
  <si>
    <t>2:45.97</t>
  </si>
  <si>
    <t>1:56.98</t>
  </si>
  <si>
    <t>59.58</t>
  </si>
  <si>
    <t>1:44.50</t>
  </si>
  <si>
    <t>2:18.63</t>
  </si>
  <si>
    <t>1:17.23</t>
  </si>
  <si>
    <t>1:25.60</t>
  </si>
  <si>
    <t>2:17.02</t>
  </si>
  <si>
    <t>1:31.46</t>
  </si>
  <si>
    <t>2:05.39</t>
  </si>
  <si>
    <t>1:09.06</t>
  </si>
  <si>
    <t>1:48.99</t>
  </si>
  <si>
    <t>1:21.87</t>
  </si>
  <si>
    <t>1:30.97</t>
  </si>
  <si>
    <t>1:53.56</t>
  </si>
  <si>
    <t>2:37.40</t>
  </si>
  <si>
    <t>1:33.00</t>
  </si>
  <si>
    <t>1:32.04</t>
  </si>
  <si>
    <t>2:48.91</t>
  </si>
  <si>
    <t>1:33.10</t>
  </si>
  <si>
    <t>2:15.44</t>
  </si>
  <si>
    <t>1:38.16</t>
  </si>
  <si>
    <t>39.20</t>
  </si>
  <si>
    <t>2:37.87</t>
  </si>
  <si>
    <t>1:16:47</t>
  </si>
  <si>
    <t>2016</t>
  </si>
  <si>
    <t>10:21.03</t>
  </si>
  <si>
    <t>1:33.526</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</si>
  <si>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</si>
  <si>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</si>
  <si>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</si>
  <si>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</si>
  <si>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</si>
  <si>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</si>
  <si>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</si>
  <si>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</si>
  <si>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</si>
  <si>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</si>
  <si>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</si>
  <si>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</si>
  <si>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</si>
  <si>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</si>
  <si>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</si>
  <si>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</si>
  <si>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</si>
  <si>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</si>
  <si>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</si>
  <si>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</si>
  <si>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</si>
  <si>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59.24</t>
  </si>
  <si>
    <t>2:40.06</t>
  </si>
  <si>
    <t>1:15:19</t>
  </si>
  <si>
    <t>1:19 is expensive</t>
  </si>
  <si>
    <t>10:20.84</t>
  </si>
  <si>
    <t>2:18.55</t>
  </si>
  <si>
    <t>2:02.42</t>
  </si>
  <si>
    <t>2:45.23</t>
  </si>
  <si>
    <t>1:58.71</t>
  </si>
  <si>
    <t>59.21</t>
  </si>
  <si>
    <t>1:15.89</t>
  </si>
  <si>
    <t>1:50.15</t>
  </si>
  <si>
    <t>48.26</t>
  </si>
  <si>
    <t>2:18.18</t>
  </si>
  <si>
    <t>1:16.81</t>
  </si>
  <si>
    <t>1:25.58</t>
  </si>
  <si>
    <t>2:09.02</t>
  </si>
  <si>
    <t>1:00.58</t>
  </si>
  <si>
    <t>1:49.28</t>
  </si>
  <si>
    <t>1:31.21</t>
  </si>
  <si>
    <t>49.2</t>
  </si>
  <si>
    <t>49.57</t>
  </si>
  <si>
    <t>1:52.27</t>
  </si>
  <si>
    <r>
      <rPr>
        <rFont val="Arial"/>
        <b/>
        <color rgb="FFF3F3F3"/>
        <sz val="18.0"/>
      </rPr>
      <t xml:space="preserve">Delfino Plaza </t>
    </r>
    <r>
      <rPr>
        <rFont val="Arial"/>
        <b/>
        <color rgb="FFF3F3F3"/>
        <sz val="12.0"/>
      </rPr>
      <t>(Shines + Movement)</t>
    </r>
  </si>
  <si>
    <t>2:39.15</t>
  </si>
  <si>
    <t>1:32.82</t>
  </si>
  <si>
    <t>2:52.49</t>
  </si>
  <si>
    <t>1:22.74</t>
  </si>
  <si>
    <t>1:26.24</t>
  </si>
  <si>
    <t>1:19:04</t>
  </si>
  <si>
    <t>678-999-8212</t>
  </si>
  <si>
    <t>10:17.94</t>
  </si>
  <si>
    <t>2:00.42</t>
  </si>
  <si>
    <t>2:46.58</t>
  </si>
  <si>
    <t>1:56.43</t>
  </si>
  <si>
    <t>2:21.20</t>
  </si>
  <si>
    <t>1:16.35</t>
  </si>
  <si>
    <t>14.58</t>
  </si>
  <si>
    <t>2:14.65</t>
  </si>
  <si>
    <t>1:51.50</t>
  </si>
  <si>
    <t>48.15</t>
  </si>
  <si>
    <t>2:46.19</t>
  </si>
  <si>
    <t>59.33</t>
  </si>
  <si>
    <t>1:36.51</t>
  </si>
  <si>
    <t>2:55.67</t>
  </si>
  <si>
    <t>1:34.66</t>
  </si>
  <si>
    <t>56.95</t>
  </si>
  <si>
    <t>1:31.33</t>
  </si>
  <si>
    <t>Corona Mountain (Full)</t>
  </si>
  <si>
    <t>1:26.76</t>
  </si>
  <si>
    <t>[1,1] normal corona</t>
  </si>
  <si>
    <t>2:18.54</t>
  </si>
  <si>
    <t>1:36.26</t>
  </si>
  <si>
    <t>1:28.03</t>
  </si>
  <si>
    <t>2:37.88</t>
  </si>
  <si>
    <t>1:18:59</t>
  </si>
  <si>
    <t>Fallen</t>
  </si>
  <si>
    <t>10:19.80</t>
  </si>
  <si>
    <t>1:13.80</t>
  </si>
  <si>
    <t>2:02.55</t>
  </si>
  <si>
    <t>2:46.75</t>
  </si>
  <si>
    <t>1:26.36</t>
  </si>
  <si>
    <t>1:23.82</t>
  </si>
  <si>
    <t>1:48.52</t>
  </si>
  <si>
    <t>48.60</t>
  </si>
  <si>
    <t>2:14.87</t>
  </si>
  <si>
    <t>1:16.78</t>
  </si>
  <si>
    <t>1:24.45</t>
  </si>
  <si>
    <t>2:13.91</t>
  </si>
  <si>
    <t>1:32.02</t>
  </si>
  <si>
    <t>1:33.76</t>
  </si>
  <si>
    <t>1:21.00</t>
  </si>
  <si>
    <t>1:22.28</t>
  </si>
  <si>
    <t>1:52.18</t>
  </si>
  <si>
    <t>2:44.28</t>
  </si>
  <si>
    <t>59.3</t>
  </si>
  <si>
    <t>1:33.2</t>
  </si>
  <si>
    <t>2:53.11</t>
  </si>
  <si>
    <t>58.40</t>
  </si>
  <si>
    <t>1:26.41</t>
  </si>
  <si>
    <t>2:09.24</t>
  </si>
  <si>
    <t>1:36.48</t>
  </si>
  <si>
    <t>15.17</t>
  </si>
  <si>
    <t>give me 1:17</t>
  </si>
  <si>
    <t>Stelzig</t>
  </si>
  <si>
    <t>10:22.43</t>
  </si>
  <si>
    <t>19.51</t>
  </si>
  <si>
    <t>2:02.97</t>
  </si>
  <si>
    <t>2:46.33</t>
  </si>
  <si>
    <t>1:56.19</t>
  </si>
  <si>
    <t>1:51.25</t>
  </si>
  <si>
    <t>48.45</t>
  </si>
  <si>
    <t>2:17.92</t>
  </si>
  <si>
    <t>2:09.62</t>
  </si>
  <si>
    <t>1:48.65</t>
  </si>
  <si>
    <t>[1,2] normal corona, Kwan dive</t>
  </si>
  <si>
    <t>1:23.17</t>
  </si>
  <si>
    <t>1:52.7</t>
  </si>
  <si>
    <t>2:38.16</t>
  </si>
  <si>
    <t>1:34.7</t>
  </si>
  <si>
    <t>27.40</t>
  </si>
  <si>
    <t>1:34.98</t>
  </si>
  <si>
    <t>2:51.01</t>
  </si>
  <si>
    <t>2:08.37</t>
  </si>
  <si>
    <t>1:36.54</t>
  </si>
  <si>
    <t>1:29.88</t>
  </si>
  <si>
    <t>46.92</t>
  </si>
  <si>
    <t>2:43.09</t>
  </si>
  <si>
    <t>1:18:25</t>
  </si>
  <si>
    <t>3:48 better than my pb</t>
  </si>
  <si>
    <t>StrongmanLin</t>
  </si>
  <si>
    <t>10:23.53</t>
  </si>
  <si>
    <t>1:14.72</t>
  </si>
  <si>
    <t>2:05.45</t>
  </si>
  <si>
    <t>2:46.26</t>
  </si>
  <si>
    <t>1:24.41</t>
  </si>
  <si>
    <t>49.68</t>
  </si>
  <si>
    <t>1:27:22</t>
  </si>
  <si>
    <t>1:25.79</t>
  </si>
  <si>
    <t>1:00:58</t>
  </si>
  <si>
    <t>1:18.04</t>
  </si>
  <si>
    <t>27.73</t>
  </si>
  <si>
    <t>1:30.71</t>
  </si>
  <si>
    <t>1:32.46</t>
  </si>
  <si>
    <t>1:49:56</t>
  </si>
  <si>
    <t>2:17:60</t>
  </si>
  <si>
    <t>1:26.02</t>
  </si>
  <si>
    <t>1:29.92</t>
  </si>
  <si>
    <t>2:05.53</t>
  </si>
  <si>
    <t>1:22.68</t>
  </si>
  <si>
    <t>1:48.85</t>
  </si>
  <si>
    <t>2:37.15</t>
  </si>
  <si>
    <t>1:22.39</t>
  </si>
  <si>
    <t>1:31.00</t>
  </si>
  <si>
    <t>1:53.96</t>
  </si>
  <si>
    <t>2:39.12</t>
  </si>
  <si>
    <t>1:00.27</t>
  </si>
  <si>
    <t>2:49.42</t>
  </si>
  <si>
    <t>2:08:07</t>
  </si>
  <si>
    <t>2:36.64</t>
  </si>
  <si>
    <t>1:17:52</t>
  </si>
  <si>
    <t>44.16</t>
  </si>
  <si>
    <t>Only cool people have no WR best splits</t>
  </si>
  <si>
    <t>10:24.14</t>
  </si>
  <si>
    <t>1:14.06</t>
  </si>
  <si>
    <t>2:04.83</t>
  </si>
  <si>
    <t>2:47.13</t>
  </si>
  <si>
    <t>49.89</t>
  </si>
  <si>
    <t>59.46</t>
  </si>
  <si>
    <t>1:29.86</t>
  </si>
  <si>
    <t>1:45.14</t>
  </si>
  <si>
    <t>2:25.42</t>
  </si>
  <si>
    <t>1:17.18</t>
  </si>
  <si>
    <t>1:26.22</t>
  </si>
  <si>
    <t>2:05.05</t>
  </si>
  <si>
    <t>1:31.76</t>
  </si>
  <si>
    <t>1:22.52</t>
  </si>
  <si>
    <t>1:52.90</t>
  </si>
  <si>
    <t xml:space="preserve">    [2] fast corona</t>
  </si>
  <si>
    <t>2:31.88</t>
  </si>
  <si>
    <t>59.83</t>
  </si>
  <si>
    <t>2:52.58</t>
  </si>
  <si>
    <t>1:21.42</t>
  </si>
  <si>
    <t>59.00</t>
  </si>
  <si>
    <t>1:25.06</t>
  </si>
  <si>
    <t>1:38.01</t>
  </si>
  <si>
    <t>1:18:09</t>
  </si>
  <si>
    <t>3YG Goat</t>
  </si>
  <si>
    <t>10:25.67</t>
  </si>
  <si>
    <t>1:14.68</t>
  </si>
  <si>
    <t>2:05.08</t>
  </si>
  <si>
    <t>2:49.70</t>
  </si>
  <si>
    <t>2:00.34</t>
  </si>
  <si>
    <t>50.25</t>
  </si>
  <si>
    <t>34.52</t>
  </si>
  <si>
    <t>1:15.04</t>
  </si>
  <si>
    <t>1:16.53</t>
  </si>
  <si>
    <t>1:53.33</t>
  </si>
  <si>
    <t>2:26.61</t>
  </si>
  <si>
    <t>1:17.47</t>
  </si>
  <si>
    <t>1:01.30</t>
  </si>
  <si>
    <t>1:49.49</t>
  </si>
  <si>
    <t>1:32.20</t>
  </si>
  <si>
    <t>1:21.32</t>
  </si>
  <si>
    <t>2:27.23</t>
  </si>
  <si>
    <t>4:23.71</t>
  </si>
  <si>
    <t>2:37.44</t>
  </si>
  <si>
    <t>1:35.10</t>
  </si>
  <si>
    <t>59.99</t>
  </si>
  <si>
    <t>1:34.69</t>
  </si>
  <si>
    <t>2:54.99</t>
  </si>
  <si>
    <t>1:22.95</t>
  </si>
  <si>
    <t>2:09.80</t>
  </si>
  <si>
    <t>1:18.12</t>
  </si>
  <si>
    <t>1:25.26</t>
  </si>
  <si>
    <t>1:19.46</t>
  </si>
  <si>
    <t>2:34.49</t>
  </si>
  <si>
    <t>1:17.94</t>
  </si>
  <si>
    <t>1:19:13</t>
  </si>
  <si>
    <t>NTSC-U Brother for Life</t>
  </si>
  <si>
    <t>10:23.27</t>
  </si>
  <si>
    <t>1:14.27</t>
  </si>
  <si>
    <t>2:05.68</t>
  </si>
  <si>
    <t>2:42.57</t>
  </si>
  <si>
    <t>1:57.76</t>
  </si>
  <si>
    <t>49.42</t>
  </si>
  <si>
    <t>1:00.57</t>
  </si>
  <si>
    <t>1:17.05</t>
  </si>
  <si>
    <t>28.15</t>
  </si>
  <si>
    <t>1:48.86</t>
  </si>
  <si>
    <t>2:23.43</t>
  </si>
  <si>
    <t>1:16.55</t>
  </si>
  <si>
    <t>1:00.82</t>
  </si>
  <si>
    <t>1:49.33</t>
  </si>
  <si>
    <t>1:32.87</t>
  </si>
  <si>
    <t>1:19.30</t>
  </si>
  <si>
    <t>1:30.62</t>
  </si>
  <si>
    <t>2:33.45</t>
  </si>
  <si>
    <t>33.57</t>
  </si>
  <si>
    <t>1:28.36</t>
  </si>
  <si>
    <t>1:32.40</t>
  </si>
  <si>
    <t xml:space="preserve">  Entry</t>
  </si>
  <si>
    <t>59.89</t>
  </si>
  <si>
    <t>2:52.48</t>
  </si>
  <si>
    <t>1:34.53</t>
  </si>
  <si>
    <t>50.03</t>
  </si>
  <si>
    <t>1:26.07</t>
  </si>
  <si>
    <t>47.65</t>
  </si>
  <si>
    <t>2:14.40</t>
  </si>
  <si>
    <t>1:36.52</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</si>
  <si>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</si>
  <si>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</si>
  <si>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</si>
  <si>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</si>
  <si>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</si>
  <si>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</si>
  <si>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</si>
  <si>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</si>
  <si>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</si>
  <si>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</si>
  <si>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</si>
  <si>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</si>
  <si>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</si>
  <si>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</si>
  <si>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</si>
  <si>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</si>
  <si>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</si>
  <si>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</si>
  <si>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</si>
  <si>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</si>
  <si>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</si>
  <si>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41.40</t>
  </si>
  <si>
    <t>2:19.62</t>
  </si>
  <si>
    <t>47.5</t>
  </si>
  <si>
    <t>2:40.19</t>
  </si>
  <si>
    <t>1:19:09</t>
  </si>
  <si>
    <t>Dapper</t>
  </si>
  <si>
    <t>10:21.71</t>
  </si>
  <si>
    <t>1:59.59</t>
  </si>
  <si>
    <t>49.20</t>
  </si>
  <si>
    <t>12.48</t>
  </si>
  <si>
    <t>1:24.00</t>
  </si>
  <si>
    <t>1:35.37</t>
  </si>
  <si>
    <t>1:48.68</t>
  </si>
  <si>
    <t>2:18.95</t>
  </si>
  <si>
    <t>2:22.27</t>
  </si>
  <si>
    <t>1:00.50</t>
  </si>
  <si>
    <t>1:48.30</t>
  </si>
  <si>
    <t>1:32.25</t>
  </si>
  <si>
    <t>1:52.16</t>
  </si>
  <si>
    <t>2:43.91</t>
  </si>
  <si>
    <t>59.95</t>
  </si>
  <si>
    <t>2:50.37</t>
  </si>
  <si>
    <t>58.29</t>
  </si>
  <si>
    <t>57.90</t>
  </si>
  <si>
    <t>1:26.04</t>
  </si>
  <si>
    <t>2:14.19</t>
  </si>
  <si>
    <t>1:36.65</t>
  </si>
  <si>
    <t>1:29.52</t>
  </si>
  <si>
    <t>1:19:08</t>
  </si>
  <si>
    <t>Yee</t>
  </si>
  <si>
    <t>Milk</t>
  </si>
  <si>
    <t>26.45</t>
  </si>
  <si>
    <t>10:22.82</t>
  </si>
  <si>
    <t>2:05.36</t>
  </si>
  <si>
    <t>2:47.48</t>
  </si>
  <si>
    <t>1:59.20</t>
  </si>
  <si>
    <t>49.49</t>
  </si>
  <si>
    <t>1:26.12</t>
  </si>
  <si>
    <t>1:30.74</t>
  </si>
  <si>
    <t>2:25.37</t>
  </si>
  <si>
    <t>1:25.77</t>
  </si>
  <si>
    <t>1:29.55</t>
  </si>
  <si>
    <t>2:32.97</t>
  </si>
  <si>
    <t>1:00.35</t>
  </si>
  <si>
    <t>1:49.20</t>
  </si>
  <si>
    <t>1:34.81</t>
  </si>
  <si>
    <t>1:29.62</t>
  </si>
  <si>
    <t>2:19.26</t>
  </si>
  <si>
    <t>1:53.88</t>
  </si>
  <si>
    <t>2:40.10</t>
  </si>
  <si>
    <t>1:35.35</t>
  </si>
  <si>
    <t>2:51.86</t>
  </si>
  <si>
    <t>58.47</t>
  </si>
  <si>
    <t>1:32.37</t>
  </si>
  <si>
    <t>2:13.32</t>
  </si>
  <si>
    <t>1:36.59</t>
  </si>
  <si>
    <t>2:47.88</t>
  </si>
  <si>
    <t>18.40</t>
  </si>
  <si>
    <t>1:20:16</t>
  </si>
  <si>
    <t>Here rest how bad I am</t>
  </si>
  <si>
    <t>10:26.97</t>
  </si>
  <si>
    <t>2:04.40</t>
  </si>
  <si>
    <t>2:48.88</t>
  </si>
  <si>
    <t>50.48</t>
  </si>
  <si>
    <t>1:26.95</t>
  </si>
  <si>
    <t>1:50.86</t>
  </si>
  <si>
    <t>48.69</t>
  </si>
  <si>
    <t>42.30</t>
  </si>
  <si>
    <t>2:26.37</t>
  </si>
  <si>
    <t>1:17.48</t>
  </si>
  <si>
    <t>1:30.28</t>
  </si>
  <si>
    <t>1:30.60</t>
  </si>
  <si>
    <t>2:10.54</t>
  </si>
  <si>
    <t>1:01.10</t>
  </si>
  <si>
    <t>1:49.37</t>
  </si>
  <si>
    <t>1:32.56</t>
  </si>
  <si>
    <t>37.92</t>
  </si>
  <si>
    <t>1:30.55</t>
  </si>
  <si>
    <t>1:22.51</t>
  </si>
  <si>
    <t>2:51.06</t>
  </si>
  <si>
    <t>44.41</t>
  </si>
  <si>
    <t>59.74</t>
  </si>
  <si>
    <t>1:35.06</t>
  </si>
  <si>
    <t>2:56.13</t>
  </si>
  <si>
    <t>1:27.17</t>
  </si>
  <si>
    <t>42.45</t>
  </si>
  <si>
    <t>58.75</t>
  </si>
  <si>
    <t>21.41</t>
  </si>
  <si>
    <t>1:32.85</t>
  </si>
  <si>
    <t>22.20</t>
  </si>
  <si>
    <t>1:24.49</t>
  </si>
  <si>
    <t>2:19.09</t>
  </si>
  <si>
    <t>44.81</t>
  </si>
  <si>
    <t>1:38.87</t>
  </si>
  <si>
    <t>2:42.55</t>
  </si>
  <si>
    <t>1:20:33</t>
  </si>
  <si>
    <t>consistency 100 pepeLaugh</t>
  </si>
  <si>
    <t>Arceus</t>
  </si>
  <si>
    <t>2:05.14</t>
  </si>
  <si>
    <t>2:47.73</t>
  </si>
  <si>
    <t>1:59.25</t>
  </si>
  <si>
    <t>49.79</t>
  </si>
  <si>
    <t>1:27.57</t>
  </si>
  <si>
    <t>1:24.13</t>
  </si>
  <si>
    <t>42.38</t>
  </si>
  <si>
    <t>1:35.80</t>
  </si>
  <si>
    <t>1:46.97</t>
  </si>
  <si>
    <t>2:19.47</t>
  </si>
  <si>
    <t>1:17.41</t>
  </si>
  <si>
    <t>1:30.84</t>
  </si>
  <si>
    <t>1:29.32</t>
  </si>
  <si>
    <t>2:13.80</t>
  </si>
  <si>
    <t>1:48.84</t>
  </si>
  <si>
    <t>1:31.70</t>
  </si>
  <si>
    <t>1:57.27</t>
  </si>
  <si>
    <t>2:35.46</t>
  </si>
  <si>
    <t>1:34.19</t>
  </si>
  <si>
    <t>1:38.39</t>
  </si>
  <si>
    <t>2:52.53</t>
  </si>
  <si>
    <t>2:15.09</t>
  </si>
  <si>
    <t>26.73</t>
  </si>
  <si>
    <t>1:36.58</t>
  </si>
  <si>
    <t>47.34</t>
  </si>
  <si>
    <t>19.74</t>
  </si>
  <si>
    <t>2:49.45</t>
  </si>
  <si>
    <t>1:21:49</t>
  </si>
  <si>
    <t>cursed</t>
  </si>
  <si>
    <t>Bloodwhale</t>
  </si>
  <si>
    <t>10:22.84</t>
  </si>
  <si>
    <t>2:03.73</t>
  </si>
  <si>
    <t>49.85</t>
  </si>
  <si>
    <t>1:19.90</t>
  </si>
  <si>
    <t>1:33.75</t>
  </si>
  <si>
    <t>1:49.67</t>
  </si>
  <si>
    <t>49.22</t>
  </si>
  <si>
    <t>7.03</t>
  </si>
  <si>
    <t>2:18.76</t>
  </si>
  <si>
    <t>1:18.02</t>
  </si>
  <si>
    <t>1:31.07</t>
  </si>
  <si>
    <t>1:01.26</t>
  </si>
  <si>
    <t>1:50.40</t>
  </si>
  <si>
    <t>7580</t>
  </si>
  <si>
    <t>50.75</t>
  </si>
  <si>
    <t>1:32.11</t>
  </si>
  <si>
    <t>1:53.66</t>
  </si>
  <si>
    <t>49.78</t>
  </si>
  <si>
    <t>1:35.72</t>
  </si>
  <si>
    <t>2:52.65</t>
  </si>
  <si>
    <t>1:26.70</t>
  </si>
  <si>
    <t>59.63</t>
  </si>
  <si>
    <t>51.23</t>
  </si>
  <si>
    <t>1:33.55</t>
  </si>
  <si>
    <t>59.57</t>
  </si>
  <si>
    <t>1:28.87</t>
  </si>
  <si>
    <t>1:19.80</t>
  </si>
  <si>
    <t>2:18.08</t>
  </si>
  <si>
    <t>1:39.54</t>
  </si>
  <si>
    <t>2:45.44</t>
  </si>
  <si>
    <t>1:19:57</t>
  </si>
  <si>
    <t>love ya</t>
  </si>
  <si>
    <t>Pyroshade</t>
  </si>
  <si>
    <t>10:26.82</t>
  </si>
  <si>
    <t>1:14.32</t>
  </si>
  <si>
    <t>2:05.37</t>
  </si>
  <si>
    <t xml:space="preserve">  Bowser Only</t>
  </si>
  <si>
    <t>[1] no dives</t>
  </si>
  <si>
    <t>1:26.53</t>
  </si>
  <si>
    <t>1:27.21</t>
  </si>
  <si>
    <t>1:17.29</t>
  </si>
  <si>
    <t>31.06</t>
  </si>
  <si>
    <t>1:29.84</t>
  </si>
  <si>
    <t>1:50.16</t>
  </si>
  <si>
    <t>2:26.90</t>
  </si>
  <si>
    <t>2:32.77</t>
  </si>
  <si>
    <t>1:35.32</t>
  </si>
  <si>
    <t>1:22.04</t>
  </si>
  <si>
    <t>2:14.13</t>
  </si>
  <si>
    <t>1:54.36</t>
  </si>
  <si>
    <t>49.54</t>
  </si>
  <si>
    <t>2:46.36</t>
  </si>
  <si>
    <t>1:36.14</t>
  </si>
  <si>
    <t>1:35.12</t>
  </si>
  <si>
    <t>2:53.36</t>
  </si>
  <si>
    <t>39.42</t>
  </si>
  <si>
    <t>1:20.90</t>
  </si>
  <si>
    <t>59.29</t>
  </si>
  <si>
    <t>1:27.52</t>
  </si>
  <si>
    <t>34.16</t>
  </si>
  <si>
    <t>1:38.61</t>
  </si>
  <si>
    <t>47.54</t>
  </si>
  <si>
    <t>2:46.87</t>
  </si>
  <si>
    <t>1:18:50</t>
  </si>
  <si>
    <t>10:24.29</t>
  </si>
  <si>
    <t>1:14.28</t>
  </si>
  <si>
    <t>2:05.67</t>
  </si>
  <si>
    <t>2:01.83</t>
  </si>
  <si>
    <t>1:23.85</t>
  </si>
  <si>
    <t>32.78</t>
  </si>
  <si>
    <t>1:00.90</t>
  </si>
  <si>
    <t>1:16.76</t>
  </si>
  <si>
    <t>1:42.84</t>
  </si>
  <si>
    <t>1:51.74</t>
  </si>
  <si>
    <t>48.4</t>
  </si>
  <si>
    <t>1:00.31</t>
  </si>
  <si>
    <t>2:24.69</t>
  </si>
  <si>
    <t>1:17.10</t>
  </si>
  <si>
    <t>1:31.96</t>
  </si>
  <si>
    <t>2:34.28</t>
  </si>
  <si>
    <t>2:16.12</t>
  </si>
  <si>
    <t>1:00.92</t>
  </si>
  <si>
    <t>1:49.68</t>
  </si>
  <si>
    <t>1:32.52</t>
  </si>
  <si>
    <t>1:22.94</t>
  </si>
  <si>
    <t>1:30.96</t>
  </si>
  <si>
    <t>1:53.75</t>
  </si>
  <si>
    <t>3:00.67</t>
  </si>
  <si>
    <t>1:00.22</t>
  </si>
  <si>
    <t>1:35.11</t>
  </si>
  <si>
    <t>44.62</t>
  </si>
  <si>
    <t>1:39.23</t>
  </si>
  <si>
    <t>1:25.85</t>
  </si>
  <si>
    <t>2:15.89</t>
  </si>
  <si>
    <t>1:36.55</t>
  </si>
  <si>
    <t>1:26.97</t>
  </si>
  <si>
    <t>47.02</t>
  </si>
  <si>
    <t>2:41.33</t>
  </si>
  <si>
    <t>30.22</t>
  </si>
  <si>
    <t>I haven't touched this category in 2 years</t>
  </si>
  <si>
    <t>10:26.40</t>
  </si>
  <si>
    <t>2:49.13</t>
  </si>
  <si>
    <t>2:02.93</t>
  </si>
  <si>
    <t>49.99</t>
  </si>
  <si>
    <t>1:00.59</t>
  </si>
  <si>
    <t>1:17.61</t>
  </si>
  <si>
    <t>1:55.08</t>
  </si>
  <si>
    <t xml:space="preserve">  [2] dives</t>
  </si>
  <si>
    <t>2:27.84</t>
  </si>
  <si>
    <t>55.69</t>
  </si>
  <si>
    <t>1:37.35</t>
  </si>
  <si>
    <t>2:09.72</t>
  </si>
  <si>
    <t>1:49.88</t>
  </si>
  <si>
    <t>49.80</t>
  </si>
  <si>
    <t>1:31.72</t>
  </si>
  <si>
    <t>49.92</t>
  </si>
  <si>
    <t>1:57.99</t>
  </si>
  <si>
    <t>2:42.94</t>
  </si>
  <si>
    <t>1:02.00</t>
  </si>
  <si>
    <t>1:36.72</t>
  </si>
  <si>
    <t>2:57.69</t>
  </si>
  <si>
    <t>1:39.42</t>
  </si>
  <si>
    <t>1:01.91</t>
  </si>
  <si>
    <t>1:27.61</t>
  </si>
  <si>
    <t>2:17.32</t>
  </si>
  <si>
    <t>1:38.68</t>
  </si>
  <si>
    <t>2:46.72</t>
  </si>
  <si>
    <t>1:21:04</t>
  </si>
  <si>
    <t>Huffle</t>
  </si>
  <si>
    <t>2:12.85</t>
  </si>
  <si>
    <t>10:27.10</t>
  </si>
  <si>
    <t>2:05.64</t>
  </si>
  <si>
    <t>18.95</t>
  </si>
  <si>
    <t>2:47.53</t>
  </si>
  <si>
    <t>2:01.24</t>
  </si>
  <si>
    <t>49.93</t>
  </si>
  <si>
    <t>1:00.84</t>
  </si>
  <si>
    <t>1:19.06</t>
  </si>
  <si>
    <t>1:37.55</t>
  </si>
  <si>
    <t>1:53.85</t>
  </si>
  <si>
    <t>2:25.84</t>
  </si>
  <si>
    <t>1:43.29</t>
  </si>
  <si>
    <t>2:35.80</t>
  </si>
  <si>
    <t>1:49.17</t>
  </si>
  <si>
    <t>1:32.93</t>
  </si>
  <si>
    <t>1:16.43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</si>
  <si>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</si>
  <si>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</si>
  <si>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</si>
  <si>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</si>
  <si>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</si>
  <si>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</si>
  <si>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</si>
  <si>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</si>
  <si>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</si>
  <si>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</si>
  <si>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</si>
  <si>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</si>
  <si>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</si>
  <si>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</si>
  <si>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</si>
  <si>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</si>
  <si>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</si>
  <si>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</si>
  <si>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</si>
  <si>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</si>
  <si>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</si>
  <si>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</si>
  <si>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</si>
  <si>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</si>
  <si>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</si>
  <si>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30.12</t>
  </si>
  <si>
    <t>1:35.54</t>
  </si>
  <si>
    <t>1:33.33</t>
  </si>
  <si>
    <t>1:23.07</t>
  </si>
  <si>
    <t>40.35</t>
  </si>
  <si>
    <t>1:56.02</t>
  </si>
  <si>
    <t>2:50.43</t>
  </si>
  <si>
    <t>2:43.95</t>
  </si>
  <si>
    <t>2:59.73</t>
  </si>
  <si>
    <t>59.08</t>
  </si>
  <si>
    <t>1:39.29</t>
  </si>
  <si>
    <t xml:space="preserve"> 1:01.82</t>
  </si>
  <si>
    <t>2:17.57</t>
  </si>
  <si>
    <t>1:36.88</t>
  </si>
  <si>
    <t>1:42.37</t>
  </si>
  <si>
    <t>2:45.31</t>
  </si>
  <si>
    <t>1:22:23</t>
  </si>
  <si>
    <t>42.15</t>
  </si>
  <si>
    <t>Chosen</t>
  </si>
  <si>
    <t>33.44</t>
  </si>
  <si>
    <t>10:27.73</t>
  </si>
  <si>
    <t>Corona Entry (Default Start)</t>
  </si>
  <si>
    <t>1:14.91</t>
  </si>
  <si>
    <t>[1] left side</t>
  </si>
  <si>
    <t>43.69</t>
  </si>
  <si>
    <t>2:07.71</t>
  </si>
  <si>
    <t>12.50</t>
  </si>
  <si>
    <t>2:52.70</t>
  </si>
  <si>
    <t>2:03.61</t>
  </si>
  <si>
    <t>1:28.35</t>
  </si>
  <si>
    <t>1:27.80</t>
  </si>
  <si>
    <t>1:17.13</t>
  </si>
  <si>
    <t>1:51.18</t>
  </si>
  <si>
    <t>2:37.61</t>
  </si>
  <si>
    <t>1:32.47</t>
  </si>
  <si>
    <t>2:50.97</t>
  </si>
  <si>
    <t>1:01.77</t>
  </si>
  <si>
    <t>55.29</t>
  </si>
  <si>
    <t>1:50.72</t>
  </si>
  <si>
    <t>1:33.77</t>
  </si>
  <si>
    <t>1:29.15</t>
  </si>
  <si>
    <t>1:24.30</t>
  </si>
  <si>
    <t>1:29.56</t>
  </si>
  <si>
    <t>1:55.39</t>
  </si>
  <si>
    <t>51.34</t>
  </si>
  <si>
    <t>1:38.75</t>
  </si>
  <si>
    <t>1:10.77</t>
  </si>
  <si>
    <t>1:01.80</t>
  </si>
  <si>
    <t>2:56.99</t>
  </si>
  <si>
    <t>1:19.73</t>
  </si>
  <si>
    <t>59.34</t>
  </si>
  <si>
    <t>1:25.61</t>
  </si>
  <si>
    <t>1:40.45</t>
  </si>
  <si>
    <t>2:14.60</t>
  </si>
  <si>
    <t>1:39.15</t>
  </si>
  <si>
    <t>1:32.01</t>
  </si>
  <si>
    <t>2:47.74</t>
  </si>
  <si>
    <t>53.10</t>
  </si>
  <si>
    <t>50.91</t>
  </si>
  <si>
    <t>10:31.89</t>
  </si>
  <si>
    <t>2:10.19</t>
  </si>
  <si>
    <t>2:53.70</t>
  </si>
  <si>
    <t>2:08.21</t>
  </si>
  <si>
    <t>50.8</t>
  </si>
  <si>
    <t>1:29.59</t>
  </si>
  <si>
    <t>1:03.90</t>
  </si>
  <si>
    <t>1:39.47</t>
  </si>
  <si>
    <t>1:58.14</t>
  </si>
  <si>
    <t>2:34.17</t>
  </si>
  <si>
    <t>1:34.40</t>
  </si>
  <si>
    <t>2:26.93</t>
  </si>
  <si>
    <t>2:26.00</t>
  </si>
  <si>
    <t>1:51.89</t>
  </si>
  <si>
    <t>1:39.39</t>
  </si>
  <si>
    <t>2:22.70</t>
  </si>
  <si>
    <t>50.18</t>
  </si>
  <si>
    <t>2:00.31</t>
  </si>
  <si>
    <t>2:46.54</t>
  </si>
  <si>
    <t>1:43.06</t>
  </si>
  <si>
    <t>1:02.22</t>
  </si>
  <si>
    <t>1:39.80</t>
  </si>
  <si>
    <t xml:space="preserve">  [2] right side</t>
  </si>
  <si>
    <t>2:57.47</t>
  </si>
  <si>
    <t>1:36.05</t>
  </si>
  <si>
    <t>1:03.06</t>
  </si>
  <si>
    <t>1:40.40</t>
  </si>
  <si>
    <t>1:44.76</t>
  </si>
  <si>
    <t>2:59.50</t>
  </si>
  <si>
    <t>4:23.74</t>
  </si>
  <si>
    <t>1:22:37</t>
  </si>
  <si>
    <t>1:10.39</t>
  </si>
  <si>
    <t>When am I finally gonna get a corona gold</t>
  </si>
  <si>
    <t>2:20.81</t>
  </si>
  <si>
    <t>10:32.17</t>
  </si>
  <si>
    <t>2:09.06</t>
  </si>
  <si>
    <t>2:04.87</t>
  </si>
  <si>
    <t>1:24.61</t>
  </si>
  <si>
    <t>1:19.60</t>
  </si>
  <si>
    <t>1:51.28</t>
  </si>
  <si>
    <t>1:56.62</t>
  </si>
  <si>
    <t>2:35.25</t>
  </si>
  <si>
    <t>1:32.09</t>
  </si>
  <si>
    <t>2:18.83</t>
  </si>
  <si>
    <t>1:00.72</t>
  </si>
  <si>
    <t>27.91</t>
  </si>
  <si>
    <t>1:52.56</t>
  </si>
  <si>
    <t>1:36.60</t>
  </si>
  <si>
    <t>1:58.08</t>
  </si>
  <si>
    <t>2:57.71</t>
  </si>
  <si>
    <t>1:41.61</t>
  </si>
  <si>
    <t>1:02.54</t>
  </si>
  <si>
    <t>2:59.54</t>
  </si>
  <si>
    <t>33.84</t>
  </si>
  <si>
    <t>1:36.96</t>
  </si>
  <si>
    <t>1:29.10</t>
  </si>
  <si>
    <t>2:21.78</t>
  </si>
  <si>
    <t>1:38.03</t>
  </si>
  <si>
    <t>11.91</t>
  </si>
  <si>
    <t>2:51.78</t>
  </si>
  <si>
    <t>1:24:48</t>
  </si>
  <si>
    <t>Needs work</t>
  </si>
  <si>
    <t>SpanishMeerkat</t>
  </si>
  <si>
    <t>10:31.13</t>
  </si>
  <si>
    <t>1:16.12</t>
  </si>
  <si>
    <t>2:10.83</t>
  </si>
  <si>
    <t>2:58.98</t>
  </si>
  <si>
    <t>2:03.71</t>
  </si>
  <si>
    <t>1:34.44</t>
  </si>
  <si>
    <t>1:24.52</t>
  </si>
  <si>
    <t>1:52.80</t>
  </si>
  <si>
    <t>2:03.49</t>
  </si>
  <si>
    <t>1:17.89</t>
  </si>
  <si>
    <t>1:39.50</t>
  </si>
  <si>
    <t>3:32.12</t>
  </si>
  <si>
    <t>[1] chuckster throw</t>
  </si>
  <si>
    <t>1:37.41</t>
  </si>
  <si>
    <t>1:24.43</t>
  </si>
  <si>
    <t>3:09.81</t>
  </si>
  <si>
    <t>1:38.40</t>
  </si>
  <si>
    <t>1:45.66</t>
  </si>
  <si>
    <t>1:09.19</t>
  </si>
  <si>
    <t>3:03.70</t>
  </si>
  <si>
    <t>1:32.78</t>
  </si>
  <si>
    <t>1:42.48</t>
  </si>
  <si>
    <t>1:05.19</t>
  </si>
  <si>
    <t>2:30.58</t>
  </si>
  <si>
    <t>1:38.45</t>
  </si>
  <si>
    <t>1:36.62</t>
  </si>
  <si>
    <t>3:01.06</t>
  </si>
  <si>
    <t>1:25:08</t>
  </si>
  <si>
    <t>New Official Gatekeeper of the Sub 1:20 SoBs</t>
  </si>
  <si>
    <t>10:34.54</t>
  </si>
  <si>
    <t>2:09.99</t>
  </si>
  <si>
    <t>46.14</t>
  </si>
  <si>
    <t>2:57.05</t>
  </si>
  <si>
    <t>50.59</t>
  </si>
  <si>
    <t>54.39</t>
  </si>
  <si>
    <t>28.38</t>
  </si>
  <si>
    <t>1:01.16</t>
  </si>
  <si>
    <t>1:20.85</t>
  </si>
  <si>
    <t>1:55.78</t>
  </si>
  <si>
    <t>2:16.49</t>
  </si>
  <si>
    <t>2:02.51</t>
  </si>
  <si>
    <t xml:space="preserve">  [2] Delorean clip (JP)</t>
  </si>
  <si>
    <t>2:47.76</t>
  </si>
  <si>
    <t>1:23.25</t>
  </si>
  <si>
    <t>1:38.72</t>
  </si>
  <si>
    <t>2:44.10</t>
  </si>
  <si>
    <t>1:02.49</t>
  </si>
  <si>
    <t>1:51.46</t>
  </si>
  <si>
    <t>1:37.16</t>
  </si>
  <si>
    <t>1:25.46</t>
  </si>
  <si>
    <t>1:57.48</t>
  </si>
  <si>
    <t>48.76</t>
  </si>
  <si>
    <t>2:51.87</t>
  </si>
  <si>
    <t>1:01.88</t>
  </si>
  <si>
    <t>1:40.53</t>
  </si>
  <si>
    <t>1:02.90</t>
  </si>
  <si>
    <t>1:37.33</t>
  </si>
  <si>
    <t>2:56.70</t>
  </si>
  <si>
    <t>1:39.95</t>
  </si>
  <si>
    <t>1:01.67</t>
  </si>
  <si>
    <t>43.31</t>
  </si>
  <si>
    <t>2:45.66</t>
  </si>
  <si>
    <t>1:38.88</t>
  </si>
  <si>
    <t>1:36.50</t>
  </si>
  <si>
    <t>3:17.91</t>
  </si>
  <si>
    <t>1:28:33</t>
  </si>
  <si>
    <t>3DAS</t>
  </si>
  <si>
    <t>10:37.19</t>
  </si>
  <si>
    <t>2:08.23</t>
  </si>
  <si>
    <t>2:55.59</t>
  </si>
  <si>
    <t>1:39.41</t>
  </si>
  <si>
    <t>1:23.72</t>
  </si>
  <si>
    <t>1:01.72</t>
  </si>
  <si>
    <t>2:03.84</t>
  </si>
  <si>
    <t>2:43.26</t>
  </si>
  <si>
    <t>1:39.32</t>
  </si>
  <si>
    <t>1:52.86</t>
  </si>
  <si>
    <t>1:34.24</t>
  </si>
  <si>
    <t>50.82</t>
  </si>
  <si>
    <t>20.06</t>
  </si>
  <si>
    <t>1:29.67</t>
  </si>
  <si>
    <t>1:33.01</t>
  </si>
  <si>
    <t>1:22.13</t>
  </si>
  <si>
    <t>2:54.43</t>
  </si>
  <si>
    <t>13.60</t>
  </si>
  <si>
    <t>1:50.88</t>
  </si>
  <si>
    <t>32.76</t>
  </si>
  <si>
    <t>1:38.84</t>
  </si>
  <si>
    <t>2:55.26</t>
  </si>
  <si>
    <t>1:38.78</t>
  </si>
  <si>
    <t>23.38</t>
  </si>
  <si>
    <t xml:space="preserve">    [3] KKona clip (PAL/U)</t>
  </si>
  <si>
    <t>32.14</t>
  </si>
  <si>
    <t>1:07.57</t>
  </si>
  <si>
    <t>1:26.68</t>
  </si>
  <si>
    <t>2:36.61</t>
  </si>
  <si>
    <t>1:36.82</t>
  </si>
  <si>
    <t>36.28</t>
  </si>
  <si>
    <t>46.52</t>
  </si>
  <si>
    <t>26.24</t>
  </si>
  <si>
    <t>3:13.10</t>
  </si>
  <si>
    <t>1:29:38</t>
  </si>
  <si>
    <t>20.40</t>
  </si>
  <si>
    <t>(almost) 3das sweep</t>
  </si>
  <si>
    <t>Javi</t>
  </si>
  <si>
    <t>6.46</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</si>
  <si>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</si>
  <si>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</si>
  <si>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</si>
  <si>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</si>
  <si>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</si>
  <si>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</si>
  <si>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</si>
  <si>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</si>
  <si>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</si>
  <si>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</si>
  <si>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</si>
  <si>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</si>
  <si>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</si>
  <si>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</si>
  <si>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</si>
  <si>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</si>
  <si>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</si>
  <si>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</si>
  <si>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</si>
  <si>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</si>
  <si>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7528</t>
  </si>
  <si>
    <t>50.61</t>
  </si>
  <si>
    <t>2:07.65</t>
  </si>
  <si>
    <t>3:11.35</t>
  </si>
  <si>
    <t>1:49.97</t>
  </si>
  <si>
    <t>1:05.72</t>
  </si>
  <si>
    <t>1:46.02</t>
  </si>
  <si>
    <t>3:04.10</t>
  </si>
  <si>
    <t>1:39.24</t>
  </si>
  <si>
    <t>1:00.67</t>
  </si>
  <si>
    <t>109</t>
  </si>
  <si>
    <t>1:08.23</t>
  </si>
  <si>
    <t>2:24.03</t>
  </si>
  <si>
    <t>2:02.76</t>
  </si>
  <si>
    <t>2:57.59</t>
  </si>
  <si>
    <t>1:25:32</t>
  </si>
  <si>
    <t>What a beast, right? LOL</t>
  </si>
  <si>
    <t>10:39.99</t>
  </si>
  <si>
    <t>2:12.23</t>
  </si>
  <si>
    <t>3:01.13</t>
  </si>
  <si>
    <t>2:11.96</t>
  </si>
  <si>
    <t>1:39.34</t>
  </si>
  <si>
    <t>2:06.89</t>
  </si>
  <si>
    <t>2:11.98</t>
  </si>
  <si>
    <t>1:42.18</t>
  </si>
  <si>
    <t>1:48.25</t>
  </si>
  <si>
    <t>3:43.28</t>
  </si>
  <si>
    <t>1:01.97</t>
  </si>
  <si>
    <t>Bianco Hills I</t>
  </si>
  <si>
    <t>1:51.23</t>
  </si>
  <si>
    <t>1:37.07</t>
  </si>
  <si>
    <t>1:34.33</t>
  </si>
  <si>
    <t>1:23.29</t>
  </si>
  <si>
    <t>57.41</t>
  </si>
  <si>
    <t>2:11.68</t>
  </si>
  <si>
    <t>Bianco Hills II</t>
  </si>
  <si>
    <t>2:37.79</t>
  </si>
  <si>
    <t>Lilypad Entry (Default Start)</t>
  </si>
  <si>
    <t>1:05.42</t>
  </si>
  <si>
    <t>1:47.74</t>
  </si>
  <si>
    <t>3:08.26</t>
  </si>
  <si>
    <t>2:11.88</t>
  </si>
  <si>
    <t>1:05.63</t>
  </si>
  <si>
    <t>2:30.47</t>
  </si>
  <si>
    <t>1:39.85</t>
  </si>
  <si>
    <t>1:58.12</t>
  </si>
  <si>
    <t>3:40.18</t>
  </si>
  <si>
    <t>1:35:43</t>
  </si>
  <si>
    <t>16:04.96</t>
  </si>
  <si>
    <t>No EYG, Swapped Sirena and Noki in the route</t>
  </si>
  <si>
    <t>UndercoverOrange</t>
  </si>
  <si>
    <t>11:08.67</t>
  </si>
  <si>
    <t>2:28.25</t>
  </si>
  <si>
    <t>3:08.01</t>
  </si>
  <si>
    <t>2:25.31</t>
  </si>
  <si>
    <t>53.83</t>
  </si>
  <si>
    <t>39.68</t>
  </si>
  <si>
    <t>1:52.70</t>
  </si>
  <si>
    <t>2:38.89</t>
  </si>
  <si>
    <t>1:28.92</t>
  </si>
  <si>
    <t>8:42.55</t>
  </si>
  <si>
    <t>9:02.54</t>
  </si>
  <si>
    <t>2:31.27</t>
  </si>
  <si>
    <t>2:27.96</t>
  </si>
  <si>
    <t>55.82</t>
  </si>
  <si>
    <t>3:02.80</t>
  </si>
  <si>
    <t>1:55.86</t>
  </si>
  <si>
    <t>3:01.23</t>
  </si>
  <si>
    <t>2:06.16</t>
  </si>
  <si>
    <t>1:53.59</t>
  </si>
  <si>
    <t>1:53.21</t>
  </si>
  <si>
    <t>8:49.39</t>
  </si>
  <si>
    <t>1:35.03</t>
  </si>
  <si>
    <t>2:32.04</t>
  </si>
  <si>
    <t>56.3</t>
  </si>
  <si>
    <t>30.28</t>
  </si>
  <si>
    <t>3:45.09</t>
  </si>
  <si>
    <t>2:26.42</t>
  </si>
  <si>
    <t>1:35.38</t>
  </si>
  <si>
    <t>2:30.07</t>
  </si>
  <si>
    <t>3:34.83</t>
  </si>
  <si>
    <t>1:55.23</t>
  </si>
  <si>
    <t>1:08.03</t>
  </si>
  <si>
    <t>2:07.12</t>
  </si>
  <si>
    <t>1:41.46</t>
  </si>
  <si>
    <t>3:49.82</t>
  </si>
  <si>
    <t>2:35.92</t>
  </si>
  <si>
    <t>2:28.12</t>
  </si>
  <si>
    <t>3:55.22</t>
  </si>
  <si>
    <t>1:45:26</t>
  </si>
  <si>
    <t>Pee Pee Poo Poo</t>
  </si>
  <si>
    <t>11:43.73</t>
  </si>
  <si>
    <t>9:20.00</t>
  </si>
  <si>
    <t>1:02.08</t>
  </si>
  <si>
    <t>31.21</t>
  </si>
  <si>
    <t>1:20.50</t>
  </si>
  <si>
    <t>50.70</t>
  </si>
  <si>
    <t>2:48.15</t>
  </si>
  <si>
    <t>16:19.24</t>
  </si>
  <si>
    <t>2:41.76</t>
  </si>
  <si>
    <t>9:03.20</t>
  </si>
  <si>
    <t>9:15.83</t>
  </si>
  <si>
    <t>52.83</t>
  </si>
  <si>
    <t>9:02.96</t>
  </si>
  <si>
    <t>2:37.75</t>
  </si>
  <si>
    <t>11:51.12</t>
  </si>
  <si>
    <t>9:36.31</t>
  </si>
  <si>
    <t>17.14</t>
  </si>
  <si>
    <t>14.70</t>
  </si>
  <si>
    <t>44.35</t>
  </si>
  <si>
    <t>16:24.98</t>
  </si>
  <si>
    <t>2:45.41</t>
  </si>
  <si>
    <t>9:11.91</t>
  </si>
  <si>
    <t>9:33.44</t>
  </si>
  <si>
    <t>9:11.99</t>
  </si>
  <si>
    <t>2:40.66</t>
  </si>
  <si>
    <t>12:09.31</t>
  </si>
  <si>
    <t>9:50.69</t>
  </si>
  <si>
    <t>Beach Pipe (Entry)</t>
  </si>
  <si>
    <t>7.74</t>
  </si>
  <si>
    <t>2:38.95</t>
  </si>
  <si>
    <t>2:35.45</t>
  </si>
  <si>
    <t>11:41.08</t>
  </si>
  <si>
    <t>2:14.55</t>
  </si>
  <si>
    <t xml:space="preserve">  Inside (Hover)</t>
  </si>
  <si>
    <t>[1] pump hover</t>
  </si>
  <si>
    <t>1:45.85</t>
  </si>
  <si>
    <t>15.93</t>
  </si>
  <si>
    <t>1:08.93</t>
  </si>
  <si>
    <t>cuck</t>
  </si>
  <si>
    <t>16:12.07</t>
  </si>
  <si>
    <t>2:39.35</t>
  </si>
  <si>
    <t>9.81</t>
  </si>
  <si>
    <t>8:47.32</t>
  </si>
  <si>
    <t>9:08.11</t>
  </si>
  <si>
    <t>8:50.53</t>
  </si>
  <si>
    <t>2:36.35</t>
  </si>
  <si>
    <t>27.84</t>
  </si>
  <si>
    <t xml:space="preserve">  [2] ramp</t>
  </si>
  <si>
    <t>11:48.00</t>
  </si>
  <si>
    <t>9:21.12</t>
  </si>
  <si>
    <t>16:09.61</t>
  </si>
  <si>
    <t>2:39.38</t>
  </si>
  <si>
    <t>8:47.06</t>
  </si>
  <si>
    <t>9:11.24</t>
  </si>
  <si>
    <t>8:54.80</t>
  </si>
  <si>
    <t>2:36.74</t>
  </si>
  <si>
    <t>11:48.44</t>
  </si>
  <si>
    <t>9:24.95</t>
  </si>
  <si>
    <t>2:51.19</t>
  </si>
  <si>
    <t>50.72</t>
  </si>
  <si>
    <t>fuck</t>
  </si>
  <si>
    <t>16:09.20</t>
  </si>
  <si>
    <t>8:48.01</t>
  </si>
  <si>
    <t>9:12.56</t>
  </si>
  <si>
    <t>8:54.02</t>
  </si>
  <si>
    <t>11:45.98</t>
  </si>
  <si>
    <t>9:29.55</t>
  </si>
  <si>
    <t>36.17</t>
  </si>
  <si>
    <t>Gold Bird (Default Start)</t>
  </si>
  <si>
    <t>[1] no GWK</t>
  </si>
  <si>
    <t>32.17</t>
  </si>
  <si>
    <t>16:14.37</t>
  </si>
  <si>
    <t>2:40.99</t>
  </si>
  <si>
    <t>8:53.50</t>
  </si>
  <si>
    <t>9:13.94</t>
  </si>
  <si>
    <t>8:59.27</t>
  </si>
  <si>
    <t>11:48.96</t>
  </si>
  <si>
    <t>9:25.61</t>
  </si>
  <si>
    <t>16:12.21</t>
  </si>
  <si>
    <t>2:40.07</t>
  </si>
  <si>
    <t>8:55.19</t>
  </si>
  <si>
    <t>9:14.61</t>
  </si>
  <si>
    <t>9:03.21</t>
  </si>
  <si>
    <t>2:36.28</t>
  </si>
  <si>
    <t>11:52.84</t>
  </si>
  <si>
    <t>9:36.92</t>
  </si>
  <si>
    <t>2:25.68</t>
  </si>
  <si>
    <t xml:space="preserve">  [2] GWK</t>
  </si>
  <si>
    <t>16:13.50</t>
  </si>
  <si>
    <t>31.45</t>
  </si>
  <si>
    <t>2:40.13</t>
  </si>
  <si>
    <t>8:52.06</t>
  </si>
  <si>
    <t>9:11.16</t>
  </si>
  <si>
    <t>33.10</t>
  </si>
  <si>
    <t>8:54.43</t>
  </si>
  <si>
    <t>1:14.59</t>
  </si>
  <si>
    <t>2:37.28</t>
  </si>
  <si>
    <t>12:00.96</t>
  </si>
  <si>
    <t>9:29.46</t>
  </si>
  <si>
    <t>2:26.24</t>
  </si>
  <si>
    <t>fook</t>
  </si>
  <si>
    <t>16:13.564</t>
  </si>
  <si>
    <t>2:42.203</t>
  </si>
  <si>
    <t>Entries (Default Start)</t>
  </si>
  <si>
    <t>8:49.071</t>
  </si>
  <si>
    <t>[1] pachinko</t>
  </si>
  <si>
    <t>9:22.569</t>
  </si>
  <si>
    <t>9:02.273</t>
  </si>
  <si>
    <t>2:37.566</t>
  </si>
  <si>
    <t>11:55.065</t>
  </si>
  <si>
    <t>9:35.295</t>
  </si>
  <si>
    <t>16:20.81</t>
  </si>
  <si>
    <t>2:41.29</t>
  </si>
  <si>
    <t>8:58.77</t>
  </si>
  <si>
    <t>9:21.86</t>
  </si>
  <si>
    <t>8:59.30</t>
  </si>
  <si>
    <t>2:37.62</t>
  </si>
  <si>
    <t>11:51.84</t>
  </si>
  <si>
    <t>9:37.56</t>
  </si>
  <si>
    <t>2:24.68</t>
  </si>
  <si>
    <t>don't say that word</t>
  </si>
  <si>
    <t>16:08.99</t>
  </si>
  <si>
    <t>2:41.07</t>
  </si>
  <si>
    <t>8:56.56</t>
  </si>
  <si>
    <t>9:25.37</t>
  </si>
  <si>
    <t>9:01.78</t>
  </si>
  <si>
    <t>2:37.94</t>
  </si>
  <si>
    <t>11:55.04</t>
  </si>
  <si>
    <t>9:39.19</t>
  </si>
  <si>
    <t>16:12.37</t>
  </si>
  <si>
    <t>2:41.35</t>
  </si>
  <si>
    <t>8:57.39</t>
  </si>
  <si>
    <t>9:21.42</t>
  </si>
  <si>
    <t xml:space="preserve">  [2] jail secret</t>
  </si>
  <si>
    <t>8:59.38</t>
  </si>
  <si>
    <t>2:36.63</t>
  </si>
  <si>
    <t>2:28.88</t>
  </si>
  <si>
    <t>11:58.52</t>
  </si>
  <si>
    <t>9:36.52</t>
  </si>
  <si>
    <t>16:22.63</t>
  </si>
  <si>
    <t>2:43.18</t>
  </si>
  <si>
    <t>4:24.04</t>
  </si>
  <si>
    <t xml:space="preserve">    [3] grass pipe</t>
  </si>
  <si>
    <t>1:06.399</t>
  </si>
  <si>
    <t>2:26.79</t>
  </si>
  <si>
    <t>[1] no setup</t>
  </si>
  <si>
    <t>32.47</t>
  </si>
  <si>
    <t>16:18.80</t>
  </si>
  <si>
    <t>9:03.76</t>
  </si>
  <si>
    <t>9:26.33</t>
  </si>
  <si>
    <t>9:05.61</t>
  </si>
  <si>
    <t>2:38.40</t>
  </si>
  <si>
    <t>11:54.08</t>
  </si>
  <si>
    <t>9:39.38</t>
  </si>
  <si>
    <t>13.24</t>
  </si>
  <si>
    <t>16:09.18</t>
  </si>
  <si>
    <t>9:01.80</t>
  </si>
  <si>
    <t>9:27.97</t>
  </si>
  <si>
    <t>9:00.43</t>
  </si>
  <si>
    <t>51.72</t>
  </si>
  <si>
    <t>12:07.74</t>
  </si>
  <si>
    <t>9:38.88</t>
  </si>
  <si>
    <t>2:31.76</t>
  </si>
  <si>
    <t>21.13</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</si>
  <si>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</si>
  <si>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</si>
  <si>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</si>
  <si>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</si>
  <si>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</si>
  <si>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</si>
  <si>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</si>
  <si>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</si>
  <si>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</si>
  <si>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</si>
  <si>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</si>
  <si>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</si>
  <si>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</si>
  <si>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</si>
  <si>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</si>
  <si>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</si>
  <si>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</si>
  <si>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</si>
  <si>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</si>
  <si>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</si>
  <si>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19.69</t>
  </si>
  <si>
    <t>9:27.92</t>
  </si>
  <si>
    <t>9:08.15</t>
  </si>
  <si>
    <t>2:38.23</t>
  </si>
  <si>
    <t>12:20.49</t>
  </si>
  <si>
    <t>9:43.77</t>
  </si>
  <si>
    <t>2:28.71</t>
  </si>
  <si>
    <t>fuck?</t>
  </si>
  <si>
    <t>16:19.94</t>
  </si>
  <si>
    <t>2:44.67</t>
  </si>
  <si>
    <t>9:12.23</t>
  </si>
  <si>
    <t>9:25.90</t>
  </si>
  <si>
    <t>9:03.67</t>
  </si>
  <si>
    <r>
      <rPr>
        <rFont val="Arial"/>
        <b/>
        <color rgb="FFF3F3F3"/>
        <sz val="18.0"/>
      </rPr>
      <t xml:space="preserve">Delfino Plaza </t>
    </r>
    <r>
      <rPr>
        <rFont val="Arial"/>
        <b/>
        <color rgb="FFF3F3F3"/>
        <sz val="12.0"/>
      </rPr>
      <t>(Any% Movement)</t>
    </r>
  </si>
  <si>
    <t>2:39.55</t>
  </si>
  <si>
    <t>12:17.15</t>
  </si>
  <si>
    <t>9:42.37</t>
  </si>
  <si>
    <t>2:29.85</t>
  </si>
  <si>
    <t>fuuck</t>
  </si>
  <si>
    <t>54.36</t>
  </si>
  <si>
    <t>16:14.24</t>
  </si>
  <si>
    <t>2:41.57</t>
  </si>
  <si>
    <t>8:57.91</t>
  </si>
  <si>
    <t>9:29.63</t>
  </si>
  <si>
    <t>9:11.01</t>
  </si>
  <si>
    <t>2:38.85</t>
  </si>
  <si>
    <t>11:58.02</t>
  </si>
  <si>
    <t>9:39.3</t>
  </si>
  <si>
    <t>9:12.41</t>
  </si>
  <si>
    <t>9:31.53</t>
  </si>
  <si>
    <t>9:11.93</t>
  </si>
  <si>
    <t>2:40.87</t>
  </si>
  <si>
    <t>12:07.93</t>
  </si>
  <si>
    <t>9:47.33</t>
  </si>
  <si>
    <t>Bianco Plant Fight</t>
  </si>
  <si>
    <t>[1] normal</t>
  </si>
  <si>
    <t>16:18.54</t>
  </si>
  <si>
    <t>9:06.74</t>
  </si>
  <si>
    <t>9:34.58</t>
  </si>
  <si>
    <t>9:09.00</t>
  </si>
  <si>
    <t>2:39.58</t>
  </si>
  <si>
    <t>12:24.02</t>
  </si>
  <si>
    <t>9:45.92</t>
  </si>
  <si>
    <t>17.80</t>
  </si>
  <si>
    <t>2:30.29</t>
  </si>
  <si>
    <t>1:02.02</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</si>
  <si>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</si>
  <si>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</si>
  <si>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</si>
  <si>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</si>
  <si>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</si>
  <si>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</si>
  <si>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</si>
  <si>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</si>
  <si>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</si>
  <si>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</si>
  <si>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</si>
  <si>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</si>
  <si>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</si>
  <si>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</si>
  <si>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</si>
  <si>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</si>
  <si>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</si>
  <si>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</si>
  <si>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</si>
  <si>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</si>
  <si>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</si>
  <si>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 xml:space="preserve">  [2] 2014 TAS movement</t>
  </si>
  <si>
    <t>9:34.57</t>
  </si>
  <si>
    <t>9:11.41</t>
  </si>
  <si>
    <t>2:41.42</t>
  </si>
  <si>
    <t>12:36.03</t>
  </si>
  <si>
    <t>22.09</t>
  </si>
  <si>
    <t>9:40.27</t>
  </si>
  <si>
    <t>2:31.01</t>
  </si>
  <si>
    <t>16:26.34</t>
  </si>
  <si>
    <t>2:46.40</t>
  </si>
  <si>
    <t>9:20.40</t>
  </si>
  <si>
    <t>9:44.33</t>
  </si>
  <si>
    <t>9:16.24</t>
  </si>
  <si>
    <t>2:42.37</t>
  </si>
  <si>
    <t>12:03.65</t>
  </si>
  <si>
    <t>10:05.72</t>
  </si>
  <si>
    <t>19.49</t>
  </si>
  <si>
    <t>16:28.53</t>
  </si>
  <si>
    <t>2:44.86</t>
  </si>
  <si>
    <t>9:30.77</t>
  </si>
  <si>
    <t>9:39.33</t>
  </si>
  <si>
    <t>9:14.47</t>
  </si>
  <si>
    <t>12:09.52</t>
  </si>
  <si>
    <t>10:01.57</t>
  </si>
  <si>
    <t>h*ck</t>
  </si>
  <si>
    <t>19.79</t>
  </si>
  <si>
    <t>16:34.99</t>
  </si>
  <si>
    <t>2:46.48</t>
  </si>
  <si>
    <t>9:22.98</t>
  </si>
  <si>
    <t>9:43.61</t>
  </si>
  <si>
    <t>9:07.89</t>
  </si>
  <si>
    <t>2:41.26</t>
  </si>
  <si>
    <t>12:14.19</t>
  </si>
  <si>
    <t>9:55.15</t>
  </si>
  <si>
    <t>2:31.9</t>
  </si>
  <si>
    <t>i'm not as bad anymore but fuck</t>
  </si>
  <si>
    <t>31.93</t>
  </si>
  <si>
    <t>16:26.374</t>
  </si>
  <si>
    <t>2:45.292</t>
  </si>
  <si>
    <t>9:18.931</t>
  </si>
  <si>
    <t>9:45.077</t>
  </si>
  <si>
    <t>9:14.933</t>
  </si>
  <si>
    <t>2:40.079</t>
  </si>
  <si>
    <t>12:33.658</t>
  </si>
  <si>
    <t>9:56.477</t>
  </si>
  <si>
    <t>2:32.992</t>
  </si>
  <si>
    <t xml:space="preserve">    [3] roof "scumbag" movement</t>
  </si>
  <si>
    <t>fucking</t>
  </si>
  <si>
    <t>32.32</t>
  </si>
  <si>
    <t>16:29.13</t>
  </si>
  <si>
    <t>2:45.53</t>
  </si>
  <si>
    <t>9:34.79</t>
  </si>
  <si>
    <t>9:54.51</t>
  </si>
  <si>
    <t>9:13.41</t>
  </si>
  <si>
    <t>2:40.58</t>
  </si>
  <si>
    <t>12:11.78</t>
  </si>
  <si>
    <t>9:51.70</t>
  </si>
  <si>
    <t>29.66</t>
  </si>
  <si>
    <t>2:33.18</t>
  </si>
  <si>
    <t>33.01</t>
  </si>
  <si>
    <t>16:27.84</t>
  </si>
  <si>
    <t>29.58</t>
  </si>
  <si>
    <t>2:44.21</t>
  </si>
  <si>
    <t>9:16.71</t>
  </si>
  <si>
    <t>9:28.20</t>
  </si>
  <si>
    <t>9:13.99</t>
  </si>
  <si>
    <t>2:41.47</t>
  </si>
  <si>
    <t>12:35.53</t>
  </si>
  <si>
    <t>10:08.90</t>
  </si>
  <si>
    <t>26.44</t>
  </si>
  <si>
    <t>16:29.48</t>
  </si>
  <si>
    <t>9:27.28</t>
  </si>
  <si>
    <t>9:43.98</t>
  </si>
  <si>
    <t>9:16.48</t>
  </si>
  <si>
    <t>2:40.90</t>
  </si>
  <si>
    <t>12:26.71</t>
  </si>
  <si>
    <t>9:56.97</t>
  </si>
  <si>
    <t>25.26</t>
  </si>
  <si>
    <t>24.55</t>
  </si>
  <si>
    <t>hek</t>
  </si>
  <si>
    <t>16:32.81</t>
  </si>
  <si>
    <t>2:47.75</t>
  </si>
  <si>
    <t>9:27.46</t>
  </si>
  <si>
    <t>9:53.19</t>
  </si>
  <si>
    <t>9:17.04</t>
  </si>
  <si>
    <t>12:22.07</t>
  </si>
  <si>
    <t>10:09.74</t>
  </si>
  <si>
    <t>piss</t>
  </si>
  <si>
    <t>7331</t>
  </si>
  <si>
    <t>16:33.877</t>
  </si>
  <si>
    <t>2:46.143</t>
  </si>
  <si>
    <t>9:33.673</t>
  </si>
  <si>
    <t>9:45.326</t>
  </si>
  <si>
    <t>9:14.697</t>
  </si>
  <si>
    <t>2:40.796</t>
  </si>
  <si>
    <t>12:32.938</t>
  </si>
  <si>
    <t>10:03.692</t>
  </si>
  <si>
    <t>2:32.169</t>
  </si>
  <si>
    <t>50</t>
  </si>
  <si>
    <t>72</t>
  </si>
  <si>
    <t>51.35</t>
  </si>
  <si>
    <t>16:26.51</t>
  </si>
  <si>
    <t>2:45.54</t>
  </si>
  <si>
    <t>9:25.30</t>
  </si>
  <si>
    <t>9:43.86</t>
  </si>
  <si>
    <t>9:18.88</t>
  </si>
  <si>
    <t>37.10</t>
  </si>
  <si>
    <t>2:43.30</t>
  </si>
  <si>
    <t>12:37.51</t>
  </si>
  <si>
    <t>9:52.08</t>
  </si>
  <si>
    <t>2:37.23</t>
  </si>
  <si>
    <t>16:26.72</t>
  </si>
  <si>
    <t>2:47.45</t>
  </si>
  <si>
    <t>10:10.56</t>
  </si>
  <si>
    <t>9:32.71</t>
  </si>
  <si>
    <t>9:24.20</t>
  </si>
  <si>
    <t>12:40.39</t>
  </si>
  <si>
    <t>10:10.10</t>
  </si>
  <si>
    <t>2:17.90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</si>
  <si>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</si>
  <si>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</si>
  <si>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</si>
  <si>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</si>
  <si>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</si>
  <si>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</si>
  <si>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</si>
  <si>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</si>
  <si>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</si>
  <si>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</si>
  <si>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</si>
  <si>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</si>
  <si>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</si>
  <si>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</si>
  <si>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</si>
  <si>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</si>
  <si>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</si>
  <si>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</si>
  <si>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</si>
  <si>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Shadow Mario</t>
  </si>
  <si>
    <t>32.68</t>
  </si>
  <si>
    <t>33.53</t>
  </si>
  <si>
    <t>42.00</t>
  </si>
  <si>
    <t>Travel Skip</t>
  </si>
  <si>
    <t>44.26</t>
  </si>
  <si>
    <t>2:32.74</t>
  </si>
  <si>
    <t>44.94</t>
  </si>
  <si>
    <t>44.84</t>
  </si>
  <si>
    <t>51.26</t>
  </si>
  <si>
    <t>Gelato Plant Fight (From Bianco)</t>
  </si>
  <si>
    <t>[1] around benches</t>
  </si>
  <si>
    <t>2:18.73</t>
  </si>
  <si>
    <t xml:space="preserve">  [2] between benches</t>
  </si>
  <si>
    <t>20.82</t>
  </si>
  <si>
    <t>21.29</t>
  </si>
  <si>
    <t>Gelato to Pianta</t>
  </si>
  <si>
    <t>[1,1] front side, triple jump</t>
  </si>
  <si>
    <t>14.18</t>
  </si>
  <si>
    <t>[1,2] front side, spin+Y</t>
  </si>
  <si>
    <t>12.71</t>
  </si>
  <si>
    <t>7076</t>
  </si>
  <si>
    <t>19.185</t>
  </si>
  <si>
    <t>1:18.79</t>
  </si>
  <si>
    <t>13.76</t>
  </si>
  <si>
    <t>2:15.66</t>
  </si>
  <si>
    <t>[1,3] front side, dive-rollout, spin+Y</t>
  </si>
  <si>
    <t>12.18</t>
  </si>
  <si>
    <t>1:10.95</t>
  </si>
  <si>
    <t xml:space="preserve">  [2,1] back side, roof ms, spin+Y</t>
  </si>
  <si>
    <t>2:53.12</t>
  </si>
  <si>
    <t xml:space="preserve">  [2,2] back side, buttslide, spin+Y</t>
  </si>
  <si>
    <t>44.23</t>
  </si>
  <si>
    <t>30.24</t>
  </si>
  <si>
    <t>1:36.45</t>
  </si>
  <si>
    <t xml:space="preserve">    [3,1] fech strat, ledgegrab</t>
  </si>
  <si>
    <t>10.44</t>
  </si>
  <si>
    <t>10.88</t>
  </si>
  <si>
    <t>10.84</t>
  </si>
  <si>
    <t xml:space="preserve">    [3,2] fech strat, no ledgegrab</t>
  </si>
  <si>
    <t>10.08</t>
  </si>
  <si>
    <t>10.21</t>
  </si>
  <si>
    <t>26.08</t>
  </si>
  <si>
    <t>10.71</t>
  </si>
  <si>
    <t>10.41</t>
  </si>
  <si>
    <t>40.89</t>
  </si>
  <si>
    <t>10.87</t>
  </si>
  <si>
    <t>Pianta Reentry</t>
  </si>
  <si>
    <t>[1] jump backhover</t>
  </si>
  <si>
    <t>6.27</t>
  </si>
  <si>
    <t>25.98</t>
  </si>
  <si>
    <t>1:24.82</t>
  </si>
  <si>
    <t>10.53</t>
  </si>
  <si>
    <t xml:space="preserve">  [2] double-jump</t>
  </si>
  <si>
    <t>6.23</t>
  </si>
  <si>
    <t xml:space="preserve">    [3] TAS reentry</t>
  </si>
  <si>
    <t>2:17.82</t>
  </si>
  <si>
    <t>5.84</t>
  </si>
  <si>
    <t>2:21.59</t>
  </si>
  <si>
    <t>54.02</t>
  </si>
  <si>
    <t>1:33.70</t>
  </si>
  <si>
    <t>Honey Skip</t>
  </si>
  <si>
    <t>[1] hover-ground pound setup</t>
  </si>
  <si>
    <t>20.35</t>
  </si>
  <si>
    <t>15.47</t>
  </si>
  <si>
    <t>22.88</t>
  </si>
  <si>
    <t>21.56</t>
  </si>
  <si>
    <t>12.98</t>
  </si>
  <si>
    <t>25.12</t>
  </si>
  <si>
    <t>Movie Skip</t>
  </si>
  <si>
    <t>[1] ledgegrab setup</t>
  </si>
  <si>
    <t>15.982</t>
  </si>
  <si>
    <t>Pinna Reentry</t>
  </si>
  <si>
    <t>[1] run in</t>
  </si>
  <si>
    <t>32.53</t>
  </si>
  <si>
    <t xml:space="preserve">  [2] jump backhover</t>
  </si>
  <si>
    <t>6.17</t>
  </si>
  <si>
    <t>6.66</t>
  </si>
  <si>
    <t>6968</t>
  </si>
  <si>
    <t>5.61</t>
  </si>
  <si>
    <t>50.95</t>
  </si>
  <si>
    <t>1:18.47</t>
  </si>
  <si>
    <t>Pinna to Ricco</t>
  </si>
  <si>
    <t>[1] any, no bayblade</t>
  </si>
  <si>
    <t>9.41</t>
  </si>
  <si>
    <t>36.73</t>
  </si>
  <si>
    <t>42.51</t>
  </si>
  <si>
    <t>1:08.50</t>
  </si>
  <si>
    <t xml:space="preserve">  [2, 1] beyblade, swimming</t>
  </si>
  <si>
    <t>7.97</t>
  </si>
  <si>
    <t>38.26</t>
  </si>
  <si>
    <t>8.78</t>
  </si>
  <si>
    <t>8.37</t>
  </si>
  <si>
    <t>8.33</t>
  </si>
  <si>
    <t>14.27</t>
  </si>
  <si>
    <t>54.81</t>
  </si>
  <si>
    <t xml:space="preserve">  [2, 2] beyblade, no swimming</t>
  </si>
  <si>
    <t>8.04</t>
  </si>
  <si>
    <t>8.11</t>
  </si>
  <si>
    <t>Ricco to Pinna</t>
  </si>
  <si>
    <t>25.70</t>
  </si>
  <si>
    <t>Bianco to Sirena (Yoshi SM)</t>
  </si>
  <si>
    <t>[1] no banana throw</t>
  </si>
  <si>
    <t>20.12</t>
  </si>
  <si>
    <t>25.425</t>
  </si>
  <si>
    <t>20.58</t>
  </si>
  <si>
    <t>1:14.70</t>
  </si>
  <si>
    <t xml:space="preserve">  [2] banana throw</t>
  </si>
  <si>
    <t>21.45</t>
  </si>
  <si>
    <t>2:01.95</t>
  </si>
  <si>
    <t>2:34.54</t>
  </si>
  <si>
    <t>Sirena Reentry</t>
  </si>
  <si>
    <t>6.03</t>
  </si>
  <si>
    <t>18:47.47</t>
  </si>
  <si>
    <t>27:37.07</t>
  </si>
  <si>
    <t>32.09</t>
  </si>
  <si>
    <t>36:44.60</t>
  </si>
  <si>
    <t>1:27.48</t>
  </si>
  <si>
    <t>45:41.57</t>
  </si>
  <si>
    <t>12.31</t>
  </si>
  <si>
    <t>51.43</t>
  </si>
  <si>
    <t>48:20.80</t>
  </si>
  <si>
    <t xml:space="preserve">  [2] hover double-jump</t>
  </si>
  <si>
    <t>6.07</t>
  </si>
  <si>
    <t>1:00:20.55</t>
  </si>
  <si>
    <t>15.51</t>
  </si>
  <si>
    <t>1:10:02.33</t>
  </si>
  <si>
    <t>19:15.0</t>
  </si>
  <si>
    <t>28:49.8</t>
  </si>
  <si>
    <t>38:44.3</t>
  </si>
  <si>
    <t>48:01.5</t>
  </si>
  <si>
    <t>13.18</t>
  </si>
  <si>
    <t>50:46.7</t>
  </si>
  <si>
    <t>1:03:21.7</t>
  </si>
  <si>
    <t>1:13:43.9</t>
  </si>
  <si>
    <t>29.15</t>
  </si>
  <si>
    <t>19:16.00</t>
  </si>
  <si>
    <t>29:00.00</t>
  </si>
  <si>
    <t>39:02.00</t>
  </si>
  <si>
    <t>48:38.00</t>
  </si>
  <si>
    <t>51:22.00</t>
  </si>
  <si>
    <t>1:03:26.00</t>
  </si>
  <si>
    <t>1:13:41.00</t>
  </si>
  <si>
    <t>26.92</t>
  </si>
  <si>
    <t>1:00:09.29</t>
  </si>
  <si>
    <t>2:17.26</t>
  </si>
  <si>
    <t>1:09.48.46</t>
  </si>
  <si>
    <t>17.71</t>
  </si>
  <si>
    <t>Sirena to Noki</t>
  </si>
  <si>
    <t>3.80</t>
  </si>
  <si>
    <t>42.75</t>
  </si>
  <si>
    <t>1:12:15</t>
  </si>
  <si>
    <t>hot</t>
  </si>
  <si>
    <t>3.97</t>
  </si>
  <si>
    <t>1:14.57</t>
  </si>
  <si>
    <t>18:53.76</t>
  </si>
  <si>
    <t>27:45.93</t>
  </si>
  <si>
    <t>37:03.25</t>
  </si>
  <si>
    <t>45:58.22</t>
  </si>
  <si>
    <t>48:35.37</t>
  </si>
  <si>
    <t>1:00:36.83</t>
  </si>
  <si>
    <t>1:10:13.91</t>
  </si>
  <si>
    <t>Corona Entry (Flooded Plaza)</t>
  </si>
  <si>
    <t>[1] single umbrella</t>
  </si>
  <si>
    <t>18:51.71</t>
  </si>
  <si>
    <t>6948</t>
  </si>
  <si>
    <t>71</t>
  </si>
  <si>
    <t>1:22.75</t>
  </si>
  <si>
    <t>27:43.15</t>
  </si>
  <si>
    <t>1:12.60</t>
  </si>
  <si>
    <t>39.49</t>
  </si>
  <si>
    <t>36.78</t>
  </si>
  <si>
    <t>36.35</t>
  </si>
  <si>
    <t>37:03.79</t>
  </si>
  <si>
    <t xml:space="preserve">  [2] roof</t>
  </si>
  <si>
    <t>46:06.57</t>
  </si>
  <si>
    <t>48:44.77</t>
  </si>
  <si>
    <t>1:01:01.21</t>
  </si>
  <si>
    <t>1:10:20.80</t>
  </si>
  <si>
    <t>17.32</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</si>
  <si>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</si>
  <si>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</si>
  <si>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</si>
  <si>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</si>
  <si>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</si>
  <si>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</si>
  <si>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</si>
  <si>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</si>
  <si>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</si>
  <si>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</si>
  <si>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</si>
  <si>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</si>
  <si>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</si>
  <si>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</si>
  <si>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</si>
  <si>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</si>
  <si>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</si>
  <si>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</si>
  <si>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</si>
  <si>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30.13</t>
  </si>
  <si>
    <t>56.81</t>
  </si>
  <si>
    <t>46:32.95</t>
  </si>
  <si>
    <t>49:12.78</t>
  </si>
  <si>
    <t>1:01:14.96</t>
  </si>
  <si>
    <t>1:33.58</t>
  </si>
  <si>
    <t>1:11:18.48</t>
  </si>
  <si>
    <t xml:space="preserve">    [3] double umbrella</t>
  </si>
  <si>
    <t>45.92</t>
  </si>
  <si>
    <t>19:04.27</t>
  </si>
  <si>
    <t>28:15.23</t>
  </si>
  <si>
    <t>37:49.23</t>
  </si>
  <si>
    <t>46:54.22</t>
  </si>
  <si>
    <t>49:34.40</t>
  </si>
  <si>
    <t>1:01:41.29</t>
  </si>
  <si>
    <t>1:11:19.94</t>
  </si>
  <si>
    <t>1:00.14</t>
  </si>
  <si>
    <t>i'm also going to get 1:13</t>
  </si>
  <si>
    <t>19:00.83</t>
  </si>
  <si>
    <t>28:04.92</t>
  </si>
  <si>
    <t>37:43.70</t>
  </si>
  <si>
    <t>46:43.94</t>
  </si>
  <si>
    <t>49:24.81</t>
  </si>
  <si>
    <t>1:01:43.03</t>
  </si>
  <si>
    <t>1:11:25.24</t>
  </si>
  <si>
    <t>2:08.95</t>
  </si>
  <si>
    <t>1:13:57</t>
  </si>
  <si>
    <t>1:12:57 next</t>
  </si>
  <si>
    <t>18:56.93</t>
  </si>
  <si>
    <t>27:58.90</t>
  </si>
  <si>
    <t>37:38.14</t>
  </si>
  <si>
    <t>46:40.19</t>
  </si>
  <si>
    <t>49:19.85</t>
  </si>
  <si>
    <t>1:01:47.73</t>
  </si>
  <si>
    <t>1:11:33.10</t>
  </si>
  <si>
    <t>16:12.36</t>
  </si>
  <si>
    <t>18:56.36</t>
  </si>
  <si>
    <t>28:02.78</t>
  </si>
  <si>
    <t>37:44.03</t>
  </si>
  <si>
    <t>39.84</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</si>
  <si>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</si>
  <si>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</si>
  <si>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</si>
  <si>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</si>
  <si>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</si>
  <si>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</si>
  <si>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</si>
  <si>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</si>
  <si>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</si>
  <si>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</si>
  <si>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</si>
  <si>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</si>
  <si>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</si>
  <si>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</si>
  <si>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</si>
  <si>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</si>
  <si>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</si>
  <si>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</si>
  <si>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</si>
  <si>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</si>
  <si>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</si>
  <si>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</si>
  <si>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</si>
  <si>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</si>
  <si>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</si>
  <si>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</si>
  <si>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</si>
  <si>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</si>
  <si>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</si>
  <si>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1:46.14</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</si>
  <si>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</si>
  <si>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</si>
  <si>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</si>
  <si>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</si>
  <si>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</si>
  <si>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</si>
  <si>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</si>
  <si>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</si>
  <si>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</si>
  <si>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</si>
  <si>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</si>
  <si>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</si>
  <si>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</si>
  <si>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</si>
  <si>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</si>
  <si>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</si>
  <si>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</si>
  <si>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</si>
  <si>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</si>
  <si>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</si>
  <si>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</si>
  <si>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</si>
  <si>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</si>
  <si>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</si>
  <si>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</si>
  <si>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</si>
  <si>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</si>
  <si>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</si>
  <si>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</si>
  <si>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</si>
  <si>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</si>
  <si>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</si>
  <si>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</si>
  <si>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</si>
  <si>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</si>
  <si>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</si>
  <si>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</si>
  <si>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</si>
  <si>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</si>
  <si>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</si>
  <si>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</si>
  <si>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</si>
  <si>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</si>
  <si>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</si>
  <si>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</si>
  <si>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</si>
  <si>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</si>
  <si>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</si>
  <si>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</si>
  <si>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</si>
  <si>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</si>
  <si>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</si>
  <si>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</si>
  <si>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</si>
  <si>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</si>
  <si>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</si>
  <si>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</si>
  <si>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</si>
  <si>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</si>
  <si>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</si>
  <si>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</si>
  <si>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</si>
  <si>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</si>
  <si>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</si>
  <si>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</si>
  <si>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</si>
  <si>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</si>
  <si>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</si>
  <si>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</si>
  <si>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</si>
  <si>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</si>
  <si>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</si>
  <si>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</si>
  <si>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</si>
  <si>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</si>
  <si>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</si>
  <si>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</si>
  <si>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29.41</t>
  </si>
  <si>
    <t>1:04:19.55</t>
  </si>
  <si>
    <t>1:14:37.33</t>
  </si>
  <si>
    <t>game</t>
  </si>
  <si>
    <t>19:22.74</t>
  </si>
  <si>
    <t>29:04.54</t>
  </si>
  <si>
    <t>39:32.41</t>
  </si>
  <si>
    <t>49:09.65</t>
  </si>
  <si>
    <t>51:54.75</t>
  </si>
  <si>
    <t>1:04:15.18</t>
  </si>
  <si>
    <t>1:15:01.59</t>
  </si>
  <si>
    <t>39.85</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</si>
  <si>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</si>
  <si>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</si>
  <si>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</si>
  <si>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</si>
  <si>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</si>
  <si>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</si>
  <si>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</si>
  <si>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</si>
  <si>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</si>
  <si>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</si>
  <si>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</si>
  <si>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</si>
  <si>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</si>
  <si>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</si>
  <si>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</si>
  <si>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</si>
  <si>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</si>
  <si>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</si>
  <si>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</si>
  <si>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</si>
  <si>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</si>
  <si>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</si>
  <si>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</si>
  <si>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28.77</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</si>
  <si>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</si>
  <si>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</si>
  <si>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</si>
  <si>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</si>
  <si>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</si>
  <si>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</si>
  <si>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</si>
  <si>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</si>
  <si>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</si>
  <si>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</si>
  <si>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</si>
  <si>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</si>
  <si>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</si>
  <si>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</si>
  <si>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</si>
  <si>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</si>
  <si>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</si>
  <si>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1:41.66</t>
  </si>
  <si>
    <t>1st</t>
  </si>
  <si>
    <t>23:08</t>
  </si>
  <si>
    <t>Wii (JP)</t>
  </si>
  <si>
    <t>All Delfino Shines</t>
  </si>
  <si>
    <t>2nd</t>
  </si>
  <si>
    <t>23:16</t>
  </si>
  <si>
    <t>Top of All the Trees</t>
  </si>
  <si>
    <t>3rd</t>
  </si>
  <si>
    <t>25:38</t>
  </si>
  <si>
    <t>Fast Misc.</t>
  </si>
  <si>
    <t>4th</t>
  </si>
  <si>
    <t>29:00</t>
  </si>
  <si>
    <t>22.40</t>
  </si>
  <si>
    <t>Wii (US)</t>
  </si>
  <si>
    <t>Sprayless</t>
  </si>
  <si>
    <t>5th</t>
  </si>
  <si>
    <t>Jumpless</t>
  </si>
  <si>
    <t>2:14.66</t>
  </si>
  <si>
    <t>Damageless</t>
  </si>
  <si>
    <t>2:28.54</t>
  </si>
  <si>
    <t>Max%</t>
  </si>
  <si>
    <t>24:54</t>
  </si>
  <si>
    <t>4:23.77</t>
  </si>
  <si>
    <t>Any% (No X Button)</t>
  </si>
  <si>
    <t>26:38</t>
  </si>
  <si>
    <t>1:08.92</t>
  </si>
  <si>
    <t>Flooded Plaza</t>
  </si>
  <si>
    <t>tgguitarguy</t>
  </si>
  <si>
    <t>53:41</t>
  </si>
  <si>
    <t>All Cutscenes</t>
  </si>
  <si>
    <t>Cmdr</t>
  </si>
  <si>
    <t>5:15:59</t>
  </si>
  <si>
    <t>Aliven't World Tour</t>
  </si>
  <si>
    <t>Mirror Mode</t>
  </si>
  <si>
    <t>Max% Scoreboard</t>
  </si>
  <si>
    <t>55.68</t>
  </si>
  <si>
    <t>28.67</t>
  </si>
  <si>
    <t>Sblectric</t>
  </si>
  <si>
    <t>36:31</t>
  </si>
  <si>
    <t>47:04</t>
  </si>
  <si>
    <t>34.47</t>
  </si>
  <si>
    <t>1:34.30</t>
  </si>
  <si>
    <t>RubberDuckyAssassin</t>
  </si>
  <si>
    <t>48:29</t>
  </si>
  <si>
    <t>54.46</t>
  </si>
  <si>
    <t>GCN (US)</t>
  </si>
  <si>
    <t>2:18:54</t>
  </si>
  <si>
    <t>79 Shines</t>
  </si>
  <si>
    <t>1:42:04</t>
  </si>
  <si>
    <t>46.96</t>
  </si>
  <si>
    <t>1:47:39</t>
  </si>
  <si>
    <t>120 Shines</t>
  </si>
  <si>
    <t>2:46:42</t>
  </si>
  <si>
    <t>13.61</t>
  </si>
  <si>
    <t>Zale</t>
  </si>
  <si>
    <t>3:26:11</t>
  </si>
  <si>
    <t>51.07</t>
  </si>
  <si>
    <t>1:37:28</t>
  </si>
  <si>
    <t>2:15.39</t>
  </si>
  <si>
    <t>18.66</t>
  </si>
  <si>
    <t>1:44:33</t>
  </si>
  <si>
    <t>2:06:03</t>
  </si>
  <si>
    <t>1:28.14</t>
  </si>
  <si>
    <t>NokiDoki</t>
  </si>
  <si>
    <t>1:51:54</t>
  </si>
  <si>
    <t>Wii (PAL)</t>
  </si>
  <si>
    <t>1:56:07</t>
  </si>
  <si>
    <t>Any%</t>
  </si>
  <si>
    <t>1:17:40</t>
  </si>
  <si>
    <t>33.66</t>
  </si>
  <si>
    <t>pogonateur</t>
  </si>
  <si>
    <t>3:09:11</t>
  </si>
  <si>
    <t>bounceyboy</t>
  </si>
  <si>
    <t>3:49:13</t>
  </si>
  <si>
    <t>25.54</t>
  </si>
  <si>
    <t>7.02</t>
  </si>
  <si>
    <t>stranded</t>
  </si>
  <si>
    <t>6789</t>
  </si>
  <si>
    <t>Pre-Peach</t>
  </si>
  <si>
    <t>59</t>
  </si>
  <si>
    <t>55:34</t>
  </si>
  <si>
    <t>1:19.07</t>
  </si>
  <si>
    <t>1:06:04</t>
  </si>
  <si>
    <t>Old Pacifist</t>
  </si>
  <si>
    <t>1:59:21</t>
  </si>
  <si>
    <t>Shadowmario27</t>
  </si>
  <si>
    <t>2:18:57</t>
  </si>
  <si>
    <t>1:29:16</t>
  </si>
  <si>
    <t>1:10.28</t>
  </si>
  <si>
    <t>1:35:36</t>
  </si>
  <si>
    <t>2:19:55</t>
  </si>
  <si>
    <t>All Shines All Blues</t>
  </si>
  <si>
    <t>28:25</t>
  </si>
  <si>
    <t>All Shines</t>
  </si>
  <si>
    <t>50.53</t>
  </si>
  <si>
    <t>25:22</t>
  </si>
  <si>
    <t>Grégoire</t>
  </si>
  <si>
    <t>34:17</t>
  </si>
  <si>
    <t>2:21:34</t>
  </si>
  <si>
    <t>44.01</t>
  </si>
  <si>
    <t>pikkoxd</t>
  </si>
  <si>
    <t>25:55</t>
  </si>
  <si>
    <t>pleeko_</t>
  </si>
  <si>
    <t>28:00</t>
  </si>
  <si>
    <t>55.41</t>
  </si>
  <si>
    <t>29:22</t>
  </si>
  <si>
    <t>1:38.59</t>
  </si>
  <si>
    <t>29:45</t>
  </si>
  <si>
    <t>30:56</t>
  </si>
  <si>
    <t xml:space="preserve">GCT </t>
  </si>
  <si>
    <t>Gecko Code</t>
  </si>
  <si>
    <t>GoogleCheese</t>
  </si>
  <si>
    <t>Emu (US)</t>
  </si>
  <si>
    <t>10:06:11</t>
  </si>
  <si>
    <t>11:21:48</t>
  </si>
  <si>
    <t>49.69</t>
  </si>
  <si>
    <t>True 120 Shines</t>
  </si>
  <si>
    <t>32.28</t>
  </si>
  <si>
    <t>1:23.44</t>
  </si>
  <si>
    <t>1:36.38</t>
  </si>
  <si>
    <t>22.82</t>
  </si>
  <si>
    <t>20.87</t>
  </si>
  <si>
    <t>2:10.76</t>
  </si>
  <si>
    <t>2:24.20</t>
  </si>
  <si>
    <t>2:24.10</t>
  </si>
  <si>
    <t>31.56</t>
  </si>
  <si>
    <t>1:33.39</t>
  </si>
  <si>
    <t>29.84</t>
  </si>
  <si>
    <t>12.58</t>
  </si>
  <si>
    <t>26.66</t>
  </si>
  <si>
    <t>2:17.06</t>
  </si>
  <si>
    <t>17.76</t>
  </si>
  <si>
    <t>31.01</t>
  </si>
  <si>
    <t>6734</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</si>
  <si>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</si>
  <si>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</si>
  <si>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</si>
  <si>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</si>
  <si>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</si>
  <si>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</si>
  <si>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</si>
  <si>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</si>
  <si>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</si>
  <si>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</si>
  <si>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</si>
  <si>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</si>
  <si>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</si>
  <si>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</si>
  <si>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</si>
  <si>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</si>
  <si>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</si>
  <si>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</si>
  <si>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</si>
  <si>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</si>
  <si>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</si>
  <si>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</si>
  <si>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</si>
  <si>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</si>
  <si>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</si>
  <si>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</si>
  <si>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</si>
  <si>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</si>
  <si>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</si>
  <si>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</si>
  <si>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</si>
  <si>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</si>
  <si>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</si>
  <si>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</si>
  <si>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</si>
  <si>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</si>
  <si>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</si>
  <si>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</si>
  <si>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</si>
  <si>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</si>
  <si>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</si>
  <si>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</si>
  <si>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</si>
  <si>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</si>
  <si>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</si>
  <si>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</si>
  <si>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</si>
  <si>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</si>
  <si>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</si>
  <si>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</si>
  <si>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</si>
  <si>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</si>
  <si>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</si>
  <si>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</si>
  <si>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</si>
  <si>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</si>
  <si>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</si>
  <si>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</si>
  <si>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6484</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</si>
  <si>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</si>
  <si>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</si>
  <si>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</si>
  <si>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</si>
  <si>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</si>
  <si>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</si>
  <si>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</si>
  <si>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</si>
  <si>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</si>
  <si>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</si>
  <si>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</si>
  <si>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</si>
  <si>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</si>
  <si>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</si>
  <si>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</si>
  <si>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</si>
  <si>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</si>
  <si>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</si>
  <si>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</si>
  <si>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</si>
  <si>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</si>
  <si>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</si>
  <si>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</si>
  <si>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</si>
  <si>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</si>
  <si>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</si>
  <si>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</si>
  <si>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</si>
  <si>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</si>
  <si>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</si>
  <si>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</si>
  <si>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</si>
  <si>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</si>
  <si>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</si>
  <si>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6464</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</si>
  <si>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</si>
  <si>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</si>
  <si>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</si>
  <si>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</si>
  <si>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</si>
  <si>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</si>
  <si>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</si>
  <si>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</si>
  <si>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</si>
  <si>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</si>
  <si>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</si>
  <si>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</si>
  <si>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</si>
  <si>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</si>
  <si>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</si>
  <si>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</si>
  <si>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</si>
  <si>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</si>
  <si>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</si>
  <si>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</si>
  <si>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</si>
  <si>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</si>
  <si>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</si>
  <si>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</si>
  <si>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</si>
  <si>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</si>
  <si>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</si>
  <si>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</si>
  <si>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</si>
  <si>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</si>
  <si>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</si>
  <si>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</si>
  <si>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</si>
  <si>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</si>
  <si>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</si>
  <si>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</si>
  <si>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</si>
  <si>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</si>
  <si>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</si>
  <si>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</si>
  <si>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</si>
  <si>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</si>
  <si>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</si>
  <si>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</si>
  <si>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</si>
  <si>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</si>
  <si>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</si>
  <si>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</si>
  <si>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</si>
  <si>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</si>
  <si>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</si>
  <si>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6371</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</si>
  <si>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</si>
  <si>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</si>
  <si>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</si>
  <si>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</si>
  <si>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</si>
  <si>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</si>
  <si>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</si>
  <si>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</si>
  <si>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</si>
  <si>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</si>
  <si>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</si>
  <si>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</si>
  <si>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</si>
  <si>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</si>
  <si>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</si>
  <si>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</si>
  <si>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</si>
  <si>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</si>
  <si>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</si>
  <si>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</si>
  <si>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</si>
  <si>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</si>
  <si>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</si>
  <si>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</si>
  <si>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</si>
  <si>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</si>
  <si>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</si>
  <si>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</si>
  <si>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</si>
  <si>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</si>
  <si>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</si>
  <si>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</si>
  <si>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</si>
  <si>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</si>
  <si>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</si>
  <si>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</si>
  <si>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</si>
  <si>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</si>
  <si>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</si>
  <si>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</si>
  <si>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</si>
  <si>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</si>
  <si>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</si>
  <si>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</si>
  <si>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</si>
  <si>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</si>
  <si>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</si>
  <si>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</si>
  <si>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</si>
  <si>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</si>
  <si>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</si>
  <si>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</si>
  <si>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</si>
  <si>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</si>
  <si>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</si>
  <si>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</si>
  <si>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</si>
  <si>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</si>
  <si>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</si>
  <si>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</si>
  <si>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</si>
  <si>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</si>
  <si>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</si>
  <si>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</si>
  <si>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</si>
  <si>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</si>
  <si>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</si>
  <si>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</si>
  <si>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</si>
  <si>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</si>
  <si>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</si>
  <si>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</si>
  <si>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</si>
  <si>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</si>
  <si>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</si>
  <si>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</si>
  <si>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</si>
  <si>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</si>
  <si>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</si>
  <si>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</si>
  <si>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</si>
  <si>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</si>
  <si>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</si>
  <si>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</si>
  <si>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</si>
  <si>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</si>
  <si>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</si>
  <si>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</si>
  <si>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</si>
  <si>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</si>
  <si>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</si>
  <si>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</si>
  <si>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</si>
  <si>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</si>
  <si>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</si>
  <si>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</si>
  <si>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</si>
  <si>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</si>
  <si>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</si>
  <si>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</si>
  <si>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</si>
  <si>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</si>
  <si>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</si>
  <si>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</si>
  <si>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</si>
  <si>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</si>
  <si>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</si>
  <si>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</si>
  <si>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</si>
  <si>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</si>
  <si>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</si>
  <si>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</si>
  <si>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</si>
  <si>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</si>
  <si>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</si>
  <si>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</si>
  <si>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</si>
  <si>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</si>
  <si>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</si>
  <si>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</si>
  <si>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</si>
  <si>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</si>
  <si>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</si>
  <si>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</si>
  <si>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</si>
  <si>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</si>
  <si>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</si>
  <si>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</si>
  <si>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</si>
  <si>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</si>
  <si>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</si>
  <si>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</si>
  <si>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</si>
  <si>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</si>
  <si>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</si>
  <si>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</si>
  <si>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</si>
  <si>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</si>
  <si>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</si>
  <si>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</si>
  <si>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</si>
  <si>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</si>
  <si>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</si>
  <si>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</si>
  <si>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</si>
  <si>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</si>
  <si>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</si>
  <si>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</si>
  <si>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</si>
  <si>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</si>
  <si>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</si>
  <si>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</si>
  <si>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</si>
  <si>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</si>
  <si>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</si>
  <si>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</si>
  <si>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</si>
  <si>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</si>
  <si>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</si>
  <si>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</si>
  <si>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</si>
  <si>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</si>
  <si>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</si>
  <si>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</si>
  <si>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</si>
  <si>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</si>
  <si>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</si>
  <si>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</si>
  <si>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</si>
  <si>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</si>
  <si>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</si>
  <si>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</si>
  <si>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</si>
  <si>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</si>
  <si>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</si>
  <si>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</si>
  <si>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</si>
  <si>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</si>
  <si>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</si>
  <si>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</si>
  <si>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</si>
  <si>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</si>
  <si>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</si>
  <si>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</si>
  <si>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</si>
  <si>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</si>
  <si>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</si>
  <si>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5898</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</si>
  <si>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</si>
  <si>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</si>
  <si>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</si>
  <si>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</si>
  <si>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</si>
  <si>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</si>
  <si>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</si>
  <si>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</si>
  <si>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</si>
  <si>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</si>
  <si>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</si>
  <si>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</si>
  <si>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</si>
  <si>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</si>
  <si>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</si>
  <si>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</si>
  <si>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</si>
  <si>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</si>
  <si>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</si>
  <si>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</si>
  <si>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</si>
  <si>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</si>
  <si>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</si>
  <si>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</si>
  <si>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</si>
  <si>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</si>
  <si>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</si>
  <si>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</si>
  <si>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</si>
  <si>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5815</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</si>
  <si>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</si>
  <si>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</si>
  <si>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</si>
  <si>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</si>
  <si>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</si>
  <si>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</si>
  <si>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</si>
  <si>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</si>
  <si>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</si>
  <si>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</si>
  <si>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</si>
  <si>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</si>
  <si>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</si>
  <si>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</si>
  <si>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</si>
  <si>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</si>
  <si>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</si>
  <si>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</si>
  <si>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</si>
  <si>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</si>
  <si>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</si>
  <si>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</si>
  <si>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</si>
  <si>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</si>
  <si>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</si>
  <si>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</si>
  <si>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</si>
  <si>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</si>
  <si>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</si>
  <si>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</si>
  <si>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</si>
  <si>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</si>
  <si>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</si>
  <si>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</si>
  <si>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</si>
  <si>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</si>
  <si>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</si>
  <si>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</si>
  <si>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</si>
  <si>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</si>
  <si>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</si>
  <si>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</si>
  <si>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</si>
  <si>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</si>
  <si>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</si>
  <si>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</si>
  <si>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</si>
  <si>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</si>
  <si>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</si>
  <si>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</si>
  <si>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</si>
  <si>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</si>
  <si>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</si>
  <si>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</si>
  <si>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</si>
  <si>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</si>
  <si>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</si>
  <si>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</si>
  <si>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</si>
  <si>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</si>
  <si>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</si>
  <si>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</si>
  <si>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</si>
  <si>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</si>
  <si>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</si>
  <si>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</si>
  <si>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</si>
  <si>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</si>
  <si>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</si>
  <si>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</si>
  <si>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</si>
  <si>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</si>
  <si>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</si>
  <si>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</si>
  <si>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</si>
  <si>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5601</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</si>
  <si>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</si>
  <si>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</si>
  <si>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</si>
  <si>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</si>
  <si>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</si>
  <si>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</si>
  <si>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</si>
  <si>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</si>
  <si>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</si>
  <si>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</si>
  <si>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</si>
  <si>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</si>
  <si>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</si>
  <si>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</si>
  <si>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</si>
  <si>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</si>
  <si>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</si>
  <si>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</si>
  <si>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</si>
  <si>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</si>
  <si>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</si>
  <si>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</si>
  <si>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</si>
  <si>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</si>
  <si>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</si>
  <si>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</si>
  <si>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</si>
  <si>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</si>
  <si>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</si>
  <si>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</si>
  <si>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</si>
  <si>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</si>
  <si>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</si>
  <si>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</si>
  <si>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</si>
  <si>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</si>
  <si>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</si>
  <si>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</si>
  <si>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</si>
  <si>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</si>
  <si>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</si>
  <si>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</si>
  <si>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</si>
  <si>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</si>
  <si>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</si>
  <si>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</si>
  <si>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</si>
  <si>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</si>
  <si>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</si>
  <si>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</si>
  <si>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</si>
  <si>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</si>
  <si>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</si>
  <si>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</si>
  <si>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</si>
  <si>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</si>
  <si>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</si>
  <si>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</si>
  <si>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</si>
  <si>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</si>
  <si>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</si>
  <si>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</si>
  <si>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</si>
  <si>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</si>
  <si>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</si>
  <si>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</si>
  <si>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</si>
  <si>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</si>
  <si>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</si>
  <si>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</si>
  <si>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</si>
  <si>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</si>
  <si>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</si>
  <si>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</si>
  <si>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</si>
  <si>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</si>
  <si>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</si>
  <si>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</si>
  <si>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</si>
  <si>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</si>
  <si>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</si>
  <si>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</si>
  <si>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</si>
  <si>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</si>
  <si>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</si>
  <si>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</si>
  <si>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</si>
  <si>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</si>
  <si>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</si>
  <si>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</si>
  <si>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</si>
  <si>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5527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</si>
  <si>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</si>
  <si>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</si>
  <si>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</si>
  <si>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</si>
  <si>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</si>
  <si>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</si>
  <si>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</si>
  <si>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</si>
  <si>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</si>
  <si>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</si>
  <si>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</si>
  <si>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</si>
  <si>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</si>
  <si>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</si>
  <si>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</si>
  <si>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</si>
  <si>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</si>
  <si>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</si>
  <si>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</si>
  <si>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</si>
  <si>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</si>
  <si>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</si>
  <si>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</si>
  <si>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</si>
  <si>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</si>
  <si>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</si>
  <si>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</si>
  <si>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</si>
  <si>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</si>
  <si>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</si>
  <si>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</si>
  <si>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</si>
  <si>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</si>
  <si>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</si>
  <si>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</si>
  <si>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</si>
  <si>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</si>
  <si>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</si>
  <si>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</si>
  <si>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</si>
  <si>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</si>
  <si>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</si>
  <si>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</si>
  <si>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</si>
  <si>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</si>
  <si>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</si>
  <si>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</si>
  <si>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</si>
  <si>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</si>
  <si>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</si>
  <si>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</si>
  <si>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</si>
  <si>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</si>
  <si>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</si>
  <si>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</si>
  <si>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</si>
  <si>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</si>
  <si>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</si>
  <si>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</si>
  <si>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</si>
  <si>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</si>
  <si>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</si>
  <si>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</si>
  <si>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</si>
  <si>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</si>
  <si>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</si>
  <si>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</si>
  <si>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</si>
  <si>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</si>
  <si>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</si>
  <si>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</si>
  <si>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</si>
  <si>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</si>
  <si>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</si>
  <si>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</si>
  <si>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</si>
  <si>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</si>
  <si>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</si>
  <si>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</si>
  <si>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</si>
  <si>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</si>
  <si>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</si>
  <si>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</si>
  <si>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</si>
  <si>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</si>
  <si>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</si>
  <si>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</si>
  <si>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</si>
  <si>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</si>
  <si>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</si>
  <si>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</si>
  <si>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</si>
  <si>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</si>
  <si>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</si>
  <si>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</si>
  <si>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</si>
  <si>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</si>
  <si>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</si>
  <si>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</si>
  <si>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</si>
  <si>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</si>
  <si>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</si>
  <si>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</si>
  <si>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</si>
  <si>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</si>
  <si>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</si>
  <si>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</si>
  <si>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</si>
  <si>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</si>
  <si>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</si>
  <si>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</si>
  <si>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</si>
  <si>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</si>
  <si>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</si>
  <si>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</si>
  <si>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</si>
  <si>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</si>
  <si>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</si>
  <si>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</si>
  <si>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</si>
  <si>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</si>
  <si>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</si>
  <si>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</si>
  <si>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</si>
  <si>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</si>
  <si>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</si>
  <si>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</si>
  <si>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</si>
  <si>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</si>
  <si>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</si>
  <si>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</si>
  <si>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</si>
  <si>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</si>
  <si>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</si>
  <si>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</si>
  <si>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</si>
  <si>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</si>
  <si>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</si>
  <si>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</si>
  <si>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</si>
  <si>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</si>
  <si>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</si>
  <si>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</si>
  <si>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</si>
  <si>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</si>
  <si>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</si>
  <si>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</si>
  <si>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</si>
  <si>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</si>
  <si>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</si>
  <si>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</si>
  <si>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</si>
  <si>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</si>
  <si>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</si>
  <si>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</si>
  <si>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</si>
  <si>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</si>
  <si>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</si>
  <si>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</si>
  <si>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</si>
  <si>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</si>
  <si>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</si>
  <si>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</si>
  <si>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</si>
  <si>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</si>
  <si>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</si>
  <si>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</si>
  <si>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</si>
  <si>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</si>
  <si>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</si>
  <si>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</si>
  <si>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</si>
  <si>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</si>
  <si>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</si>
  <si>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</si>
  <si>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</si>
  <si>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</si>
  <si>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</si>
  <si>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</si>
  <si>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</si>
  <si>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</si>
  <si>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</si>
  <si>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</si>
  <si>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</si>
  <si>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</si>
  <si>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</si>
  <si>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</si>
  <si>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</si>
  <si>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</si>
  <si>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</si>
  <si>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</si>
  <si>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</si>
  <si>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</si>
  <si>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</si>
  <si>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</si>
  <si>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</si>
  <si>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</si>
  <si>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</si>
  <si>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</si>
  <si>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</si>
  <si>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</si>
  <si>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</si>
  <si>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</si>
  <si>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</si>
  <si>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</si>
  <si>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</si>
  <si>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</si>
  <si>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</si>
  <si>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</si>
  <si>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</si>
  <si>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</si>
  <si>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</si>
  <si>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</si>
  <si>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</si>
  <si>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</si>
  <si>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</si>
  <si>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</si>
  <si>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</si>
  <si>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</si>
  <si>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</si>
  <si>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</si>
  <si>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</si>
  <si>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</si>
  <si>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</si>
  <si>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</si>
  <si>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</si>
  <si>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</si>
  <si>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</si>
  <si>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</si>
  <si>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</si>
  <si>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</si>
  <si>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</si>
  <si>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</si>
  <si>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</si>
  <si>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</si>
  <si>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</si>
  <si>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</si>
  <si>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</si>
  <si>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</si>
  <si>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</si>
  <si>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</si>
  <si>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</si>
  <si>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</si>
  <si>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</si>
  <si>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</si>
  <si>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</si>
  <si>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</si>
  <si>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</si>
  <si>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</si>
  <si>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</si>
  <si>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</si>
  <si>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</si>
  <si>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</si>
  <si>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</si>
  <si>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</si>
  <si>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</si>
  <si>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</si>
  <si>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</si>
  <si>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</si>
  <si>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</si>
  <si>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</si>
  <si>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</si>
  <si>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</si>
  <si>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</si>
  <si>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</si>
  <si>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</si>
  <si>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</si>
  <si>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</si>
  <si>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</si>
  <si>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</si>
  <si>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</si>
  <si>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</si>
  <si>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</si>
  <si>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</si>
  <si>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</si>
  <si>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</si>
  <si>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</si>
  <si>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</si>
  <si>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</si>
  <si>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</si>
  <si>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</si>
  <si>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</si>
  <si>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</si>
  <si>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</si>
  <si>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</si>
  <si>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</si>
  <si>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</si>
  <si>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</si>
  <si>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</si>
  <si>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</si>
  <si>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</si>
  <si>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</si>
  <si>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</si>
  <si>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</si>
  <si>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</si>
  <si>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</si>
  <si>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</si>
  <si>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</si>
  <si>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</si>
  <si>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</si>
  <si>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</si>
  <si>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</si>
  <si>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</si>
  <si>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</si>
  <si>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</si>
  <si>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</si>
  <si>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</si>
  <si>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</si>
  <si>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</si>
  <si>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</si>
  <si>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</si>
  <si>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</si>
  <si>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</si>
  <si>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</si>
  <si>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</si>
  <si>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</si>
  <si>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</si>
  <si>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</si>
  <si>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</si>
  <si>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</si>
  <si>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</si>
  <si>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</si>
  <si>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</si>
  <si>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</si>
  <si>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</si>
  <si>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</si>
  <si>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</si>
  <si>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</si>
  <si>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</si>
  <si>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</si>
  <si>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</si>
  <si>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</si>
  <si>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</si>
  <si>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</si>
  <si>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</si>
  <si>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</si>
  <si>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</si>
  <si>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</si>
  <si>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</si>
  <si>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</si>
  <si>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</si>
  <si>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</si>
  <si>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</si>
  <si>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</si>
  <si>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</si>
  <si>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</si>
  <si>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</si>
  <si>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</si>
  <si>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</si>
  <si>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</si>
  <si>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</si>
  <si>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</si>
  <si>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</si>
  <si>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</si>
  <si>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</si>
  <si>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</si>
  <si>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</si>
  <si>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</si>
  <si>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</si>
  <si>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</si>
  <si>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</si>
  <si>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</si>
  <si>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</si>
  <si>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</si>
  <si>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</si>
  <si>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</si>
  <si>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</si>
  <si>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</si>
  <si>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</si>
  <si>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</si>
  <si>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</si>
  <si>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</si>
  <si>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</si>
  <si>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</si>
  <si>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</si>
  <si>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</si>
  <si>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</si>
  <si>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</si>
  <si>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</si>
  <si>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</si>
  <si>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</si>
  <si>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</si>
  <si>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</si>
  <si>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</si>
  <si>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</si>
  <si>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</si>
  <si>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</si>
  <si>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</si>
  <si>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</si>
  <si>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</si>
  <si>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</si>
  <si>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</si>
  <si>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</si>
  <si>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</si>
  <si>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</si>
  <si>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</si>
  <si>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</si>
  <si>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</si>
  <si>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</si>
  <si>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</si>
  <si>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4584</t>
  </si>
  <si>
    <t>1:22.67</t>
  </si>
  <si>
    <t>2:17.99</t>
  </si>
  <si>
    <t>17.35</t>
  </si>
  <si>
    <t>45.21</t>
  </si>
  <si>
    <t>1:33.85</t>
  </si>
  <si>
    <t>15.09</t>
  </si>
  <si>
    <t>40.98</t>
  </si>
  <si>
    <t>53.17</t>
  </si>
  <si>
    <t>1:19.34</t>
  </si>
  <si>
    <t>2:10.49</t>
  </si>
  <si>
    <t>2:25.23</t>
  </si>
  <si>
    <t>46.67</t>
  </si>
  <si>
    <t>31.31</t>
  </si>
  <si>
    <t>44.76</t>
  </si>
  <si>
    <t>53.72</t>
  </si>
  <si>
    <t>29.87</t>
  </si>
  <si>
    <t>2:14.69</t>
  </si>
  <si>
    <t>43.18</t>
  </si>
  <si>
    <t>4566</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</si>
  <si>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</si>
  <si>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</si>
  <si>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</si>
  <si>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</si>
  <si>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</si>
  <si>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</si>
  <si>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</si>
  <si>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</si>
  <si>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</si>
  <si>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</si>
  <si>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</si>
  <si>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</si>
  <si>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</si>
  <si>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</si>
  <si>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</si>
  <si>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</si>
  <si>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</si>
  <si>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</si>
  <si>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</si>
  <si>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</si>
  <si>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</si>
  <si>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</si>
  <si>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</si>
  <si>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</si>
  <si>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</si>
  <si>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</si>
  <si>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</si>
  <si>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</si>
  <si>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</si>
  <si>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</si>
  <si>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</si>
  <si>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</si>
  <si>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</si>
  <si>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</si>
  <si>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</si>
  <si>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</si>
  <si>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</si>
  <si>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</si>
  <si>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</si>
  <si>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</si>
  <si>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</si>
  <si>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</si>
  <si>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</si>
  <si>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</si>
  <si>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</si>
  <si>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</si>
  <si>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</si>
  <si>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</si>
  <si>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</si>
  <si>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</si>
  <si>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</si>
  <si>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</si>
  <si>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</si>
  <si>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</si>
  <si>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</si>
  <si>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</si>
  <si>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</si>
  <si>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</si>
  <si>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</si>
  <si>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</si>
  <si>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</si>
  <si>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</si>
  <si>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</si>
  <si>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</si>
  <si>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</si>
  <si>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</si>
  <si>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</si>
  <si>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</si>
  <si>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</si>
  <si>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</si>
  <si>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</si>
  <si>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</si>
  <si>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</si>
  <si>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</si>
  <si>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</si>
  <si>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</si>
  <si>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</si>
  <si>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</si>
  <si>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</si>
  <si>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</si>
  <si>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</si>
  <si>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</si>
  <si>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</si>
  <si>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</si>
  <si>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</si>
  <si>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</si>
  <si>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</si>
  <si>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</si>
  <si>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</si>
  <si>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</si>
  <si>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</si>
  <si>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</si>
  <si>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</si>
  <si>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</si>
  <si>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</si>
  <si>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</si>
  <si>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</si>
  <si>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</si>
  <si>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</si>
  <si>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</si>
  <si>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</si>
  <si>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</si>
  <si>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</si>
  <si>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</si>
  <si>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</si>
  <si>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</si>
  <si>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</si>
  <si>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</si>
  <si>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</si>
  <si>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</si>
  <si>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</si>
  <si>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</si>
  <si>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</si>
  <si>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</si>
  <si>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</si>
  <si>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</si>
  <si>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</si>
  <si>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</si>
  <si>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</si>
  <si>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</si>
  <si>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</si>
  <si>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</si>
  <si>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</si>
  <si>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</si>
  <si>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</si>
  <si>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</si>
  <si>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</si>
  <si>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</si>
  <si>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</si>
  <si>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</si>
  <si>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</si>
  <si>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</si>
  <si>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</si>
  <si>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</si>
  <si>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</si>
  <si>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4500</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</si>
  <si>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</si>
  <si>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</si>
  <si>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</si>
  <si>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</si>
  <si>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</si>
  <si>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</si>
  <si>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</si>
  <si>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</si>
  <si>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</si>
  <si>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</si>
  <si>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</si>
  <si>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</si>
  <si>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</si>
  <si>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</si>
  <si>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</si>
  <si>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</si>
  <si>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</si>
  <si>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</si>
  <si>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</si>
  <si>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</si>
  <si>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</si>
  <si>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</si>
  <si>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</si>
  <si>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</si>
  <si>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4239</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</si>
  <si>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</si>
  <si>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</si>
  <si>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</si>
  <si>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</si>
  <si>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</si>
  <si>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</si>
  <si>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</si>
  <si>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</si>
  <si>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</si>
  <si>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</si>
  <si>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</si>
  <si>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</si>
  <si>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</si>
  <si>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</si>
  <si>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</si>
  <si>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</si>
  <si>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</si>
  <si>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</si>
  <si>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</si>
  <si>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</si>
  <si>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</si>
  <si>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</si>
  <si>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</si>
  <si>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</si>
  <si>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</si>
  <si>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</si>
  <si>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</si>
  <si>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</si>
  <si>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</si>
  <si>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</si>
  <si>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</si>
  <si>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</si>
  <si>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</si>
  <si>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</si>
  <si>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</si>
  <si>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</si>
  <si>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</si>
  <si>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</si>
  <si>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</si>
  <si>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</si>
  <si>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</si>
  <si>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</si>
  <si>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</si>
  <si>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</si>
  <si>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</si>
  <si>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</si>
  <si>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</si>
  <si>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</si>
  <si>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</si>
  <si>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</si>
  <si>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</si>
  <si>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</si>
  <si>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</si>
  <si>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</si>
  <si>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</si>
  <si>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</si>
  <si>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</si>
  <si>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</si>
  <si>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</si>
  <si>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</si>
  <si>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</si>
  <si>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</si>
  <si>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</si>
  <si>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</si>
  <si>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</si>
  <si>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</si>
  <si>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</si>
  <si>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</si>
  <si>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</si>
  <si>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</si>
  <si>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</si>
  <si>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</si>
  <si>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</si>
  <si>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</si>
  <si>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</si>
  <si>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</si>
  <si>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</si>
  <si>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</si>
  <si>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</si>
  <si>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</si>
  <si>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</si>
  <si>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</si>
  <si>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</si>
  <si>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3925</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</si>
  <si>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</si>
  <si>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</si>
  <si>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</si>
  <si>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</si>
  <si>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</si>
  <si>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</si>
  <si>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</si>
  <si>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</si>
  <si>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</si>
  <si>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</si>
  <si>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</si>
  <si>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</si>
  <si>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</si>
  <si>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</si>
  <si>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</si>
  <si>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</si>
  <si>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</si>
  <si>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</si>
  <si>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</si>
  <si>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</si>
  <si>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</si>
  <si>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</si>
  <si>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</si>
  <si>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</si>
  <si>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</si>
  <si>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</si>
  <si>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</si>
  <si>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</si>
  <si>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</si>
  <si>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</si>
  <si>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</si>
  <si>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</si>
  <si>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</si>
  <si>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</si>
  <si>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</si>
  <si>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</si>
  <si>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</si>
  <si>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</si>
  <si>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</si>
  <si>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</si>
  <si>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</si>
  <si>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</si>
  <si>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</si>
  <si>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</si>
  <si>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</si>
  <si>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</si>
  <si>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</si>
  <si>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</si>
  <si>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</si>
  <si>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</si>
  <si>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</si>
  <si>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</si>
  <si>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</si>
  <si>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</si>
  <si>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</si>
  <si>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</si>
  <si>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</si>
  <si>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</si>
  <si>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</si>
  <si>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</si>
  <si>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</si>
  <si>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</si>
  <si>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</si>
  <si>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</si>
  <si>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</si>
  <si>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</si>
  <si>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</si>
  <si>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</si>
  <si>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</si>
  <si>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</si>
  <si>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</si>
  <si>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</si>
  <si>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</si>
  <si>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</si>
  <si>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</si>
  <si>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</si>
  <si>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</si>
  <si>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</si>
  <si>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</si>
  <si>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</si>
  <si>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</si>
  <si>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</si>
  <si>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</si>
  <si>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</si>
  <si>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</si>
  <si>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</si>
  <si>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</si>
  <si>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</si>
  <si>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</si>
  <si>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</si>
  <si>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</si>
  <si>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</si>
  <si>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</si>
  <si>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</si>
  <si>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</si>
  <si>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</si>
  <si>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</si>
  <si>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</si>
  <si>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</si>
  <si>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</si>
  <si>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</si>
  <si>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</si>
  <si>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</si>
  <si>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</si>
  <si>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</si>
  <si>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</si>
  <si>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</si>
  <si>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</si>
  <si>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</si>
  <si>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</si>
  <si>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</si>
  <si>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</si>
  <si>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</si>
  <si>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</si>
  <si>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</si>
  <si>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</si>
  <si>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</si>
  <si>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</si>
  <si>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</si>
  <si>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</si>
  <si>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</si>
  <si>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</si>
  <si>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</si>
  <si>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</si>
  <si>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</si>
  <si>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</si>
  <si>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</si>
  <si>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</si>
  <si>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</si>
  <si>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</si>
  <si>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</si>
  <si>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</si>
  <si>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</si>
  <si>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</si>
  <si>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</si>
  <si>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</si>
  <si>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</si>
  <si>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</si>
  <si>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</si>
  <si>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</si>
  <si>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</si>
  <si>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</si>
  <si>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</si>
  <si>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</si>
  <si>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</si>
  <si>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</si>
  <si>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</si>
  <si>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</si>
  <si>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</si>
  <si>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</si>
  <si>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</si>
  <si>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</si>
  <si>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</si>
  <si>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</si>
  <si>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</si>
  <si>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</si>
  <si>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</si>
  <si>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</si>
  <si>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</si>
  <si>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</si>
  <si>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</si>
  <si>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</si>
  <si>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</si>
  <si>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</si>
  <si>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</si>
  <si>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</si>
  <si>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</si>
  <si>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</si>
  <si>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</si>
  <si>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</si>
  <si>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</si>
  <si>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</si>
  <si>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</si>
  <si>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</si>
  <si>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</si>
  <si>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</si>
  <si>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</si>
  <si>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</si>
  <si>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</si>
  <si>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</si>
  <si>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</si>
  <si>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</si>
  <si>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</si>
  <si>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</si>
  <si>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</si>
  <si>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</si>
  <si>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</si>
  <si>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</si>
  <si>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</si>
  <si>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</si>
  <si>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</si>
  <si>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</si>
  <si>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</si>
  <si>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</si>
  <si>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</si>
  <si>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</si>
  <si>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</si>
  <si>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</si>
  <si>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</si>
  <si>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</si>
  <si>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</si>
  <si>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</si>
  <si>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</si>
  <si>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</si>
  <si>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</si>
  <si>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</si>
  <si>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</si>
  <si>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</si>
  <si>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</si>
  <si>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</si>
  <si>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</si>
  <si>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</si>
  <si>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</si>
  <si>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</si>
  <si>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</si>
  <si>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</si>
  <si>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</si>
  <si>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</si>
  <si>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</si>
  <si>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</si>
  <si>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3375</t>
  </si>
  <si>
    <t>44.51</t>
  </si>
  <si>
    <t>1:28.93</t>
  </si>
  <si>
    <t>34.50</t>
  </si>
  <si>
    <t>44.46</t>
  </si>
  <si>
    <t>56.82</t>
  </si>
  <si>
    <t>3254</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</si>
  <si>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</si>
  <si>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</si>
  <si>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</si>
  <si>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</si>
  <si>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</si>
  <si>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</si>
  <si>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</si>
  <si>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</si>
  <si>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</si>
  <si>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</si>
  <si>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</si>
  <si>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</si>
  <si>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</si>
  <si>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</si>
  <si>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</si>
  <si>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</si>
  <si>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</si>
  <si>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</si>
  <si>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</si>
  <si>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</si>
  <si>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</si>
  <si>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</si>
  <si>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</si>
  <si>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</si>
  <si>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</si>
  <si>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</si>
  <si>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</si>
  <si>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</si>
  <si>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</si>
  <si>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</si>
  <si>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</si>
  <si>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</si>
  <si>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</si>
  <si>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</si>
  <si>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</si>
  <si>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</si>
  <si>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</si>
  <si>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</si>
  <si>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</si>
  <si>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</si>
  <si>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</si>
  <si>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</si>
  <si>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</si>
  <si>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</si>
  <si>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</si>
  <si>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</si>
  <si>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</si>
  <si>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</si>
  <si>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</si>
  <si>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</si>
  <si>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</si>
  <si>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</si>
  <si>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</si>
  <si>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</si>
  <si>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</si>
  <si>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</si>
  <si>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</si>
  <si>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</si>
  <si>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</si>
  <si>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</si>
  <si>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</si>
  <si>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</si>
  <si>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</si>
  <si>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</si>
  <si>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</si>
  <si>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</si>
  <si>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</si>
  <si>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</si>
  <si>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</si>
  <si>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</si>
  <si>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</si>
  <si>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</si>
  <si>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</si>
  <si>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</si>
  <si>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</si>
  <si>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</si>
  <si>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</si>
  <si>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</si>
  <si>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</si>
  <si>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</si>
  <si>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</si>
  <si>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</si>
  <si>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</si>
  <si>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</si>
  <si>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</si>
  <si>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</si>
  <si>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</si>
  <si>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</si>
  <si>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</si>
  <si>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</si>
  <si>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</si>
  <si>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</si>
  <si>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</si>
  <si>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3172</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</si>
  <si>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</si>
  <si>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</si>
  <si>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</si>
  <si>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</si>
  <si>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</si>
  <si>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</si>
  <si>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</si>
  <si>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</si>
  <si>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</si>
  <si>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</si>
  <si>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</si>
  <si>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</si>
  <si>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</si>
  <si>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</si>
  <si>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</si>
  <si>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</si>
  <si>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</si>
  <si>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</si>
  <si>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</si>
  <si>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</si>
  <si>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</si>
  <si>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</si>
  <si>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</si>
  <si>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</si>
  <si>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</si>
  <si>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</si>
  <si>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</si>
  <si>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</si>
  <si>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</si>
  <si>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</si>
  <si>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</si>
  <si>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</si>
  <si>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</si>
  <si>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</si>
  <si>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</si>
  <si>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</si>
  <si>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</si>
  <si>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</si>
  <si>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</si>
  <si>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</si>
  <si>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</si>
  <si>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</si>
  <si>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</si>
  <si>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</si>
  <si>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</si>
  <si>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</si>
  <si>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</si>
  <si>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</si>
  <si>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</si>
  <si>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</si>
  <si>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</si>
  <si>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</si>
  <si>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</si>
  <si>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</si>
  <si>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</si>
  <si>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</si>
  <si>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</si>
  <si>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</si>
  <si>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</si>
  <si>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</si>
  <si>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</si>
  <si>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</si>
  <si>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</si>
  <si>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</si>
  <si>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</si>
  <si>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</si>
  <si>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</si>
  <si>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</si>
  <si>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</si>
  <si>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</si>
  <si>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</si>
  <si>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</si>
  <si>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</si>
  <si>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</si>
  <si>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</si>
  <si>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</si>
  <si>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</si>
  <si>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</si>
  <si>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</si>
  <si>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</si>
  <si>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</si>
  <si>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</si>
  <si>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</si>
  <si>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</si>
  <si>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</si>
  <si>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</si>
  <si>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</si>
  <si>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</si>
  <si>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</si>
  <si>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</si>
  <si>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</si>
  <si>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</si>
  <si>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</si>
  <si>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</si>
  <si>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</si>
  <si>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</si>
  <si>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</si>
  <si>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</si>
  <si>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</si>
  <si>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</si>
  <si>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</si>
  <si>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</si>
  <si>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</si>
  <si>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</si>
  <si>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</si>
  <si>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</si>
  <si>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</si>
  <si>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</si>
  <si>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</si>
  <si>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</si>
  <si>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</si>
  <si>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</si>
  <si>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</si>
  <si>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</si>
  <si>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</si>
  <si>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</si>
  <si>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</si>
  <si>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</si>
  <si>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</si>
  <si>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</si>
  <si>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</si>
  <si>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</si>
  <si>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</si>
  <si>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</si>
  <si>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</si>
  <si>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</si>
  <si>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</si>
  <si>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</si>
  <si>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</si>
  <si>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</si>
  <si>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</si>
  <si>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</si>
  <si>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</si>
  <si>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</si>
  <si>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</si>
  <si>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</si>
  <si>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</si>
  <si>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</si>
  <si>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</si>
  <si>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</si>
  <si>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</si>
  <si>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</si>
  <si>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</si>
  <si>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</si>
  <si>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</si>
  <si>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</si>
  <si>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</si>
  <si>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</si>
  <si>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</si>
  <si>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</si>
  <si>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</si>
  <si>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</si>
  <si>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</si>
  <si>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</si>
  <si>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</si>
  <si>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</si>
  <si>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</si>
  <si>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</si>
  <si>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</si>
  <si>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</si>
  <si>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</si>
  <si>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</si>
  <si>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</si>
  <si>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</si>
  <si>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</si>
  <si>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</si>
  <si>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</si>
  <si>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</si>
  <si>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</si>
  <si>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</si>
  <si>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</si>
  <si>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2578</t>
  </si>
  <si>
    <t>46.91</t>
  </si>
  <si>
    <t>1:33.18</t>
  </si>
  <si>
    <t>15.36</t>
  </si>
  <si>
    <t>33.12</t>
  </si>
  <si>
    <t>42.85</t>
  </si>
  <si>
    <t>1:51.56</t>
  </si>
  <si>
    <t>2:18.22</t>
  </si>
  <si>
    <t>24.32</t>
  </si>
  <si>
    <t>2:05.51</t>
  </si>
  <si>
    <t>Harusrl</t>
  </si>
  <si>
    <t>2502</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</si>
  <si>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</si>
  <si>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</si>
  <si>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</si>
  <si>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</si>
  <si>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</si>
  <si>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</si>
  <si>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</si>
  <si>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</si>
  <si>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</si>
  <si>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</si>
  <si>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</si>
  <si>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</si>
  <si>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</si>
  <si>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</si>
  <si>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</si>
  <si>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</si>
  <si>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</si>
  <si>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</si>
  <si>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</si>
  <si>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</si>
  <si>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</si>
  <si>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</si>
  <si>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</si>
  <si>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</si>
  <si>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</si>
  <si>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</si>
  <si>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</si>
  <si>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</si>
  <si>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</si>
  <si>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</si>
  <si>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</si>
  <si>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</si>
  <si>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</si>
  <si>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</si>
  <si>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</si>
  <si>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</si>
  <si>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</si>
  <si>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</si>
  <si>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</si>
  <si>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</si>
  <si>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</si>
  <si>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</si>
  <si>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</si>
  <si>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</si>
  <si>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</si>
  <si>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</si>
  <si>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</si>
  <si>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</si>
  <si>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</si>
  <si>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</si>
  <si>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</si>
  <si>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</si>
  <si>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</si>
  <si>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</si>
  <si>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</si>
  <si>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2610</t>
  </si>
  <si>
    <t>38.471</t>
  </si>
  <si>
    <t>45.979</t>
  </si>
  <si>
    <t>2:20.20</t>
  </si>
  <si>
    <t>1:12.705</t>
  </si>
  <si>
    <t>41.041</t>
  </si>
  <si>
    <t>16.516</t>
  </si>
  <si>
    <t>37.09</t>
  </si>
  <si>
    <r>
      <rPr>
        <color rgb="FF000000"/>
        <sz val="9.0"/>
      </rPr>
      <t>31.</t>
    </r>
    <r>
      <rPr>
        <color rgb="FF000000"/>
        <sz val="9.0"/>
      </rPr>
      <t>064</t>
    </r>
  </si>
  <si>
    <t>37.57</t>
  </si>
  <si>
    <t>42.342</t>
  </si>
  <si>
    <t>28.995</t>
  </si>
  <si>
    <t>46.413</t>
  </si>
  <si>
    <t>56.890</t>
  </si>
  <si>
    <t>28.194</t>
  </si>
  <si>
    <t>1:34.461</t>
  </si>
  <si>
    <t>1:03.77</t>
  </si>
  <si>
    <t>24.257</t>
  </si>
  <si>
    <t>24.424</t>
  </si>
  <si>
    <t>1:05.95</t>
  </si>
  <si>
    <t>58.992</t>
  </si>
  <si>
    <t>31.598</t>
  </si>
  <si>
    <t>39.13</t>
  </si>
  <si>
    <t>1:37.130</t>
  </si>
  <si>
    <t>30.964</t>
  </si>
  <si>
    <t>35.435</t>
  </si>
  <si>
    <t>1:03.08</t>
  </si>
  <si>
    <t>45.812</t>
  </si>
  <si>
    <t>32.799</t>
  </si>
  <si>
    <t>46.679</t>
  </si>
  <si>
    <t>1:01.967</t>
  </si>
  <si>
    <t>32.399</t>
  </si>
  <si>
    <t>43.743</t>
  </si>
  <si>
    <t>1:30.490</t>
  </si>
  <si>
    <t>38.30</t>
  </si>
  <si>
    <t>51.751</t>
  </si>
  <si>
    <t>28.928</t>
  </si>
  <si>
    <t>28.094</t>
  </si>
  <si>
    <t>HowToCantaloupe</t>
  </si>
  <si>
    <t>2400</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</si>
  <si>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</si>
  <si>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</si>
  <si>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</si>
  <si>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</si>
  <si>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</si>
  <si>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</si>
  <si>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</si>
  <si>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</si>
  <si>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</si>
  <si>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</si>
  <si>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</si>
  <si>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</si>
  <si>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</si>
  <si>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</si>
  <si>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</si>
  <si>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</si>
  <si>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</si>
  <si>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</si>
  <si>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</si>
  <si>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</si>
  <si>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</si>
  <si>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</si>
  <si>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</si>
  <si>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</si>
  <si>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</si>
  <si>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</si>
  <si>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</si>
  <si>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</si>
  <si>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</si>
  <si>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</si>
  <si>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</si>
  <si>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</si>
  <si>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</si>
  <si>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</si>
  <si>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</si>
  <si>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</si>
  <si>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</si>
  <si>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</si>
  <si>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</si>
  <si>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</si>
  <si>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</si>
  <si>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</si>
  <si>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</si>
  <si>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</si>
  <si>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</si>
  <si>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</si>
  <si>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</si>
  <si>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</si>
  <si>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</si>
  <si>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2195</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</si>
  <si>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</si>
  <si>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</si>
  <si>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</si>
  <si>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</si>
  <si>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</si>
  <si>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</si>
  <si>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</si>
  <si>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</si>
  <si>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</si>
  <si>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</si>
  <si>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</si>
  <si>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</si>
  <si>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</si>
  <si>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</si>
  <si>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</si>
  <si>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</si>
  <si>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</si>
  <si>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</si>
  <si>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</si>
  <si>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</si>
  <si>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</si>
  <si>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</si>
  <si>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</si>
  <si>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</si>
  <si>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</si>
  <si>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</si>
  <si>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</si>
  <si>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</si>
  <si>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</si>
  <si>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</si>
  <si>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2148</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</si>
  <si>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</si>
  <si>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</si>
  <si>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</si>
  <si>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</si>
  <si>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</si>
  <si>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</si>
  <si>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</si>
  <si>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</si>
  <si>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</si>
  <si>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</si>
  <si>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</si>
  <si>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</si>
  <si>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</si>
  <si>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</si>
  <si>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</si>
  <si>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</si>
  <si>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</si>
  <si>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</si>
  <si>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</si>
  <si>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</si>
  <si>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</si>
  <si>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</si>
  <si>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</si>
  <si>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</si>
  <si>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</si>
  <si>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</si>
  <si>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</si>
  <si>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</si>
  <si>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</si>
  <si>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</si>
  <si>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</si>
  <si>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</si>
  <si>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</si>
  <si>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</si>
  <si>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</si>
  <si>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</si>
  <si>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</si>
  <si>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</si>
  <si>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</si>
  <si>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</si>
  <si>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</si>
  <si>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</si>
  <si>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</si>
  <si>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</si>
  <si>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</si>
  <si>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</si>
  <si>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</si>
  <si>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</si>
  <si>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</si>
  <si>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</si>
  <si>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</si>
  <si>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</si>
  <si>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</si>
  <si>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</si>
  <si>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</si>
  <si>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</si>
  <si>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</si>
  <si>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</si>
  <si>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</si>
  <si>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</si>
  <si>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</si>
  <si>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</si>
  <si>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</si>
  <si>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</si>
  <si>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</si>
  <si>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</si>
  <si>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</si>
  <si>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</si>
  <si>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</si>
  <si>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</si>
  <si>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</si>
  <si>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</si>
  <si>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</si>
  <si>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</si>
  <si>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</si>
  <si>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</si>
  <si>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</si>
  <si>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</si>
  <si>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</si>
  <si>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</si>
  <si>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</si>
  <si>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</si>
  <si>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</si>
  <si>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</si>
  <si>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</si>
  <si>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</si>
  <si>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</si>
  <si>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</si>
  <si>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</si>
  <si>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</si>
  <si>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</si>
  <si>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</si>
  <si>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</si>
  <si>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</si>
  <si>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</si>
  <si>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</si>
  <si>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</si>
  <si>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</si>
  <si>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</si>
  <si>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</si>
  <si>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</si>
  <si>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</si>
  <si>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</si>
  <si>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</si>
  <si>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</si>
  <si>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</si>
  <si>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</si>
  <si>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</si>
  <si>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</si>
  <si>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</si>
  <si>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</si>
  <si>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</si>
  <si>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</si>
  <si>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</si>
  <si>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</si>
  <si>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</si>
  <si>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</si>
  <si>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</si>
  <si>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</si>
  <si>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</si>
  <si>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</si>
  <si>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</si>
  <si>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</si>
  <si>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</si>
  <si>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</si>
  <si>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</si>
  <si>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</si>
  <si>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</si>
  <si>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</si>
  <si>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</si>
  <si>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</si>
  <si>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</si>
  <si>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</si>
  <si>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</si>
  <si>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</si>
  <si>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</si>
  <si>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1850</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</si>
  <si>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</si>
  <si>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</si>
  <si>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</si>
  <si>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</si>
  <si>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</si>
  <si>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</si>
  <si>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</si>
  <si>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</si>
  <si>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</si>
  <si>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</si>
  <si>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</si>
  <si>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</si>
  <si>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</si>
  <si>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</si>
  <si>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</si>
  <si>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</si>
  <si>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</si>
  <si>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</si>
  <si>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</si>
  <si>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</si>
  <si>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</si>
  <si>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</si>
  <si>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</si>
  <si>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</si>
  <si>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1803</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</si>
  <si>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</si>
  <si>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</si>
  <si>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</si>
  <si>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</si>
  <si>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</si>
  <si>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</si>
  <si>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</si>
  <si>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</si>
  <si>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</si>
  <si>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</si>
  <si>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</si>
  <si>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</si>
  <si>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</si>
  <si>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</si>
  <si>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</si>
  <si>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</si>
  <si>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</si>
  <si>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</si>
  <si>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</si>
  <si>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</si>
  <si>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</si>
  <si>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</si>
  <si>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</si>
  <si>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</si>
  <si>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</si>
  <si>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</si>
  <si>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</si>
  <si>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</si>
  <si>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</si>
  <si>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</si>
  <si>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</si>
  <si>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</si>
  <si>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</si>
  <si>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</si>
  <si>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</si>
  <si>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</si>
  <si>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</si>
  <si>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</si>
  <si>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</si>
  <si>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</si>
  <si>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</si>
  <si>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</si>
  <si>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1718</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</si>
  <si>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</si>
  <si>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</si>
  <si>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</si>
  <si>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</si>
  <si>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</si>
  <si>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</si>
  <si>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</si>
  <si>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</si>
  <si>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</si>
  <si>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</si>
  <si>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</si>
  <si>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</si>
  <si>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</si>
  <si>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</si>
  <si>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</si>
  <si>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</si>
  <si>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</si>
  <si>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</si>
  <si>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</si>
  <si>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</si>
  <si>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</si>
  <si>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</si>
  <si>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</si>
  <si>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</si>
  <si>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</si>
  <si>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</si>
  <si>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</si>
  <si>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</si>
  <si>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</si>
  <si>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</si>
  <si>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</si>
  <si>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</si>
  <si>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</si>
  <si>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</si>
  <si>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</si>
  <si>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</si>
  <si>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</si>
  <si>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</si>
  <si>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</si>
  <si>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</si>
  <si>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</si>
  <si>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</si>
  <si>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</si>
  <si>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</si>
  <si>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</si>
  <si>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</si>
  <si>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</si>
  <si>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</si>
  <si>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</si>
  <si>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</si>
  <si>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</si>
  <si>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</si>
  <si>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</si>
  <si>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</si>
  <si>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</si>
  <si>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</si>
  <si>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</si>
  <si>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</si>
  <si>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</si>
  <si>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</si>
  <si>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</si>
  <si>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</si>
  <si>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</si>
  <si>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</si>
  <si>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</si>
  <si>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1519</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</si>
  <si>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</si>
  <si>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</si>
  <si>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</si>
  <si>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</si>
  <si>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</si>
  <si>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</si>
  <si>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</si>
  <si>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</si>
  <si>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</si>
  <si>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</si>
  <si>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</si>
  <si>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</si>
  <si>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</si>
  <si>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</si>
  <si>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</si>
  <si>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</si>
  <si>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</si>
  <si>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</si>
  <si>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</si>
  <si>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</si>
  <si>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</si>
  <si>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</si>
  <si>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</si>
  <si>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</si>
  <si>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</si>
  <si>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</si>
  <si>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1319</t>
  </si>
  <si>
    <t>41.63</t>
  </si>
  <si>
    <t>56.46</t>
  </si>
  <si>
    <t>21.43</t>
  </si>
  <si>
    <t>33.98</t>
  </si>
  <si>
    <t>2:15.00</t>
  </si>
  <si>
    <t>1315</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</si>
  <si>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</si>
  <si>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</si>
  <si>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</si>
  <si>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</si>
  <si>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</si>
  <si>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</si>
  <si>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</si>
  <si>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</si>
  <si>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</si>
  <si>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</si>
  <si>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</si>
  <si>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</si>
  <si>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</si>
  <si>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</si>
  <si>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</si>
  <si>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</si>
  <si>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</si>
  <si>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</si>
  <si>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</si>
  <si>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</si>
  <si>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</si>
  <si>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</si>
  <si>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</si>
  <si>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</si>
  <si>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</si>
  <si>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</si>
  <si>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</si>
  <si>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</si>
  <si>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</si>
  <si>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</si>
  <si>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</si>
  <si>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</si>
  <si>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</si>
  <si>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</si>
  <si>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</si>
  <si>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</si>
  <si>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</si>
  <si>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</si>
  <si>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</si>
  <si>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</si>
  <si>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1260</t>
  </si>
  <si>
    <t>54.28</t>
  </si>
  <si>
    <t>2:26.14</t>
  </si>
  <si>
    <t>40.93</t>
  </si>
  <si>
    <t>43.28</t>
  </si>
  <si>
    <t>1:02.45</t>
  </si>
  <si>
    <t>15.75</t>
  </si>
  <si>
    <t>2:10.52</t>
  </si>
  <si>
    <t>1:35.62</t>
  </si>
  <si>
    <t>Angry_Max</t>
  </si>
  <si>
    <t>52.43</t>
  </si>
  <si>
    <t>2:25.96</t>
  </si>
  <si>
    <t>22.60</t>
  </si>
  <si>
    <t>VyralGalaxy</t>
  </si>
  <si>
    <t>1239</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</si>
  <si>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</si>
  <si>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</si>
  <si>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</si>
  <si>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</si>
  <si>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</si>
  <si>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</si>
  <si>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</si>
  <si>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</si>
  <si>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</si>
  <si>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</si>
  <si>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</si>
  <si>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</si>
  <si>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</si>
  <si>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</si>
  <si>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</si>
  <si>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</si>
  <si>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</si>
  <si>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</si>
  <si>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</si>
  <si>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</si>
  <si>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</si>
  <si>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</si>
  <si>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</si>
  <si>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</si>
  <si>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</si>
  <si>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</si>
  <si>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</si>
  <si>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</si>
  <si>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</si>
  <si>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</si>
  <si>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</si>
  <si>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</si>
  <si>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</si>
  <si>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</si>
  <si>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</si>
  <si>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</si>
  <si>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</si>
  <si>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</si>
  <si>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</si>
  <si>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</si>
  <si>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</si>
  <si>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</si>
  <si>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</si>
  <si>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</si>
  <si>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</si>
  <si>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</si>
  <si>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</si>
  <si>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</si>
  <si>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</si>
  <si>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</si>
  <si>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</si>
  <si>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</si>
  <si>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</si>
  <si>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</si>
  <si>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</si>
  <si>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</si>
  <si>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</si>
  <si>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</si>
  <si>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</si>
  <si>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</si>
  <si>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</si>
  <si>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</si>
  <si>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</si>
  <si>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</si>
  <si>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</si>
  <si>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</si>
  <si>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</si>
  <si>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</si>
  <si>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</si>
  <si>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</si>
  <si>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</si>
  <si>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</si>
  <si>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</si>
  <si>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</si>
  <si>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</si>
  <si>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</si>
  <si>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</si>
  <si>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</si>
  <si>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</si>
  <si>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</si>
  <si>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</si>
  <si>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</si>
  <si>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</si>
  <si>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</si>
  <si>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</si>
  <si>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</si>
  <si>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</si>
  <si>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</si>
  <si>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</si>
  <si>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</si>
  <si>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</si>
  <si>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</si>
  <si>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</si>
  <si>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</si>
  <si>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</si>
  <si>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</si>
  <si>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</si>
  <si>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</si>
  <si>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</si>
  <si>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</si>
  <si>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</si>
  <si>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</si>
  <si>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</si>
  <si>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</si>
  <si>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</si>
  <si>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</si>
  <si>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</si>
  <si>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</si>
  <si>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</si>
  <si>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</si>
  <si>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</si>
  <si>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</si>
  <si>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</si>
  <si>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</si>
  <si>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</si>
  <si>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</si>
  <si>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</si>
  <si>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</si>
  <si>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</si>
  <si>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</si>
  <si>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</si>
  <si>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</si>
  <si>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</si>
  <si>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</si>
  <si>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</si>
  <si>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</si>
  <si>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</si>
  <si>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</si>
  <si>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</si>
  <si>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</si>
  <si>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</si>
  <si>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940</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</si>
  <si>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</si>
  <si>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</si>
  <si>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</si>
  <si>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</si>
  <si>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</si>
  <si>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</si>
  <si>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</si>
  <si>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</si>
  <si>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</si>
  <si>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</si>
  <si>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</si>
  <si>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</si>
  <si>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</si>
  <si>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</si>
  <si>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</si>
  <si>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</si>
  <si>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</si>
  <si>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</si>
  <si>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</si>
  <si>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</si>
  <si>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</si>
  <si>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</si>
  <si>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</si>
  <si>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</si>
  <si>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</si>
  <si>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</si>
  <si>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</si>
  <si>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</si>
  <si>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</si>
  <si>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</si>
  <si>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</si>
  <si>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</si>
  <si>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</si>
  <si>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</si>
  <si>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</si>
  <si>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</si>
  <si>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</si>
  <si>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</si>
  <si>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</si>
  <si>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</si>
  <si>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</si>
  <si>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</si>
  <si>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</si>
  <si>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</si>
  <si>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</si>
  <si>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</si>
  <si>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</si>
  <si>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</si>
  <si>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</si>
  <si>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</si>
  <si>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</si>
  <si>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</si>
  <si>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</si>
  <si>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</si>
  <si>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</si>
  <si>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</si>
  <si>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</si>
  <si>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</si>
  <si>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</si>
  <si>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</si>
  <si>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</si>
  <si>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</si>
  <si>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</si>
  <si>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</si>
  <si>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</si>
  <si>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</si>
  <si>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</si>
  <si>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</si>
  <si>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</si>
  <si>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</si>
  <si>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</si>
  <si>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</si>
  <si>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</si>
  <si>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</si>
  <si>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</si>
  <si>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</si>
  <si>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</si>
  <si>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</si>
  <si>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</si>
  <si>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</si>
  <si>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</si>
  <si>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</si>
  <si>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</si>
  <si>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</si>
  <si>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</si>
  <si>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</si>
  <si>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</si>
  <si>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</si>
  <si>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</si>
  <si>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</si>
  <si>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</si>
  <si>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</si>
  <si>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</si>
  <si>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</si>
  <si>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</si>
  <si>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759</t>
  </si>
  <si>
    <t>52.34</t>
  </si>
  <si>
    <t>2:36.48</t>
  </si>
  <si>
    <t>1:01.33</t>
  </si>
  <si>
    <t>20.28</t>
  </si>
  <si>
    <t>53.04</t>
  </si>
  <si>
    <t>32.51</t>
  </si>
  <si>
    <t>2:19.99</t>
  </si>
  <si>
    <t>26.70</t>
  </si>
  <si>
    <t>36.24</t>
  </si>
  <si>
    <t>1:50.03</t>
  </si>
  <si>
    <t>36.13</t>
  </si>
  <si>
    <t>25.43</t>
  </si>
  <si>
    <t>Evan44</t>
  </si>
  <si>
    <t>694</t>
  </si>
  <si>
    <t>685</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</si>
  <si>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</si>
  <si>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</si>
  <si>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</si>
  <si>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</si>
  <si>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</si>
  <si>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</si>
  <si>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</si>
  <si>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</si>
  <si>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</si>
  <si>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</si>
  <si>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</si>
  <si>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</si>
  <si>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</si>
  <si>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</si>
  <si>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</si>
  <si>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</si>
  <si>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</si>
  <si>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</si>
  <si>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</si>
  <si>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</si>
  <si>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</si>
  <si>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</si>
  <si>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</si>
  <si>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</si>
  <si>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</si>
  <si>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</si>
  <si>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</si>
  <si>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</si>
  <si>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</si>
  <si>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</si>
  <si>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</si>
  <si>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</si>
  <si>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</si>
  <si>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</si>
  <si>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</si>
  <si>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</si>
  <si>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</si>
  <si>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</si>
  <si>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</si>
  <si>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</si>
  <si>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</si>
  <si>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</si>
  <si>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</si>
  <si>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</si>
  <si>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</si>
  <si>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616</t>
  </si>
  <si>
    <t>56.53</t>
  </si>
  <si>
    <t>16.50</t>
  </si>
  <si>
    <t>1:13.33</t>
  </si>
  <si>
    <t>613</t>
  </si>
  <si>
    <t>1:37.58</t>
  </si>
  <si>
    <t>2:07.08</t>
  </si>
  <si>
    <t>Wilko</t>
  </si>
  <si>
    <t>609</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</si>
  <si>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</si>
  <si>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</si>
  <si>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</si>
  <si>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</si>
  <si>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</si>
  <si>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</si>
  <si>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</si>
  <si>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</si>
  <si>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</si>
  <si>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</si>
  <si>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</si>
  <si>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</si>
  <si>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</si>
  <si>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</si>
  <si>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</si>
  <si>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</si>
  <si>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</si>
  <si>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</si>
  <si>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</si>
  <si>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</si>
  <si>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</si>
  <si>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</si>
  <si>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</si>
  <si>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</si>
  <si>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</si>
  <si>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</si>
  <si>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</si>
  <si>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</si>
  <si>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</si>
  <si>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</si>
  <si>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</si>
  <si>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</si>
  <si>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</si>
  <si>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</si>
  <si>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</si>
  <si>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</si>
  <si>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</si>
  <si>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</si>
  <si>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</si>
  <si>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</si>
  <si>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</si>
  <si>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</si>
  <si>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</si>
  <si>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</si>
  <si>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</si>
  <si>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</si>
  <si>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</si>
  <si>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</si>
  <si>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</si>
  <si>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</si>
  <si>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</si>
  <si>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</si>
  <si>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</si>
  <si>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</si>
  <si>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</si>
  <si>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</si>
  <si>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</si>
  <si>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</si>
  <si>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</si>
  <si>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</si>
  <si>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</si>
  <si>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</si>
  <si>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</si>
  <si>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</si>
  <si>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</si>
  <si>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</si>
  <si>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</si>
  <si>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</si>
  <si>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</si>
  <si>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</si>
  <si>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</si>
  <si>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</si>
  <si>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</si>
  <si>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</si>
  <si>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</si>
  <si>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</si>
  <si>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</si>
  <si>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</si>
  <si>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</si>
  <si>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</si>
  <si>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</si>
  <si>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</si>
  <si>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</si>
  <si>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</si>
  <si>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</si>
  <si>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</si>
  <si>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</si>
  <si>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</si>
  <si>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</si>
  <si>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</si>
  <si>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</si>
  <si>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</si>
  <si>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</si>
  <si>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</si>
  <si>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</si>
  <si>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</si>
  <si>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</si>
  <si>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</si>
  <si>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</si>
  <si>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</si>
  <si>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</si>
  <si>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</si>
  <si>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</si>
  <si>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</si>
  <si>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</si>
  <si>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</si>
  <si>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</si>
  <si>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</si>
  <si>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</si>
  <si>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</si>
  <si>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</si>
  <si>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</si>
  <si>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</si>
  <si>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</si>
  <si>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</si>
  <si>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</si>
  <si>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</si>
  <si>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</si>
  <si>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</si>
  <si>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</si>
  <si>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</si>
  <si>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</si>
  <si>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</si>
  <si>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</si>
  <si>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</si>
  <si>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</si>
  <si>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</si>
  <si>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</si>
  <si>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</si>
  <si>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</si>
  <si>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</si>
  <si>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</si>
  <si>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</si>
  <si>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</si>
  <si>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</si>
  <si>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</si>
  <si>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249</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</si>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</sst>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18.0"/>
      <color rgb="FF000000"/>
      <name val="Arial"/>
    </font>
    <font>
      <b/>
      <sz val="9.0"/>
      <color rgb="FFFFFFFF"/>
    </font>
    <font>
      <sz val="9.0"/>
      <name val="Arial"/>
    </font>
    <font>
      <sz val="18.0"/>
      <color rgb="FF000000"/>
      <name val="Arial"/>
    </font>
    <font>
      <sz val="18.0"/>
      <name val="Arial"/>
    </font>
    <font>
      <b/>
      <sz val="8.0"/>
      <color rgb="FFFFFFFF"/>
    </font>
    <font>
      <b/>
      <sz val="9.0"/>
      <color rgb="FF000000"/>
    </font>
    <font>
      <b/>
      <u/>
      <sz val="9.0"/>
      <color rgb="FF0000FF"/>
      <name val="Arial"/>
    </font>
    <font>
      <b/>
      <sz val="9.0"/>
      <color rgb="FFEEF7E3"/>
    </font>
    <font>
      <u/>
      <sz val="9.0"/>
      <color rgb="FF0000FF"/>
      <name val="Arial"/>
    </font>
    <font>
      <sz val="9.0"/>
    </font>
    <font>
      <sz val="9.0"/>
      <color rgb="FF000000"/>
    </font>
    <font>
      <b/>
      <sz val="9.0"/>
      <color rgb="FF0080FF"/>
      <name val="Arial"/>
    </font>
    <font>
      <b/>
      <sz val="9.0"/>
      <color rgb="FFE8B600"/>
      <name val="Arial"/>
    </font>
    <font>
      <b/>
      <sz val="9.0"/>
      <color rgb="FF999999"/>
      <name val="Arial"/>
    </font>
    <font>
      <u/>
      <sz val="9.0"/>
      <color rgb="FF0000FF"/>
      <name val="Arial"/>
    </font>
    <font>
      <b/>
      <sz val="9.0"/>
      <color rgb="FFB35C00"/>
      <name val="Arial"/>
    </font>
    <font>
      <i/>
      <sz val="9.0"/>
      <color rgb="FF000000"/>
      <name val="Arial"/>
    </font>
    <font>
      <u/>
      <sz val="9.0"/>
      <color rgb="FF0000FF"/>
      <name val="Arial"/>
    </font>
    <font>
      <u/>
      <sz val="9.0"/>
      <color rgb="FF0000FF"/>
      <name val="Arial"/>
    </font>
    <font>
      <b/>
      <sz val="9.0"/>
      <color rgb="FFFF0000"/>
      <name val="Arial"/>
    </font>
    <font>
      <b/>
      <u/>
      <sz val="9.0"/>
      <color rgb="FFB35C00"/>
    </font>
    <font>
      <u/>
      <sz val="9.0"/>
      <color rgb="FF1155CC"/>
      <name val="Arial"/>
    </font>
    <font>
      <b/>
      <u/>
      <sz val="9.0"/>
      <color rgb="FF999999"/>
    </font>
    <font>
      <b/>
      <u/>
      <sz val="9.0"/>
      <color rgb="FFE8B600"/>
      <name val="Arial"/>
    </font>
    <font>
      <b/>
      <u/>
      <sz val="9.0"/>
      <color rgb="FFE8B600"/>
    </font>
    <font>
      <b/>
      <u/>
      <sz val="9.0"/>
      <color rgb="FF999999"/>
      <name val="Arial"/>
    </font>
    <font>
      <u/>
      <sz val="9.0"/>
      <color rgb="FF1155CC"/>
    </font>
    <font>
      <u/>
      <sz val="9.0"/>
      <color rgb="FF000000"/>
    </font>
    <font>
      <color rgb="FF000000"/>
    </font>
    <font>
      <b/>
      <u/>
      <sz val="9.0"/>
      <color rgb="FFB35C00"/>
      <name val="Arial"/>
    </font>
    <font>
      <u/>
      <sz val="9.0"/>
      <color rgb="FF1155CC"/>
      <name val="Arial"/>
    </font>
    <font>
      <u/>
      <sz val="9.0"/>
      <color rgb="FF0000FF"/>
      <name val="Arial"/>
    </font>
    <font>
      <b/>
      <u/>
      <sz val="9.0"/>
      <color rgb="FFB35C00"/>
    </font>
    <font>
      <b/>
      <u/>
      <sz val="9.0"/>
      <color rgb="FF999999"/>
      <name val="Arial"/>
    </font>
    <font>
      <b/>
      <u/>
      <sz val="9.0"/>
      <color rgb="FF999999"/>
    </font>
    <font>
      <b/>
      <u/>
      <sz val="9.0"/>
      <color rgb="FFE8B600"/>
      <name val="Arial"/>
    </font>
    <font>
      <u/>
      <sz val="9.0"/>
      <color rgb="FF0000FF"/>
      <name val="Arial"/>
    </font>
    <font>
      <b/>
      <u/>
      <sz val="9.0"/>
      <color rgb="FFE8B600"/>
    </font>
    <font>
      <u/>
      <sz val="9.0"/>
      <color rgb="FF1155CC"/>
    </font>
    <font>
      <b/>
      <u/>
      <sz val="9.0"/>
      <color rgb="FF0000FF"/>
      <name val="Arial"/>
    </font>
    <font>
      <u/>
      <sz val="9.0"/>
      <color rgb="FFFF0000"/>
      <name val="Arial"/>
    </font>
    <font>
      <sz val="9.0"/>
      <color rgb="FFFFFFFF"/>
    </font>
    <font>
      <u/>
      <sz val="9.0"/>
      <color rgb="FF0000FF"/>
      <name val="Arial"/>
    </font>
    <font>
      <u/>
      <sz val="9.0"/>
      <color rgb="FF000000"/>
    </font>
    <font>
      <b/>
      <u/>
      <sz val="9.0"/>
      <color rgb="FF999999"/>
      <name val="Arial"/>
    </font>
    <font>
      <b/>
      <u/>
      <sz val="10.0"/>
      <color rgb="FF1155CC"/>
      <name val="Arial"/>
    </font>
    <font>
      <b/>
      <i/>
      <sz val="10.0"/>
      <color rgb="FFFFFFFF"/>
      <name val="Arial"/>
    </font>
    <font>
      <b/>
      <i/>
      <sz val="9.0"/>
      <color rgb="FFFFFFFF"/>
    </font>
    <font>
      <b/>
      <u/>
      <sz val="9.0"/>
      <color rgb="FFE8B600"/>
      <name val="Arial"/>
    </font>
    <font>
      <u/>
      <sz val="9.0"/>
      <color rgb="FF1155CC"/>
    </font>
    <font>
      <b/>
      <i/>
      <sz val="9.0"/>
      <color rgb="FF000000"/>
    </font>
    <font>
      <b/>
      <u/>
      <sz val="9.0"/>
      <color rgb="FFE8B600"/>
      <name val="Arial"/>
    </font>
    <font>
      <b/>
      <u/>
      <sz val="9.0"/>
      <color rgb="FFE8B600"/>
      <name val="Arial"/>
    </font>
    <font>
      <u/>
      <sz val="9.0"/>
      <color rgb="FF1155CC"/>
      <name val="Arial"/>
    </font>
    <font>
      <b/>
      <u/>
      <sz val="9.0"/>
      <color rgb="FF0000FF"/>
      <name val="Arial"/>
    </font>
    <font>
      <u/>
      <sz val="9.0"/>
      <color rgb="FF1155CC"/>
      <name val="Arial"/>
    </font>
    <font>
      <b/>
      <u/>
      <sz val="9.0"/>
      <color rgb="FFB35C00"/>
      <name val="Arial"/>
    </font>
    <font>
      <b/>
      <u/>
      <sz val="9.0"/>
      <color rgb="FFE8B600"/>
      <name val="Arial"/>
    </font>
    <font>
      <u/>
      <sz val="9.0"/>
      <color rgb="FF000000"/>
    </font>
    <font>
      <u/>
      <sz val="9.0"/>
      <color rgb="FF000000"/>
      <name val="Arial"/>
    </font>
    <font>
      <b/>
      <u/>
      <sz val="9.0"/>
      <color rgb="FFE8B600"/>
    </font>
    <font>
      <b/>
      <u/>
      <sz val="9.0"/>
      <color rgb="FF0000FF"/>
      <name val="Arial"/>
    </font>
    <font>
      <u/>
      <sz val="9.0"/>
      <color rgb="FF0000FF"/>
      <name val="Arial"/>
    </font>
    <font>
      <u/>
      <sz val="9.0"/>
      <color rgb="FF000000"/>
      <name val="Arial"/>
    </font>
    <font>
      <u/>
      <sz val="9.0"/>
      <color rgb="FF1155CC"/>
    </font>
    <font>
      <b/>
      <u/>
      <sz val="9.0"/>
      <color rgb="FF999999"/>
      <name val="Arial"/>
    </font>
    <font>
      <b/>
      <u/>
      <sz val="9.0"/>
      <color rgb="FFE8B600"/>
      <name val="Arial"/>
    </font>
    <font>
      <b/>
      <u/>
      <sz val="9.0"/>
      <color rgb="FFB35C00"/>
    </font>
    <font>
      <u/>
      <sz val="9.0"/>
      <color rgb="FF1155CC"/>
      <name val="Arial"/>
    </font>
    <font>
      <b/>
      <u/>
      <sz val="9.0"/>
      <color rgb="FF999999"/>
    </font>
    <font>
      <b/>
      <u/>
      <sz val="9.0"/>
      <color rgb="FFB35C00"/>
    </font>
    <font>
      <b/>
      <u/>
      <sz val="9.0"/>
      <color rgb="FFE8B600"/>
      <name val="Arial"/>
    </font>
    <font>
      <u/>
      <sz val="9.0"/>
      <color rgb="FF1155CC"/>
      <name val="Arial"/>
    </font>
    <font>
      <b/>
      <u/>
      <sz val="9.0"/>
      <color rgb="FFE8B600"/>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E8B600"/>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font>
    <font>
      <b/>
      <u/>
      <sz val="9.0"/>
      <color rgb="FFE8B600"/>
      <name val="Arial"/>
    </font>
    <font>
      <b/>
      <i/>
      <sz val="9.0"/>
      <color rgb="FF6200BA"/>
      <name val="Arial"/>
    </font>
    <font>
      <b/>
      <sz val="9.0"/>
      <color rgb="FF0000FF"/>
      <name val="Arial"/>
    </font>
    <font>
      <u/>
      <sz val="9.0"/>
      <color rgb="FF1155CC"/>
      <name val="Arial"/>
    </font>
    <font>
      <b/>
      <u/>
      <sz val="9.0"/>
      <color rgb="FF999999"/>
      <name val="Arial"/>
    </font>
    <font>
      <u/>
      <sz val="9.0"/>
      <color rgb="FF1155CC"/>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0000FF"/>
    </font>
    <font>
      <b/>
      <u/>
      <sz val="9.0"/>
      <color rgb="FF999999"/>
      <name val="Arial"/>
    </font>
    <font>
      <u/>
      <sz val="9.0"/>
      <color rgb="FF0000FF"/>
    </font>
    <font>
      <u/>
      <sz val="9.0"/>
      <color rgb="FF1155CC"/>
      <name val="Arial"/>
    </font>
    <font>
      <u/>
      <sz val="9.0"/>
      <color rgb="FF0000FF"/>
      <name val="Arial"/>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font>
    <font>
      <u/>
      <sz val="9.0"/>
      <color rgb="FF1155CC"/>
    </font>
    <font>
      <u/>
      <sz val="9.0"/>
      <color rgb="FF1155CC"/>
      <name val="Arial"/>
    </font>
    <font>
      <b/>
      <sz val="9.0"/>
      <color rgb="FF4A86E8"/>
      <name val="Arial"/>
    </font>
    <font>
      <u/>
      <sz val="9.0"/>
      <color rgb="FF1155CC"/>
    </font>
    <font>
      <u/>
      <sz val="9.0"/>
      <color rgb="FF000000"/>
    </font>
    <font>
      <u/>
      <sz val="9.0"/>
      <color rgb="FF1155CC"/>
    </font>
    <font>
      <u/>
      <sz val="9.0"/>
      <color rgb="FF1155CC"/>
      <name val="Arial"/>
    </font>
    <font>
      <u/>
      <sz val="9.0"/>
      <color rgb="FF000000"/>
    </font>
    <font>
      <b/>
      <u/>
      <sz val="9.0"/>
      <color rgb="FF999999"/>
    </font>
    <font>
      <u/>
      <sz val="9.0"/>
      <color rgb="FF1155CC"/>
      <name val="Arial"/>
    </font>
    <font>
      <b/>
      <u/>
      <sz val="9.0"/>
      <color rgb="FFB35C00"/>
    </font>
    <font>
      <u/>
      <sz val="9.0"/>
      <color rgb="FF1155CC"/>
    </font>
    <font>
      <u/>
      <sz val="9.0"/>
      <color rgb="FF1155CC"/>
    </font>
    <font>
      <u/>
      <sz val="9.0"/>
      <color rgb="FF000000"/>
      <name val="Arial"/>
    </font>
    <font>
      <u/>
      <sz val="9.0"/>
      <color rgb="FF1155CC"/>
      <name val="Arial"/>
    </font>
    <font>
      <b/>
      <u/>
      <sz val="9.0"/>
      <color rgb="FF999999"/>
    </font>
    <font>
      <u/>
      <sz val="9.0"/>
      <color rgb="FF000000"/>
    </font>
    <font>
      <u/>
      <sz val="9.0"/>
      <color rgb="FF1155CC"/>
    </font>
    <font>
      <u/>
      <sz val="9.0"/>
      <color rgb="FF1155CC"/>
      <name val="Arial"/>
    </font>
    <font>
      <u/>
      <sz val="9.0"/>
      <color rgb="FF000000"/>
      <name val="Arial"/>
    </font>
    <font>
      <u/>
      <sz val="9.0"/>
      <color rgb="FF1155CC"/>
    </font>
    <font>
      <u/>
      <sz val="9.0"/>
      <color rgb="FF1155CC"/>
      <name val="Arial"/>
    </font>
    <font>
      <b/>
      <u/>
      <sz val="9.0"/>
      <color rgb="FF999999"/>
    </font>
    <font>
      <u/>
      <sz val="9.0"/>
      <color rgb="FF1155CC"/>
    </font>
    <font>
      <u/>
      <sz val="9.0"/>
      <color rgb="FF1155CC"/>
    </font>
    <font>
      <b/>
      <u/>
      <sz val="9.0"/>
      <color rgb="FFB35C00"/>
      <name val="Arial"/>
    </font>
    <font>
      <u/>
      <sz val="9.0"/>
      <color rgb="FF000000"/>
    </font>
    <font>
      <b/>
      <u/>
      <sz val="9.0"/>
      <color rgb="FF999999"/>
      <name val="Arial"/>
    </font>
    <font>
      <u/>
      <sz val="9.0"/>
      <color rgb="FF000000"/>
      <name val="Arial"/>
    </font>
    <font>
      <u/>
      <sz val="9.0"/>
      <color rgb="FF000000"/>
      <name val="Arial"/>
    </font>
    <font>
      <u/>
      <sz val="9.0"/>
      <color rgb="FF1155CC"/>
    </font>
    <font>
      <b/>
      <u/>
      <sz val="9.0"/>
      <color rgb="FF999999"/>
    </font>
    <font>
      <u/>
      <sz val="9.0"/>
      <color rgb="FF000000"/>
    </font>
    <font>
      <b/>
      <u/>
      <sz val="9.0"/>
      <color rgb="FFB35C00"/>
    </font>
    <font>
      <u/>
      <sz val="9.0"/>
      <color rgb="FF1155CC"/>
    </font>
    <font>
      <u/>
      <sz val="9.0"/>
      <color rgb="FF000000"/>
    </font>
    <font>
      <b/>
      <u/>
      <sz val="9.0"/>
      <color rgb="FF999999"/>
      <name val="Arial"/>
    </font>
    <font>
      <b/>
    </font>
    <font>
      <u/>
      <sz val="9.0"/>
      <color rgb="FF1155CC"/>
    </font>
    <font>
      <b/>
      <color rgb="FFFFFFFF"/>
    </font>
    <font>
      <b/>
      <u/>
      <sz val="9.0"/>
      <color rgb="FF999999"/>
    </font>
    <font>
      <b/>
      <u/>
      <sz val="9.0"/>
      <color rgb="FFE8B600"/>
    </font>
    <font>
      <b/>
      <sz val="9.0"/>
    </font>
    <font>
      <b/>
      <u/>
      <sz val="9.0"/>
      <color rgb="FF999999"/>
      <name val="Arial"/>
    </font>
    <font>
      <u/>
      <sz val="9.0"/>
      <color rgb="FF1155CC"/>
    </font>
    <font>
      <u/>
      <sz val="9.0"/>
      <color rgb="FF000000"/>
      <name val="Arial"/>
    </font>
    <font>
      <b/>
      <u/>
      <sz val="9.0"/>
      <color rgb="FFB35C00"/>
      <name val="Arial"/>
    </font>
    <font>
      <u/>
      <sz val="9.0"/>
      <color rgb="FF000000"/>
    </font>
    <font>
      <b/>
      <u/>
      <sz val="9.0"/>
      <color rgb="FFE8B600"/>
    </font>
    <font>
      <u/>
      <sz val="9.0"/>
      <color rgb="FF1155CC"/>
    </font>
    <font>
      <u/>
      <sz val="9.0"/>
      <color rgb="FF000000"/>
    </font>
    <font>
      <u/>
      <sz val="9.0"/>
      <color rgb="FF1155CC"/>
      <name val="Arial"/>
    </font>
    <font>
      <b/>
      <u/>
      <sz val="9.0"/>
      <color rgb="FF999999"/>
    </font>
    <font>
      <u/>
      <sz val="9.0"/>
      <color rgb="FF1155CC"/>
    </font>
    <font>
      <b/>
      <u/>
      <sz val="9.0"/>
      <color rgb="FFE8B600"/>
    </font>
    <font>
      <b/>
      <u/>
      <sz val="9.0"/>
      <color rgb="FFB35C00"/>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font>
    <font>
      <b/>
      <u/>
      <sz val="9.0"/>
      <color rgb="FFB35C00"/>
      <name val="Arial"/>
    </font>
    <font>
      <u/>
      <sz val="9.0"/>
      <color rgb="FF000000"/>
      <name val="Arial"/>
    </font>
    <font>
      <u/>
      <sz val="9.0"/>
      <color rgb="FF0000FF"/>
    </font>
    <font>
      <sz val="9.0"/>
      <color rgb="FF0000FF"/>
      <name val="Arial"/>
    </font>
    <font>
      <b/>
      <u/>
      <sz val="9.0"/>
      <color rgb="FF999999"/>
      <name val="Arial"/>
    </font>
    <font>
      <sz val="9.0"/>
      <color rgb="FF1155CC"/>
    </font>
    <font>
      <b/>
      <u/>
      <sz val="9.0"/>
      <color rgb="FFE8B600"/>
    </font>
    <font>
      <b/>
      <sz val="18.0"/>
      <name val="Arial"/>
    </font>
    <font>
      <u/>
      <sz val="9.0"/>
      <name val="Arial"/>
    </font>
    <font>
      <b/>
      <u/>
      <sz val="9.0"/>
      <color rgb="FF0000FF"/>
    </font>
    <font>
      <u/>
      <sz val="9.0"/>
      <color rgb="FF0000FF"/>
      <name val="Arial"/>
    </font>
    <font>
      <u/>
      <sz val="9.0"/>
      <color rgb="FF000000"/>
      <name val="Arial"/>
    </font>
    <font>
      <u/>
      <sz val="9.0"/>
      <color rgb="FF000000"/>
      <name val="Arial"/>
    </font>
    <font>
      <u/>
      <sz val="9.0"/>
      <color rgb="FF0B5394"/>
      <name val="Arial"/>
    </font>
    <font>
      <b/>
      <u/>
      <sz val="9.0"/>
      <color rgb="FF999999"/>
      <name val="Arial"/>
    </font>
    <font>
      <b/>
      <u/>
      <sz val="9.0"/>
      <color rgb="FFE8B600"/>
      <name val="Arial"/>
    </font>
    <font>
      <b/>
      <u/>
      <sz val="9.0"/>
      <color rgb="FFB35C00"/>
      <name val="Arial"/>
    </font>
    <font>
      <b/>
      <u/>
      <sz val="9.0"/>
      <color rgb="FFE8B600"/>
    </font>
    <font>
      <u/>
      <sz val="9.0"/>
      <color rgb="FF0000FF"/>
      <name val="Arial"/>
    </font>
    <font>
      <b/>
      <u/>
      <sz val="9.0"/>
      <color rgb="FF999999"/>
    </font>
    <font>
      <b/>
      <u/>
      <sz val="9.0"/>
      <color rgb="FFB35C00"/>
    </font>
    <font>
      <b/>
      <sz val="9.0"/>
      <color rgb="FF274E13"/>
      <name val="Arial"/>
    </font>
    <font>
      <u/>
      <sz val="9.0"/>
      <color rgb="FF000000"/>
      <name val="Arial"/>
    </font>
    <font>
      <b/>
      <u/>
      <sz val="9.0"/>
      <color rgb="FFB35C00"/>
    </font>
    <font>
      <b/>
      <u/>
      <sz val="9.0"/>
      <color rgb="FFE8B600"/>
    </font>
    <font>
      <b/>
      <u/>
      <sz val="9.0"/>
      <color rgb="FF0000FF"/>
      <name val="Arial"/>
    </font>
    <font>
      <u/>
      <sz val="9.0"/>
      <color rgb="FF000000"/>
      <name val="Arial"/>
    </font>
    <font>
      <b/>
      <u/>
      <sz val="9.0"/>
      <color rgb="FF0000FF"/>
      <name val="Arial"/>
    </font>
    <font>
      <u/>
      <sz val="9.0"/>
      <color rgb="FF1155CC"/>
      <name val="Arial"/>
    </font>
    <font>
      <b/>
      <u/>
      <sz val="9.0"/>
      <color rgb="FFB35C00"/>
    </font>
    <font>
      <u/>
      <sz val="9.0"/>
      <color rgb="FF1155CC"/>
      <name val="Arial"/>
    </font>
    <font>
      <b/>
      <u/>
      <sz val="9.0"/>
      <color rgb="FF999999"/>
    </font>
    <font>
      <b/>
      <u/>
      <sz val="9.0"/>
      <color rgb="FFB35C00"/>
    </font>
    <font>
      <u/>
      <sz val="9.0"/>
      <color rgb="FF000000"/>
      <name val="Arial"/>
    </font>
    <font>
      <b/>
      <u/>
      <sz val="9.0"/>
      <color rgb="FFB35C00"/>
    </font>
    <font>
      <b/>
      <sz val="9.0"/>
      <color rgb="FFA64D79"/>
    </font>
    <font>
      <b/>
      <u/>
      <sz val="9.0"/>
      <color rgb="FFB35C00"/>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u/>
      <sz val="9.0"/>
      <color rgb="FF1155CC"/>
      <name val="Arial"/>
    </font>
    <font>
      <color rgb="FF000000"/>
      <name val="Arial"/>
    </font>
    <font>
      <b/>
      <u/>
      <sz val="9.0"/>
      <color rgb="FFB35C00"/>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font>
    <font>
      <sz val="9.0"/>
      <color rgb="FF1155CC"/>
      <name val="Arial"/>
    </font>
    <font>
      <u/>
      <sz val="9.0"/>
      <color rgb="FF1155CC"/>
      <name val="Arial"/>
    </font>
    <font>
      <b/>
      <u/>
      <sz val="9.0"/>
      <color rgb="FFE8B600"/>
      <name val="Arial"/>
    </font>
    <font>
      <b/>
      <u/>
      <sz val="9.0"/>
      <color rgb="FF1155CC"/>
      <name val="Arial"/>
    </font>
    <font>
      <u/>
      <sz val="9.0"/>
      <color rgb="FF1155CC"/>
      <name val="Arial"/>
    </font>
    <font>
      <b/>
      <sz val="9.0"/>
      <color rgb="FFA30000"/>
    </font>
    <font>
      <b/>
      <sz val="9.0"/>
      <color rgb="FFCC0000"/>
      <name val="Arial"/>
    </font>
    <font>
      <b/>
      <u/>
      <sz val="9.0"/>
      <color rgb="FFE8B600"/>
    </font>
    <font>
      <b/>
      <sz val="9.0"/>
      <color rgb="FFEE9696"/>
      <name val="Arial"/>
    </font>
    <font>
      <b/>
      <sz val="9.0"/>
      <color rgb="FFFFFF00"/>
      <name val="Arial"/>
    </font>
    <font>
      <u/>
      <sz val="9.0"/>
      <color rgb="FF1155CC"/>
      <name val="Arial"/>
    </font>
    <font>
      <b/>
      <u/>
      <sz val="9.0"/>
      <color rgb="FFE8B600"/>
      <name val="Arial"/>
    </font>
    <font>
      <b/>
      <u/>
      <sz val="9.0"/>
      <color rgb="FFB35C00"/>
      <name val="Arial"/>
    </font>
    <font>
      <b/>
      <sz val="9.0"/>
      <color rgb="FF38761D"/>
    </font>
    <font>
      <u/>
      <sz val="9.0"/>
      <color rgb="FF000000"/>
    </font>
    <font>
      <u/>
      <sz val="9.0"/>
      <color rgb="FF1155CC"/>
      <name val="Arial"/>
    </font>
    <font>
      <u/>
      <sz val="9.0"/>
      <color rgb="FF1155CC"/>
      <name val="Arial"/>
    </font>
    <font>
      <u/>
      <sz val="9.0"/>
      <color rgb="FF1155CC"/>
    </font>
    <font>
      <u/>
      <sz val="9.0"/>
      <color rgb="FF1155CC"/>
    </font>
    <font>
      <b/>
      <u/>
      <sz val="9.0"/>
      <color rgb="FFB35C00"/>
    </font>
    <font>
      <b/>
      <u/>
      <sz val="9.0"/>
      <color rgb="FF1155CC"/>
      <name val="Arial"/>
    </font>
    <font>
      <b/>
      <sz val="9.0"/>
      <color rgb="FF00CBCB"/>
    </font>
    <font>
      <b/>
      <sz val="9.0"/>
      <color rgb="FF6495ED"/>
      <name val="Arial"/>
    </font>
    <font>
      <u/>
      <sz val="9.0"/>
      <color rgb="FF1155CC"/>
    </font>
    <font>
      <u/>
      <sz val="9.0"/>
      <color rgb="FF1155CC"/>
      <name val="Arial"/>
    </font>
    <font>
      <b/>
      <u/>
      <sz val="9.0"/>
      <color rgb="FF999999"/>
    </font>
    <font>
      <b/>
      <u/>
      <sz val="9.0"/>
      <color rgb="FFB35C00"/>
      <name val="Arial"/>
    </font>
    <font>
      <u/>
      <sz val="9.0"/>
      <color rgb="FF1155CC"/>
      <name val="Arial"/>
    </font>
    <font>
      <b/>
      <u/>
      <sz val="9.0"/>
      <color rgb="FF999999"/>
    </font>
    <font>
      <b/>
      <u/>
      <sz val="9.0"/>
      <color rgb="FF999999"/>
      <name val="Arial"/>
    </font>
    <font>
      <u/>
      <sz val="9.0"/>
      <color rgb="FF1155CC"/>
    </font>
    <font>
      <u/>
      <sz val="9.0"/>
      <color rgb="FF1155CC"/>
      <name val="Arial"/>
    </font>
    <font>
      <b/>
      <u/>
      <sz val="9.0"/>
      <color rgb="FF999999"/>
    </font>
    <font>
      <b/>
      <u/>
      <sz val="9.0"/>
      <color rgb="FF999999"/>
    </font>
    <font>
      <b/>
      <u/>
      <sz val="9.0"/>
      <color rgb="FF1155CC"/>
      <name val="Arial"/>
    </font>
    <font>
      <b/>
      <u/>
      <sz val="9.0"/>
      <color rgb="FF999999"/>
      <name val="Arial"/>
    </font>
    <font>
      <u/>
      <sz val="9.0"/>
      <color rgb="FF1155CC"/>
      <name val="Arial"/>
    </font>
    <font>
      <b/>
      <u/>
      <sz val="9.0"/>
      <color rgb="FFE8B600"/>
      <name val="Arial"/>
    </font>
    <font>
      <b/>
      <sz val="9.0"/>
      <color rgb="FFD8B400"/>
      <name val="Arial"/>
    </font>
    <font>
      <b/>
      <sz val="9.0"/>
      <color rgb="FFC27BA0"/>
      <name val="Arial"/>
    </font>
    <font>
      <b/>
      <i/>
      <sz val="9.0"/>
      <name val="Arial"/>
    </font>
    <font>
      <b/>
      <u/>
      <sz val="9.0"/>
      <color rgb="FF999999"/>
      <name val="Arial"/>
    </font>
    <font>
      <b/>
      <u/>
      <sz val="9.0"/>
      <color rgb="FFE8B600"/>
      <name val="Arial"/>
    </font>
    <font>
      <u/>
      <sz val="9.0"/>
      <color rgb="FF1155CC"/>
      <name val="Arial"/>
    </font>
    <font>
      <u/>
      <sz val="9.0"/>
      <color rgb="FF000000"/>
    </font>
    <font>
      <u/>
      <sz val="9.0"/>
      <color rgb="FF0000FF"/>
      <name val="Arial"/>
    </font>
    <font>
      <u/>
      <sz val="9.0"/>
      <color rgb="FF1155CC"/>
      <name val="Arial"/>
    </font>
    <font>
      <u/>
      <sz val="9.0"/>
      <color rgb="FF0000FF"/>
      <name val="Arial"/>
    </font>
    <font>
      <b/>
      <u/>
      <sz val="9.0"/>
      <color rgb="FF0000FF"/>
      <name val="Arial"/>
    </font>
    <font>
      <b/>
      <u/>
      <sz val="9.0"/>
      <color rgb="FF999999"/>
    </font>
    <font>
      <u/>
      <sz val="9.0"/>
      <color rgb="FF0000FF"/>
    </font>
    <font>
      <b/>
      <u/>
      <sz val="9.0"/>
      <color rgb="FFB35C00"/>
    </font>
    <font>
      <u/>
      <sz val="9.0"/>
      <color rgb="FF000000"/>
    </font>
    <font>
      <b/>
      <u/>
      <sz val="9.0"/>
      <color rgb="FFB35C00"/>
    </font>
    <font>
      <u/>
      <sz val="9.0"/>
      <color rgb="FF0000FF"/>
      <name val="Arial"/>
    </font>
    <font>
      <b/>
      <u/>
      <sz val="9.0"/>
      <color rgb="FFE8B600"/>
    </font>
    <font>
      <b/>
      <u/>
      <sz val="9.0"/>
      <color rgb="FF999999"/>
    </font>
    <font>
      <b/>
      <u/>
      <sz val="9.0"/>
      <color rgb="FF999999"/>
    </font>
    <font>
      <b/>
      <u/>
      <sz val="9.0"/>
      <color rgb="FFB35C00"/>
    </font>
    <font>
      <u/>
      <sz val="9.0"/>
      <color rgb="FF000000"/>
    </font>
    <font>
      <b/>
      <sz val="9.0"/>
      <color rgb="FFD9EAD3"/>
      <name val="Arial"/>
    </font>
    <font>
      <u/>
      <sz val="9.0"/>
      <color rgb="FF0000FF"/>
      <name val="Arial"/>
    </font>
    <font>
      <u/>
      <sz val="9.0"/>
      <color rgb="FF0000FF"/>
      <name val="Arial"/>
    </font>
    <font>
      <u/>
      <sz val="9.0"/>
      <color rgb="FF000000"/>
    </font>
    <font>
      <b/>
      <sz val="9.0"/>
      <color rgb="FF7C1FD0"/>
    </font>
    <font>
      <b/>
      <u/>
      <sz val="9.0"/>
      <color rgb="FFE8B600"/>
    </font>
    <font>
      <b/>
      <u/>
      <sz val="9.0"/>
      <color rgb="FF999999"/>
    </font>
    <font>
      <u/>
      <sz val="9.0"/>
      <color rgb="FF000000"/>
      <name val="Arial"/>
    </font>
    <font>
      <b/>
      <u/>
      <sz val="9.0"/>
      <color rgb="FFE8B600"/>
    </font>
    <font>
      <b/>
      <u/>
      <sz val="9.0"/>
      <color rgb="FF999999"/>
    </font>
    <font>
      <b/>
      <sz val="9.0"/>
      <color rgb="FFFF7800"/>
    </font>
    <font>
      <u/>
      <sz val="9.0"/>
      <color rgb="FF1155CC"/>
      <name val="Arial"/>
    </font>
    <font>
      <b/>
      <u/>
      <sz val="9.0"/>
      <color rgb="FF1155CC"/>
      <name val="Arial"/>
    </font>
    <font>
      <b/>
      <u/>
      <sz val="9.0"/>
      <color rgb="FFB35C00"/>
    </font>
    <font>
      <u/>
      <sz val="9.0"/>
      <color rgb="FF0000FF"/>
      <name val="Arial"/>
    </font>
    <font>
      <b/>
      <u/>
      <sz val="9.0"/>
      <color rgb="FFE8B600"/>
    </font>
    <font>
      <b/>
      <u/>
      <sz val="9.0"/>
      <color rgb="FF0000FF"/>
      <name val="Arial"/>
    </font>
    <font>
      <b/>
      <sz val="9.0"/>
      <color rgb="FFFF9900"/>
    </font>
    <font>
      <u/>
      <sz val="9.0"/>
      <color rgb="FF0000FF"/>
      <name val="Arial"/>
    </font>
    <font>
      <u/>
      <sz val="9.0"/>
      <color rgb="FF0000FF"/>
      <name val="Arial"/>
    </font>
    <font>
      <u/>
      <sz val="9.0"/>
      <color rgb="FF1155CC"/>
      <name val="Arial"/>
    </font>
    <font>
      <b/>
      <u/>
      <sz val="9.0"/>
      <color rgb="FF0000FF"/>
      <name val="Arial"/>
    </font>
    <font>
      <u/>
      <sz val="9.0"/>
      <color rgb="FF1155CC"/>
      <name val="Arial"/>
    </font>
    <font>
      <b/>
      <sz val="9.0"/>
      <color rgb="FF044DAA"/>
    </font>
    <font>
      <b/>
      <name val="Arial"/>
    </font>
    <font>
      <b/>
      <u/>
      <sz val="9.0"/>
      <color rgb="FFB35C00"/>
    </font>
    <font>
      <b/>
      <u/>
      <sz val="9.0"/>
      <color rgb="FFE8B600"/>
    </font>
    <font>
      <b/>
      <u/>
      <sz val="9.0"/>
      <color rgb="FF0000FF"/>
      <name val="Arial"/>
    </font>
    <font>
      <b/>
      <u/>
      <sz val="9.0"/>
      <color rgb="FFE8B600"/>
    </font>
    <font>
      <b/>
      <sz val="18.0"/>
      <color rgb="FFFFFFFF"/>
      <name val="Arial"/>
    </font>
    <font>
      <sz val="9.0"/>
      <color rgb="FFFFFFFF"/>
      <name val="Arial"/>
    </font>
    <font>
      <b/>
      <sz val="9.0"/>
      <color rgb="FFF3F3F3"/>
      <name val="Arial"/>
    </font>
    <font>
      <b/>
      <sz val="9.0"/>
      <color rgb="FF990000"/>
      <name val="Arial"/>
    </font>
    <font>
      <u/>
      <sz val="9.0"/>
      <color rgb="FF0000FF"/>
      <name val="Arial"/>
    </font>
    <font>
      <b/>
      <sz val="9.0"/>
      <color rgb="FF1155CC"/>
      <name val="Arial"/>
    </font>
    <font>
      <b/>
      <sz val="9.0"/>
      <color rgb="FF38761D"/>
      <name val="Arial"/>
    </font>
    <font>
      <u/>
      <sz val="9.0"/>
      <color rgb="FF1155CC"/>
      <name val="Arial"/>
    </font>
    <font>
      <b/>
      <u/>
      <sz val="9.0"/>
      <color rgb="FF990000"/>
    </font>
    <font>
      <u/>
      <sz val="9.0"/>
      <color rgb="FF000000"/>
      <name val="Arial"/>
    </font>
    <font>
      <b/>
      <u/>
      <sz val="9.0"/>
      <color rgb="FF990000"/>
      <name val="Arial"/>
    </font>
    <font>
      <b/>
      <u/>
      <sz val="9.0"/>
      <color rgb="FF990000"/>
      <name val="Arial"/>
    </font>
    <font>
      <b/>
      <u/>
      <sz val="9.0"/>
      <color rgb="FF999999"/>
    </font>
    <font>
      <b/>
      <u/>
      <sz val="9.0"/>
      <color rgb="FF990000"/>
    </font>
    <font>
      <u/>
      <sz val="9.0"/>
      <color rgb="FF000000"/>
      <name val="Arial"/>
    </font>
    <font>
      <b/>
      <u/>
      <sz val="9.0"/>
      <color rgb="FF0000FF"/>
    </font>
    <font>
      <u/>
      <sz val="9.0"/>
      <color rgb="FF0000FF"/>
    </font>
    <font>
      <b/>
      <sz val="9.0"/>
      <color rgb="FFFF0000"/>
    </font>
    <font>
      <u/>
      <sz val="9.0"/>
      <color rgb="FF000000"/>
      <name val="Arial"/>
    </font>
    <font>
      <u/>
      <sz val="9.0"/>
      <color rgb="FF0000FF"/>
      <name val="Arial"/>
    </font>
    <font>
      <u/>
      <sz val="9.0"/>
      <color rgb="FF0000FF"/>
      <name val="Arial"/>
    </font>
    <font>
      <u/>
      <sz val="9.0"/>
      <color rgb="FF0000FF"/>
      <name val="Arial"/>
    </font>
    <font>
      <u/>
      <sz val="9.0"/>
      <color rgb="FF0000FF"/>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9.0"/>
      <color rgb="FF6AA84F"/>
    </font>
    <font>
      <u/>
      <sz val="9.0"/>
      <color rgb="FF1155CC"/>
    </font>
    <font>
      <u/>
      <sz val="9.0"/>
      <color rgb="FF000000"/>
      <name val="Arial"/>
    </font>
    <font>
      <b/>
      <u/>
      <sz val="9.0"/>
      <color rgb="FF1155CC"/>
      <name val="Arial"/>
    </font>
    <font>
      <b/>
      <u/>
      <sz val="9.0"/>
      <color rgb="FFB35C00"/>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6F702E"/>
    </font>
    <font>
      <b/>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00"/>
    </font>
    <font>
      <b/>
      <u/>
      <sz val="9.0"/>
      <color rgb="FF1155CC"/>
      <name val="Arial"/>
    </font>
    <font>
      <u/>
      <sz val="9.0"/>
      <color rgb="FF000000"/>
      <name val="Arial"/>
    </font>
    <font>
      <u/>
      <sz val="9.0"/>
      <color rgb="FF0000FF"/>
      <name val="Arial"/>
    </font>
    <font>
      <u/>
      <sz val="9.0"/>
      <color rgb="FF1155CC"/>
      <name val="Arial"/>
    </font>
    <font>
      <u/>
      <sz val="9.0"/>
      <color rgb="FF000000"/>
      <name val="Arial"/>
    </font>
    <font>
      <u/>
      <sz val="9.0"/>
      <color rgb="FF1155CC"/>
    </font>
    <font>
      <b/>
      <u/>
      <sz val="9.0"/>
      <color rgb="FF38761D"/>
      <name val="Arial"/>
    </font>
    <font>
      <u/>
      <sz val="9.0"/>
      <color rgb="FF1155CC"/>
      <name val="Arial"/>
    </font>
    <font>
      <b/>
      <sz val="18.0"/>
      <color rgb="FFF3F3F3"/>
      <name val="Arial"/>
    </font>
    <font>
      <b/>
      <u/>
      <sz val="9.0"/>
      <color rgb="FF38761D"/>
    </font>
    <font>
      <u/>
      <sz val="9.0"/>
      <color rgb="FF1155CC"/>
      <name val="Arial"/>
    </font>
    <font>
      <b/>
      <u/>
      <sz val="9.0"/>
      <color rgb="FFB35C00"/>
    </font>
    <font>
      <b/>
      <u/>
      <sz val="9.0"/>
      <color rgb="FF38761D"/>
    </font>
    <font>
      <b/>
      <u/>
      <sz val="9.0"/>
      <color rgb="FFB35C00"/>
    </font>
    <font>
      <sz val="9.0"/>
      <color rgb="FF000000"/>
      <name val="&quot;Arial&quot;"/>
    </font>
    <font>
      <b/>
      <sz val="9.0"/>
      <color rgb="FF414C9B"/>
    </font>
    <font>
      <u/>
      <sz val="9.0"/>
      <color rgb="FF1155CC"/>
      <name val="Arial"/>
    </font>
    <font>
      <b/>
      <sz val="9.0"/>
      <color rgb="FFBF9000"/>
      <name val="Arial"/>
    </font>
    <font>
      <b/>
      <sz val="9.0"/>
      <color rgb="FFBF9000"/>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0000FF"/>
      <name val="Arial"/>
    </font>
    <font>
      <u/>
      <sz val="9.0"/>
      <color rgb="FF1155CC"/>
      <name val="Arial"/>
    </font>
    <font>
      <u/>
      <sz val="9.0"/>
      <color rgb="FF0000FF"/>
    </font>
    <font>
      <u/>
      <sz val="9.0"/>
      <color rgb="FF0000FF"/>
      <name val="Arial"/>
    </font>
    <font>
      <u/>
      <sz val="9.0"/>
      <color rgb="FF0000FF"/>
      <name val="Arial"/>
    </font>
    <font>
      <u/>
      <sz val="9.0"/>
      <color rgb="FF1155CC"/>
      <name val="Arial"/>
    </font>
    <font>
      <u/>
      <sz val="9.0"/>
      <color rgb="FF0000FF"/>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0000FF"/>
      <name val="Arial"/>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b/>
      <sz val="9.0"/>
      <color rgb="FF562757"/>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E8EAFF"/>
        <bgColor rgb="FFE8EAFF"/>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FDE3F5"/>
        <bgColor rgb="FFFDE3F5"/>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0" fontId="21"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7" fillId="4" fontId="23" numFmtId="49" xfId="0" applyAlignment="1" applyBorder="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8" fontId="24"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7" fontId="25" numFmtId="49" xfId="0" applyAlignment="1" applyFill="1" applyFont="1" applyNumberFormat="1">
      <alignment vertical="center"/>
    </xf>
    <xf borderId="0" fillId="0" fontId="26" numFmtId="49" xfId="0" applyAlignment="1" applyFont="1" applyNumberFormat="1">
      <alignment horizontal="center" readingOrder="0" vertical="center"/>
    </xf>
    <xf borderId="0" fillId="7" fontId="27" numFmtId="49" xfId="0" applyAlignment="1" applyFill="1" applyFont="1" applyNumberFormat="1">
      <alignment horizontal="center" vertical="center"/>
    </xf>
    <xf borderId="0" fillId="7" fontId="28" numFmtId="49" xfId="0" applyAlignment="1" applyFill="1" applyFont="1" applyNumberFormat="1">
      <alignment vertical="center"/>
    </xf>
    <xf borderId="0" fillId="23" fontId="24"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7" fontId="29" numFmtId="49" xfId="0" applyAlignment="1" applyFill="1" applyFont="1" applyNumberFormat="1">
      <alignment vertical="center"/>
    </xf>
    <xf borderId="0" fillId="17" fontId="30" numFmtId="49" xfId="0" applyAlignment="1" applyFill="1" applyFont="1" applyNumberFormat="1">
      <alignment horizontal="center" readingOrder="0" shrinkToFit="0" textRotation="0" vertical="center" wrapText="1"/>
    </xf>
    <xf borderId="0" fillId="17" fontId="26" numFmtId="49" xfId="0" applyAlignment="1" applyFill="1" applyFont="1" applyNumberFormat="1">
      <alignment horizontal="center" readingOrder="0" shrinkToFit="0" textRotation="0" vertical="center" wrapText="1"/>
    </xf>
    <xf borderId="0" fillId="18" fontId="26"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shrinkToFit="0" vertical="center" wrapText="1"/>
    </xf>
    <xf borderId="0" fillId="19" fontId="31" numFmtId="49" xfId="0" applyAlignment="1" applyFill="1" applyFont="1" applyNumberFormat="1">
      <alignment horizontal="center" readingOrder="0" shrinkToFit="0" vertical="center" wrapText="1"/>
    </xf>
    <xf borderId="0" fillId="17" fontId="17" numFmtId="49" xfId="0" applyAlignment="1" applyFill="1" applyFont="1" applyNumberFormat="1">
      <alignment readingOrder="0" vertical="center"/>
    </xf>
    <xf borderId="0" fillId="17" fontId="23" numFmtId="49" xfId="0" applyAlignment="1" applyFill="1" applyFont="1" applyNumberFormat="1">
      <alignment readingOrder="0" shrinkToFit="0" vertical="center" wrapText="0"/>
    </xf>
    <xf borderId="0" fillId="20" fontId="26"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21" fontId="26"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22" fontId="26"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3" fontId="26"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3" fontId="33" numFmtId="49" xfId="0" applyAlignment="1" applyFill="1" applyFont="1" applyNumberFormat="1">
      <alignment horizontal="center" readingOrder="0" vertical="center"/>
    </xf>
    <xf borderId="0" fillId="24" fontId="26" numFmtId="49" xfId="0" applyAlignment="1" applyFill="1" applyFont="1" applyNumberFormat="1">
      <alignment horizontal="center" readingOrder="0" shrinkToFit="0" textRotation="0" vertical="center" wrapText="1"/>
    </xf>
    <xf borderId="0" fillId="27" fontId="17" numFmtId="49" xfId="0" applyAlignment="1" applyFill="1" applyFont="1" applyNumberFormat="1">
      <alignment horizontal="center" readingOrder="0" vertical="center"/>
    </xf>
    <xf borderId="0" fillId="27" fontId="17" numFmtId="49" xfId="0" applyAlignment="1" applyFill="1" applyFont="1" applyNumberFormat="1">
      <alignment horizontal="center" readingOrder="0" shrinkToFit="0" vertical="center" wrapText="1"/>
    </xf>
    <xf borderId="0" fillId="26" fontId="34" numFmtId="49" xfId="0" applyAlignment="1" applyFill="1" applyFont="1" applyNumberFormat="1">
      <alignment horizontal="center" readingOrder="0" vertical="center"/>
    </xf>
    <xf borderId="0" fillId="0" fontId="35" numFmtId="49" xfId="0" applyFont="1" applyNumberFormat="1"/>
    <xf borderId="0" fillId="0" fontId="36" numFmtId="49" xfId="0" applyAlignment="1" applyFont="1" applyNumberFormat="1">
      <alignment horizontal="center" readingOrder="0" vertical="center"/>
    </xf>
    <xf borderId="0" fillId="0" fontId="37" numFmtId="49" xfId="0" applyAlignment="1" applyFont="1" applyNumberFormat="1">
      <alignment horizontal="right" readingOrder="0" vertical="center"/>
    </xf>
    <xf borderId="8" fillId="27" fontId="17" numFmtId="49" xfId="0" applyAlignment="1" applyBorder="1" applyFill="1" applyFont="1" applyNumberFormat="1">
      <alignment horizontal="center" readingOrder="0" vertical="center"/>
    </xf>
    <xf borderId="0" fillId="0" fontId="17"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textRotation="0" vertical="center" wrapText="1"/>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8" fontId="24"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vertical="center"/>
    </xf>
    <xf borderId="0" fillId="26" fontId="44"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45" numFmtId="49" xfId="0" applyAlignment="1" applyFont="1" applyNumberFormat="1">
      <alignment horizontal="right" readingOrder="0" vertical="center"/>
    </xf>
    <xf borderId="0" fillId="0" fontId="4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36" numFmtId="49" xfId="0" applyAlignment="1" applyFont="1" applyNumberFormat="1">
      <alignment horizontal="center" vertical="center"/>
    </xf>
    <xf borderId="9" fillId="0" fontId="49"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9" fillId="0" fontId="50" numFmtId="49" xfId="0" applyAlignment="1" applyBorder="1" applyFont="1" applyNumberFormat="1">
      <alignment horizontal="center" readingOrder="0" vertical="center"/>
    </xf>
    <xf borderId="0" fillId="6" fontId="5" numFmtId="49" xfId="0" applyAlignment="1" applyFill="1" applyFont="1" applyNumberFormat="1">
      <alignment horizontal="center" vertical="center"/>
    </xf>
    <xf borderId="0" fillId="0" fontId="51" numFmtId="49" xfId="0" applyAlignment="1" applyFont="1" applyNumberFormat="1">
      <alignment horizontal="center" readingOrder="0" vertical="center"/>
    </xf>
    <xf borderId="0" fillId="32" fontId="27" numFmtId="49" xfId="0" applyAlignment="1" applyFill="1" applyFont="1" applyNumberFormat="1">
      <alignment horizontal="center" vertical="center"/>
    </xf>
    <xf borderId="0" fillId="6" fontId="22"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36" numFmtId="49" xfId="0" applyAlignment="1" applyFont="1" applyNumberFormat="1">
      <alignment vertical="center"/>
    </xf>
    <xf borderId="0" fillId="33" fontId="17" numFmtId="49" xfId="0" applyAlignment="1" applyFill="1" applyFont="1" applyNumberFormat="1">
      <alignment vertical="center"/>
    </xf>
    <xf borderId="0" fillId="33" fontId="23" numFmtId="49" xfId="0" applyAlignment="1" applyFill="1" applyFont="1" applyNumberFormat="1">
      <alignment horizontal="left" readingOrder="0" shrinkToFit="0" vertical="center" wrapText="0"/>
    </xf>
    <xf borderId="0" fillId="0" fontId="17" numFmtId="49" xfId="0" applyAlignment="1" applyFont="1" applyNumberFormat="1">
      <alignment horizontal="right"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32" fontId="27"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17" fontId="26" numFmtId="49" xfId="0" applyAlignment="1" applyFill="1" applyFont="1" applyNumberFormat="1">
      <alignment horizontal="center" readingOrder="0" vertical="center"/>
    </xf>
    <xf borderId="0" fillId="26" fontId="57"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18" fontId="26"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19" fontId="31" numFmtId="49" xfId="0" applyAlignment="1" applyFill="1" applyFont="1" applyNumberFormat="1">
      <alignment horizontal="center" readingOrder="0" vertical="center"/>
    </xf>
    <xf borderId="0" fillId="0" fontId="60" numFmtId="49" xfId="0" applyAlignment="1" applyFont="1" applyNumberFormat="1">
      <alignment horizontal="center" readingOrder="0" vertical="center"/>
    </xf>
    <xf borderId="0" fillId="26" fontId="27" numFmtId="49" xfId="0" applyAlignment="1" applyFill="1" applyFont="1" applyNumberFormat="1">
      <alignment horizontal="center" vertical="center"/>
    </xf>
    <xf borderId="10" fillId="0" fontId="61" numFmtId="49" xfId="0" applyAlignment="1" applyBorder="1" applyFont="1" applyNumberFormat="1">
      <alignment horizontal="center" readingOrder="0" vertical="center"/>
    </xf>
    <xf borderId="0" fillId="6" fontId="31"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vertical="center"/>
    </xf>
    <xf borderId="0" fillId="17" fontId="17" numFmtId="49" xfId="0" applyAlignment="1" applyFill="1" applyFont="1" applyNumberFormat="1">
      <alignment vertical="center"/>
    </xf>
    <xf borderId="0" fillId="0" fontId="36" numFmtId="49" xfId="0" applyAlignment="1" applyFont="1" applyNumberFormat="1">
      <alignment horizontal="center" readingOrder="0" vertical="center"/>
    </xf>
    <xf borderId="0" fillId="17" fontId="23" numFmtId="49" xfId="0" applyAlignment="1" applyFill="1" applyFont="1" applyNumberFormat="1">
      <alignment horizontal="left" readingOrder="0" shrinkToFit="0" vertical="center" wrapText="0"/>
    </xf>
    <xf borderId="0" fillId="6" fontId="2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2" fontId="6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8" fontId="35" numFmtId="49" xfId="0" applyAlignment="1" applyFill="1" applyFont="1" applyNumberFormat="1">
      <alignment horizontal="center" vertical="center"/>
    </xf>
    <xf borderId="9" fillId="0" fontId="63" numFmtId="49" xfId="0" applyAlignment="1" applyBorder="1" applyFont="1" applyNumberFormat="1">
      <alignment horizontal="center" readingOrder="0" vertical="center"/>
    </xf>
    <xf borderId="0" fillId="0" fontId="64" numFmtId="49" xfId="0" applyAlignment="1" applyFont="1" applyNumberFormat="1">
      <alignment horizontal="center" readingOrder="0" vertical="center"/>
    </xf>
    <xf borderId="0" fillId="24" fontId="26" numFmtId="49" xfId="0" applyAlignment="1" applyFill="1" applyFont="1" applyNumberFormat="1">
      <alignment horizontal="center" readingOrder="0" shrinkToFit="0" vertical="center" wrapText="1"/>
    </xf>
    <xf borderId="0" fillId="25" fontId="17" numFmtId="49" xfId="0" applyAlignment="1" applyFill="1" applyFont="1" applyNumberFormat="1">
      <alignment readingOrder="0" vertical="center"/>
    </xf>
    <xf borderId="0" fillId="25" fontId="23" numFmtId="49" xfId="0" applyAlignment="1" applyFill="1" applyFont="1" applyNumberFormat="1">
      <alignment readingOrder="0" shrinkToFit="0" vertical="center" wrapText="0"/>
    </xf>
    <xf borderId="0" fillId="24" fontId="26" numFmtId="49" xfId="0" applyAlignment="1" applyFill="1" applyFont="1" applyNumberFormat="1">
      <alignment horizontal="center" readingOrder="0" shrinkToFit="0" vertical="center" wrapText="0"/>
    </xf>
    <xf borderId="0" fillId="0" fontId="65" numFmtId="49" xfId="0" applyAlignment="1" applyFont="1" applyNumberFormat="1">
      <alignment horizontal="center" readingOrder="0" vertical="center"/>
    </xf>
    <xf borderId="0" fillId="26" fontId="27"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26" fontId="27" numFmtId="49" xfId="0" applyAlignment="1" applyFill="1" applyFont="1" applyNumberFormat="1">
      <alignment horizontal="center" readingOrder="0" vertical="center"/>
    </xf>
    <xf borderId="0" fillId="32" fontId="66"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shrinkToFit="0" vertical="center" wrapText="1"/>
    </xf>
    <xf borderId="0" fillId="6" fontId="67" numFmtId="49" xfId="0" applyAlignment="1" applyFill="1" applyFont="1" applyNumberFormat="1">
      <alignment horizontal="center" shrinkToFit="0" vertical="center" wrapText="1"/>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shrinkToFit="0" vertical="center" wrapText="1"/>
    </xf>
    <xf borderId="0" fillId="27" fontId="31" numFmtId="49" xfId="0" applyAlignment="1" applyFill="1" applyFont="1" applyNumberFormat="1">
      <alignment horizontal="center" readingOrder="0" shrinkToFit="0" vertical="center" wrapText="1"/>
    </xf>
    <xf borderId="0" fillId="32" fontId="68" numFmtId="49" xfId="0" applyAlignment="1" applyFill="1" applyFont="1" applyNumberFormat="1">
      <alignment horizontal="center" readingOrder="0" vertical="center"/>
    </xf>
    <xf borderId="0" fillId="6" fontId="31" numFmtId="49" xfId="0" applyAlignment="1" applyFill="1" applyFont="1" applyNumberFormat="1">
      <alignment horizontal="center" readingOrder="0" shrinkToFit="0" vertical="center" wrapText="1"/>
    </xf>
    <xf borderId="0" fillId="28" fontId="26" numFmtId="49" xfId="0" applyAlignment="1" applyFill="1" applyFont="1" applyNumberFormat="1">
      <alignment horizontal="center" readingOrder="0" shrinkToFit="0" vertical="center" wrapText="1"/>
    </xf>
    <xf borderId="0" fillId="0" fontId="69" numFmtId="49" xfId="0" applyAlignment="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34" fontId="26" numFmtId="49" xfId="0" applyAlignment="1" applyFill="1" applyFont="1" applyNumberFormat="1">
      <alignment horizontal="center" readingOrder="0" shrinkToFit="0" vertical="center" wrapText="1"/>
    </xf>
    <xf borderId="0" fillId="26" fontId="26" numFmtId="49" xfId="0" applyAlignment="1" applyFill="1" applyFont="1" applyNumberFormat="1">
      <alignment horizontal="center" readingOrder="0" shrinkToFit="0" vertical="center" wrapText="1"/>
    </xf>
    <xf borderId="0" fillId="29" fontId="26" numFmtId="49" xfId="0" applyAlignment="1" applyFill="1" applyFont="1" applyNumberFormat="1">
      <alignment horizontal="center" readingOrder="0" shrinkToFit="0" vertical="center" wrapText="1"/>
    </xf>
    <xf borderId="0" fillId="8" fontId="67" numFmtId="49" xfId="0" applyAlignment="1" applyFill="1" applyFont="1" applyNumberFormat="1">
      <alignment horizontal="center" shrinkToFit="0" vertical="center" wrapText="1"/>
    </xf>
    <xf borderId="0" fillId="30" fontId="26" numFmtId="49" xfId="0" applyAlignment="1" applyFill="1" applyFont="1" applyNumberFormat="1">
      <alignment horizontal="center" readingOrder="0" shrinkToFit="0" vertical="center" wrapText="1"/>
    </xf>
    <xf borderId="0" fillId="35" fontId="26" numFmtId="49" xfId="0" applyAlignment="1" applyFill="1" applyFont="1" applyNumberFormat="1">
      <alignment horizontal="center" readingOrder="0" shrinkToFit="0" vertical="center" wrapText="1"/>
    </xf>
    <xf borderId="0" fillId="0" fontId="31" numFmtId="49" xfId="0" applyAlignment="1" applyFont="1" applyNumberFormat="1">
      <alignment horizontal="right" readingOrder="0" vertical="center"/>
    </xf>
    <xf borderId="0" fillId="5" fontId="17" numFmtId="49" xfId="0" applyAlignment="1" applyFill="1" applyFont="1" applyNumberFormat="1">
      <alignment horizontal="right" readingOrder="0" vertical="center"/>
    </xf>
    <xf borderId="0" fillId="5" fontId="17"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2" fontId="39"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2" fontId="41"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shrinkToFit="0" vertical="center" wrapText="0"/>
    </xf>
    <xf borderId="0" fillId="2" fontId="42"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32" fontId="70" numFmtId="49" xfId="0" applyAlignment="1" applyFill="1" applyFont="1" applyNumberFormat="1">
      <alignment horizontal="center" readingOrder="0" vertical="center"/>
    </xf>
    <xf borderId="0" fillId="32" fontId="23" numFmtId="49" xfId="0" applyAlignment="1" applyFill="1" applyFont="1" applyNumberFormat="1">
      <alignment horizontal="center" vertical="center"/>
    </xf>
    <xf borderId="0" fillId="16" fontId="71" numFmtId="49" xfId="0" applyAlignment="1" applyFill="1" applyFont="1" applyNumberFormat="1">
      <alignment horizontal="center" readingOrder="0" vertical="center"/>
    </xf>
    <xf borderId="0" fillId="16" fontId="72" numFmtId="49" xfId="0" applyAlignment="1" applyFill="1" applyFont="1" applyNumberFormat="1">
      <alignment horizontal="center" readingOrder="0" shrinkToFit="0" vertical="center" wrapText="0"/>
    </xf>
    <xf borderId="0" fillId="25" fontId="73" numFmtId="49" xfId="0" applyAlignment="1" applyFill="1" applyFont="1" applyNumberFormat="1">
      <alignment horizontal="center" readingOrder="0" shrinkToFit="0" vertical="center" wrapText="0"/>
    </xf>
    <xf borderId="9" fillId="32" fontId="74" numFmtId="49" xfId="0" applyAlignment="1" applyBorder="1" applyFill="1" applyFont="1" applyNumberFormat="1">
      <alignment horizontal="center" readingOrder="0" vertical="center"/>
    </xf>
    <xf borderId="0" fillId="0" fontId="75" numFmtId="49" xfId="0" applyAlignment="1" applyFont="1" applyNumberFormat="1">
      <alignment horizontal="center" readingOrder="0" vertical="center"/>
    </xf>
    <xf borderId="0" fillId="6" fontId="73" numFmtId="49" xfId="0" applyAlignment="1" applyFill="1" applyFont="1" applyNumberFormat="1">
      <alignment horizontal="center" readingOrder="0" shrinkToFit="0" vertical="center" wrapText="0"/>
    </xf>
    <xf borderId="0" fillId="31" fontId="73" numFmtId="49" xfId="0" applyAlignment="1" applyFill="1" applyFont="1" applyNumberFormat="1">
      <alignment horizontal="center" readingOrder="0" shrinkToFit="0" vertical="center" wrapText="0"/>
    </xf>
    <xf borderId="0" fillId="32" fontId="23"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6" fontId="73" numFmtId="49" xfId="0" applyAlignment="1" applyFill="1" applyFont="1" applyNumberFormat="1">
      <alignment horizontal="center" shrinkToFit="0" vertical="center" wrapText="0"/>
    </xf>
    <xf borderId="0" fillId="27" fontId="76" numFmtId="49" xfId="0" applyAlignment="1" applyFill="1" applyFont="1" applyNumberFormat="1">
      <alignment horizontal="center" readingOrder="0" shrinkToFit="0" vertical="center" wrapText="0"/>
    </xf>
    <xf borderId="9" fillId="32" fontId="77"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0" fillId="0" fontId="54" numFmtId="49" xfId="0" applyAlignment="1" applyFont="1" applyNumberFormat="1">
      <alignment readingOrder="0" vertical="center"/>
    </xf>
    <xf borderId="0" fillId="6" fontId="73" numFmtId="49" xfId="0" applyAlignment="1" applyFill="1" applyFont="1" applyNumberFormat="1">
      <alignment horizontal="center" readingOrder="0" shrinkToFit="0" vertical="center" wrapText="0"/>
    </xf>
    <xf borderId="9" fillId="36" fontId="78" numFmtId="49" xfId="0" applyAlignment="1" applyBorder="1" applyFill="1" applyFont="1" applyNumberFormat="1">
      <alignment horizontal="center" readingOrder="0" vertical="center"/>
    </xf>
    <xf borderId="0" fillId="28" fontId="73" numFmtId="49" xfId="0" applyAlignment="1" applyFill="1" applyFont="1" applyNumberFormat="1">
      <alignment horizontal="center" readingOrder="0" shrinkToFit="0" vertical="center" wrapText="0"/>
    </xf>
    <xf borderId="0" fillId="36" fontId="79"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4" fontId="73" numFmtId="49" xfId="0" applyAlignment="1" applyFill="1" applyFont="1" applyNumberFormat="1">
      <alignment horizontal="center" readingOrder="0" shrinkToFit="0" vertical="center" wrapText="0"/>
    </xf>
    <xf borderId="0" fillId="26" fontId="80"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6" fontId="73" numFmtId="49" xfId="0" applyAlignment="1" applyFill="1" applyFont="1" applyNumberFormat="1">
      <alignment horizontal="center" readingOrder="0" shrinkToFit="0" vertical="center" wrapText="0"/>
    </xf>
    <xf borderId="0" fillId="29" fontId="73" numFmtId="49" xfId="0" applyAlignment="1" applyFill="1" applyFont="1" applyNumberFormat="1">
      <alignment horizontal="center" readingOrder="0" shrinkToFit="0" vertical="center" wrapText="0"/>
    </xf>
    <xf borderId="0" fillId="37" fontId="81" numFmtId="49" xfId="0" applyAlignment="1" applyFill="1" applyFont="1" applyNumberFormat="1">
      <alignment horizontal="center" readingOrder="0" vertical="center"/>
    </xf>
    <xf borderId="0" fillId="16" fontId="73" numFmtId="49" xfId="0" applyAlignment="1" applyFill="1" applyFont="1" applyNumberFormat="1">
      <alignment horizontal="center" readingOrder="0" shrinkToFit="0" vertical="center" wrapText="0"/>
    </xf>
    <xf borderId="0" fillId="30" fontId="73" numFmtId="49" xfId="0" applyAlignment="1" applyFill="1" applyFont="1" applyNumberFormat="1">
      <alignment horizontal="center" readingOrder="0" shrinkToFit="0" vertical="center" wrapText="0"/>
    </xf>
    <xf borderId="0" fillId="37" fontId="82" numFmtId="49" xfId="0" applyAlignment="1" applyFill="1" applyFont="1" applyNumberFormat="1">
      <alignment horizontal="center" readingOrder="0" vertical="center"/>
    </xf>
    <xf borderId="0" fillId="32" fontId="17" numFmtId="49" xfId="0" applyAlignment="1" applyFill="1" applyFont="1" applyNumberFormat="1">
      <alignment vertical="center"/>
    </xf>
    <xf borderId="0" fillId="32" fontId="23" numFmtId="49" xfId="0" applyAlignment="1" applyFill="1" applyFont="1" applyNumberFormat="1">
      <alignment horizontal="left" readingOrder="0" shrinkToFit="0" vertical="center" wrapText="0"/>
    </xf>
    <xf borderId="0" fillId="0" fontId="54" numFmtId="0" xfId="0" applyFont="1"/>
    <xf borderId="0" fillId="38" fontId="73" numFmtId="49" xfId="0" applyAlignment="1" applyFill="1" applyFont="1" applyNumberFormat="1">
      <alignment horizontal="center" readingOrder="0" shrinkToFit="0" vertical="center" wrapText="0"/>
    </xf>
    <xf borderId="9" fillId="37" fontId="83" numFmtId="49" xfId="0" applyAlignment="1" applyBorder="1" applyFill="1" applyFont="1" applyNumberFormat="1">
      <alignment horizontal="center" readingOrder="0" vertical="center"/>
    </xf>
    <xf borderId="0" fillId="35" fontId="73" numFmtId="49" xfId="0" applyAlignment="1" applyFill="1" applyFont="1" applyNumberFormat="1">
      <alignment horizontal="center" readingOrder="0" shrinkToFit="0" vertical="center" wrapText="0"/>
    </xf>
    <xf borderId="0" fillId="0" fontId="18" numFmtId="49" xfId="0" applyAlignment="1" applyFont="1" applyNumberFormat="1">
      <alignment horizontal="right" readingOrder="0" vertical="center"/>
    </xf>
    <xf borderId="0" fillId="39"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0" fontId="84" numFmtId="49" xfId="0" applyAlignment="1" applyFont="1" applyNumberFormat="1">
      <alignment horizontal="center" readingOrder="0" vertical="center"/>
    </xf>
    <xf borderId="0" fillId="26" fontId="31"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26" fontId="41" numFmtId="49" xfId="0" applyAlignment="1" applyFill="1" applyFont="1" applyNumberFormat="1">
      <alignment horizontal="center" readingOrder="0" vertical="center"/>
    </xf>
    <xf borderId="0" fillId="26" fontId="42" numFmtId="49" xfId="0" applyAlignment="1" applyFill="1" applyFont="1" applyNumberFormat="1">
      <alignment horizontal="center" readingOrder="0" vertical="center"/>
    </xf>
    <xf borderId="0" fillId="37" fontId="85" numFmtId="49" xfId="0" applyAlignment="1" applyFill="1" applyFont="1" applyNumberFormat="1">
      <alignment horizontal="center" readingOrder="0" vertical="center"/>
    </xf>
    <xf borderId="9" fillId="26" fontId="86" numFmtId="49" xfId="0" applyAlignment="1" applyBorder="1" applyFill="1" applyFont="1" applyNumberFormat="1">
      <alignment horizontal="center" readingOrder="0" vertical="center"/>
    </xf>
    <xf borderId="0" fillId="26" fontId="87" numFmtId="49" xfId="0" applyAlignment="1" applyFill="1" applyFont="1" applyNumberFormat="1">
      <alignment horizontal="center" readingOrder="0" vertical="center"/>
    </xf>
    <xf borderId="8" fillId="37" fontId="23" numFmtId="49" xfId="0" applyAlignment="1" applyBorder="1" applyFill="1" applyFont="1" applyNumberFormat="1">
      <alignment horizontal="center" vertical="center"/>
    </xf>
    <xf borderId="0" fillId="26" fontId="88" numFmtId="49" xfId="0" applyAlignment="1" applyFill="1" applyFont="1" applyNumberFormat="1">
      <alignment horizontal="center" readingOrder="0" vertical="center"/>
    </xf>
    <xf borderId="0" fillId="8" fontId="89" numFmtId="49" xfId="0" applyAlignment="1" applyFill="1" applyFont="1" applyNumberFormat="1">
      <alignment horizontal="center" vertical="center"/>
    </xf>
    <xf borderId="0" fillId="39" fontId="23" numFmtId="49" xfId="0" applyAlignment="1" applyFill="1" applyFont="1" applyNumberFormat="1">
      <alignment horizontal="center" readingOrder="0" vertical="center"/>
    </xf>
    <xf borderId="0" fillId="26" fontId="90"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91" numFmtId="49" xfId="0" applyAlignment="1" applyFill="1" applyFont="1" applyNumberFormat="1">
      <alignment horizontal="center" readingOrder="0" vertical="center"/>
    </xf>
    <xf borderId="9" fillId="39" fontId="92" numFmtId="49" xfId="0" applyAlignment="1" applyBorder="1" applyFill="1" applyFont="1" applyNumberFormat="1">
      <alignment horizontal="center" readingOrder="0" vertical="center"/>
    </xf>
    <xf borderId="0" fillId="26" fontId="93" numFmtId="49" xfId="0" applyAlignment="1" applyFill="1" applyFont="1" applyNumberFormat="1">
      <alignment horizontal="center" readingOrder="0" vertical="center"/>
    </xf>
    <xf borderId="0" fillId="39" fontId="94" numFmtId="49" xfId="0" applyAlignment="1" applyFill="1" applyFont="1" applyNumberFormat="1">
      <alignment horizontal="center" readingOrder="0" vertical="center"/>
    </xf>
    <xf borderId="0" fillId="26" fontId="95"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26" fontId="96" numFmtId="49" xfId="0" applyAlignment="1" applyFill="1" applyFont="1" applyNumberFormat="1">
      <alignment horizontal="center" readingOrder="0" vertical="center"/>
    </xf>
    <xf borderId="9" fillId="40" fontId="97" numFmtId="49" xfId="0" applyAlignment="1" applyBorder="1" applyFill="1" applyFont="1" applyNumberFormat="1">
      <alignment horizontal="center" readingOrder="0" vertical="center"/>
    </xf>
    <xf borderId="0" fillId="40" fontId="98"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9" fillId="0" fontId="99" numFmtId="49" xfId="0" applyAlignment="1" applyBorder="1" applyFont="1" applyNumberFormat="1">
      <alignment horizontal="center" readingOrder="0" vertical="center"/>
    </xf>
    <xf borderId="0" fillId="33" fontId="23" numFmtId="49" xfId="0" applyAlignment="1" applyFill="1" applyFont="1" applyNumberFormat="1">
      <alignment readingOrder="0" shrinkToFit="0" vertical="center" wrapText="0"/>
    </xf>
    <xf borderId="9" fillId="41" fontId="100" numFmtId="49" xfId="0" applyAlignment="1" applyBorder="1" applyFill="1" applyFont="1" applyNumberFormat="1">
      <alignment horizontal="center" readingOrder="0" vertical="center"/>
    </xf>
    <xf borderId="0" fillId="26" fontId="101"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26" fontId="36" numFmtId="49" xfId="0" applyAlignment="1" applyFill="1" applyFont="1" applyNumberFormat="1">
      <alignment horizontal="center" readingOrder="0" vertical="center"/>
    </xf>
    <xf borderId="9" fillId="41" fontId="106" numFmtId="49" xfId="0" applyAlignment="1" applyBorder="1" applyFill="1" applyFont="1" applyNumberFormat="1">
      <alignment horizontal="center" readingOrder="0" vertical="center"/>
    </xf>
    <xf borderId="0" fillId="8" fontId="107" numFmtId="49" xfId="0" applyAlignment="1" applyFill="1" applyFont="1" applyNumberFormat="1">
      <alignment horizontal="center" vertical="center"/>
    </xf>
    <xf borderId="9" fillId="42" fontId="108" numFmtId="49" xfId="0" applyAlignment="1" applyBorder="1" applyFill="1" applyFont="1" applyNumberFormat="1">
      <alignment horizontal="center" readingOrder="0" vertical="center"/>
    </xf>
    <xf borderId="0" fillId="42" fontId="23" numFmtId="49" xfId="0" applyAlignment="1" applyFill="1" applyFont="1" applyNumberFormat="1">
      <alignment horizontal="center" vertical="center"/>
    </xf>
    <xf borderId="0" fillId="42" fontId="109"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0" fillId="25" fontId="23" numFmtId="49" xfId="0" applyAlignment="1" applyFill="1" applyFont="1" applyNumberFormat="1">
      <alignment shrinkToFit="0" vertical="center" wrapText="0"/>
    </xf>
    <xf borderId="0" fillId="26" fontId="36" numFmtId="49" xfId="0" applyAlignment="1" applyFill="1" applyFont="1" applyNumberFormat="1">
      <alignment horizontal="center" readingOrder="0" vertical="center"/>
    </xf>
    <xf borderId="0" fillId="42" fontId="23" numFmtId="49" xfId="0" applyAlignment="1" applyFill="1" applyFont="1" applyNumberFormat="1">
      <alignment horizontal="center" readingOrder="0" vertical="center"/>
    </xf>
    <xf borderId="0" fillId="26" fontId="110" numFmtId="49" xfId="0" applyAlignment="1" applyFill="1" applyFont="1" applyNumberFormat="1">
      <alignment horizontal="center" readingOrder="0" vertical="center"/>
    </xf>
    <xf borderId="9" fillId="26" fontId="111"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36" fontId="112"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0" fillId="0" fontId="54" numFmtId="49" xfId="0" applyAlignment="1" applyFont="1" applyNumberFormat="1">
      <alignment horizontal="center" vertical="center"/>
    </xf>
    <xf borderId="0" fillId="0" fontId="10" numFmtId="49" xfId="0" applyAlignment="1" applyFont="1" applyNumberFormat="1">
      <alignment readingOrder="0" vertical="center"/>
    </xf>
    <xf borderId="0" fillId="0" fontId="54" numFmtId="49" xfId="0" applyAlignment="1" applyFont="1" applyNumberFormat="1">
      <alignment vertical="center"/>
    </xf>
    <xf borderId="9" fillId="36" fontId="113" numFmtId="49" xfId="0" applyAlignment="1" applyBorder="1" applyFill="1" applyFont="1" applyNumberFormat="1">
      <alignment horizontal="center" readingOrder="0" vertical="center"/>
    </xf>
    <xf borderId="0" fillId="0" fontId="27" numFmtId="49" xfId="0" applyAlignment="1" applyFont="1" applyNumberFormat="1">
      <alignment horizontal="center" vertical="center"/>
    </xf>
    <xf borderId="0" fillId="36" fontId="23"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9" fillId="33" fontId="114" numFmtId="49" xfId="0" applyAlignment="1" applyBorder="1" applyFill="1" applyFont="1" applyNumberFormat="1">
      <alignment horizontal="center" readingOrder="0" vertical="center"/>
    </xf>
    <xf borderId="0" fillId="33" fontId="23" numFmtId="49" xfId="0" applyAlignment="1" applyFill="1" applyFont="1" applyNumberFormat="1">
      <alignment horizontal="center" vertical="center"/>
    </xf>
    <xf borderId="0" fillId="33" fontId="115" numFmtId="49" xfId="0" applyAlignment="1" applyFill="1" applyFont="1" applyNumberFormat="1">
      <alignment horizontal="center" readingOrder="0" vertical="center"/>
    </xf>
    <xf borderId="0" fillId="33" fontId="116" numFmtId="49" xfId="0" applyAlignment="1" applyFill="1" applyFont="1" applyNumberFormat="1">
      <alignment horizontal="center" readingOrder="0" vertical="center"/>
    </xf>
    <xf borderId="0" fillId="0" fontId="117"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9" fillId="43" fontId="118" numFmtId="49" xfId="0" applyAlignment="1" applyBorder="1" applyFill="1" applyFont="1" applyNumberFormat="1">
      <alignment horizontal="center" readingOrder="0" vertical="center"/>
    </xf>
    <xf borderId="0" fillId="0" fontId="119" numFmtId="49" xfId="0" applyAlignment="1" applyFont="1" applyNumberFormat="1">
      <alignment horizontal="right" readingOrder="0" vertical="center"/>
    </xf>
    <xf borderId="0" fillId="0" fontId="120" numFmtId="49" xfId="0" applyAlignment="1" applyFont="1" applyNumberFormat="1">
      <alignment horizontal="right" readingOrder="0" vertical="center"/>
    </xf>
    <xf borderId="0" fillId="43" fontId="121"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37" fontId="122"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26" fontId="123" numFmtId="49" xfId="0" applyAlignment="1" applyFill="1" applyFont="1" applyNumberFormat="1">
      <alignment horizontal="center" readingOrder="0" vertical="center"/>
    </xf>
    <xf borderId="0" fillId="25" fontId="23" numFmtId="49" xfId="0" applyAlignment="1" applyFill="1" applyFont="1" applyNumberFormat="1">
      <alignment readingOrder="0" vertical="center"/>
    </xf>
    <xf borderId="0" fillId="44" fontId="23" numFmtId="49" xfId="0" applyAlignment="1" applyFill="1" applyFont="1" applyNumberFormat="1">
      <alignment horizontal="center" vertical="center"/>
    </xf>
    <xf borderId="9" fillId="44" fontId="124" numFmtId="49" xfId="0" applyAlignment="1" applyBorder="1" applyFill="1" applyFont="1" applyNumberFormat="1">
      <alignment horizontal="center" readingOrder="0" vertical="center"/>
    </xf>
    <xf borderId="0" fillId="26" fontId="36" numFmtId="49" xfId="0" applyAlignment="1" applyFill="1" applyFont="1" applyNumberFormat="1">
      <alignment horizontal="center" vertical="center"/>
    </xf>
    <xf borderId="0" fillId="44" fontId="125"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5" fontId="126"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9" fillId="45" fontId="127" numFmtId="49" xfId="0" applyAlignment="1" applyBorder="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9" fillId="46" fontId="130" numFmtId="49" xfId="0" applyAlignment="1" applyBorder="1" applyFill="1" applyFont="1" applyNumberFormat="1">
      <alignment horizontal="center" readingOrder="0" vertical="center"/>
    </xf>
    <xf borderId="0" fillId="26" fontId="131" numFmtId="49" xfId="0" applyAlignment="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9" fillId="47" fontId="134" numFmtId="49" xfId="0" applyAlignment="1" applyBorder="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47" fontId="23"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9" fillId="48" fontId="136" numFmtId="49" xfId="0" applyAlignment="1" applyBorder="1" applyFill="1" applyFont="1" applyNumberFormat="1">
      <alignment horizontal="center" readingOrder="0" vertical="center"/>
    </xf>
    <xf borderId="0" fillId="48" fontId="23"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32" fontId="23" numFmtId="49" xfId="0" applyAlignment="1" applyFill="1" applyFont="1" applyNumberFormat="1">
      <alignment readingOrder="0" shrinkToFit="0" vertical="center" wrapText="0"/>
    </xf>
    <xf borderId="0" fillId="26" fontId="138"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0" fontId="141" numFmtId="49" xfId="0" applyAlignment="1" applyFont="1" applyNumberFormat="1">
      <alignment horizontal="center" readingOrder="0" vertical="center"/>
    </xf>
    <xf borderId="0" fillId="46"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6" fontId="142" numFmtId="49" xfId="0" applyAlignment="1" applyFill="1" applyFont="1" applyNumberFormat="1">
      <alignment horizontal="center" readingOrder="0" vertical="center"/>
    </xf>
    <xf borderId="0" fillId="0" fontId="143" numFmtId="49" xfId="0" applyAlignment="1" applyFont="1" applyNumberFormat="1">
      <alignment horizontal="center" readingOrder="0" vertical="center"/>
    </xf>
    <xf borderId="0" fillId="47"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7" fontId="144" numFmtId="49" xfId="0" applyAlignment="1" applyFill="1" applyFont="1" applyNumberFormat="1">
      <alignment horizontal="center" readingOrder="0" vertical="center"/>
    </xf>
    <xf borderId="0" fillId="26" fontId="145"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48" fontId="146"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43" fontId="147"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44" fontId="23" numFmtId="49" xfId="0" applyAlignment="1" applyFill="1" applyFont="1" applyNumberFormat="1">
      <alignment horizontal="center" vertical="center"/>
    </xf>
    <xf borderId="0" fillId="44" fontId="148"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32" fontId="150"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32" fontId="151"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2" fontId="152" numFmtId="49" xfId="0" applyAlignment="1" applyFill="1" applyFont="1" applyNumberFormat="1">
      <alignment horizontal="center" readingOrder="0" vertical="center"/>
    </xf>
    <xf borderId="0" fillId="48" fontId="153" numFmtId="49" xfId="0" applyAlignment="1" applyFill="1" applyFont="1" applyNumberFormat="1">
      <alignment horizontal="center" readingOrder="0" vertical="center"/>
    </xf>
    <xf borderId="0" fillId="2" fontId="154"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6" fontId="155"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6" fontId="156"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6" fontId="157"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26" fontId="158" numFmtId="49" xfId="0" applyAlignment="1" applyFill="1" applyFont="1" applyNumberFormat="1">
      <alignment horizontal="center" vertical="center"/>
    </xf>
    <xf borderId="0" fillId="36" fontId="159" numFmtId="49" xfId="0" applyAlignment="1" applyFill="1" applyFont="1" applyNumberFormat="1">
      <alignment horizontal="center" readingOrder="0" vertical="center"/>
    </xf>
    <xf borderId="0" fillId="36" fontId="160" numFmtId="49" xfId="0" applyAlignment="1" applyFill="1" applyFont="1" applyNumberFormat="1">
      <alignment horizontal="center" readingOrder="0" vertical="center"/>
    </xf>
    <xf borderId="0" fillId="37" fontId="161" numFmtId="49" xfId="0" applyAlignment="1" applyFill="1" applyFont="1" applyNumberFormat="1">
      <alignment horizontal="center" readingOrder="0" vertical="center"/>
    </xf>
    <xf borderId="0" fillId="37" fontId="162" numFmtId="49" xfId="0" applyAlignment="1" applyFill="1" applyFont="1" applyNumberFormat="1">
      <alignment horizontal="center" readingOrder="0" vertical="center"/>
    </xf>
    <xf borderId="0" fillId="37" fontId="163" numFmtId="49" xfId="0" applyAlignment="1" applyFill="1" applyFont="1" applyNumberFormat="1">
      <alignment horizontal="center" readingOrder="0" vertical="center"/>
    </xf>
    <xf borderId="0" fillId="37" fontId="164"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8" fillId="37" fontId="23" numFmtId="49" xfId="0" applyAlignment="1" applyBorder="1" applyFill="1" applyFont="1" applyNumberFormat="1">
      <alignment horizontal="center" vertical="center"/>
    </xf>
    <xf borderId="0" fillId="44" fontId="165" numFmtId="49" xfId="0" applyAlignment="1" applyFill="1" applyFont="1" applyNumberFormat="1">
      <alignment horizontal="center" readingOrder="0" vertical="center"/>
    </xf>
    <xf borderId="0" fillId="37" fontId="166" numFmtId="49" xfId="0" applyAlignment="1" applyFill="1" applyFont="1" applyNumberFormat="1">
      <alignment horizontal="center" readingOrder="0" vertical="center"/>
    </xf>
    <xf borderId="0" fillId="37" fontId="167" numFmtId="49" xfId="0" applyAlignment="1" applyFill="1" applyFont="1" applyNumberFormat="1">
      <alignment horizontal="center" readingOrder="0" vertical="center"/>
    </xf>
    <xf borderId="0" fillId="37" fontId="168" numFmtId="49" xfId="0" applyAlignment="1" applyFill="1" applyFont="1" applyNumberFormat="1">
      <alignment horizontal="center" readingOrder="0" vertical="center"/>
    </xf>
    <xf borderId="0" fillId="39" fontId="169" numFmtId="49" xfId="0" applyAlignment="1" applyFill="1" applyFont="1" applyNumberFormat="1">
      <alignment horizontal="center" readingOrder="0" vertical="center"/>
    </xf>
    <xf borderId="0" fillId="45" fontId="170" numFmtId="49" xfId="0" applyAlignment="1" applyFill="1" applyFont="1" applyNumberFormat="1">
      <alignment horizontal="center" readingOrder="0" vertical="center"/>
    </xf>
    <xf borderId="0" fillId="45" fontId="171" numFmtId="49" xfId="0" applyAlignment="1" applyFill="1" applyFont="1" applyNumberFormat="1">
      <alignment horizontal="center" readingOrder="0" vertical="center"/>
    </xf>
    <xf borderId="0" fillId="39" fontId="172" numFmtId="49" xfId="0" applyAlignment="1" applyFill="1" applyFont="1" applyNumberFormat="1">
      <alignment horizontal="center" readingOrder="0" vertical="center"/>
    </xf>
    <xf borderId="0" fillId="46" fontId="17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9" fontId="174" numFmtId="49" xfId="0" applyAlignment="1" applyFill="1" applyFont="1" applyNumberFormat="1">
      <alignment horizontal="center" readingOrder="0" vertical="center"/>
    </xf>
    <xf borderId="0" fillId="40" fontId="175" numFmtId="49" xfId="0" applyAlignment="1" applyFill="1" applyFont="1" applyNumberFormat="1">
      <alignment horizontal="center" readingOrder="0" vertical="center"/>
    </xf>
    <xf borderId="0" fillId="40" fontId="176" numFmtId="49" xfId="0" applyAlignment="1" applyFill="1" applyFont="1" applyNumberFormat="1">
      <alignment horizontal="center" readingOrder="0" vertical="center"/>
    </xf>
    <xf borderId="0" fillId="48" fontId="177" numFmtId="49" xfId="0" applyAlignment="1" applyFill="1" applyFont="1" applyNumberFormat="1">
      <alignment horizontal="center" readingOrder="0" vertical="center"/>
    </xf>
    <xf borderId="0" fillId="40" fontId="178" numFmtId="49" xfId="0" applyAlignment="1" applyFill="1" applyFont="1" applyNumberFormat="1">
      <alignment horizontal="center" readingOrder="0" vertical="center"/>
    </xf>
    <xf borderId="0" fillId="48" fontId="179" numFmtId="49" xfId="0" applyAlignment="1" applyFill="1" applyFont="1" applyNumberFormat="1">
      <alignment horizontal="center" readingOrder="0" vertical="center"/>
    </xf>
    <xf borderId="0" fillId="48" fontId="180" numFmtId="49" xfId="0" applyAlignment="1" applyFill="1" applyFont="1" applyNumberFormat="1">
      <alignment horizontal="center" readingOrder="0" vertical="center"/>
    </xf>
    <xf borderId="0" fillId="48"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41" fontId="184" numFmtId="49" xfId="0" applyAlignment="1" applyFill="1" applyFont="1" applyNumberFormat="1">
      <alignment horizontal="center" readingOrder="0" vertical="center"/>
    </xf>
    <xf borderId="0" fillId="41" fontId="185" numFmtId="49" xfId="0" applyAlignment="1" applyFill="1" applyFont="1" applyNumberFormat="1">
      <alignment horizontal="center" readingOrder="0" vertical="center"/>
    </xf>
    <xf borderId="0" fillId="41" fontId="186" numFmtId="49" xfId="0" applyAlignment="1" applyFill="1" applyFont="1" applyNumberFormat="1">
      <alignment horizontal="center" readingOrder="0" vertical="center"/>
    </xf>
    <xf borderId="0" fillId="41" fontId="187" numFmtId="49" xfId="0" applyAlignment="1" applyFill="1" applyFont="1" applyNumberFormat="1">
      <alignment horizontal="center" readingOrder="0" vertical="center"/>
    </xf>
    <xf borderId="0" fillId="33" fontId="188" numFmtId="49" xfId="0" applyAlignment="1" applyFill="1" applyFont="1" applyNumberFormat="1">
      <alignment horizontal="center" readingOrder="0" vertical="center"/>
    </xf>
    <xf borderId="0" fillId="19" fontId="189"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49" fontId="189" numFmtId="49" xfId="0" applyAlignment="1" applyFill="1" applyFont="1" applyNumberFormat="1">
      <alignment horizontal="center" readingOrder="0" vertical="center"/>
    </xf>
    <xf borderId="0" fillId="31" fontId="189"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12" fontId="189"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50" fontId="189" numFmtId="49" xfId="0" applyAlignment="1" applyFill="1" applyFont="1" applyNumberFormat="1">
      <alignment horizontal="center" readingOrder="0" vertical="center"/>
    </xf>
    <xf borderId="0" fillId="38" fontId="190" numFmtId="49" xfId="0" applyAlignment="1" applyFill="1" applyFont="1" applyNumberFormat="1">
      <alignment horizontal="center" readingOrder="0" vertical="center"/>
    </xf>
    <xf borderId="0" fillId="30" fontId="189" numFmtId="49" xfId="0" applyAlignment="1" applyFill="1" applyFont="1" applyNumberFormat="1">
      <alignment horizontal="center" readingOrder="0" vertical="center"/>
    </xf>
    <xf borderId="0" fillId="16" fontId="189"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9" fontId="191" numFmtId="49" xfId="0" applyAlignment="1" applyFill="1" applyFont="1" applyNumberFormat="1">
      <alignment horizontal="center" readingOrder="0" vertical="center"/>
    </xf>
    <xf borderId="0" fillId="38" fontId="192" numFmtId="49" xfId="0" applyAlignment="1" applyFill="1" applyFont="1" applyNumberFormat="1">
      <alignment horizontal="center" readingOrder="0" vertical="center"/>
    </xf>
    <xf borderId="0" fillId="51" fontId="26"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16" fontId="12" numFmtId="49" xfId="0" applyAlignment="1" applyFill="1" applyFont="1" applyNumberFormat="1">
      <alignment horizontal="right" readingOrder="0" vertical="center"/>
    </xf>
    <xf borderId="9" fillId="38" fontId="193" numFmtId="49" xfId="0" applyAlignment="1" applyBorder="1" applyFill="1" applyFont="1" applyNumberFormat="1">
      <alignment horizontal="center" readingOrder="0" vertical="center"/>
    </xf>
    <xf borderId="0" fillId="27" fontId="194" numFmtId="49" xfId="0" applyAlignment="1" applyFill="1" applyFont="1" applyNumberFormat="1">
      <alignment horizontal="center" readingOrder="0" shrinkToFit="0" vertical="center" wrapText="1"/>
    </xf>
    <xf borderId="8" fillId="37" fontId="195" numFmtId="49" xfId="0" applyAlignment="1" applyBorder="1" applyFill="1" applyFont="1" applyNumberFormat="1">
      <alignment horizontal="center" readingOrder="0" vertical="center"/>
    </xf>
    <xf borderId="0" fillId="52" fontId="194" numFmtId="49" xfId="0" applyAlignment="1" applyFill="1" applyFont="1" applyNumberFormat="1">
      <alignment horizontal="center" readingOrder="0" shrinkToFit="0" vertical="center" wrapText="1"/>
    </xf>
    <xf borderId="0" fillId="38" fontId="196" numFmtId="49" xfId="0" applyAlignment="1" applyFill="1" applyFont="1" applyNumberFormat="1">
      <alignment horizontal="center" readingOrder="0" vertical="center"/>
    </xf>
    <xf borderId="0" fillId="44" fontId="197" numFmtId="49" xfId="0" applyAlignment="1" applyFill="1" applyFont="1" applyNumberFormat="1">
      <alignment horizontal="center" vertical="center"/>
    </xf>
    <xf borderId="0" fillId="43" fontId="194" numFmtId="49" xfId="0" applyAlignment="1" applyFill="1" applyFont="1" applyNumberFormat="1">
      <alignment horizontal="center" readingOrder="0" shrinkToFit="0" vertical="center" wrapText="1"/>
    </xf>
    <xf borderId="0" fillId="44" fontId="198" numFmtId="49" xfId="0" applyAlignment="1" applyFill="1" applyFont="1" applyNumberFormat="1">
      <alignment horizontal="center" readingOrder="0" vertical="center"/>
    </xf>
    <xf borderId="0" fillId="34" fontId="194" numFmtId="49" xfId="0" applyAlignment="1" applyFill="1" applyFont="1" applyNumberFormat="1">
      <alignment horizontal="center" readingOrder="0" shrinkToFit="0" vertical="center" wrapText="1"/>
    </xf>
    <xf borderId="0" fillId="44" fontId="23" numFmtId="49" xfId="0" applyAlignment="1" applyFill="1" applyFont="1" applyNumberFormat="1">
      <alignment horizontal="center" readingOrder="0" vertical="center"/>
    </xf>
    <xf borderId="0" fillId="33" fontId="17" numFmtId="49" xfId="0" applyAlignment="1" applyFill="1" applyFont="1" applyNumberFormat="1">
      <alignment horizontal="left" readingOrder="0" vertical="center"/>
    </xf>
    <xf borderId="0" fillId="45" fontId="23" numFmtId="49" xfId="0" applyAlignment="1" applyFill="1" applyFont="1" applyNumberFormat="1">
      <alignment horizontal="center" vertical="center"/>
    </xf>
    <xf borderId="0" fillId="53" fontId="194" numFmtId="49" xfId="0" applyAlignment="1" applyFill="1" applyFont="1" applyNumberFormat="1">
      <alignment horizontal="center" readingOrder="0" shrinkToFit="0" vertical="center" wrapText="1"/>
    </xf>
    <xf borderId="0" fillId="38" fontId="199" numFmtId="49" xfId="0" applyAlignment="1" applyFill="1" applyFont="1" applyNumberFormat="1">
      <alignment horizontal="center" readingOrder="0" vertical="center"/>
    </xf>
    <xf borderId="0" fillId="54" fontId="194" numFmtId="49" xfId="0" applyAlignment="1" applyFill="1" applyFont="1" applyNumberFormat="1">
      <alignment horizontal="center" readingOrder="0" shrinkToFit="0" vertical="center" wrapText="1"/>
    </xf>
    <xf borderId="0" fillId="55" fontId="194" numFmtId="49" xfId="0" applyAlignment="1" applyFill="1" applyFont="1" applyNumberFormat="1">
      <alignment horizontal="center" readingOrder="0" shrinkToFit="0" vertical="center" wrapText="1"/>
    </xf>
    <xf borderId="9" fillId="56" fontId="200" numFmtId="49" xfId="0" applyAlignment="1" applyBorder="1" applyFill="1" applyFont="1" applyNumberFormat="1">
      <alignment horizontal="center" readingOrder="0" vertical="center"/>
    </xf>
    <xf borderId="0" fillId="6" fontId="194" numFmtId="49" xfId="0" applyAlignment="1" applyFill="1" applyFont="1" applyNumberFormat="1">
      <alignment horizontal="center" readingOrder="0" shrinkToFit="0" vertical="center" wrapText="1"/>
    </xf>
    <xf borderId="0" fillId="57" fontId="26" numFmtId="49" xfId="0" applyAlignment="1" applyFill="1" applyFont="1" applyNumberFormat="1">
      <alignment horizontal="center" readingOrder="0" shrinkToFit="0" vertical="center" wrapText="1"/>
    </xf>
    <xf borderId="0" fillId="56" fontId="201" numFmtId="49" xfId="0" applyAlignment="1" applyFill="1" applyFont="1" applyNumberFormat="1">
      <alignment horizontal="center" readingOrder="0" vertical="center"/>
    </xf>
    <xf borderId="0" fillId="22" fontId="24" numFmtId="49" xfId="0" applyAlignment="1" applyFill="1" applyFont="1" applyNumberFormat="1">
      <alignment horizontal="center" shrinkToFit="0" vertical="center" wrapText="1"/>
    </xf>
    <xf borderId="0" fillId="46" fontId="23" numFmtId="49" xfId="0" applyAlignment="1" applyFill="1" applyFont="1" applyNumberFormat="1">
      <alignment horizontal="center" readingOrder="0" vertical="center"/>
    </xf>
    <xf borderId="0" fillId="18" fontId="17" numFmtId="49" xfId="0" applyAlignment="1" applyFill="1" applyFont="1" applyNumberFormat="1">
      <alignment horizontal="right" readingOrder="0" vertical="center"/>
    </xf>
    <xf borderId="0" fillId="56" fontId="202" numFmtId="49" xfId="0" applyAlignment="1" applyFill="1" applyFont="1" applyNumberFormat="1">
      <alignment horizontal="center" readingOrder="0" vertical="center"/>
    </xf>
    <xf borderId="0" fillId="46" fontId="203" numFmtId="49" xfId="0" applyAlignment="1" applyFill="1" applyFont="1" applyNumberFormat="1">
      <alignment horizontal="center" vertical="center"/>
    </xf>
    <xf borderId="0" fillId="56" fontId="204"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56" fontId="205"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9" fillId="56" fontId="206" numFmtId="49" xfId="0" applyAlignment="1" applyBorder="1" applyFill="1" applyFont="1" applyNumberFormat="1">
      <alignment horizontal="center" readingOrder="0" vertical="center"/>
    </xf>
    <xf borderId="0" fillId="56" fontId="207" numFmtId="49" xfId="0" applyAlignment="1" applyFill="1" applyFont="1" applyNumberFormat="1">
      <alignment horizontal="center" readingOrder="0" vertical="center"/>
    </xf>
    <xf borderId="0" fillId="43" fontId="208" numFmtId="49" xfId="0" applyAlignment="1" applyFill="1" applyFont="1" applyNumberFormat="1">
      <alignment horizontal="center" readingOrder="0" vertical="center"/>
    </xf>
    <xf borderId="0" fillId="26" fontId="18" numFmtId="49" xfId="0" applyAlignment="1" applyFill="1" applyFont="1" applyNumberFormat="1">
      <alignment horizontal="right" readingOrder="0" vertical="center"/>
    </xf>
    <xf borderId="0" fillId="26" fontId="209"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26" fontId="210" numFmtId="49" xfId="0" applyAlignment="1" applyFill="1" applyFont="1" applyNumberFormat="1">
      <alignment horizontal="center" readingOrder="0" vertical="center"/>
    </xf>
    <xf borderId="9" fillId="26" fontId="211" numFmtId="49" xfId="0" applyAlignment="1" applyBorder="1" applyFill="1" applyFont="1" applyNumberFormat="1">
      <alignment horizontal="center" readingOrder="0" vertical="center"/>
    </xf>
    <xf borderId="0" fillId="26" fontId="212"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6" fontId="213" numFmtId="49" xfId="0" applyAlignment="1" applyFill="1" applyFont="1" applyNumberFormat="1">
      <alignment horizontal="center" readingOrder="0" vertical="center"/>
    </xf>
    <xf borderId="0" fillId="26" fontId="214"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6" fontId="215" numFmtId="49" xfId="0" applyAlignment="1" applyFill="1" applyFont="1" applyNumberFormat="1">
      <alignment horizontal="center" readingOrder="0" vertical="center"/>
    </xf>
    <xf borderId="0" fillId="0" fontId="216"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4" fontId="23" numFmtId="49" xfId="0" applyAlignment="1" applyFill="1" applyFont="1" applyNumberFormat="1">
      <alignment horizontal="center" readingOrder="0" vertical="center"/>
    </xf>
    <xf borderId="0" fillId="32" fontId="17" numFmtId="49" xfId="0" applyAlignment="1" applyFill="1" applyFont="1" applyNumberFormat="1">
      <alignment horizontal="left" readingOrder="0" vertical="center"/>
    </xf>
    <xf borderId="0" fillId="26" fontId="217" numFmtId="49" xfId="0" applyAlignment="1" applyFill="1" applyFont="1" applyNumberFormat="1">
      <alignment horizontal="center" readingOrder="0" vertical="center"/>
    </xf>
    <xf borderId="0" fillId="26" fontId="218"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32" fontId="23" numFmtId="49" xfId="0" applyAlignment="1" applyFill="1" applyFont="1" applyNumberFormat="1">
      <alignment horizontal="left" readingOrder="0" vertical="center"/>
    </xf>
    <xf borderId="0" fillId="0" fontId="222" numFmtId="49" xfId="0" applyAlignment="1" applyFont="1" applyNumberFormat="1">
      <alignment horizontal="center" readingOrder="0" vertical="center"/>
    </xf>
    <xf borderId="0" fillId="26" fontId="36" numFmtId="49" xfId="0" applyAlignment="1" applyFill="1" applyFont="1" applyNumberFormat="1">
      <alignment horizontal="center" readingOrder="0" vertical="center"/>
    </xf>
    <xf borderId="9" fillId="0" fontId="223" numFmtId="0" xfId="0" applyAlignment="1" applyBorder="1" applyFont="1">
      <alignment horizontal="center" readingOrder="0" vertical="center"/>
    </xf>
    <xf borderId="0" fillId="33" fontId="23" numFmtId="49" xfId="0" applyAlignment="1" applyFill="1" applyFont="1" applyNumberFormat="1">
      <alignment horizontal="left" readingOrder="0" vertical="center"/>
    </xf>
    <xf borderId="0" fillId="58" fontId="224" numFmtId="49" xfId="0" applyAlignment="1" applyFill="1" applyFont="1" applyNumberFormat="1">
      <alignment vertical="center"/>
    </xf>
    <xf borderId="0" fillId="58" fontId="27" numFmtId="49" xfId="0" applyAlignment="1" applyFill="1" applyFont="1" applyNumberFormat="1">
      <alignment horizontal="center" vertical="center"/>
    </xf>
    <xf borderId="0" fillId="58" fontId="225" numFmtId="49" xfId="0" applyAlignment="1" applyFill="1" applyFont="1" applyNumberFormat="1">
      <alignment horizontal="center" readingOrder="0" vertical="center"/>
    </xf>
    <xf borderId="0" fillId="58" fontId="27" numFmtId="49" xfId="0" applyAlignment="1" applyFill="1" applyFont="1" applyNumberFormat="1">
      <alignment horizontal="center" readingOrder="0" vertical="center"/>
    </xf>
    <xf borderId="0" fillId="58" fontId="27" numFmtId="49" xfId="0" applyAlignment="1" applyFill="1" applyFont="1" applyNumberFormat="1">
      <alignment horizontal="center" vertical="center"/>
    </xf>
    <xf borderId="0" fillId="58" fontId="27"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26" fontId="23" numFmtId="49" xfId="0" applyAlignment="1" applyFill="1" applyFont="1" applyNumberFormat="1">
      <alignment horizontal="center" vertical="center"/>
    </xf>
    <xf borderId="0" fillId="18" fontId="23" numFmtId="49" xfId="0" applyAlignment="1" applyFill="1" applyFont="1" applyNumberFormat="1">
      <alignment readingOrder="0" shrinkToFit="0" vertical="center" wrapText="0"/>
    </xf>
    <xf borderId="0" fillId="0" fontId="226" numFmtId="49" xfId="0" applyAlignment="1" applyFont="1" applyNumberFormat="1">
      <alignment horizontal="center" readingOrder="0" vertical="center"/>
    </xf>
    <xf borderId="0" fillId="59" fontId="16" numFmtId="49" xfId="0" applyAlignment="1" applyFill="1" applyFont="1" applyNumberFormat="1">
      <alignment horizontal="right" vertical="center"/>
    </xf>
    <xf borderId="0" fillId="0" fontId="23" numFmtId="49" xfId="0" applyAlignment="1" applyFont="1" applyNumberFormat="1">
      <alignment horizontal="center" vertical="center"/>
    </xf>
    <xf borderId="0" fillId="36" fontId="2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3" numFmtId="49" xfId="0" applyAlignment="1" applyFill="1" applyFont="1" applyNumberFormat="1">
      <alignment readingOrder="0" shrinkToFit="0" vertical="center" wrapText="0"/>
    </xf>
    <xf borderId="0" fillId="36" fontId="27" numFmtId="49" xfId="0" applyAlignment="1" applyFill="1" applyFont="1" applyNumberFormat="1">
      <alignment horizontal="center" vertical="center"/>
    </xf>
    <xf borderId="0" fillId="26" fontId="228" numFmtId="49" xfId="0" applyAlignment="1" applyFill="1" applyFont="1" applyNumberFormat="1">
      <alignment horizontal="center" readingOrder="0" vertical="center"/>
    </xf>
    <xf borderId="0" fillId="36" fontId="17" numFmtId="49" xfId="0" applyAlignment="1" applyFill="1" applyFont="1" applyNumberFormat="1">
      <alignment vertical="center"/>
    </xf>
    <xf borderId="0" fillId="36" fontId="23" numFmtId="49" xfId="0" applyAlignment="1" applyFill="1" applyFont="1" applyNumberFormat="1">
      <alignment readingOrder="0" shrinkToFit="0" vertical="center" wrapText="0"/>
    </xf>
    <xf borderId="0" fillId="0" fontId="229" numFmtId="49" xfId="0" applyAlignment="1" applyFont="1" applyNumberFormat="1">
      <alignment horizontal="center" readingOrder="0" vertical="center"/>
    </xf>
    <xf borderId="0" fillId="26" fontId="23" numFmtId="49" xfId="0" applyAlignment="1" applyFill="1" applyFont="1" applyNumberFormat="1">
      <alignment horizontal="center" readingOrder="0" vertical="center"/>
    </xf>
    <xf borderId="0" fillId="0" fontId="230" numFmtId="49" xfId="0" applyAlignment="1" applyFont="1" applyNumberFormat="1">
      <alignment horizontal="center" readingOrder="0" vertical="center"/>
    </xf>
    <xf borderId="0" fillId="33"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3" fontId="23" numFmtId="49" xfId="0" applyAlignment="1" applyFill="1" applyFont="1" applyNumberFormat="1">
      <alignment horizontal="center" vertical="center"/>
    </xf>
    <xf borderId="0" fillId="4" fontId="31"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0" fillId="36" fontId="23" numFmtId="49" xfId="0" applyAlignment="1" applyFill="1" applyFont="1" applyNumberFormat="1">
      <alignment readingOrder="0" vertical="center"/>
    </xf>
    <xf borderId="0" fillId="0" fontId="23" numFmtId="49" xfId="0" applyAlignment="1" applyFont="1" applyNumberFormat="1">
      <alignment horizontal="center" readingOrder="0" vertical="center"/>
    </xf>
    <xf borderId="0" fillId="31" fontId="17" numFmtId="49" xfId="0" applyAlignment="1" applyFill="1" applyFont="1" applyNumberFormat="1">
      <alignment readingOrder="0" vertical="center"/>
    </xf>
    <xf borderId="0" fillId="31" fontId="23" numFmtId="49" xfId="0" applyAlignment="1" applyFill="1" applyFont="1" applyNumberFormat="1">
      <alignment readingOrder="0" shrinkToFit="0" vertical="center" wrapText="0"/>
    </xf>
    <xf borderId="0" fillId="44" fontId="23" numFmtId="49" xfId="0" applyAlignment="1" applyFill="1" applyFont="1" applyNumberFormat="1">
      <alignment horizontal="center" readingOrder="0" vertical="center"/>
    </xf>
    <xf borderId="0" fillId="44" fontId="231"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vertical="center"/>
    </xf>
    <xf borderId="9" fillId="45" fontId="232" numFmtId="49" xfId="0" applyAlignment="1" applyBorder="1" applyFill="1" applyFont="1" applyNumberFormat="1">
      <alignment horizontal="center" vertical="center"/>
    </xf>
    <xf borderId="0" fillId="60" fontId="36" numFmtId="49" xfId="0" applyAlignment="1" applyFill="1" applyFont="1" applyNumberFormat="1">
      <alignment horizontal="center" vertical="center"/>
    </xf>
    <xf borderId="0" fillId="46" fontId="23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9" fillId="55" fontId="234" numFmtId="49" xfId="0" applyAlignment="1" applyBorder="1" applyFill="1" applyFont="1" applyNumberFormat="1">
      <alignment horizontal="center" readingOrder="0" vertical="center"/>
    </xf>
    <xf borderId="0" fillId="55" fontId="36" numFmtId="49" xfId="0" applyAlignment="1" applyFill="1" applyFont="1" applyNumberFormat="1">
      <alignment horizontal="center" vertical="center"/>
    </xf>
    <xf borderId="0" fillId="36" fontId="235"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55" fontId="236" numFmtId="49" xfId="0" applyAlignment="1" applyFill="1" applyFont="1" applyNumberFormat="1">
      <alignment horizontal="center" readingOrder="0" vertical="center"/>
    </xf>
    <xf borderId="0" fillId="55" fontId="237" numFmtId="49" xfId="0" applyAlignment="1" applyFill="1" applyFont="1" applyNumberFormat="1">
      <alignment horizontal="center" readingOrder="0" vertical="center"/>
    </xf>
    <xf borderId="0" fillId="55" fontId="36" numFmtId="49" xfId="0" applyAlignment="1" applyFill="1" applyFont="1" applyNumberFormat="1">
      <alignment horizontal="center" readingOrder="0" vertical="center"/>
    </xf>
    <xf borderId="0" fillId="0" fontId="238" numFmtId="49" xfId="0" applyAlignment="1" applyFont="1" applyNumberFormat="1">
      <alignment horizontal="right" readingOrder="0" vertical="center"/>
    </xf>
    <xf borderId="0" fillId="31" fontId="17" numFmtId="49" xfId="0" applyAlignment="1" applyFill="1" applyFont="1" applyNumberFormat="1">
      <alignment vertical="center"/>
    </xf>
    <xf borderId="0" fillId="20" fontId="16" numFmtId="49" xfId="0" applyAlignment="1" applyFill="1" applyFont="1" applyNumberFormat="1">
      <alignment horizontal="right" readingOrder="0" vertical="center"/>
    </xf>
    <xf borderId="0" fillId="31" fontId="23" numFmtId="49" xfId="0" applyAlignment="1" applyFill="1" applyFont="1" applyNumberFormat="1">
      <alignment readingOrder="0" shrinkToFit="0" vertical="center" wrapText="0"/>
    </xf>
    <xf borderId="0" fillId="33" fontId="239" numFmtId="49" xfId="0" applyAlignment="1" applyFill="1" applyFont="1" applyNumberFormat="1">
      <alignment horizontal="center" readingOrder="0" vertical="center"/>
    </xf>
    <xf borderId="0" fillId="26" fontId="27"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8" fillId="37" fontId="23" numFmtId="49" xfId="0" applyAlignment="1" applyBorder="1" applyFill="1" applyFont="1" applyNumberFormat="1">
      <alignment horizontal="center" readingOrder="0" vertical="center"/>
    </xf>
    <xf borderId="0" fillId="37" fontId="240"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9" fillId="37" fontId="241" numFmtId="49" xfId="0" applyAlignment="1" applyBorder="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36" fontId="242" numFmtId="49" xfId="0" applyAlignment="1" applyFill="1" applyFont="1" applyNumberFormat="1">
      <alignment horizontal="center" readingOrder="0" vertical="center"/>
    </xf>
    <xf borderId="0" fillId="47" fontId="243"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39" fontId="36"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36" fontId="244" numFmtId="49" xfId="0" applyAlignment="1" applyFill="1" applyFont="1" applyNumberFormat="1">
      <alignment horizontal="center" readingOrder="0" vertical="center"/>
    </xf>
    <xf borderId="0" fillId="36" fontId="245" numFmtId="49" xfId="0" applyAlignment="1" applyFill="1" applyFont="1" applyNumberFormat="1">
      <alignment horizontal="center" vertical="center"/>
    </xf>
    <xf borderId="0" fillId="0" fontId="27" numFmtId="49" xfId="0" applyAlignment="1" applyFont="1" applyNumberFormat="1">
      <alignment horizontal="center" vertical="center"/>
    </xf>
    <xf borderId="0" fillId="0" fontId="194" numFmtId="49" xfId="0" applyAlignment="1" applyFont="1" applyNumberFormat="1">
      <alignment horizontal="center" readingOrder="0" vertical="center"/>
    </xf>
    <xf borderId="0" fillId="36" fontId="17"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61" fontId="16" numFmtId="49" xfId="0" applyAlignment="1" applyFill="1" applyFont="1" applyNumberFormat="1">
      <alignment horizontal="right" vertical="center"/>
    </xf>
    <xf borderId="0" fillId="40" fontId="24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 fontId="247" numFmtId="49" xfId="0" applyAlignment="1" applyFill="1" applyFont="1" applyNumberFormat="1">
      <alignment horizontal="center" readingOrder="0" vertical="center"/>
    </xf>
    <xf borderId="0" fillId="0" fontId="10" numFmtId="0" xfId="0" applyAlignment="1" applyFont="1">
      <alignment horizontal="center" readingOrder="0"/>
    </xf>
    <xf borderId="8" fillId="0" fontId="36" numFmtId="49" xfId="0" applyAlignment="1" applyBorder="1" applyFont="1" applyNumberFormat="1">
      <alignment horizontal="center" readingOrder="0" vertical="center"/>
    </xf>
    <xf borderId="0" fillId="56" fontId="248"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0" fontId="249" numFmtId="49" xfId="0" applyAlignment="1" applyFont="1" applyNumberFormat="1">
      <alignment horizontal="center" readingOrder="0" vertical="center"/>
    </xf>
    <xf borderId="0" fillId="37" fontId="250" numFmtId="49" xfId="0" applyAlignment="1" applyFill="1" applyFont="1" applyNumberFormat="1">
      <alignment horizontal="center" vertical="center"/>
    </xf>
    <xf borderId="0" fillId="56" fontId="251" numFmtId="49" xfId="0" applyAlignment="1" applyFill="1" applyFont="1" applyNumberFormat="1">
      <alignment horizontal="center" readingOrder="0" vertical="center"/>
    </xf>
    <xf borderId="0" fillId="26" fontId="252" numFmtId="49" xfId="0" applyAlignment="1" applyFill="1" applyFont="1" applyNumberFormat="1">
      <alignment horizontal="right" readingOrder="0" vertical="center"/>
    </xf>
    <xf borderId="0" fillId="36" fontId="27"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3"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8" fillId="37" fontId="253" numFmtId="49" xfId="0" applyAlignment="1" applyBorder="1" applyFill="1" applyFont="1" applyNumberFormat="1">
      <alignment horizontal="center" readingOrder="0" vertical="center"/>
    </xf>
    <xf borderId="0" fillId="26" fontId="254" numFmtId="49" xfId="0" applyAlignment="1" applyFill="1" applyFont="1" applyNumberFormat="1">
      <alignment horizontal="center" readingOrder="0"/>
    </xf>
    <xf borderId="9" fillId="26" fontId="255" numFmtId="49" xfId="0" applyAlignment="1" applyBorder="1" applyFill="1" applyFont="1" applyNumberFormat="1">
      <alignment horizontal="center" readingOrder="0"/>
    </xf>
    <xf borderId="9" fillId="26" fontId="256" numFmtId="49" xfId="0" applyAlignment="1" applyBorder="1" applyFill="1" applyFont="1" applyNumberFormat="1">
      <alignment horizontal="center" readingOrder="0" vertical="center"/>
    </xf>
    <xf borderId="9" fillId="26" fontId="257" numFmtId="49" xfId="0" applyAlignment="1" applyBorder="1" applyFill="1" applyFont="1" applyNumberFormat="1">
      <alignment horizontal="center"/>
    </xf>
    <xf borderId="0" fillId="26" fontId="258" numFmtId="49" xfId="0" applyAlignment="1" applyFill="1" applyFont="1" applyNumberFormat="1">
      <alignment horizontal="center" readingOrder="0"/>
    </xf>
    <xf borderId="0" fillId="26" fontId="17" numFmtId="49" xfId="0" applyAlignment="1" applyFill="1" applyFont="1" applyNumberFormat="1">
      <alignment horizontal="right" readingOrder="0" vertical="center"/>
    </xf>
    <xf borderId="0" fillId="37" fontId="259" numFmtId="49" xfId="0" applyAlignment="1" applyFill="1" applyFont="1" applyNumberFormat="1">
      <alignment horizontal="center" readingOrder="0" vertical="center"/>
    </xf>
    <xf borderId="8" fillId="37" fontId="260" numFmtId="49" xfId="0" applyAlignment="1" applyBorder="1" applyFill="1" applyFont="1" applyNumberFormat="1">
      <alignment horizontal="center" readingOrder="0" vertical="center"/>
    </xf>
    <xf borderId="0" fillId="0" fontId="261" numFmtId="49" xfId="0" applyFont="1" applyNumberFormat="1"/>
    <xf borderId="0" fillId="26" fontId="23" numFmtId="49" xfId="0" applyAlignment="1" applyFill="1" applyFont="1" applyNumberFormat="1">
      <alignment horizontal="center" readingOrder="0"/>
    </xf>
    <xf borderId="0" fillId="45" fontId="23" numFmtId="49" xfId="0" applyAlignment="1" applyFill="1" applyFont="1" applyNumberFormat="1">
      <alignment horizontal="center" readingOrder="0" vertical="center"/>
    </xf>
    <xf borderId="0" fillId="26" fontId="262" numFmtId="49" xfId="0" applyAlignment="1" applyFill="1" applyFont="1" applyNumberFormat="1">
      <alignment horizontal="center" readingOrder="0"/>
    </xf>
    <xf borderId="0" fillId="26" fontId="27" numFmtId="49" xfId="0" applyAlignment="1" applyFill="1" applyFont="1" applyNumberFormat="1">
      <alignment horizontal="center" readingOrder="0" vertical="center"/>
    </xf>
    <xf borderId="0" fillId="43" fontId="23" numFmtId="49" xfId="0" applyAlignment="1" applyFill="1" applyFont="1" applyNumberFormat="1">
      <alignment vertical="center"/>
    </xf>
    <xf borderId="8" fillId="37" fontId="23" numFmtId="49" xfId="0" applyAlignment="1" applyBorder="1" applyFill="1" applyFont="1" applyNumberFormat="1">
      <alignment horizontal="center" readingOrder="0" vertical="center"/>
    </xf>
    <xf borderId="0" fillId="0" fontId="6" numFmtId="49" xfId="0" applyFont="1" applyNumberFormat="1"/>
    <xf borderId="0" fillId="48" fontId="23" numFmtId="49" xfId="0" applyAlignment="1" applyFill="1" applyFont="1" applyNumberFormat="1">
      <alignment horizontal="center" readingOrder="0" vertical="center"/>
    </xf>
    <xf borderId="0" fillId="26" fontId="263" numFmtId="49" xfId="0" applyAlignment="1" applyFill="1" applyFont="1" applyNumberFormat="1">
      <alignment horizontal="center"/>
    </xf>
    <xf borderId="0" fillId="55" fontId="264" numFmtId="49" xfId="0" applyAlignment="1" applyFill="1" applyFont="1" applyNumberFormat="1">
      <alignment horizontal="center" readingOrder="0" vertical="center"/>
    </xf>
    <xf borderId="0" fillId="37" fontId="265" numFmtId="49" xfId="0" applyAlignment="1" applyFill="1" applyFont="1" applyNumberFormat="1">
      <alignment horizontal="center" vertical="center"/>
    </xf>
    <xf borderId="0" fillId="44" fontId="266" numFmtId="49" xfId="0" applyAlignment="1" applyFill="1" applyFont="1" applyNumberFormat="1">
      <alignment horizontal="center" vertical="center"/>
    </xf>
    <xf borderId="0" fillId="18" fontId="16" numFmtId="49" xfId="0" applyAlignment="1" applyFill="1" applyFont="1" applyNumberFormat="1">
      <alignment horizontal="right" vertical="center"/>
    </xf>
    <xf borderId="0" fillId="47" fontId="267"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6" fontId="261" numFmtId="49" xfId="0" applyFill="1" applyFont="1" applyNumberFormat="1"/>
    <xf borderId="0" fillId="2" fontId="18" numFmtId="49" xfId="0" applyAlignment="1" applyFill="1" applyFont="1" applyNumberFormat="1">
      <alignment horizontal="right" readingOrder="0" vertical="center"/>
    </xf>
    <xf borderId="0" fillId="33" fontId="268" numFmtId="49" xfId="0" applyAlignment="1" applyFill="1" applyFont="1" applyNumberFormat="1">
      <alignment horizontal="center" readingOrder="0" vertical="center"/>
    </xf>
    <xf borderId="0" fillId="0" fontId="269" numFmtId="49" xfId="0" applyAlignment="1" applyFont="1" applyNumberFormat="1">
      <alignment horizontal="center" vertical="center"/>
    </xf>
    <xf borderId="0" fillId="26" fontId="6" numFmtId="49" xfId="0" applyFill="1" applyFont="1" applyNumberFormat="1"/>
    <xf borderId="0" fillId="37" fontId="270" numFmtId="49" xfId="0" applyAlignment="1" applyFill="1" applyFont="1" applyNumberFormat="1">
      <alignment horizontal="center" readingOrder="0" vertical="center"/>
    </xf>
    <xf borderId="0" fillId="55" fontId="36"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33" fontId="271" numFmtId="49" xfId="0" applyAlignment="1" applyFill="1" applyFont="1" applyNumberFormat="1">
      <alignment horizontal="center" vertical="center"/>
    </xf>
    <xf borderId="0" fillId="33" fontId="272" numFmtId="49" xfId="0" applyAlignment="1" applyFill="1" applyFont="1" applyNumberFormat="1">
      <alignment horizontal="center" vertical="center"/>
    </xf>
    <xf borderId="0" fillId="43" fontId="273"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48" fontId="274" numFmtId="49" xfId="0" applyAlignment="1" applyFill="1" applyFont="1" applyNumberFormat="1">
      <alignment horizontal="center" readingOrder="0" vertical="center"/>
    </xf>
    <xf borderId="0" fillId="2" fontId="275" numFmtId="49" xfId="0" applyAlignment="1" applyFill="1" applyFont="1" applyNumberFormat="1">
      <alignment horizontal="right" readingOrder="0" vertical="center"/>
    </xf>
    <xf borderId="0" fillId="45" fontId="276"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0" fillId="34" fontId="16" numFmtId="49" xfId="0" applyAlignment="1" applyFill="1" applyFont="1" applyNumberFormat="1">
      <alignment horizontal="right" vertical="center"/>
    </xf>
    <xf borderId="0" fillId="0" fontId="277" numFmtId="49" xfId="0" applyAlignment="1" applyFont="1" applyNumberFormat="1">
      <alignment horizontal="center" readingOrder="0" vertical="center"/>
    </xf>
    <xf borderId="0" fillId="47" fontId="278" numFmtId="49" xfId="0" applyAlignment="1" applyFill="1" applyFont="1" applyNumberFormat="1">
      <alignment horizontal="center" readingOrder="0" vertical="center"/>
    </xf>
    <xf borderId="9" fillId="26" fontId="279" numFmtId="49" xfId="0" applyAlignment="1" applyBorder="1" applyFill="1" applyFont="1" applyNumberFormat="1">
      <alignment horizontal="center" readingOrder="0"/>
    </xf>
    <xf borderId="0" fillId="0" fontId="23"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4" fontId="17" numFmtId="49" xfId="0" applyAlignment="1" applyFill="1" applyFont="1" applyNumberFormat="1">
      <alignment horizontal="right" readingOrder="0" shrinkToFit="0" textRotation="0" vertical="center" wrapText="0"/>
    </xf>
    <xf borderId="0" fillId="2" fontId="37" numFmtId="49" xfId="0" applyAlignment="1" applyFill="1" applyFont="1" applyNumberFormat="1">
      <alignment horizontal="right" readingOrder="0" vertical="center"/>
    </xf>
    <xf borderId="0" fillId="36" fontId="6" numFmtId="49" xfId="0" applyFill="1" applyFont="1" applyNumberFormat="1"/>
    <xf borderId="0" fillId="36" fontId="23" numFmtId="49" xfId="0" applyAlignment="1" applyFill="1" applyFont="1" applyNumberFormat="1">
      <alignment readingOrder="0" shrinkToFit="0" wrapText="0"/>
    </xf>
    <xf borderId="0" fillId="26" fontId="280" numFmtId="49" xfId="0" applyAlignment="1" applyFill="1" applyFont="1" applyNumberFormat="1">
      <alignment horizontal="center"/>
    </xf>
    <xf borderId="0" fillId="26" fontId="281" numFmtId="49" xfId="0" applyAlignment="1" applyFill="1" applyFont="1" applyNumberFormat="1">
      <alignment horizontal="center"/>
    </xf>
    <xf borderId="0" fillId="26" fontId="23" numFmtId="49" xfId="0" applyAlignment="1" applyFill="1" applyFont="1" applyNumberFormat="1">
      <alignment horizontal="center"/>
    </xf>
    <xf borderId="0" fillId="32" fontId="36" numFmtId="49" xfId="0" applyAlignment="1" applyFill="1" applyFont="1" applyNumberFormat="1">
      <alignment horizontal="center" readingOrder="0" vertical="center"/>
    </xf>
    <xf borderId="0" fillId="26" fontId="6" numFmtId="49" xfId="0" applyFill="1" applyFont="1" applyNumberFormat="1"/>
    <xf borderId="0" fillId="31" fontId="17" numFmtId="49" xfId="0" applyAlignment="1" applyFill="1" applyFont="1" applyNumberFormat="1">
      <alignment readingOrder="0"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0" fontId="282" numFmtId="49" xfId="0" applyAlignment="1" applyFont="1" applyNumberFormat="1">
      <alignment horizontal="right" readingOrder="0" vertical="center"/>
    </xf>
    <xf borderId="0" fillId="0" fontId="283" numFmtId="49" xfId="0" applyAlignment="1" applyFont="1" applyNumberFormat="1">
      <alignment horizontal="right" readingOrder="0"/>
    </xf>
    <xf borderId="0" fillId="39" fontId="36" numFmtId="49" xfId="0" applyAlignment="1" applyFill="1" applyFont="1" applyNumberFormat="1">
      <alignment horizontal="center" readingOrder="0" vertical="center"/>
    </xf>
    <xf borderId="9" fillId="39" fontId="284" numFmtId="49" xfId="0" applyAlignment="1" applyBorder="1" applyFill="1" applyFont="1" applyNumberFormat="1">
      <alignment horizontal="center" readingOrder="0" vertical="center"/>
    </xf>
    <xf borderId="0" fillId="2" fontId="285" numFmtId="49" xfId="0" applyAlignment="1" applyFill="1" applyFont="1" applyNumberFormat="1">
      <alignment horizontal="right" readingOrder="0" vertical="center"/>
    </xf>
    <xf borderId="0" fillId="63" fontId="286" numFmtId="49" xfId="0" applyAlignment="1" applyFill="1" applyFont="1" applyNumberFormat="1">
      <alignment horizontal="right" shrinkToFit="0" textRotation="0" vertical="center" wrapText="0"/>
    </xf>
    <xf borderId="0" fillId="43" fontId="287" numFmtId="49" xfId="0" applyAlignment="1" applyFill="1" applyFont="1" applyNumberFormat="1">
      <alignment horizontal="center" vertical="center"/>
    </xf>
    <xf borderId="9" fillId="43" fontId="288" numFmtId="49" xfId="0" applyAlignment="1" applyBorder="1" applyFill="1" applyFont="1" applyNumberFormat="1">
      <alignment horizontal="center" vertical="center"/>
    </xf>
    <xf borderId="0" fillId="0" fontId="36" numFmtId="49" xfId="0" applyAlignment="1" applyFont="1" applyNumberFormat="1">
      <alignment vertical="center"/>
    </xf>
    <xf borderId="0" fillId="6" fontId="36" numFmtId="49" xfId="0" applyAlignment="1" applyFill="1" applyFont="1" applyNumberFormat="1">
      <alignment horizontal="center" vertical="center"/>
    </xf>
    <xf borderId="0" fillId="2" fontId="289"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0" fontId="290" numFmtId="49" xfId="0" applyAlignment="1" applyFont="1" applyNumberFormat="1">
      <alignment horizontal="right" readingOrder="0" vertical="center"/>
    </xf>
    <xf borderId="0" fillId="56" fontId="36" numFmtId="49" xfId="0" applyAlignment="1" applyFill="1" applyFont="1" applyNumberFormat="1">
      <alignment horizontal="center" readingOrder="0" vertical="center"/>
    </xf>
    <xf borderId="0" fillId="56" fontId="291" numFmtId="49" xfId="0" applyAlignment="1" applyFill="1" applyFont="1" applyNumberFormat="1">
      <alignment horizontal="center" readingOrder="0" vertical="center"/>
    </xf>
    <xf borderId="0" fillId="64" fontId="24" numFmtId="49" xfId="0" applyAlignment="1" applyFill="1" applyFont="1" applyNumberFormat="1">
      <alignment horizontal="right" vertical="center"/>
    </xf>
    <xf borderId="0" fillId="56" fontId="36" numFmtId="49" xfId="0" applyAlignment="1" applyFill="1" applyFont="1" applyNumberFormat="1">
      <alignment horizontal="center" readingOrder="0" vertical="center"/>
    </xf>
    <xf borderId="0" fillId="2" fontId="292" numFmtId="49" xfId="0" applyAlignment="1" applyFill="1" applyFont="1" applyNumberFormat="1">
      <alignment horizontal="center" readingOrder="0" vertical="center"/>
    </xf>
    <xf borderId="0" fillId="0" fontId="293"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0" fontId="54" numFmtId="0" xfId="0" applyAlignment="1" applyFont="1">
      <alignment readingOrder="0"/>
    </xf>
    <xf borderId="0" fillId="0" fontId="295" numFmtId="49" xfId="0" applyAlignment="1" applyFont="1" applyNumberFormat="1">
      <alignment horizontal="center" vertical="center"/>
    </xf>
    <xf borderId="0" fillId="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right" readingOrder="0" vertical="center"/>
    </xf>
    <xf borderId="0" fillId="26" fontId="299"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26" fontId="41" numFmtId="49" xfId="0" applyAlignment="1" applyFill="1" applyFont="1" applyNumberFormat="1">
      <alignment horizontal="center" readingOrder="0" vertical="center"/>
    </xf>
    <xf borderId="0" fillId="26" fontId="42" numFmtId="49" xfId="0" applyAlignment="1" applyFill="1" applyFont="1" applyNumberFormat="1">
      <alignment horizontal="center" readingOrder="0" vertical="center"/>
    </xf>
    <xf borderId="0" fillId="33" fontId="45" numFmtId="49" xfId="0" applyAlignment="1" applyFill="1" applyFont="1" applyNumberFormat="1">
      <alignment horizontal="center" vertical="center"/>
    </xf>
    <xf borderId="0" fillId="55" fontId="300" numFmtId="49" xfId="0" applyAlignment="1" applyFill="1" applyFont="1" applyNumberFormat="1">
      <alignment horizontal="center" vertical="center"/>
    </xf>
    <xf borderId="0" fillId="26" fontId="301" numFmtId="49" xfId="0" applyAlignment="1" applyFill="1" applyFont="1" applyNumberFormat="1">
      <alignment horizontal="center" readingOrder="0" vertical="center"/>
    </xf>
    <xf borderId="0" fillId="55" fontId="302" numFmtId="49" xfId="0" applyAlignment="1" applyFill="1" applyFont="1" applyNumberFormat="1">
      <alignment horizontal="center" vertical="center"/>
    </xf>
    <xf borderId="0" fillId="26" fontId="303" numFmtId="49" xfId="0" applyAlignment="1" applyFill="1" applyFont="1" applyNumberFormat="1">
      <alignment horizontal="center" readingOrder="0" vertical="center"/>
    </xf>
    <xf borderId="0" fillId="37" fontId="304" numFmtId="49" xfId="0" applyAlignment="1" applyFill="1" applyFont="1" applyNumberFormat="1">
      <alignment horizontal="center" readingOrder="0" vertical="center"/>
    </xf>
    <xf borderId="0" fillId="0" fontId="305" numFmtId="49" xfId="0" applyAlignment="1" applyFont="1" applyNumberFormat="1">
      <alignment horizontal="center" readingOrder="0" vertical="center"/>
    </xf>
    <xf borderId="0" fillId="26" fontId="306" numFmtId="49" xfId="0" applyAlignment="1" applyFill="1" applyFont="1" applyNumberFormat="1">
      <alignment horizontal="center" readingOrder="0" vertical="center"/>
    </xf>
    <xf borderId="0" fillId="10" fontId="25" numFmtId="49" xfId="0" applyAlignment="1" applyFill="1" applyFont="1" applyNumberFormat="1">
      <alignment vertical="center"/>
    </xf>
    <xf borderId="0" fillId="26" fontId="307" numFmtId="49" xfId="0" applyAlignment="1" applyFill="1" applyFont="1" applyNumberFormat="1">
      <alignment horizontal="center" vertical="center"/>
    </xf>
    <xf borderId="0" fillId="10" fontId="27" numFmtId="49" xfId="0" applyAlignment="1" applyFill="1" applyFont="1" applyNumberFormat="1">
      <alignment horizontal="center" vertical="center"/>
    </xf>
    <xf borderId="0" fillId="10" fontId="308" numFmtId="49" xfId="0" applyAlignment="1" applyFill="1" applyFont="1" applyNumberFormat="1">
      <alignment horizontal="center" readingOrder="0" vertical="center"/>
    </xf>
    <xf borderId="0" fillId="10" fontId="27" numFmtId="49" xfId="0" applyAlignment="1" applyFill="1" applyFont="1" applyNumberFormat="1">
      <alignment horizontal="center" readingOrder="0" vertical="center"/>
    </xf>
    <xf borderId="0" fillId="10" fontId="27" numFmtId="49" xfId="0" applyAlignment="1" applyFill="1" applyFont="1" applyNumberFormat="1">
      <alignment horizontal="center" vertical="center"/>
    </xf>
    <xf borderId="0" fillId="10" fontId="27" numFmtId="49" xfId="0" applyAlignment="1" applyFill="1" applyFont="1" applyNumberFormat="1">
      <alignment horizontal="center" readingOrder="0" vertical="center"/>
    </xf>
    <xf borderId="0" fillId="26" fontId="261" numFmtId="49" xfId="0" applyAlignment="1" applyFill="1" applyFont="1" applyNumberFormat="1">
      <alignment horizontal="center" vertical="center"/>
    </xf>
    <xf borderId="0" fillId="26" fontId="36" numFmtId="49" xfId="0" applyAlignment="1" applyFill="1" applyFont="1" applyNumberFormat="1">
      <alignment horizontal="center" vertical="center"/>
    </xf>
    <xf borderId="0" fillId="26" fontId="309" numFmtId="49" xfId="0" applyAlignment="1" applyFill="1" applyFont="1" applyNumberFormat="1">
      <alignment horizontal="center"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0" fontId="261" numFmtId="49" xfId="0" applyAlignment="1" applyFont="1" applyNumberFormat="1">
      <alignment horizontal="center" vertical="center"/>
    </xf>
    <xf borderId="0" fillId="0" fontId="310" numFmtId="49" xfId="0" applyAlignment="1" applyFont="1" applyNumberFormat="1">
      <alignment horizontal="center" vertical="center"/>
    </xf>
    <xf borderId="0" fillId="26" fontId="311"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 fontId="312" numFmtId="49" xfId="0" applyAlignment="1" applyFill="1" applyFont="1" applyNumberFormat="1">
      <alignment horizontal="center" readingOrder="0" vertical="center"/>
    </xf>
    <xf borderId="0" fillId="26" fontId="31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0" fontId="36" numFmtId="0" xfId="0" applyAlignment="1" applyFont="1">
      <alignment horizontal="center" readingOrder="0" vertical="center"/>
    </xf>
    <xf borderId="0" fillId="37" fontId="27" numFmtId="49" xfId="0" applyAlignment="1" applyFill="1" applyFont="1" applyNumberFormat="1">
      <alignment horizontal="center" vertical="center"/>
    </xf>
    <xf borderId="0" fillId="26" fontId="27" numFmtId="49" xfId="0" applyAlignment="1" applyFill="1" applyFont="1" applyNumberFormat="1">
      <alignment horizontal="center" readingOrder="0" vertical="center"/>
    </xf>
    <xf borderId="0" fillId="26" fontId="23" numFmtId="49" xfId="0" applyAlignment="1" applyFill="1" applyFont="1" applyNumberFormat="1">
      <alignment horizontal="center" vertical="center"/>
    </xf>
    <xf borderId="0" fillId="0" fontId="6" numFmtId="49" xfId="0" applyAlignment="1" applyFont="1" applyNumberFormat="1">
      <alignment horizontal="center" vertical="center"/>
    </xf>
    <xf borderId="0" fillId="27" fontId="17" numFmtId="49" xfId="0" applyAlignment="1" applyFill="1" applyFont="1" applyNumberFormat="1">
      <alignment readingOrder="0" vertical="center"/>
    </xf>
    <xf borderId="0" fillId="27" fontId="23" numFmtId="49" xfId="0" applyAlignment="1" applyFill="1" applyFont="1" applyNumberFormat="1">
      <alignment readingOrder="0" shrinkToFit="0" vertical="center" wrapText="0"/>
    </xf>
    <xf borderId="0" fillId="26" fontId="16" numFmtId="49" xfId="0" applyAlignment="1" applyFill="1" applyFont="1" applyNumberFormat="1">
      <alignment horizontal="right" readingOrder="0" vertical="center"/>
    </xf>
    <xf borderId="0" fillId="26" fontId="23" numFmtId="49" xfId="0" applyAlignment="1" applyFill="1" applyFont="1" applyNumberFormat="1">
      <alignment horizontal="center" vertical="center"/>
    </xf>
    <xf borderId="9" fillId="2" fontId="314" numFmtId="49" xfId="0" applyAlignment="1" applyBorder="1" applyFill="1" applyFont="1" applyNumberFormat="1">
      <alignment horizontal="center" readingOrder="0" vertical="center"/>
    </xf>
    <xf borderId="0" fillId="26" fontId="27" numFmtId="49" xfId="0" applyAlignment="1" applyFill="1" applyFont="1" applyNumberFormat="1">
      <alignment horizontal="center" vertical="center"/>
    </xf>
    <xf borderId="0" fillId="27" fontId="17" numFmtId="49" xfId="0" applyAlignment="1" applyFill="1" applyFont="1" applyNumberFormat="1">
      <alignment shrinkToFit="0" vertical="center" wrapText="0"/>
    </xf>
    <xf borderId="0" fillId="26" fontId="23"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19" fontId="23" numFmtId="49" xfId="0" applyAlignment="1" applyFill="1" applyFont="1" applyNumberFormat="1">
      <alignment readingOrder="0" shrinkToFit="0" vertical="center" wrapText="0"/>
    </xf>
    <xf borderId="0" fillId="0" fontId="315" numFmtId="49" xfId="0" applyAlignment="1" applyFont="1" applyNumberFormat="1">
      <alignment horizontal="right" readingOrder="0" vertical="center"/>
    </xf>
    <xf borderId="0" fillId="26" fontId="6" numFmtId="49" xfId="0" applyAlignment="1" applyFill="1" applyFont="1" applyNumberFormat="1">
      <alignment horizontal="center" vertical="center"/>
    </xf>
    <xf borderId="0" fillId="55" fontId="17" numFmtId="49" xfId="0" applyAlignment="1" applyFill="1" applyFont="1" applyNumberFormat="1">
      <alignment readingOrder="0" vertical="center"/>
    </xf>
    <xf borderId="0" fillId="55" fontId="23" numFmtId="49" xfId="0" applyAlignment="1" applyFill="1" applyFont="1" applyNumberFormat="1">
      <alignment readingOrder="0" shrinkToFit="0" vertical="center" wrapText="0"/>
    </xf>
    <xf borderId="0" fillId="25" fontId="16" numFmtId="49" xfId="0" applyAlignment="1" applyFill="1" applyFont="1" applyNumberFormat="1">
      <alignment horizontal="right" vertical="center"/>
    </xf>
    <xf borderId="0" fillId="22" fontId="17" numFmtId="49" xfId="0" applyAlignment="1" applyFill="1" applyFont="1" applyNumberFormat="1">
      <alignment horizontal="right" vertical="center"/>
    </xf>
    <xf borderId="0" fillId="2" fontId="316" numFmtId="49" xfId="0" applyAlignment="1" applyFill="1" applyFont="1" applyNumberFormat="1">
      <alignment horizontal="right" readingOrder="0" vertical="center"/>
    </xf>
    <xf borderId="0" fillId="0" fontId="317" numFmtId="49" xfId="0" applyAlignment="1" applyFont="1" applyNumberFormat="1">
      <alignment horizontal="right" readingOrder="0" vertical="center"/>
    </xf>
    <xf borderId="0" fillId="2" fontId="17" numFmtId="49" xfId="0" applyAlignment="1" applyFill="1" applyFont="1" applyNumberFormat="1">
      <alignment horizontal="right" vertical="center"/>
    </xf>
    <xf borderId="0" fillId="0" fontId="23" numFmtId="49" xfId="0" applyAlignment="1" applyFont="1" applyNumberFormat="1">
      <alignment horizontal="center"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27" fontId="23" numFmtId="49" xfId="0" applyAlignment="1" applyFill="1" applyFont="1" applyNumberFormat="1">
      <alignment shrinkToFit="0" vertical="center" wrapText="0"/>
    </xf>
    <xf borderId="0" fillId="26" fontId="54" numFmtId="49" xfId="0" applyAlignment="1" applyFill="1" applyFont="1" applyNumberFormat="1">
      <alignment vertical="center"/>
    </xf>
    <xf borderId="0" fillId="65" fontId="36" numFmtId="49" xfId="0" applyAlignment="1" applyFill="1" applyFont="1" applyNumberFormat="1">
      <alignment horizontal="center" vertical="center"/>
    </xf>
    <xf borderId="0" fillId="19" fontId="23" numFmtId="49" xfId="0" applyAlignment="1" applyFill="1" applyFont="1" applyNumberFormat="1">
      <alignment readingOrder="0" shrinkToFit="0" vertical="center" wrapText="0"/>
    </xf>
    <xf borderId="0" fillId="18" fontId="16" numFmtId="49" xfId="0" applyAlignment="1" applyFill="1" applyFont="1" applyNumberFormat="1">
      <alignment horizontal="right" readingOrder="0" vertical="center"/>
    </xf>
    <xf borderId="0" fillId="26" fontId="318" numFmtId="49" xfId="0" applyAlignment="1" applyFill="1" applyFont="1" applyNumberFormat="1">
      <alignment horizontal="center" readingOrder="0" vertical="center"/>
    </xf>
    <xf borderId="9" fillId="26" fontId="319" numFmtId="49" xfId="0" applyAlignment="1" applyBorder="1" applyFill="1" applyFont="1" applyNumberFormat="1">
      <alignment horizontal="center" readingOrder="0" vertical="center"/>
    </xf>
    <xf borderId="0" fillId="37" fontId="27" numFmtId="49" xfId="0" applyAlignment="1" applyFill="1" applyFont="1" applyNumberFormat="1">
      <alignment horizontal="center" vertical="center"/>
    </xf>
    <xf borderId="0" fillId="26" fontId="320" numFmtId="49" xfId="0" applyAlignment="1" applyFill="1" applyFont="1" applyNumberFormat="1">
      <alignment horizontal="center" readingOrder="0" shrinkToFit="0" vertical="center" wrapText="0"/>
    </xf>
    <xf borderId="0" fillId="0" fontId="321" numFmtId="49" xfId="0" applyAlignment="1" applyFont="1" applyNumberFormat="1">
      <alignment horizontal="center" readingOrder="0" vertical="center"/>
    </xf>
    <xf borderId="0" fillId="55" fontId="17" numFmtId="49" xfId="0" applyAlignment="1" applyFill="1" applyFont="1" applyNumberFormat="1">
      <alignment vertical="center"/>
    </xf>
    <xf borderId="0" fillId="66" fontId="16" numFmtId="49" xfId="0" applyAlignment="1" applyFill="1" applyFont="1" applyNumberFormat="1">
      <alignment horizontal="right" vertical="center"/>
    </xf>
    <xf borderId="0" fillId="37" fontId="322" numFmtId="49" xfId="0" applyAlignment="1" applyFill="1" applyFont="1" applyNumberFormat="1">
      <alignment horizontal="center" readingOrder="0" vertical="center"/>
    </xf>
    <xf borderId="0" fillId="45" fontId="323" numFmtId="49" xfId="0" applyAlignment="1" applyFill="1" applyFont="1" applyNumberFormat="1">
      <alignment horizontal="center" vertical="center"/>
    </xf>
    <xf borderId="0" fillId="37" fontId="324"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37" fontId="27" numFmtId="49" xfId="0" applyAlignment="1" applyFill="1" applyFont="1" applyNumberFormat="1">
      <alignment horizontal="center" readingOrder="0" vertical="center"/>
    </xf>
    <xf borderId="0" fillId="0" fontId="317" numFmtId="49" xfId="0" applyAlignment="1" applyFont="1" applyNumberFormat="1">
      <alignment horizontal="right" vertical="center"/>
    </xf>
    <xf borderId="0" fillId="32" fontId="36" numFmtId="49" xfId="0" applyAlignment="1" applyFill="1" applyFont="1" applyNumberFormat="1">
      <alignment horizontal="center" readingOrder="0" vertical="center"/>
    </xf>
    <xf borderId="0" fillId="37" fontId="32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6" fontId="17" numFmtId="49" xfId="0" applyAlignment="1" applyFill="1" applyFont="1" applyNumberFormat="1">
      <alignment vertical="center"/>
    </xf>
    <xf borderId="0" fillId="26" fontId="23" numFmtId="49" xfId="0" applyAlignment="1" applyFill="1" applyFont="1" applyNumberFormat="1">
      <alignment readingOrder="0" shrinkToFit="0" vertical="center" wrapText="0"/>
    </xf>
    <xf borderId="0" fillId="36" fontId="326" numFmtId="49" xfId="0" applyAlignment="1" applyFill="1" applyFont="1" applyNumberFormat="1">
      <alignment horizontal="center" readingOrder="0" vertical="center"/>
    </xf>
    <xf borderId="0" fillId="2" fontId="23" numFmtId="49" xfId="0" applyAlignment="1" applyFill="1" applyFont="1" applyNumberFormat="1">
      <alignment horizontal="center" vertical="center"/>
    </xf>
    <xf borderId="0" fillId="0" fontId="327" numFmtId="49" xfId="0" applyAlignment="1" applyFont="1" applyNumberFormat="1">
      <alignment horizontal="center" readingOrder="0" vertical="center"/>
    </xf>
    <xf borderId="0" fillId="26" fontId="317" numFmtId="49" xfId="0" applyAlignment="1" applyFill="1" applyFont="1" applyNumberFormat="1">
      <alignment horizontal="right" readingOrder="0" vertical="center"/>
    </xf>
    <xf borderId="0" fillId="39" fontId="328" numFmtId="49" xfId="0" applyAlignment="1" applyFill="1" applyFont="1" applyNumberFormat="1">
      <alignment horizontal="center" readingOrder="0" vertical="center"/>
    </xf>
    <xf borderId="0" fillId="40" fontId="329" numFmtId="49" xfId="0" applyAlignment="1" applyFill="1" applyFont="1" applyNumberFormat="1">
      <alignment horizontal="center" readingOrder="0" vertical="center"/>
    </xf>
    <xf borderId="0" fillId="41" fontId="330" numFmtId="49" xfId="0" applyAlignment="1" applyFill="1" applyFont="1" applyNumberFormat="1">
      <alignment horizontal="center" readingOrder="0" vertical="center"/>
    </xf>
    <xf borderId="0" fillId="67" fontId="16" numFmtId="49" xfId="0" applyAlignment="1" applyFill="1" applyFont="1" applyNumberFormat="1">
      <alignment horizontal="right" vertical="center"/>
    </xf>
    <xf borderId="0" fillId="37" fontId="331" numFmtId="49" xfId="0" applyAlignment="1" applyFill="1" applyFont="1" applyNumberFormat="1">
      <alignment horizontal="center" readingOrder="0" vertical="center"/>
    </xf>
    <xf borderId="9" fillId="41" fontId="332" numFmtId="49" xfId="0" applyAlignment="1" applyBorder="1" applyFill="1" applyFont="1" applyNumberFormat="1">
      <alignment horizontal="center" readingOrder="0" vertical="center"/>
    </xf>
    <xf borderId="0" fillId="68" fontId="16" numFmtId="49" xfId="0" applyAlignment="1" applyFill="1" applyFont="1" applyNumberFormat="1">
      <alignment horizontal="right" readingOrder="0" vertical="center"/>
    </xf>
    <xf borderId="0" fillId="41" fontId="333" numFmtId="49" xfId="0" applyAlignment="1" applyFill="1" applyFont="1" applyNumberFormat="1">
      <alignment horizontal="center" readingOrder="0" vertical="center"/>
    </xf>
    <xf borderId="0" fillId="38" fontId="334"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8" fontId="335" numFmtId="49" xfId="0" applyAlignment="1" applyFill="1" applyFont="1" applyNumberFormat="1">
      <alignment horizontal="center" readingOrder="0" vertical="center"/>
    </xf>
    <xf borderId="0" fillId="38" fontId="33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69" fontId="25" numFmtId="49" xfId="0" applyAlignment="1" applyFill="1" applyFont="1" applyNumberFormat="1">
      <alignment vertical="center"/>
    </xf>
    <xf borderId="0" fillId="69" fontId="27"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69" fontId="27" numFmtId="49" xfId="0" applyAlignment="1" applyFill="1" applyFont="1" applyNumberFormat="1">
      <alignment horizontal="center" readingOrder="0" vertical="center"/>
    </xf>
    <xf borderId="0" fillId="69" fontId="27" numFmtId="49" xfId="0" applyAlignment="1" applyFill="1" applyFont="1" applyNumberFormat="1">
      <alignment horizontal="center" vertical="center"/>
    </xf>
    <xf borderId="0" fillId="26" fontId="194" numFmtId="49" xfId="0" applyAlignment="1" applyFill="1" applyFont="1" applyNumberFormat="1">
      <alignment horizontal="right" readingOrder="0" vertical="center"/>
    </xf>
    <xf borderId="0" fillId="69" fontId="27"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9" fontId="27" numFmtId="49" xfId="0" applyAlignment="1" applyFill="1" applyFont="1" applyNumberFormat="1">
      <alignment horizontal="center" vertical="center"/>
    </xf>
    <xf borderId="0" fillId="26" fontId="36" numFmtId="49" xfId="0" applyAlignment="1" applyFill="1" applyFont="1" applyNumberFormat="1">
      <alignment horizontal="center" readingOrder="0" vertical="center"/>
    </xf>
    <xf borderId="0" fillId="20" fontId="23" numFmtId="49" xfId="0" applyAlignment="1" applyFill="1" applyFont="1" applyNumberFormat="1">
      <alignment readingOrder="0" shrinkToFit="0" vertical="center" wrapText="0"/>
    </xf>
    <xf borderId="0" fillId="39" fontId="27" numFmtId="49" xfId="0" applyAlignment="1" applyFill="1" applyFont="1" applyNumberFormat="1">
      <alignment horizontal="center" vertical="center"/>
    </xf>
    <xf borderId="0" fillId="69" fontId="337" numFmtId="49" xfId="0" applyAlignment="1" applyFill="1" applyFont="1" applyNumberFormat="1">
      <alignment horizontal="right" readingOrder="0" vertical="center"/>
    </xf>
    <xf borderId="0" fillId="70" fontId="17" numFmtId="49" xfId="0" applyAlignment="1" applyFill="1" applyFont="1" applyNumberFormat="1">
      <alignment vertical="center"/>
    </xf>
    <xf borderId="0" fillId="70" fontId="23" numFmtId="49" xfId="0" applyAlignment="1" applyFill="1" applyFont="1" applyNumberFormat="1">
      <alignment readingOrder="0" shrinkToFit="0" vertical="center" wrapText="0"/>
    </xf>
    <xf borderId="0" fillId="39" fontId="27" numFmtId="49" xfId="0" applyAlignment="1" applyFill="1" applyFont="1" applyNumberFormat="1">
      <alignment horizontal="center" readingOrder="0" vertical="center"/>
    </xf>
    <xf borderId="0" fillId="39" fontId="17" numFmtId="49" xfId="0" applyAlignment="1" applyFill="1" applyFont="1" applyNumberFormat="1">
      <alignment vertical="center"/>
    </xf>
    <xf borderId="0" fillId="71" fontId="16" numFmtId="49" xfId="0" applyAlignment="1" applyFill="1" applyFont="1" applyNumberFormat="1">
      <alignment horizontal="right" readingOrder="0" vertical="center"/>
    </xf>
    <xf borderId="0" fillId="39" fontId="23" numFmtId="49" xfId="0" applyAlignment="1" applyFill="1" applyFont="1" applyNumberFormat="1">
      <alignment readingOrder="0" shrinkToFit="0" vertical="center" wrapText="0"/>
    </xf>
    <xf borderId="0" fillId="28" fontId="17" numFmtId="49" xfId="0" applyAlignment="1" applyFill="1" applyFont="1" applyNumberFormat="1">
      <alignment vertical="center"/>
    </xf>
    <xf borderId="0" fillId="28" fontId="23" numFmtId="49" xfId="0" applyAlignment="1" applyFill="1" applyFont="1" applyNumberFormat="1">
      <alignment shrinkToFit="0" vertical="center" wrapText="0"/>
    </xf>
    <xf borderId="0" fillId="39" fontId="338" numFmtId="49" xfId="0" applyAlignment="1" applyFill="1" applyFont="1" applyNumberFormat="1">
      <alignment horizontal="center" readingOrder="0" vertical="center"/>
    </xf>
    <xf borderId="0" fillId="26" fontId="27"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28" fontId="23" numFmtId="49" xfId="0" applyAlignment="1" applyFill="1" applyFont="1" applyNumberFormat="1">
      <alignment readingOrder="0" shrinkToFit="0" vertical="center" wrapText="0"/>
    </xf>
    <xf borderId="0" fillId="39" fontId="339" numFmtId="49" xfId="0" applyAlignment="1" applyFill="1" applyFont="1" applyNumberFormat="1">
      <alignment horizontal="center" readingOrder="0" vertical="center"/>
    </xf>
    <xf borderId="0" fillId="26" fontId="36" numFmtId="49" xfId="0" applyAlignment="1" applyFill="1" applyFont="1" applyNumberFormat="1">
      <alignment horizontal="center" vertical="center"/>
    </xf>
    <xf borderId="0" fillId="26" fontId="23" numFmtId="49" xfId="0" applyAlignment="1" applyFill="1" applyFont="1" applyNumberFormat="1">
      <alignment horizontal="center" vertical="center"/>
    </xf>
    <xf borderId="0" fillId="55" fontId="340" numFmtId="49" xfId="0" applyAlignment="1" applyFill="1" applyFont="1" applyNumberFormat="1">
      <alignment horizontal="center" readingOrder="0" vertical="center"/>
    </xf>
    <xf borderId="0" fillId="27" fontId="16" numFmtId="49" xfId="0" applyAlignment="1" applyFill="1" applyFont="1" applyNumberFormat="1">
      <alignment horizontal="right" vertical="center"/>
    </xf>
    <xf borderId="0" fillId="17" fontId="16" numFmtId="49" xfId="0" applyAlignment="1" applyFill="1" applyFont="1" applyNumberFormat="1">
      <alignment horizontal="right" readingOrder="0" vertical="center"/>
    </xf>
    <xf borderId="9" fillId="0" fontId="31" numFmtId="49" xfId="0" applyAlignment="1" applyBorder="1" applyFont="1" applyNumberFormat="1">
      <alignment horizontal="center" readingOrder="0" vertical="center"/>
    </xf>
    <xf borderId="0" fillId="72" fontId="16" numFmtId="49" xfId="0" applyAlignment="1" applyFill="1" applyFont="1" applyNumberFormat="1">
      <alignment horizontal="right" readingOrder="0" vertical="center"/>
    </xf>
    <xf borderId="0" fillId="4" fontId="341"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9" fillId="32" fontId="342" numFmtId="49" xfId="0" applyAlignment="1" applyBorder="1" applyFill="1" applyFont="1" applyNumberFormat="1">
      <alignment horizontal="center" readingOrder="0" vertical="center"/>
    </xf>
    <xf borderId="0" fillId="32" fontId="343"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32" fontId="54" numFmtId="49" xfId="0" applyAlignment="1" applyFill="1" applyFont="1" applyNumberFormat="1">
      <alignment vertical="center"/>
    </xf>
    <xf borderId="0" fillId="36" fontId="36" numFmtId="49" xfId="0" applyAlignment="1" applyFill="1" applyFont="1" applyNumberFormat="1">
      <alignment horizontal="center" vertical="center"/>
    </xf>
    <xf borderId="0" fillId="73" fontId="16" numFmtId="49" xfId="0" applyAlignment="1" applyFill="1" applyFont="1" applyNumberFormat="1">
      <alignment horizontal="right" vertical="center"/>
    </xf>
    <xf borderId="0" fillId="37" fontId="36" numFmtId="49" xfId="0" applyAlignment="1" applyFill="1" applyFont="1" applyNumberFormat="1">
      <alignment horizontal="center" vertical="center"/>
    </xf>
    <xf borderId="0" fillId="26" fontId="344" numFmtId="49" xfId="0" applyAlignment="1" applyFill="1" applyFont="1" applyNumberFormat="1">
      <alignment horizontal="center" readingOrder="0" vertical="center"/>
    </xf>
    <xf borderId="0" fillId="73" fontId="17" numFmtId="49" xfId="0" applyAlignment="1" applyFill="1" applyFont="1" applyNumberFormat="1">
      <alignment horizontal="right" vertical="center"/>
    </xf>
    <xf borderId="0" fillId="26" fontId="23" numFmtId="49" xfId="0" applyAlignment="1" applyFill="1" applyFont="1" applyNumberFormat="1">
      <alignment horizontal="center" readingOrder="0" vertical="center"/>
    </xf>
    <xf borderId="9" fillId="39" fontId="345" numFmtId="49" xfId="0" applyAlignment="1" applyBorder="1" applyFill="1" applyFont="1" applyNumberFormat="1">
      <alignment horizontal="center" readingOrder="0" vertical="center"/>
    </xf>
    <xf borderId="0" fillId="67" fontId="16" numFmtId="49" xfId="0" applyAlignment="1" applyFill="1" applyFont="1" applyNumberFormat="1">
      <alignment horizontal="right" readingOrder="0" vertical="center"/>
    </xf>
    <xf borderId="0" fillId="39" fontId="36" numFmtId="49" xfId="0" applyAlignment="1" applyFill="1" applyFont="1" applyNumberFormat="1">
      <alignment horizontal="center" vertical="center"/>
    </xf>
    <xf borderId="0" fillId="74" fontId="16" numFmtId="49" xfId="0" applyAlignment="1" applyFill="1" applyFont="1" applyNumberFormat="1">
      <alignment horizontal="right" vertical="center"/>
    </xf>
    <xf borderId="0" fillId="40" fontId="346" numFmtId="49" xfId="0" applyAlignment="1" applyFill="1" applyFont="1" applyNumberFormat="1">
      <alignment horizontal="center" readingOrder="0" vertical="center"/>
    </xf>
    <xf borderId="0" fillId="14" fontId="16" numFmtId="49" xfId="0" applyAlignment="1" applyFill="1" applyFont="1" applyNumberFormat="1">
      <alignment horizontal="right" vertical="center"/>
    </xf>
    <xf borderId="0" fillId="40" fontId="36" numFmtId="49" xfId="0" applyAlignment="1" applyFill="1" applyFont="1" applyNumberFormat="1">
      <alignment horizontal="center" vertical="center"/>
    </xf>
    <xf borderId="0" fillId="40" fontId="54" numFmtId="49" xfId="0" applyAlignment="1" applyFill="1" applyFont="1" applyNumberFormat="1">
      <alignment vertical="center"/>
    </xf>
    <xf borderId="0" fillId="40" fontId="36" numFmtId="49" xfId="0" applyAlignment="1" applyFill="1" applyFont="1" applyNumberFormat="1">
      <alignment horizontal="center" vertical="center"/>
    </xf>
    <xf borderId="0" fillId="41" fontId="36" numFmtId="49" xfId="0" applyAlignment="1" applyFill="1" applyFont="1" applyNumberFormat="1">
      <alignment horizontal="center" vertical="center"/>
    </xf>
    <xf borderId="0" fillId="38" fontId="36" numFmtId="49" xfId="0" applyAlignment="1" applyFill="1" applyFont="1" applyNumberFormat="1">
      <alignment horizontal="center" vertical="center"/>
    </xf>
    <xf borderId="0" fillId="38" fontId="54" numFmtId="49" xfId="0" applyAlignment="1" applyFill="1" applyFont="1" applyNumberFormat="1">
      <alignment vertical="center"/>
    </xf>
    <xf borderId="0" fillId="56" fontId="36" numFmtId="49" xfId="0" applyAlignment="1" applyFill="1" applyFont="1" applyNumberFormat="1">
      <alignment horizontal="center" vertical="center"/>
    </xf>
    <xf borderId="0" fillId="56" fontId="54" numFmtId="49" xfId="0" applyAlignment="1" applyFill="1" applyFont="1" applyNumberFormat="1">
      <alignment horizontal="center" vertical="center"/>
    </xf>
    <xf borderId="0" fillId="26" fontId="347" numFmtId="49" xfId="0" applyAlignment="1" applyFill="1" applyFont="1" applyNumberFormat="1">
      <alignment horizontal="right" readingOrder="0" vertical="center"/>
    </xf>
    <xf borderId="0" fillId="26" fontId="348"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349" numFmtId="49" xfId="0" applyAlignment="1" applyFill="1" applyFont="1" applyNumberFormat="1">
      <alignment horizontal="center" vertical="center"/>
    </xf>
    <xf borderId="0" fillId="70" fontId="6" numFmtId="49" xfId="0" applyFill="1" applyFont="1" applyNumberFormat="1"/>
    <xf borderId="0" fillId="26" fontId="36" numFmtId="49" xfId="0" applyAlignment="1" applyFill="1" applyFont="1" applyNumberFormat="1">
      <alignment horizontal="center" readingOrder="0" vertical="center"/>
    </xf>
    <xf borderId="0" fillId="70" fontId="23" numFmtId="49" xfId="0" applyAlignment="1" applyFill="1" applyFont="1" applyNumberFormat="1">
      <alignment shrinkToFit="0" wrapText="0"/>
    </xf>
    <xf borderId="0" fillId="32" fontId="350" numFmtId="49" xfId="0" applyAlignment="1" applyFill="1" applyFont="1" applyNumberFormat="1">
      <alignment horizontal="center" readingOrder="0" vertical="center"/>
    </xf>
    <xf borderId="0" fillId="20" fontId="23" numFmtId="49" xfId="0" applyAlignment="1" applyFill="1" applyFont="1" applyNumberFormat="1">
      <alignment readingOrder="0" shrinkToFit="0" vertical="center" wrapText="0"/>
    </xf>
    <xf borderId="0" fillId="37" fontId="54" numFmtId="49" xfId="0" applyAlignment="1" applyFill="1" applyFont="1" applyNumberFormat="1">
      <alignment vertical="center"/>
    </xf>
    <xf borderId="0" fillId="39" fontId="351" numFmtId="49" xfId="0" applyAlignment="1" applyFill="1" applyFont="1" applyNumberFormat="1">
      <alignment horizontal="center" readingOrder="0" vertical="center"/>
    </xf>
    <xf borderId="9" fillId="40" fontId="352" numFmtId="49" xfId="0" applyAlignment="1" applyBorder="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9" fontId="353" numFmtId="49" xfId="0" applyAlignment="1" applyFill="1" applyFont="1" applyNumberFormat="1">
      <alignment horizontal="center" readingOrder="0" vertical="center"/>
    </xf>
    <xf borderId="0" fillId="26" fontId="17" numFmtId="49" xfId="0" applyAlignment="1" applyFill="1" applyFont="1" applyNumberFormat="1">
      <alignment horizontal="center" vertical="center"/>
    </xf>
    <xf borderId="0" fillId="56" fontId="54" numFmtId="49" xfId="0" applyAlignment="1" applyFill="1" applyFont="1" applyNumberFormat="1">
      <alignment vertical="center"/>
    </xf>
    <xf borderId="0" fillId="26" fontId="354" numFmtId="49" xfId="0" applyAlignment="1" applyFill="1" applyFont="1" applyNumberFormat="1">
      <alignment horizontal="right" readingOrder="0" vertical="center"/>
    </xf>
    <xf borderId="0" fillId="12" fontId="25" numFmtId="49" xfId="0" applyAlignment="1" applyFill="1" applyFont="1" applyNumberFormat="1">
      <alignment vertical="center"/>
    </xf>
    <xf borderId="0" fillId="12" fontId="27"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27" numFmtId="49" xfId="0" applyAlignment="1" applyFill="1" applyFont="1" applyNumberFormat="1">
      <alignment horizontal="center" readingOrder="0" vertical="center"/>
    </xf>
    <xf borderId="0" fillId="12" fontId="27"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6" fontId="36" numFmtId="49" xfId="0" applyAlignment="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40" fontId="27" numFmtId="49" xfId="0" applyAlignment="1" applyFill="1" applyFont="1" applyNumberFormat="1">
      <alignment horizontal="center" vertical="center"/>
    </xf>
    <xf borderId="0" fillId="40" fontId="355"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23" numFmtId="49" xfId="0" applyAlignment="1" applyFill="1" applyFont="1" applyNumberFormat="1">
      <alignment readingOrder="0" shrinkToFit="0" vertical="center" wrapText="0"/>
    </xf>
    <xf borderId="0" fillId="40" fontId="27" numFmtId="49" xfId="0" applyAlignment="1" applyFill="1" applyFont="1" applyNumberFormat="1">
      <alignment horizontal="center" vertical="center"/>
    </xf>
    <xf borderId="0" fillId="34" fontId="17" numFmtId="49" xfId="0" applyAlignment="1" applyFill="1" applyFont="1" applyNumberFormat="1">
      <alignment readingOrder="0" vertical="center"/>
    </xf>
    <xf borderId="0" fillId="34" fontId="23" numFmtId="49" xfId="0" applyAlignment="1" applyFill="1" applyFont="1" applyNumberFormat="1">
      <alignment readingOrder="0" shrinkToFit="0" vertical="center" wrapText="0"/>
    </xf>
    <xf borderId="0" fillId="40" fontId="356" numFmtId="49" xfId="0" applyAlignment="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26" fontId="357" numFmtId="49" xfId="0" applyAlignment="1" applyFill="1" applyFont="1" applyNumberFormat="1">
      <alignment horizontal="center" vertical="center"/>
    </xf>
    <xf borderId="0" fillId="34" fontId="23" numFmtId="49" xfId="0" applyAlignment="1" applyFill="1" applyFont="1" applyNumberFormat="1">
      <alignment readingOrder="0" shrinkToFit="0" vertical="center" wrapText="0"/>
    </xf>
    <xf borderId="0" fillId="26" fontId="261" numFmtId="49" xfId="0" applyAlignment="1" applyFill="1" applyFont="1" applyNumberFormat="1">
      <alignment vertical="center"/>
    </xf>
    <xf borderId="0" fillId="40" fontId="17"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0" fontId="277" numFmtId="49" xfId="0" applyAlignment="1" applyFont="1" applyNumberFormat="1">
      <alignment horizontal="center" readingOrder="0" vertical="center"/>
    </xf>
    <xf borderId="0" fillId="40" fontId="27" numFmtId="49" xfId="0" applyAlignment="1" applyFill="1" applyFont="1" applyNumberFormat="1">
      <alignment horizontal="center" readingOrder="0" vertical="center"/>
    </xf>
    <xf borderId="0" fillId="40" fontId="359"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4" fontId="360" numFmtId="49" xfId="0" applyAlignment="1" applyFill="1" applyFont="1" applyNumberFormat="1">
      <alignment horizontal="right" readingOrder="0" vertical="center"/>
    </xf>
    <xf borderId="0" fillId="21" fontId="23" numFmtId="49" xfId="0" applyAlignment="1" applyFill="1" applyFont="1" applyNumberFormat="1">
      <alignment horizontal="left" readingOrder="0" shrinkToFit="0" vertical="center" wrapText="0"/>
    </xf>
    <xf borderId="0" fillId="36" fontId="36"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0" fontId="361"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41" fontId="362" numFmtId="49" xfId="0" applyAlignment="1" applyFill="1" applyFont="1" applyNumberFormat="1">
      <alignment horizontal="center" readingOrder="0" vertical="center"/>
    </xf>
    <xf borderId="9" fillId="38" fontId="363" numFmtId="49" xfId="0" applyAlignment="1" applyBorder="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45" fontId="23" numFmtId="49" xfId="0" applyAlignment="1" applyFill="1" applyFont="1" applyNumberFormat="1">
      <alignment readingOrder="0" vertical="center"/>
    </xf>
    <xf borderId="0" fillId="26" fontId="36" numFmtId="49" xfId="0" applyAlignment="1" applyFill="1" applyFont="1" applyNumberFormat="1">
      <alignment horizontal="center" readingOrder="0" vertical="center"/>
    </xf>
    <xf borderId="0" fillId="26" fontId="365"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0" fillId="26" fontId="17" numFmtId="49" xfId="0" applyAlignment="1" applyFill="1" applyFont="1" applyNumberFormat="1">
      <alignment horizontal="center"/>
    </xf>
    <xf borderId="0" fillId="26" fontId="38" numFmtId="49" xfId="0" applyAlignment="1" applyFill="1" applyFont="1" applyNumberFormat="1">
      <alignment horizontal="center"/>
    </xf>
    <xf borderId="0" fillId="26" fontId="39" numFmtId="49" xfId="0" applyAlignment="1" applyFill="1" applyFont="1" applyNumberFormat="1">
      <alignment horizontal="center"/>
    </xf>
    <xf borderId="0" fillId="26" fontId="41" numFmtId="49" xfId="0" applyAlignment="1" applyFill="1" applyFont="1" applyNumberFormat="1">
      <alignment horizontal="center"/>
    </xf>
    <xf borderId="0" fillId="26" fontId="42" numFmtId="49" xfId="0" applyAlignment="1" applyFill="1" applyFont="1" applyNumberFormat="1">
      <alignment horizontal="center"/>
    </xf>
    <xf borderId="0" fillId="0" fontId="23" numFmtId="49" xfId="0" applyAlignment="1" applyFont="1" applyNumberFormat="1">
      <alignment horizontal="center" readingOrder="0" vertical="center"/>
    </xf>
    <xf borderId="0" fillId="13" fontId="366" numFmtId="49" xfId="0" applyAlignment="1" applyFill="1" applyFont="1" applyNumberFormat="1">
      <alignment vertical="center"/>
    </xf>
    <xf borderId="0" fillId="13" fontId="27"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13" fontId="27" numFmtId="49" xfId="0" applyAlignment="1" applyFill="1" applyFont="1" applyNumberFormat="1">
      <alignment horizontal="center" readingOrder="0" vertical="center"/>
    </xf>
    <xf borderId="0" fillId="13" fontId="27"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22" fontId="24" numFmtId="49" xfId="0" applyAlignment="1" applyFill="1" applyFont="1" applyNumberFormat="1">
      <alignment readingOrder="0" vertical="center"/>
    </xf>
    <xf borderId="0" fillId="22" fontId="367" numFmtId="49" xfId="0" applyAlignment="1" applyFill="1" applyFont="1" applyNumberFormat="1">
      <alignment readingOrder="0" shrinkToFit="0" vertical="center" wrapText="0"/>
    </xf>
    <xf borderId="0" fillId="41" fontId="27" numFmtId="49" xfId="0" applyAlignment="1" applyFill="1" applyFont="1" applyNumberFormat="1">
      <alignment horizontal="center" readingOrder="0" vertical="center"/>
    </xf>
    <xf borderId="0" fillId="4" fontId="16" numFmtId="49" xfId="0" applyAlignment="1" applyFill="1" applyFont="1" applyNumberFormat="1">
      <alignment horizontal="right" readingOrder="0"/>
    </xf>
    <xf borderId="0" fillId="41" fontId="27" numFmtId="49" xfId="0" applyAlignment="1" applyFill="1" applyFont="1" applyNumberFormat="1">
      <alignment horizontal="center" vertical="center"/>
    </xf>
    <xf borderId="0" fillId="26" fontId="1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3" numFmtId="49" xfId="0" applyAlignment="1" applyFill="1" applyFont="1" applyNumberFormat="1">
      <alignment readingOrder="0" shrinkToFit="0" vertical="center" wrapText="0"/>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68" numFmtId="49" xfId="0" applyAlignment="1" applyFill="1" applyFont="1" applyNumberFormat="1">
      <alignment horizontal="center" vertical="center"/>
    </xf>
    <xf borderId="0" fillId="72" fontId="17" numFmtId="49" xfId="0" applyAlignment="1" applyFill="1" applyFont="1" applyNumberFormat="1">
      <alignment horizontal="center" vertical="center"/>
    </xf>
    <xf borderId="0" fillId="32" fontId="36" numFmtId="49" xfId="0" applyAlignment="1" applyFill="1" applyFont="1" applyNumberFormat="1">
      <alignment vertical="center"/>
    </xf>
    <xf borderId="0" fillId="77" fontId="368" numFmtId="49" xfId="0" applyAlignment="1" applyFill="1" applyFont="1" applyNumberFormat="1">
      <alignment horizontal="center" vertical="center"/>
    </xf>
    <xf borderId="0" fillId="69" fontId="368" numFmtId="49" xfId="0" applyAlignment="1" applyFill="1" applyFont="1" applyNumberFormat="1">
      <alignment horizontal="center" vertical="center"/>
    </xf>
    <xf borderId="0" fillId="78" fontId="368" numFmtId="49" xfId="0" applyAlignment="1" applyFill="1" applyFont="1" applyNumberFormat="1">
      <alignment horizontal="center" vertical="center"/>
    </xf>
    <xf borderId="0" fillId="12" fontId="368" numFmtId="49" xfId="0" applyAlignment="1" applyFill="1" applyFont="1" applyNumberFormat="1">
      <alignment horizontal="center" vertical="center"/>
    </xf>
    <xf borderId="0" fillId="22" fontId="368" numFmtId="49" xfId="0" applyAlignment="1" applyFill="1" applyFont="1" applyNumberFormat="1">
      <alignment horizontal="center" vertical="center"/>
    </xf>
    <xf borderId="0" fillId="79" fontId="368"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55"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33" fontId="369" numFmtId="49" xfId="0" applyAlignment="1" applyFill="1" applyFont="1" applyNumberFormat="1">
      <alignment horizontal="center" readingOrder="0" vertical="center"/>
    </xf>
    <xf borderId="0" fillId="33"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41" fontId="370" numFmtId="49" xfId="0" applyAlignment="1" applyFill="1" applyFont="1" applyNumberFormat="1">
      <alignment horizontal="center" readingOrder="0" vertical="center"/>
    </xf>
    <xf borderId="0" fillId="47" fontId="369"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369"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6" fontId="371" numFmtId="46" xfId="0" applyAlignment="1" applyFill="1" applyFont="1" applyNumberFormat="1">
      <alignment horizontal="center" readingOrder="0" vertical="center"/>
    </xf>
    <xf borderId="0" fillId="32" fontId="371" numFmtId="49" xfId="0" applyAlignment="1" applyFill="1" applyFont="1" applyNumberFormat="1">
      <alignment horizontal="center" readingOrder="0" vertical="center"/>
    </xf>
    <xf borderId="0" fillId="84" fontId="371" numFmtId="49" xfId="0" applyAlignment="1" applyFill="1" applyFont="1" applyNumberFormat="1">
      <alignment horizontal="center" readingOrder="0" vertical="center"/>
    </xf>
    <xf borderId="0" fillId="38" fontId="371" numFmtId="49" xfId="0" applyAlignment="1" applyFill="1" applyFont="1" applyNumberFormat="1">
      <alignment horizontal="center" readingOrder="0" vertical="center"/>
    </xf>
    <xf borderId="0" fillId="39" fontId="371" numFmtId="49" xfId="0" applyAlignment="1" applyFill="1" applyFont="1" applyNumberFormat="1">
      <alignment horizontal="center" readingOrder="0" vertical="center"/>
    </xf>
    <xf borderId="0" fillId="39" fontId="371" numFmtId="49" xfId="0" applyAlignment="1" applyFill="1" applyFont="1" applyNumberFormat="1">
      <alignment horizontal="center" readingOrder="0" vertical="center"/>
    </xf>
    <xf borderId="0" fillId="36" fontId="371" numFmtId="49" xfId="0" applyAlignment="1" applyFill="1" applyFont="1" applyNumberFormat="1">
      <alignment horizontal="center" readingOrder="0" vertical="center"/>
    </xf>
    <xf borderId="0" fillId="36" fontId="371" numFmtId="49" xfId="0" applyAlignment="1" applyFill="1" applyFont="1" applyNumberFormat="1">
      <alignment horizontal="center" readingOrder="0" vertical="center"/>
    </xf>
    <xf borderId="0" fillId="37" fontId="371" numFmtId="49" xfId="0" applyAlignment="1" applyFill="1" applyFont="1" applyNumberFormat="1">
      <alignment horizontal="center" readingOrder="0" vertical="center"/>
    </xf>
    <xf borderId="0" fillId="37" fontId="371" numFmtId="49" xfId="0" applyAlignment="1" applyFill="1" applyFont="1" applyNumberFormat="1">
      <alignment horizontal="center" readingOrder="0" vertical="center"/>
    </xf>
    <xf borderId="0" fillId="41" fontId="371" numFmtId="49" xfId="0" applyAlignment="1" applyFill="1" applyFont="1" applyNumberFormat="1">
      <alignment horizontal="center" readingOrder="0" vertical="center"/>
    </xf>
    <xf borderId="0" fillId="41" fontId="371" numFmtId="49" xfId="0" applyAlignment="1" applyFill="1" applyFont="1" applyNumberFormat="1">
      <alignment horizontal="center" readingOrder="0" vertical="center"/>
    </xf>
    <xf borderId="0" fillId="26" fontId="371" numFmtId="49" xfId="0" applyAlignment="1" applyFill="1" applyFont="1" applyNumberFormat="1">
      <alignment horizontal="center" readingOrder="0" vertical="center"/>
    </xf>
    <xf borderId="0" fillId="26" fontId="369"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72" numFmtId="46" xfId="0" applyAlignment="1" applyFill="1" applyFont="1" applyNumberFormat="1">
      <alignment horizontal="center" readingOrder="0" vertical="center"/>
    </xf>
    <xf borderId="0" fillId="80" fontId="372" numFmtId="49" xfId="0" applyAlignment="1" applyFill="1" applyFont="1" applyNumberFormat="1">
      <alignment horizontal="center" readingOrder="0" vertical="center"/>
    </xf>
    <xf borderId="0" fillId="55" fontId="372" numFmtId="49"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68"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33" fontId="372" numFmtId="49" xfId="0" applyAlignment="1" applyFill="1" applyFont="1" applyNumberFormat="1">
      <alignment horizontal="center" readingOrder="0" vertical="center"/>
    </xf>
    <xf borderId="0" fillId="33" fontId="372" numFmtId="49" xfId="0" applyAlignment="1" applyFill="1" applyFont="1" applyNumberFormat="1">
      <alignment horizontal="center" readingOrder="0" vertical="center"/>
    </xf>
    <xf borderId="0" fillId="45" fontId="372" numFmtId="49" xfId="0" applyAlignment="1" applyFill="1" applyFont="1" applyNumberFormat="1">
      <alignment horizontal="center" readingOrder="0" vertical="center"/>
    </xf>
    <xf borderId="0" fillId="37" fontId="373"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47" fontId="372" numFmtId="49" xfId="0" applyAlignment="1" applyFill="1" applyFont="1" applyNumberFormat="1">
      <alignment horizontal="center" readingOrder="0" vertical="center"/>
    </xf>
    <xf borderId="0" fillId="5" fontId="372" numFmtId="49" xfId="0" applyAlignment="1" applyFill="1" applyFont="1" applyNumberFormat="1">
      <alignment horizontal="center" readingOrder="0" vertical="center"/>
    </xf>
    <xf borderId="0" fillId="5" fontId="372"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3" numFmtId="164" xfId="0" applyAlignment="1" applyFont="1" applyNumberFormat="1">
      <alignment horizontal="center" readingOrder="0" vertical="center"/>
    </xf>
    <xf borderId="11" fillId="0" fontId="374" numFmtId="49" xfId="0" applyAlignment="1" applyBorder="1" applyFont="1" applyNumberFormat="1">
      <alignment horizontal="center" readingOrder="0" vertical="center"/>
    </xf>
    <xf borderId="0" fillId="37" fontId="36" numFmtId="49" xfId="0" applyAlignment="1" applyFill="1" applyFont="1" applyNumberFormat="1">
      <alignment horizontal="center" readingOrder="0" vertical="center"/>
    </xf>
    <xf borderId="0" fillId="38" fontId="375"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7" fontId="36" numFmtId="49" xfId="0" applyAlignment="1" applyFill="1" applyFont="1" applyNumberFormat="1">
      <alignment horizontal="center" readingOrder="0" vertical="center"/>
    </xf>
    <xf borderId="11" fillId="38" fontId="376" numFmtId="49" xfId="0" applyAlignment="1" applyBorder="1" applyFill="1" applyFont="1" applyNumberFormat="1">
      <alignment horizontal="center" readingOrder="0" vertical="center"/>
    </xf>
    <xf borderId="11" fillId="26" fontId="377" numFmtId="49" xfId="0" applyAlignment="1" applyBorder="1" applyFill="1" applyFont="1" applyNumberFormat="1">
      <alignment horizontal="center" readingOrder="0" vertical="center"/>
    </xf>
    <xf borderId="0" fillId="41" fontId="17" numFmtId="49" xfId="0" applyAlignment="1" applyFill="1" applyFont="1" applyNumberFormat="1">
      <alignment readingOrder="0" vertical="center"/>
    </xf>
    <xf borderId="0" fillId="41" fontId="23" numFmtId="49" xfId="0" applyAlignment="1" applyFill="1" applyFont="1" applyNumberFormat="1">
      <alignment readingOrder="0" shrinkToFit="0" vertical="center" wrapText="0"/>
    </xf>
    <xf borderId="0" fillId="40" fontId="36" numFmtId="49" xfId="0" applyAlignment="1" applyFill="1" applyFont="1" applyNumberFormat="1">
      <alignment horizontal="center" readingOrder="0" vertical="center"/>
    </xf>
    <xf borderId="0" fillId="40" fontId="378" numFmtId="49" xfId="0" applyAlignment="1" applyFill="1" applyFont="1" applyNumberFormat="1">
      <alignment horizontal="center" readingOrder="0" vertical="center"/>
    </xf>
    <xf borderId="11" fillId="0" fontId="379" numFmtId="49" xfId="0" applyAlignment="1" applyBorder="1" applyFont="1" applyNumberFormat="1">
      <alignment horizontal="center" readingOrder="0"/>
    </xf>
    <xf borderId="0" fillId="46" fontId="23" numFmtId="49" xfId="0" applyAlignment="1" applyFill="1" applyFont="1" applyNumberFormat="1">
      <alignment readingOrder="0" shrinkToFit="0" vertical="center" wrapText="0"/>
    </xf>
    <xf borderId="0" fillId="41"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29" fontId="23" numFmtId="49" xfId="0" applyAlignment="1" applyFill="1" applyFont="1" applyNumberFormat="1">
      <alignment readingOrder="0" shrinkToFit="0" vertical="center" wrapText="0"/>
    </xf>
    <xf borderId="0" fillId="0" fontId="35" numFmtId="0" xfId="0" applyAlignment="1" applyFont="1">
      <alignment horizontal="center" vertical="center"/>
    </xf>
    <xf borderId="0" fillId="0" fontId="35" numFmtId="0" xfId="0" applyAlignment="1" applyFont="1">
      <alignment horizontal="center" vertical="center"/>
    </xf>
    <xf borderId="0" fillId="26" fontId="380" numFmtId="49" xfId="0" applyAlignment="1" applyFill="1" applyFont="1" applyNumberFormat="1">
      <alignment horizontal="center" readingOrder="0" vertical="center"/>
    </xf>
    <xf borderId="0" fillId="56" fontId="36" numFmtId="49" xfId="0" applyAlignment="1" applyFill="1" applyFont="1" applyNumberFormat="1">
      <alignment horizontal="center" readingOrder="0" vertical="center"/>
    </xf>
    <xf borderId="0" fillId="0" fontId="381" numFmtId="0" xfId="0" applyAlignment="1" applyFont="1">
      <alignment horizontal="center" readingOrder="0" vertical="center"/>
    </xf>
    <xf borderId="0" fillId="0" fontId="382" numFmtId="0" xfId="0" applyAlignment="1" applyFont="1">
      <alignment horizontal="center" readingOrder="0" vertical="center"/>
    </xf>
    <xf borderId="0" fillId="56" fontId="36" numFmtId="49" xfId="0" applyAlignment="1" applyFill="1" applyFont="1" applyNumberFormat="1">
      <alignment horizontal="center" readingOrder="0" vertical="center"/>
    </xf>
    <xf borderId="0" fillId="26" fontId="383" numFmtId="49" xfId="0" applyAlignment="1" applyFill="1" applyFont="1" applyNumberFormat="1">
      <alignment horizontal="right" readingOrder="0" vertical="center"/>
    </xf>
    <xf borderId="0" fillId="38" fontId="384"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0" fillId="26" fontId="23" numFmtId="49" xfId="0" applyAlignment="1" applyFill="1" applyFont="1" applyNumberFormat="1">
      <alignment readingOrder="0" vertical="center"/>
    </xf>
    <xf borderId="0" fillId="41" fontId="385" numFmtId="49" xfId="0" applyAlignment="1" applyFill="1" applyFont="1" applyNumberFormat="1">
      <alignment horizontal="center" readingOrder="0" vertical="center"/>
    </xf>
    <xf borderId="0" fillId="4" fontId="16" numFmtId="49" xfId="0" applyAlignment="1" applyFill="1" applyFont="1" applyNumberFormat="1">
      <alignment horizontal="right" vertical="bottom"/>
    </xf>
    <xf borderId="0" fillId="0" fontId="35" numFmtId="0" xfId="0" applyAlignment="1" applyFont="1">
      <alignment horizontal="center" readingOrder="0" vertical="center"/>
    </xf>
    <xf borderId="0" fillId="47" fontId="16" numFmtId="49" xfId="0" applyAlignment="1" applyFill="1" applyFont="1" applyNumberFormat="1">
      <alignment horizontal="center" vertical="bottom"/>
    </xf>
    <xf borderId="0" fillId="4" fontId="23" numFmtId="164" xfId="0" applyAlignment="1" applyFill="1" applyFont="1" applyNumberFormat="1">
      <alignment horizontal="center" readingOrder="0" vertical="bottom"/>
    </xf>
    <xf borderId="0" fillId="32" fontId="386" numFmtId="49" xfId="0" applyAlignment="1" applyFill="1" applyFont="1" applyNumberFormat="1">
      <alignment horizontal="center" vertical="bottom"/>
    </xf>
    <xf borderId="0" fillId="26" fontId="23" numFmtId="49" xfId="0" applyAlignment="1" applyFill="1" applyFont="1" applyNumberFormat="1">
      <alignment horizontal="center" readingOrder="0" vertical="center"/>
    </xf>
    <xf borderId="0" fillId="32" fontId="387" numFmtId="49" xfId="0" applyAlignment="1" applyFill="1" applyFont="1" applyNumberFormat="1">
      <alignment horizontal="center" readingOrder="0" vertical="bottom"/>
    </xf>
    <xf borderId="0" fillId="26" fontId="27" numFmtId="49" xfId="0" applyAlignment="1" applyFill="1" applyFont="1" applyNumberFormat="1">
      <alignment horizontal="center" readingOrder="0" vertical="center"/>
    </xf>
    <xf borderId="0" fillId="0" fontId="388" numFmtId="0" xfId="0" applyAlignment="1" applyFont="1">
      <alignment horizontal="center" vertical="center"/>
    </xf>
    <xf borderId="0" fillId="32" fontId="389" numFmtId="49" xfId="0" applyAlignment="1" applyFill="1" applyFont="1" applyNumberFormat="1">
      <alignment horizontal="center" vertical="bottom"/>
    </xf>
    <xf borderId="0" fillId="32" fontId="390" numFmtId="49" xfId="0" applyAlignment="1" applyFill="1" applyFont="1" applyNumberFormat="1">
      <alignment horizontal="center" vertical="bottom"/>
    </xf>
    <xf borderId="0" fillId="37" fontId="391" numFmtId="49" xfId="0" applyAlignment="1" applyFill="1" applyFont="1" applyNumberFormat="1">
      <alignment horizontal="center" readingOrder="0" vertical="bottom"/>
    </xf>
    <xf borderId="0" fillId="37" fontId="392" numFmtId="49" xfId="0" applyAlignment="1" applyFill="1" applyFont="1" applyNumberFormat="1">
      <alignment horizontal="center" vertical="bottom"/>
    </xf>
    <xf borderId="0" fillId="38" fontId="393" numFmtId="49" xfId="0" applyAlignment="1" applyFill="1" applyFont="1" applyNumberFormat="1">
      <alignment horizontal="center" vertical="bottom"/>
    </xf>
    <xf borderId="0" fillId="38" fontId="394" numFmtId="49" xfId="0" applyAlignment="1" applyFill="1" applyFont="1" applyNumberFormat="1">
      <alignment horizontal="center" vertical="bottom"/>
    </xf>
    <xf borderId="0" fillId="26" fontId="23" numFmtId="49" xfId="0" applyAlignment="1" applyFill="1" applyFont="1" applyNumberFormat="1">
      <alignment horizontal="center" readingOrder="0" vertical="center"/>
    </xf>
    <xf borderId="0" fillId="38" fontId="395" numFmtId="49" xfId="0" applyAlignment="1" applyFill="1" applyFont="1" applyNumberFormat="1">
      <alignment horizontal="center" readingOrder="0" vertical="bottom"/>
    </xf>
    <xf borderId="0" fillId="39" fontId="396" numFmtId="49" xfId="0" applyAlignment="1" applyFill="1" applyFont="1" applyNumberFormat="1">
      <alignment horizontal="center" readingOrder="0" vertical="bottom"/>
    </xf>
    <xf borderId="0" fillId="26" fontId="23" numFmtId="49" xfId="0" applyAlignment="1" applyFill="1" applyFont="1" applyNumberFormat="1">
      <alignment horizontal="center" readingOrder="0" vertical="center"/>
    </xf>
    <xf borderId="0" fillId="39" fontId="397" numFmtId="49" xfId="0" applyAlignment="1" applyFill="1" applyFont="1" applyNumberFormat="1">
      <alignment horizontal="center" vertical="bottom"/>
    </xf>
    <xf borderId="0" fillId="36" fontId="398" numFmtId="49" xfId="0" applyAlignment="1" applyFill="1" applyFont="1" applyNumberFormat="1">
      <alignment horizontal="center" vertical="bottom"/>
    </xf>
    <xf borderId="0" fillId="36" fontId="399" numFmtId="49" xfId="0" applyAlignment="1" applyFill="1" applyFont="1" applyNumberFormat="1">
      <alignment horizontal="center" vertical="bottom"/>
    </xf>
    <xf borderId="0" fillId="41" fontId="400" numFmtId="49" xfId="0" applyAlignment="1" applyFill="1" applyFont="1" applyNumberFormat="1">
      <alignment horizontal="center" readingOrder="0" vertical="center"/>
    </xf>
    <xf borderId="0" fillId="36" fontId="401" numFmtId="49" xfId="0" applyAlignment="1" applyFill="1" applyFont="1" applyNumberFormat="1">
      <alignment horizontal="center" vertical="bottom"/>
    </xf>
    <xf borderId="0" fillId="29" fontId="17" numFmtId="49" xfId="0" applyAlignment="1" applyFill="1" applyFont="1" applyNumberFormat="1">
      <alignment readingOrder="0" vertical="center"/>
    </xf>
    <xf borderId="0" fillId="29" fontId="23" numFmtId="49" xfId="0" applyAlignment="1" applyFill="1" applyFont="1" applyNumberFormat="1">
      <alignment shrinkToFit="0" vertical="center" wrapText="0"/>
    </xf>
    <xf borderId="0" fillId="40" fontId="402" numFmtId="49" xfId="0" applyAlignment="1" applyFill="1" applyFont="1" applyNumberFormat="1">
      <alignment horizontal="center" vertical="bottom"/>
    </xf>
    <xf borderId="0" fillId="40" fontId="403" numFmtId="49" xfId="0" applyAlignment="1" applyFill="1" applyFont="1" applyNumberFormat="1">
      <alignment horizontal="center" vertical="bottom"/>
    </xf>
    <xf borderId="0" fillId="40" fontId="404" numFmtId="49" xfId="0" applyAlignment="1" applyFill="1" applyFont="1" applyNumberFormat="1">
      <alignment horizontal="center" readingOrder="0" vertical="bottom"/>
    </xf>
    <xf borderId="0" fillId="41" fontId="405" numFmtId="49" xfId="0" applyAlignment="1" applyFill="1" applyFont="1" applyNumberFormat="1">
      <alignment horizontal="center" vertical="bottom"/>
    </xf>
    <xf borderId="0" fillId="41" fontId="406" numFmtId="49" xfId="0" applyAlignment="1" applyFill="1" applyFont="1" applyNumberFormat="1">
      <alignment horizontal="center" readingOrder="0" vertical="bottom"/>
    </xf>
    <xf borderId="0" fillId="46" fontId="17" numFmtId="49" xfId="0" applyAlignment="1" applyFill="1" applyFont="1" applyNumberFormat="1">
      <alignment vertical="center"/>
    </xf>
    <xf borderId="11" fillId="41" fontId="407" numFmtId="49" xfId="0" applyAlignment="1" applyBorder="1" applyFill="1" applyFont="1" applyNumberFormat="1">
      <alignment horizontal="center" readingOrder="0" vertical="bottom"/>
    </xf>
    <xf borderId="0" fillId="26" fontId="408" numFmtId="49" xfId="0" applyAlignment="1" applyFill="1" applyFont="1" applyNumberFormat="1">
      <alignment horizontal="center" readingOrder="0" vertical="center"/>
    </xf>
    <xf borderId="0" fillId="41" fontId="409" numFmtId="49" xfId="0" applyAlignment="1" applyFill="1" applyFont="1" applyNumberFormat="1">
      <alignment horizontal="center" vertical="bottom"/>
    </xf>
    <xf borderId="0" fillId="38" fontId="410" numFmtId="49" xfId="0" applyAlignment="1" applyFill="1" applyFont="1" applyNumberFormat="1">
      <alignment horizontal="center" vertical="bottom"/>
    </xf>
    <xf borderId="0" fillId="4" fontId="23" numFmtId="49" xfId="0" applyAlignment="1" applyFill="1" applyFont="1" applyNumberFormat="1">
      <alignment horizontal="center" readingOrder="0" vertical="bottom"/>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69" numFmtId="49" xfId="0" applyAlignment="1" applyBorder="1" applyFont="1" applyNumberFormat="1">
      <alignment horizontal="center" readingOrder="0" vertical="center"/>
    </xf>
    <xf borderId="11" fillId="0" fontId="369" numFmtId="49" xfId="0" applyAlignment="1" applyBorder="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23" numFmtId="0" xfId="0" applyAlignment="1" applyFill="1" applyFont="1">
      <alignment horizontal="center" readingOrder="0" vertical="center"/>
    </xf>
    <xf borderId="0" fillId="0" fontId="23" numFmtId="49" xfId="0" applyAlignment="1" applyFont="1" applyNumberFormat="1">
      <alignment horizontal="center" vertical="bottom"/>
    </xf>
    <xf borderId="0" fillId="26" fontId="411" numFmtId="49" xfId="0" applyAlignment="1" applyFill="1" applyFont="1" applyNumberFormat="1">
      <alignment horizontal="center" readingOrder="0" vertical="center"/>
    </xf>
    <xf borderId="0" fillId="29" fontId="23" numFmtId="49" xfId="0" applyAlignment="1" applyFill="1" applyFont="1" applyNumberFormat="1">
      <alignment readingOrder="0" shrinkToFit="0" vertical="center" wrapText="0"/>
    </xf>
    <xf borderId="0" fillId="26" fontId="412" numFmtId="49" xfId="0" applyAlignment="1" applyFill="1" applyFont="1" applyNumberFormat="1">
      <alignment horizontal="center" vertical="center"/>
    </xf>
    <xf borderId="0" fillId="26" fontId="23" numFmtId="49" xfId="0" applyAlignment="1" applyFill="1" applyFont="1" applyNumberFormat="1">
      <alignment vertical="center"/>
    </xf>
    <xf borderId="0" fillId="0" fontId="23" numFmtId="49" xfId="0" applyAlignment="1" applyFont="1" applyNumberFormat="1">
      <alignment horizontal="center" readingOrder="0" vertical="bottom"/>
    </xf>
    <xf borderId="0" fillId="26" fontId="23" numFmtId="49" xfId="0" applyAlignment="1" applyFill="1" applyFont="1" applyNumberFormat="1">
      <alignment horizontal="center" readingOrder="0" vertical="center"/>
    </xf>
    <xf borderId="11" fillId="0" fontId="413" numFmtId="49" xfId="0" applyAlignment="1" applyBorder="1" applyFont="1" applyNumberFormat="1">
      <alignment horizontal="center" readingOrder="0" vertical="center"/>
    </xf>
    <xf borderId="0" fillId="0" fontId="23" numFmtId="0" xfId="0" applyAlignment="1" applyFont="1">
      <alignment horizontal="center" vertical="bottom"/>
    </xf>
    <xf borderId="0" fillId="41" fontId="17" numFmtId="49" xfId="0" applyAlignment="1" applyFill="1" applyFont="1" applyNumberFormat="1">
      <alignment vertical="center"/>
    </xf>
    <xf borderId="0" fillId="0" fontId="414" numFmtId="49" xfId="0" applyAlignment="1" applyFont="1" applyNumberFormat="1">
      <alignment horizontal="center" readingOrder="0" vertical="bottom"/>
    </xf>
    <xf borderId="0" fillId="26" fontId="415" numFmtId="49" xfId="0" applyAlignment="1" applyFill="1" applyFont="1" applyNumberFormat="1">
      <alignment horizontal="center" readingOrder="0" vertical="bottom"/>
    </xf>
    <xf borderId="11" fillId="0" fontId="416"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0" fontId="417" numFmtId="49" xfId="0" applyAlignment="1" applyFont="1" applyNumberFormat="1">
      <alignment horizontal="center" readingOrder="0" vertical="center"/>
    </xf>
    <xf borderId="0" fillId="4" fontId="418" numFmtId="49" xfId="0" applyAlignment="1" applyFill="1" applyFont="1" applyNumberFormat="1">
      <alignment horizontal="right" readingOrder="0" vertical="center"/>
    </xf>
    <xf borderId="0" fillId="5" fontId="23"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32" fontId="23" numFmtId="49" xfId="0" applyAlignment="1" applyFill="1" applyFont="1" applyNumberFormat="1">
      <alignment horizontal="center" readingOrder="0" vertical="center"/>
    </xf>
    <xf borderId="11" fillId="32" fontId="369" numFmtId="49" xfId="0" applyAlignment="1" applyBorder="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0" fontId="23" numFmtId="0" xfId="0" applyAlignment="1" applyFont="1">
      <alignment horizontal="center" readingOrder="0" vertical="center"/>
    </xf>
    <xf borderId="0" fillId="38" fontId="23"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26" fontId="1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26" fontId="277" numFmtId="49" xfId="0" applyAlignment="1" applyFill="1" applyFont="1" applyNumberFormat="1">
      <alignment horizontal="center" readingOrder="0" vertical="center"/>
    </xf>
    <xf borderId="0" fillId="32" fontId="419" numFmtId="49" xfId="0" applyAlignment="1" applyFill="1" applyFont="1" applyNumberFormat="1">
      <alignment horizontal="center" readingOrder="0" textRotation="0" vertical="center"/>
    </xf>
    <xf borderId="0" fillId="26" fontId="27"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32" fontId="420" numFmtId="49" xfId="0" applyAlignment="1" applyFill="1" applyFont="1" applyNumberFormat="1">
      <alignment horizontal="center" readingOrder="0" vertical="center"/>
    </xf>
    <xf borderId="12" fillId="37" fontId="421" numFmtId="49" xfId="0" applyAlignment="1" applyBorder="1" applyFill="1" applyFont="1" applyNumberFormat="1">
      <alignment horizontal="center" readingOrder="0" vertical="center"/>
    </xf>
    <xf borderId="0" fillId="36" fontId="422" numFmtId="49" xfId="0" applyAlignment="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12" fillId="0" fontId="424" numFmtId="49" xfId="0" applyAlignment="1" applyBorder="1" applyFont="1" applyNumberFormat="1">
      <alignment horizontal="center" readingOrder="0" vertical="center"/>
    </xf>
    <xf borderId="0" fillId="38" fontId="23"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12" fillId="38" fontId="371" numFmtId="49" xfId="0" applyAlignment="1" applyBorder="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12" fillId="36" fontId="425" numFmtId="49" xfId="0" applyAlignment="1" applyBorder="1" applyFill="1" applyFont="1" applyNumberFormat="1">
      <alignment horizontal="center" readingOrder="0" vertical="center"/>
    </xf>
    <xf borderId="12" fillId="32" fontId="371" numFmtId="49" xfId="0" applyAlignment="1" applyBorder="1" applyFill="1" applyFont="1" applyNumberFormat="1">
      <alignment horizontal="center" readingOrder="0" vertical="center"/>
    </xf>
    <xf borderId="12" fillId="40" fontId="426" numFmtId="49" xfId="0" applyAlignment="1" applyBorder="1" applyFill="1" applyFont="1" applyNumberFormat="1">
      <alignment horizontal="center" readingOrder="0" vertical="center"/>
    </xf>
    <xf borderId="12" fillId="41" fontId="371" numFmtId="49" xfId="0" applyAlignment="1" applyBorder="1" applyFill="1" applyFont="1" applyNumberFormat="1">
      <alignment horizontal="center" readingOrder="0" vertical="center"/>
    </xf>
    <xf borderId="12" fillId="0" fontId="427" numFmtId="49" xfId="0" applyAlignment="1" applyBorder="1" applyFont="1" applyNumberFormat="1">
      <alignment horizontal="center" readingOrder="0" vertical="center"/>
    </xf>
    <xf borderId="12" fillId="41" fontId="428" numFmtId="49" xfId="0" applyAlignment="1" applyBorder="1" applyFill="1" applyFont="1" applyNumberFormat="1">
      <alignment horizontal="center" readingOrder="0" vertical="center"/>
    </xf>
    <xf borderId="12" fillId="41" fontId="429" numFmtId="49" xfId="0" applyAlignment="1" applyBorder="1" applyFill="1" applyFont="1" applyNumberFormat="1">
      <alignment horizontal="center" readingOrder="0" vertical="center"/>
    </xf>
    <xf borderId="0" fillId="0" fontId="23" numFmtId="21" xfId="0" applyAlignment="1" applyFont="1" applyNumberFormat="1">
      <alignment horizontal="center" readingOrder="0" vertical="center"/>
    </xf>
    <xf borderId="0" fillId="39" fontId="36" numFmtId="49" xfId="0" applyAlignment="1" applyFill="1" applyFont="1" applyNumberFormat="1">
      <alignment horizontal="center" readingOrder="0" vertical="center"/>
    </xf>
    <xf borderId="0" fillId="38" fontId="430"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26" fontId="27" numFmtId="49" xfId="0" applyAlignment="1" applyFill="1" applyFont="1" applyNumberFormat="1">
      <alignment vertical="center"/>
    </xf>
    <xf borderId="0" fillId="0" fontId="36" numFmtId="0" xfId="0" applyAlignment="1" applyFont="1">
      <alignment horizontal="center" readingOrder="0" vertical="center"/>
    </xf>
    <xf borderId="0" fillId="40" fontId="36" numFmtId="49" xfId="0" applyAlignment="1" applyFill="1" applyFont="1" applyNumberFormat="1">
      <alignment horizontal="center" readingOrder="0" vertical="center"/>
    </xf>
    <xf borderId="0" fillId="0" fontId="16" numFmtId="49" xfId="0" applyAlignment="1" applyFont="1" applyNumberFormat="1">
      <alignment horizontal="right" textRotation="0" vertical="center"/>
    </xf>
    <xf borderId="0" fillId="0" fontId="36" numFmtId="164" xfId="0" applyAlignment="1" applyFont="1" applyNumberFormat="1">
      <alignment horizontal="center" readingOrder="0" vertical="center"/>
    </xf>
    <xf borderId="0" fillId="32" fontId="23"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6" fontId="23"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38" fontId="36" numFmtId="49" xfId="0" applyAlignment="1" applyFill="1" applyFont="1" applyNumberFormat="1">
      <alignment horizontal="center" readingOrder="0" vertical="center"/>
    </xf>
    <xf borderId="0" fillId="26" fontId="27"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3" numFmtId="164" xfId="0" applyAlignment="1" applyFill="1" applyFont="1" applyNumberFormat="1">
      <alignment horizontal="center" readingOrder="0" vertical="center"/>
    </xf>
    <xf borderId="0" fillId="26" fontId="431" numFmtId="49" xfId="0" applyAlignment="1" applyFill="1" applyFont="1" applyNumberFormat="1">
      <alignment horizontal="right" readingOrder="0" vertical="center"/>
    </xf>
    <xf borderId="12" fillId="38" fontId="432" numFmtId="49" xfId="0" applyAlignment="1" applyBorder="1" applyFill="1" applyFont="1" applyNumberFormat="1">
      <alignment horizontal="center" readingOrder="0" vertical="center"/>
    </xf>
    <xf borderId="0" fillId="26" fontId="433" numFmtId="49" xfId="0" applyAlignment="1" applyFill="1" applyFont="1" applyNumberFormat="1">
      <alignment horizontal="center" readingOrder="0" vertical="center"/>
    </xf>
    <xf borderId="0" fillId="38" fontId="434" numFmtId="49" xfId="0" applyAlignment="1" applyFill="1" applyFont="1" applyNumberFormat="1">
      <alignment horizontal="center" readingOrder="0" vertical="center"/>
    </xf>
    <xf borderId="0" fillId="39" fontId="435" numFmtId="49" xfId="0" applyAlignment="1" applyFill="1" applyFont="1" applyNumberFormat="1">
      <alignment horizontal="center" readingOrder="0" vertical="center"/>
    </xf>
    <xf borderId="0" fillId="26" fontId="23" numFmtId="49" xfId="0" applyAlignment="1" applyFill="1" applyFont="1" applyNumberFormat="1">
      <alignment horizontal="center" vertical="center"/>
    </xf>
    <xf borderId="0" fillId="6" fontId="23" numFmtId="49" xfId="0" applyAlignment="1" applyFill="1" applyFont="1" applyNumberFormat="1">
      <alignment horizontal="center" vertical="center"/>
    </xf>
    <xf borderId="0" fillId="36" fontId="436" numFmtId="49" xfId="0" applyAlignment="1" applyFill="1" applyFont="1" applyNumberFormat="1">
      <alignment horizontal="center" readingOrder="0" vertical="center"/>
    </xf>
    <xf borderId="0" fillId="26" fontId="437" numFmtId="49" xfId="0" applyAlignment="1" applyFill="1" applyFont="1" applyNumberFormat="1">
      <alignment horizontal="center" vertical="center"/>
    </xf>
    <xf borderId="12" fillId="36" fontId="438" numFmtId="49" xfId="0" applyAlignment="1" applyBorder="1" applyFill="1" applyFont="1" applyNumberFormat="1">
      <alignment horizontal="center" readingOrder="0" vertical="center"/>
    </xf>
    <xf borderId="12" fillId="26" fontId="439" numFmtId="49" xfId="0" applyAlignment="1" applyBorder="1" applyFill="1" applyFont="1" applyNumberFormat="1">
      <alignment horizontal="center" readingOrder="0" vertical="center"/>
    </xf>
    <xf borderId="12" fillId="32" fontId="440" numFmtId="49" xfId="0" applyAlignment="1" applyBorder="1" applyFill="1" applyFont="1" applyNumberFormat="1">
      <alignment horizontal="center" readingOrder="0" vertical="center"/>
    </xf>
    <xf borderId="0" fillId="40" fontId="441" numFmtId="49" xfId="0" applyAlignment="1" applyFill="1" applyFont="1" applyNumberFormat="1">
      <alignment horizontal="center" readingOrder="0" vertical="center"/>
    </xf>
    <xf borderId="0" fillId="6" fontId="27" numFmtId="49" xfId="0" applyAlignment="1" applyFill="1" applyFont="1" applyNumberFormat="1">
      <alignment horizontal="center" vertical="center"/>
    </xf>
    <xf borderId="0" fillId="41" fontId="442" numFmtId="49" xfId="0" applyAlignment="1" applyFill="1" applyFont="1" applyNumberFormat="1">
      <alignment horizontal="center" readingOrder="0" vertical="center"/>
    </xf>
    <xf borderId="0" fillId="5" fontId="23" numFmtId="49" xfId="0" applyAlignment="1" applyFill="1" applyFont="1" applyNumberFormat="1">
      <alignment horizontal="center" vertical="center"/>
    </xf>
    <xf borderId="0" fillId="5" fontId="27" numFmtId="49" xfId="0" applyAlignment="1" applyFill="1" applyFont="1" applyNumberFormat="1">
      <alignment vertical="center"/>
    </xf>
    <xf borderId="0" fillId="38" fontId="23" numFmtId="49" xfId="0" applyAlignment="1" applyFill="1" applyFont="1" applyNumberFormat="1">
      <alignment horizontal="center" vertical="center"/>
    </xf>
    <xf borderId="0" fillId="36"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29" fontId="23" numFmtId="49" xfId="0" applyAlignment="1" applyFill="1" applyFont="1" applyNumberFormat="1">
      <alignment shrinkToFit="0" vertical="center" wrapText="0"/>
    </xf>
    <xf borderId="0" fillId="26" fontId="443" numFmtId="49" xfId="0" applyAlignment="1" applyFill="1" applyFont="1" applyNumberFormat="1">
      <alignment horizontal="center" readingOrder="0"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6" numFmtId="21" xfId="0" applyAlignment="1" applyFont="1" applyNumberFormat="1">
      <alignment horizontal="center" readingOrder="0"/>
    </xf>
    <xf borderId="0" fillId="0" fontId="36" numFmtId="49" xfId="0" applyAlignment="1" applyFont="1" applyNumberFormat="1">
      <alignment horizontal="center" readingOrder="0"/>
    </xf>
    <xf borderId="0" fillId="0" fontId="36" numFmtId="0" xfId="0" applyAlignment="1" applyFont="1">
      <alignment horizontal="center" readingOrder="0"/>
    </xf>
    <xf borderId="0" fillId="26" fontId="23" numFmtId="49" xfId="0" applyAlignment="1" applyFill="1" applyFont="1" applyNumberFormat="1">
      <alignment horizontal="center" readingOrder="0" vertical="center"/>
    </xf>
    <xf borderId="0" fillId="26" fontId="27" numFmtId="49" xfId="0" applyAlignment="1" applyFill="1" applyFont="1" applyNumberFormat="1">
      <alignment horizontal="center" vertical="center"/>
    </xf>
    <xf borderId="0" fillId="0" fontId="18" numFmtId="49" xfId="0" applyAlignment="1" applyFont="1" applyNumberFormat="1">
      <alignment horizontal="right" vertical="center"/>
    </xf>
    <xf borderId="11" fillId="26" fontId="369" numFmtId="49" xfId="0" applyAlignment="1" applyBorder="1" applyFill="1" applyFont="1" applyNumberFormat="1">
      <alignment horizontal="center" vertical="center"/>
    </xf>
    <xf borderId="0" fillId="5" fontId="27" numFmtId="49" xfId="0" applyAlignment="1" applyFill="1" applyFont="1" applyNumberFormat="1">
      <alignment horizontal="left" readingOrder="0" vertical="center"/>
    </xf>
    <xf borderId="0" fillId="26" fontId="277" numFmtId="49" xfId="0" applyAlignment="1" applyFill="1" applyFont="1" applyNumberFormat="1">
      <alignment horizontal="center" readingOrder="0" vertical="center"/>
    </xf>
    <xf borderId="12" fillId="26" fontId="371" numFmtId="49" xfId="0" applyAlignment="1" applyBorder="1" applyFill="1" applyFont="1" applyNumberFormat="1">
      <alignment horizontal="center" readingOrder="0" vertical="center"/>
    </xf>
    <xf borderId="0" fillId="14" fontId="366" numFmtId="49" xfId="0" applyAlignment="1" applyFill="1" applyFont="1" applyNumberFormat="1">
      <alignment vertical="center"/>
    </xf>
    <xf borderId="0" fillId="14" fontId="27"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14" fontId="27" numFmtId="49" xfId="0" applyAlignment="1" applyFill="1" applyFont="1" applyNumberFormat="1">
      <alignment horizontal="center" readingOrder="0" vertical="center"/>
    </xf>
    <xf borderId="0" fillId="14" fontId="27"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38" fontId="444"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3" numFmtId="49" xfId="0" applyAlignment="1" applyFill="1" applyFont="1" applyNumberFormat="1">
      <alignment readingOrder="0" shrinkToFit="0" vertical="center" wrapText="0"/>
    </xf>
    <xf borderId="0" fillId="39" fontId="445" numFmtId="49" xfId="0" applyAlignment="1" applyFill="1" applyFont="1" applyNumberFormat="1">
      <alignment horizontal="center" vertical="center"/>
    </xf>
    <xf borderId="0" fillId="39" fontId="446" numFmtId="49" xfId="0" applyAlignment="1" applyFill="1" applyFont="1" applyNumberFormat="1">
      <alignment horizontal="center" vertical="center"/>
    </xf>
    <xf borderId="0" fillId="36" fontId="447" numFmtId="49" xfId="0" applyAlignment="1" applyFill="1" applyFont="1" applyNumberFormat="1">
      <alignment horizontal="center" vertical="center"/>
    </xf>
    <xf borderId="0" fillId="32" fontId="448" numFmtId="49" xfId="0" applyAlignment="1" applyFill="1" applyFont="1" applyNumberFormat="1">
      <alignment horizontal="center" vertical="center"/>
    </xf>
    <xf borderId="0" fillId="38" fontId="449"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47" fontId="17" numFmtId="49" xfId="0" applyAlignment="1" applyFill="1" applyFont="1" applyNumberFormat="1">
      <alignment vertical="center"/>
    </xf>
    <xf borderId="0" fillId="47" fontId="23" numFmtId="49" xfId="0" applyAlignment="1" applyFill="1" applyFont="1" applyNumberFormat="1">
      <alignment readingOrder="0" shrinkToFit="0" vertical="center" wrapText="0"/>
    </xf>
    <xf borderId="0" fillId="38" fontId="450" numFmtId="49" xfId="0" applyAlignment="1" applyFill="1" applyFont="1" applyNumberFormat="1">
      <alignment horizontal="center" readingOrder="0" vertical="center"/>
    </xf>
    <xf borderId="0" fillId="38" fontId="451" numFmtId="49" xfId="0" applyAlignment="1" applyFill="1" applyFont="1" applyNumberFormat="1">
      <alignment horizontal="center" readingOrder="0" vertical="center"/>
    </xf>
    <xf borderId="0" fillId="26" fontId="452" numFmtId="49" xfId="0" applyAlignment="1" applyFill="1" applyFont="1" applyNumberFormat="1">
      <alignment horizontal="center" readingOrder="0" vertical="center"/>
    </xf>
    <xf borderId="0" fillId="77" fontId="17" numFmtId="49" xfId="0" applyAlignment="1" applyFill="1" applyFont="1" applyNumberFormat="1">
      <alignment horizontal="center" readingOrder="0" vertical="center"/>
    </xf>
    <xf borderId="0" fillId="81" fontId="17" numFmtId="49" xfId="0" applyAlignment="1" applyFill="1" applyFont="1" applyNumberFormat="1">
      <alignment vertical="center"/>
    </xf>
    <xf borderId="0" fillId="81" fontId="23" numFmtId="49" xfId="0" applyAlignment="1" applyFill="1" applyFont="1" applyNumberFormat="1">
      <alignment readingOrder="0" shrinkToFit="0" vertical="center" wrapText="0"/>
    </xf>
    <xf borderId="0" fillId="0" fontId="23" numFmtId="164" xfId="0" applyAlignment="1" applyFont="1" applyNumberFormat="1">
      <alignment horizontal="center" vertical="center"/>
    </xf>
    <xf borderId="0" fillId="38" fontId="27" numFmtId="49" xfId="0" applyAlignment="1" applyFill="1" applyFont="1" applyNumberFormat="1">
      <alignment horizontal="center" vertical="center"/>
    </xf>
    <xf borderId="0" fillId="37" fontId="453" numFmtId="49" xfId="0" applyAlignment="1" applyFill="1" applyFont="1" applyNumberFormat="1">
      <alignment horizontal="center" vertical="center"/>
    </xf>
    <xf borderId="0" fillId="40" fontId="454" numFmtId="49" xfId="0" applyAlignment="1" applyFill="1" applyFont="1" applyNumberFormat="1">
      <alignment horizontal="center" vertical="center"/>
    </xf>
    <xf borderId="0" fillId="41" fontId="455" numFmtId="49" xfId="0" applyAlignment="1" applyFill="1" applyFont="1" applyNumberFormat="1">
      <alignment horizontal="center" vertical="center"/>
    </xf>
    <xf borderId="0" fillId="5" fontId="23" numFmtId="49" xfId="0" applyAlignment="1" applyFill="1" applyFont="1" applyNumberFormat="1">
      <alignment vertical="center"/>
    </xf>
    <xf borderId="0" fillId="0" fontId="23" numFmtId="49" xfId="0" applyAlignment="1" applyFont="1" applyNumberFormat="1">
      <alignment horizontal="center" readingOrder="0"/>
    </xf>
    <xf borderId="0" fillId="39"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8" fontId="23" numFmtId="49" xfId="0" applyAlignment="1" applyFill="1" applyFont="1" applyNumberFormat="1">
      <alignment horizontal="center" readingOrder="0" vertical="center"/>
    </xf>
    <xf borderId="0" fillId="43" fontId="17" numFmtId="49" xfId="0" applyAlignment="1" applyFill="1" applyFont="1" applyNumberFormat="1">
      <alignment horizontal="center" readingOrder="0" vertical="center"/>
    </xf>
    <xf borderId="0" fillId="0" fontId="372" numFmtId="164" xfId="0" applyAlignment="1" applyFont="1" applyNumberFormat="1">
      <alignment horizontal="center" readingOrder="0" vertical="center"/>
    </xf>
    <xf borderId="13" fillId="32" fontId="372" numFmtId="49" xfId="0" applyAlignment="1" applyBorder="1" applyFill="1" applyFont="1" applyNumberFormat="1">
      <alignment horizontal="center" readingOrder="0" vertical="center"/>
    </xf>
    <xf borderId="13" fillId="26" fontId="372" numFmtId="49" xfId="0" applyAlignment="1" applyBorder="1" applyFill="1" applyFont="1" applyNumberFormat="1">
      <alignment horizontal="center" readingOrder="0" vertical="center"/>
    </xf>
    <xf borderId="0" fillId="56" fontId="456" numFmtId="49" xfId="0" applyAlignment="1" applyFill="1" applyFont="1" applyNumberFormat="1">
      <alignment horizontal="center" readingOrder="0" vertical="center"/>
    </xf>
    <xf borderId="0" fillId="26" fontId="31" numFmtId="49" xfId="0" applyAlignment="1" applyFill="1" applyFont="1" applyNumberFormat="1">
      <alignment horizontal="right" readingOrder="0" vertical="center"/>
    </xf>
    <xf borderId="12" fillId="39" fontId="457" numFmtId="49" xfId="0" applyAlignment="1" applyBorder="1" applyFill="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0" fontId="27" numFmtId="49" xfId="0" applyAlignment="1" applyFont="1" applyNumberFormat="1">
      <alignment horizontal="left" readingOrder="0" vertical="center"/>
    </xf>
    <xf borderId="0" fillId="39" fontId="461" numFmtId="49" xfId="0" applyAlignment="1" applyFill="1" applyFont="1" applyNumberFormat="1">
      <alignment horizontal="center" vertical="center"/>
    </xf>
    <xf borderId="0" fillId="33" fontId="17" numFmtId="49" xfId="0" applyAlignment="1" applyFill="1" applyFont="1" applyNumberFormat="1">
      <alignment horizontal="center" readingOrder="0" vertical="center"/>
    </xf>
    <xf borderId="0" fillId="0" fontId="23" numFmtId="164" xfId="0" applyAlignment="1" applyFont="1" applyNumberFormat="1">
      <alignment horizontal="center" readingOrder="0" vertical="center"/>
    </xf>
    <xf borderId="0" fillId="38"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13" fillId="26" fontId="372" numFmtId="49" xfId="0" applyAlignment="1" applyBorder="1" applyFill="1" applyFont="1" applyNumberFormat="1">
      <alignment horizontal="center" vertical="center"/>
    </xf>
    <xf borderId="13" fillId="37" fontId="372" numFmtId="49" xfId="0" applyAlignment="1" applyBorder="1" applyFill="1" applyFont="1" applyNumberFormat="1">
      <alignment horizontal="center" readingOrder="0" vertical="center"/>
    </xf>
    <xf borderId="13" fillId="38" fontId="372" numFmtId="49" xfId="0" applyAlignment="1" applyBorder="1" applyFill="1" applyFont="1" applyNumberFormat="1">
      <alignment horizontal="center" vertical="center"/>
    </xf>
    <xf borderId="0" fillId="23" fontId="17" numFmtId="49" xfId="0" applyAlignment="1" applyFill="1" applyFont="1" applyNumberFormat="1">
      <alignment vertical="center"/>
    </xf>
    <xf borderId="13" fillId="39" fontId="372" numFmtId="49" xfId="0" applyAlignment="1" applyBorder="1" applyFill="1" applyFont="1" applyNumberFormat="1">
      <alignment horizontal="center" vertical="center"/>
    </xf>
    <xf borderId="0" fillId="23" fontId="23" numFmtId="49" xfId="0" applyAlignment="1" applyFill="1" applyFont="1" applyNumberFormat="1">
      <alignment vertical="center"/>
    </xf>
    <xf borderId="13" fillId="36" fontId="372" numFmtId="49" xfId="0" applyAlignment="1" applyBorder="1" applyFill="1" applyFont="1" applyNumberFormat="1">
      <alignment horizontal="center" vertical="center"/>
    </xf>
    <xf borderId="13" fillId="40" fontId="372" numFmtId="49" xfId="0" applyAlignment="1" applyBorder="1" applyFill="1" applyFont="1" applyNumberFormat="1">
      <alignment horizontal="center" vertical="center"/>
    </xf>
    <xf borderId="0" fillId="0" fontId="462" numFmtId="49" xfId="0" applyAlignment="1" applyFont="1" applyNumberFormat="1">
      <alignment horizontal="center" readingOrder="0" vertical="center"/>
    </xf>
    <xf borderId="13" fillId="36" fontId="372"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13" fillId="26" fontId="463" numFmtId="49" xfId="0" applyAlignment="1" applyBorder="1" applyFill="1" applyFont="1" applyNumberFormat="1">
      <alignment horizontal="center" readingOrder="0" vertical="center"/>
    </xf>
    <xf borderId="0" fillId="30" fontId="17" numFmtId="49" xfId="0" applyAlignment="1" applyFill="1" applyFont="1" applyNumberFormat="1">
      <alignment vertical="center"/>
    </xf>
    <xf borderId="0" fillId="30" fontId="23" numFmtId="49" xfId="0" applyAlignment="1" applyFill="1" applyFont="1" applyNumberFormat="1">
      <alignment vertical="center"/>
    </xf>
    <xf borderId="0" fillId="0" fontId="23" numFmtId="49" xfId="0" applyAlignment="1" applyFont="1" applyNumberFormat="1">
      <alignment horizontal="center" readingOrder="0" vertical="center"/>
    </xf>
    <xf borderId="0" fillId="0" fontId="27" numFmtId="49" xfId="0" applyAlignment="1" applyFont="1" applyNumberFormat="1">
      <alignment readingOrder="0" vertical="center"/>
    </xf>
    <xf borderId="0" fillId="30" fontId="17" numFmtId="49" xfId="0" applyAlignment="1" applyFill="1" applyFont="1" applyNumberFormat="1">
      <alignment readingOrder="0" vertical="center"/>
    </xf>
    <xf borderId="0" fillId="30" fontId="23" numFmtId="49" xfId="0" applyAlignment="1" applyFill="1" applyFont="1" applyNumberFormat="1">
      <alignment readingOrder="0" vertical="center"/>
    </xf>
    <xf borderId="0" fillId="40" fontId="23" numFmtId="49" xfId="0" applyAlignment="1" applyFill="1" applyFont="1" applyNumberFormat="1">
      <alignment horizontal="center" readingOrder="0" vertical="center"/>
    </xf>
    <xf borderId="0" fillId="0" fontId="464" numFmtId="49" xfId="0" applyAlignment="1" applyFont="1" applyNumberFormat="1">
      <alignment horizontal="center" vertical="center"/>
    </xf>
    <xf borderId="0" fillId="0" fontId="23" numFmtId="49" xfId="0" applyAlignment="1" applyFont="1" applyNumberFormat="1">
      <alignment vertical="center"/>
    </xf>
    <xf borderId="0" fillId="23" fontId="23" numFmtId="49" xfId="0" applyAlignment="1" applyFill="1" applyFont="1" applyNumberFormat="1">
      <alignment horizontal="left" readingOrder="0" shrinkToFit="0" vertical="center" wrapText="0"/>
    </xf>
    <xf borderId="0" fillId="0" fontId="27" numFmtId="49" xfId="0" applyAlignment="1" applyFont="1" applyNumberFormat="1">
      <alignment vertical="center"/>
    </xf>
    <xf borderId="0" fillId="0" fontId="36" numFmtId="49" xfId="0" applyAlignment="1" applyFont="1" applyNumberFormat="1">
      <alignment readingOrder="0" vertical="center"/>
    </xf>
    <xf borderId="0" fillId="30" fontId="17" numFmtId="49" xfId="0" applyAlignment="1" applyFill="1" applyFont="1" applyNumberFormat="1">
      <alignment readingOrder="0" vertical="center"/>
    </xf>
    <xf borderId="13" fillId="0" fontId="372" numFmtId="49" xfId="0" applyAlignment="1" applyBorder="1" applyFont="1" applyNumberFormat="1">
      <alignment horizontal="center" vertical="center"/>
    </xf>
    <xf borderId="0" fillId="38" fontId="27" numFmtId="49" xfId="0" applyAlignment="1" applyFill="1" applyFont="1" applyNumberFormat="1">
      <alignment horizontal="center" readingOrder="0" vertical="center"/>
    </xf>
    <xf borderId="0" fillId="26" fontId="23" numFmtId="164" xfId="0" applyAlignment="1" applyFill="1" applyFont="1" applyNumberFormat="1">
      <alignment horizontal="center" readingOrder="0" vertical="center"/>
    </xf>
    <xf borderId="0" fillId="0" fontId="27" numFmtId="49" xfId="0" applyAlignment="1" applyFont="1" applyNumberFormat="1">
      <alignment horizontal="left" readingOrder="0" textRotation="0" vertical="center"/>
    </xf>
    <xf borderId="0" fillId="23" fontId="23" numFmtId="49" xfId="0" applyAlignment="1" applyFill="1" applyFont="1" applyNumberFormat="1">
      <alignment readingOrder="0" shrinkToFit="0" vertical="center" wrapText="0"/>
    </xf>
    <xf borderId="0" fillId="85" fontId="465" numFmtId="49" xfId="0" applyAlignment="1" applyFill="1" applyFont="1" applyNumberFormat="1">
      <alignment readingOrder="0" vertical="center"/>
    </xf>
    <xf borderId="0" fillId="85" fontId="27" numFmtId="49" xfId="0" applyAlignment="1" applyFill="1" applyFont="1" applyNumberFormat="1">
      <alignment horizontal="center" vertical="center"/>
    </xf>
    <xf borderId="0" fillId="85" fontId="23" numFmtId="49" xfId="0" applyAlignment="1" applyFill="1" applyFont="1" applyNumberFormat="1">
      <alignment horizontal="center" vertical="center"/>
    </xf>
    <xf borderId="0" fillId="85" fontId="27" numFmtId="49" xfId="0" applyAlignment="1" applyFill="1" applyFont="1" applyNumberFormat="1">
      <alignment horizontal="center" readingOrder="0" vertical="center"/>
    </xf>
    <xf borderId="0" fillId="85" fontId="27" numFmtId="49" xfId="0" applyAlignment="1" applyFill="1" applyFont="1" applyNumberFormat="1">
      <alignment horizontal="center" vertical="center"/>
    </xf>
    <xf borderId="0" fillId="85" fontId="27"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27" numFmtId="49" xfId="0" applyAlignment="1" applyFill="1" applyFont="1" applyNumberFormat="1">
      <alignment readingOrder="0" vertical="center"/>
    </xf>
    <xf borderId="0" fillId="36" fontId="36" numFmtId="49" xfId="0" applyAlignment="1" applyFill="1" applyFont="1" applyNumberFormat="1">
      <alignment horizontal="center" readingOrder="0" vertical="center"/>
    </xf>
    <xf borderId="0" fillId="56" fontId="27" numFmtId="49" xfId="0" applyAlignment="1" applyFill="1" applyFont="1" applyNumberFormat="1">
      <alignment horizontal="center" vertical="center"/>
    </xf>
    <xf borderId="0" fillId="39" fontId="36" numFmtId="49" xfId="0" applyAlignment="1" applyFill="1" applyFont="1" applyNumberFormat="1">
      <alignment horizontal="center" readingOrder="0" vertical="center"/>
    </xf>
    <xf borderId="13" fillId="0" fontId="466" numFmtId="49" xfId="0" applyAlignment="1" applyBorder="1" applyFont="1" applyNumberFormat="1">
      <alignment horizontal="center" readingOrder="0"/>
    </xf>
    <xf borderId="0" fillId="0" fontId="35" numFmtId="49" xfId="0" applyAlignment="1" applyFont="1" applyNumberFormat="1">
      <alignment horizontal="center" readingOrder="0"/>
    </xf>
    <xf borderId="0" fillId="40" fontId="36" numFmtId="49" xfId="0" applyAlignment="1" applyFill="1" applyFont="1" applyNumberFormat="1">
      <alignment horizontal="center" readingOrder="0" vertical="center"/>
    </xf>
    <xf borderId="13" fillId="39" fontId="372" numFmtId="49" xfId="0" applyAlignment="1" applyBorder="1" applyFill="1" applyFont="1" applyNumberFormat="1">
      <alignment horizontal="center" readingOrder="0" vertical="center"/>
    </xf>
    <xf borderId="13" fillId="0" fontId="290" numFmtId="49" xfId="0" applyAlignment="1" applyBorder="1" applyFont="1" applyNumberFormat="1">
      <alignment horizontal="center" readingOrder="0"/>
    </xf>
    <xf borderId="0" fillId="5" fontId="27"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31" fontId="27" numFmtId="49" xfId="0" applyAlignment="1" applyFill="1" applyFont="1" applyNumberFormat="1">
      <alignment readingOrder="0" vertical="center"/>
    </xf>
    <xf borderId="0" fillId="43" fontId="23" numFmtId="49" xfId="0" applyAlignment="1" applyFill="1" applyFont="1" applyNumberFormat="1">
      <alignment readingOrder="0" vertical="center"/>
    </xf>
    <xf borderId="0" fillId="38" fontId="467" numFmtId="49" xfId="0" applyAlignment="1" applyFill="1" applyFont="1" applyNumberFormat="1">
      <alignment horizontal="center" readingOrder="0" vertical="center"/>
    </xf>
    <xf borderId="0" fillId="38" fontId="468" numFmtId="49" xfId="0" applyAlignment="1" applyFill="1" applyFont="1" applyNumberFormat="1">
      <alignment horizontal="center" readingOrder="0" vertical="center"/>
    </xf>
    <xf borderId="13" fillId="0" fontId="469" numFmtId="49" xfId="0" applyAlignment="1" applyBorder="1" applyFont="1" applyNumberFormat="1">
      <alignment horizontal="center" readingOrder="0" vertical="center"/>
    </xf>
    <xf borderId="0" fillId="26" fontId="277"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1" fontId="27" numFmtId="49" xfId="0" applyAlignment="1" applyFill="1" applyFont="1" applyNumberFormat="1">
      <alignment readingOrder="0" shrinkToFit="0" vertical="center" wrapText="0"/>
    </xf>
    <xf borderId="0" fillId="26" fontId="277" numFmtId="49" xfId="0" applyAlignment="1" applyFill="1" applyFont="1" applyNumberFormat="1">
      <alignment horizontal="center" readingOrder="0" vertical="center"/>
    </xf>
    <xf borderId="0" fillId="26" fontId="470" numFmtId="49" xfId="0" applyAlignment="1" applyFill="1" applyFont="1" applyNumberFormat="1">
      <alignment horizontal="center" vertical="center"/>
    </xf>
    <xf borderId="0" fillId="0" fontId="471" numFmtId="0" xfId="0" applyAlignment="1" applyFont="1">
      <alignment horizontal="center" readingOrder="0" vertical="center"/>
    </xf>
    <xf borderId="0" fillId="0" fontId="471" numFmtId="49" xfId="0" applyAlignment="1" applyFont="1" applyNumberFormat="1">
      <alignment horizontal="center" readingOrder="0" vertical="center"/>
    </xf>
    <xf borderId="0" fillId="0" fontId="27" numFmtId="49" xfId="0" applyAlignment="1" applyFont="1" applyNumberFormat="1">
      <alignment readingOrder="0" textRotation="0" vertical="center"/>
    </xf>
    <xf borderId="0" fillId="26" fontId="36" numFmtId="49" xfId="0" applyAlignment="1" applyFill="1" applyFont="1" applyNumberFormat="1">
      <alignment horizontal="center" readingOrder="0" vertical="center"/>
    </xf>
    <xf borderId="0" fillId="18" fontId="27" numFmtId="49" xfId="0" applyAlignment="1" applyFill="1" applyFont="1" applyNumberFormat="1">
      <alignment readingOrder="0" shrinkToFit="0" vertical="center" wrapText="0"/>
    </xf>
    <xf borderId="0" fillId="55" fontId="16" numFmtId="49" xfId="0" applyAlignment="1" applyFill="1" applyFont="1" applyNumberFormat="1">
      <alignment horizontal="center" readingOrder="0" vertical="center"/>
    </xf>
    <xf borderId="0" fillId="26" fontId="27" numFmtId="164"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 fontId="472" numFmtId="49" xfId="0" applyAlignment="1" applyFill="1" applyFont="1" applyNumberFormat="1">
      <alignment horizontal="right" readingOrder="0" vertical="center"/>
    </xf>
    <xf borderId="0" fillId="55" fontId="17" numFmtId="49" xfId="0" applyAlignment="1" applyFill="1" applyFont="1" applyNumberFormat="1">
      <alignment horizontal="center" readingOrder="0" vertical="center"/>
    </xf>
    <xf borderId="0" fillId="32" fontId="473" numFmtId="49" xfId="0" applyAlignment="1" applyFill="1" applyFont="1" applyNumberFormat="1">
      <alignment horizontal="center" vertical="center"/>
    </xf>
    <xf borderId="0" fillId="4" fontId="474" numFmtId="46" xfId="0" applyAlignment="1" applyFill="1" applyFont="1" applyNumberFormat="1">
      <alignment horizontal="center" readingOrder="0" vertical="center"/>
    </xf>
    <xf borderId="14" fillId="0" fontId="475" numFmtId="49" xfId="0" applyAlignment="1" applyBorder="1" applyFont="1" applyNumberFormat="1">
      <alignment horizontal="center" readingOrder="0" vertical="center"/>
    </xf>
    <xf borderId="14" fillId="32" fontId="474" numFmtId="49" xfId="0" applyAlignment="1" applyBorder="1" applyFill="1" applyFont="1" applyNumberFormat="1">
      <alignment horizontal="center" readingOrder="0" vertical="center"/>
    </xf>
    <xf borderId="14" fillId="37" fontId="474" numFmtId="49" xfId="0" applyAlignment="1" applyBorder="1" applyFill="1" applyFont="1" applyNumberFormat="1">
      <alignment horizontal="center" readingOrder="0" vertical="center"/>
    </xf>
    <xf borderId="0" fillId="32" fontId="476" numFmtId="49" xfId="0" applyAlignment="1" applyFill="1" applyFont="1" applyNumberFormat="1">
      <alignment horizontal="center" readingOrder="0" vertical="center"/>
    </xf>
    <xf borderId="14" fillId="38" fontId="474" numFmtId="49" xfId="0" applyAlignment="1" applyBorder="1" applyFill="1" applyFont="1" applyNumberFormat="1">
      <alignment horizontal="center" readingOrder="0" vertical="center"/>
    </xf>
    <xf borderId="14" fillId="39" fontId="474" numFmtId="49" xfId="0" applyAlignment="1" applyBorder="1" applyFill="1" applyFont="1" applyNumberFormat="1">
      <alignment horizontal="center" readingOrder="0" vertical="center"/>
    </xf>
    <xf borderId="0" fillId="76" fontId="368" numFmtId="49" xfId="0" applyAlignment="1" applyFill="1" applyFont="1" applyNumberFormat="1">
      <alignment horizontal="center" readingOrder="0" vertical="center"/>
    </xf>
    <xf borderId="14" fillId="36" fontId="474" numFmtId="49" xfId="0" applyAlignment="1" applyBorder="1" applyFill="1" applyFont="1" applyNumberFormat="1">
      <alignment horizontal="center" readingOrder="0" vertical="center"/>
    </xf>
    <xf borderId="0" fillId="72" fontId="17" numFmtId="165" xfId="0" applyAlignment="1" applyFill="1" applyFont="1" applyNumberFormat="1">
      <alignment horizontal="center" readingOrder="0" vertical="center"/>
    </xf>
    <xf borderId="0" fillId="77" fontId="368" numFmtId="49" xfId="0" applyAlignment="1" applyFill="1" applyFont="1" applyNumberFormat="1">
      <alignment horizontal="center" readingOrder="0" vertical="center"/>
    </xf>
    <xf borderId="14" fillId="26" fontId="474" numFmtId="49" xfId="0" applyAlignment="1" applyBorder="1" applyFill="1" applyFont="1" applyNumberFormat="1">
      <alignment horizontal="center" readingOrder="0" vertical="center"/>
    </xf>
    <xf borderId="0" fillId="69" fontId="368" numFmtId="49" xfId="0" applyAlignment="1" applyFill="1" applyFont="1" applyNumberFormat="1">
      <alignment horizontal="center" readingOrder="0" vertical="center"/>
    </xf>
    <xf borderId="0" fillId="78" fontId="368" numFmtId="49" xfId="0" applyAlignment="1" applyFill="1" applyFont="1" applyNumberFormat="1">
      <alignment horizontal="center" readingOrder="0" vertical="center"/>
    </xf>
    <xf borderId="0" fillId="12" fontId="368" numFmtId="49" xfId="0" applyAlignment="1" applyFill="1" applyFont="1" applyNumberFormat="1">
      <alignment horizontal="center" readingOrder="0" vertical="center"/>
    </xf>
    <xf borderId="14" fillId="40" fontId="474" numFmtId="49" xfId="0" applyAlignment="1" applyBorder="1" applyFill="1" applyFont="1" applyNumberFormat="1">
      <alignment horizontal="center" readingOrder="0" vertical="center"/>
    </xf>
    <xf borderId="0" fillId="22" fontId="368"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14" fillId="41" fontId="474" numFmtId="49" xfId="0" applyAlignment="1" applyBorder="1" applyFill="1" applyFont="1" applyNumberFormat="1">
      <alignment horizontal="center" readingOrder="0" vertical="center"/>
    </xf>
    <xf borderId="0" fillId="47" fontId="17" numFmtId="49" xfId="0" applyAlignment="1" applyFill="1" applyFont="1" applyNumberFormat="1">
      <alignment horizontal="right" vertical="center"/>
    </xf>
    <xf borderId="0" fillId="32" fontId="23" numFmtId="49" xfId="0" applyAlignment="1" applyFill="1" applyFont="1" applyNumberFormat="1">
      <alignment horizontal="center" vertical="center"/>
    </xf>
    <xf borderId="0" fillId="47" fontId="17" numFmtId="49" xfId="0" applyAlignment="1" applyFill="1" applyFont="1" applyNumberFormat="1">
      <alignment horizontal="center" vertical="center"/>
    </xf>
    <xf borderId="0" fillId="5" fontId="369" numFmtId="46" xfId="0" applyAlignment="1" applyFill="1" applyFont="1" applyNumberFormat="1">
      <alignment horizontal="center" readingOrder="0" vertical="center"/>
    </xf>
    <xf borderId="14" fillId="5" fontId="474" numFmtId="49" xfId="0" applyAlignment="1" applyBorder="1" applyFill="1" applyFont="1" applyNumberFormat="1">
      <alignment horizontal="center" readingOrder="0" vertical="center"/>
    </xf>
    <xf borderId="0" fillId="65" fontId="369" numFmtId="4"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 xfId="0" applyAlignment="1" applyFill="1" applyFont="1" applyNumberFormat="1">
      <alignment horizontal="center" readingOrder="0" vertical="center"/>
    </xf>
    <xf borderId="0" fillId="32" fontId="477" numFmtId="49" xfId="0" applyAlignment="1" applyFill="1" applyFont="1" applyNumberFormat="1">
      <alignment horizontal="center" readingOrder="0" vertical="center"/>
    </xf>
    <xf borderId="0" fillId="80" fontId="369" numFmtId="4" xfId="0" applyAlignment="1" applyFill="1" applyFont="1" applyNumberFormat="1">
      <alignment horizontal="center" readingOrder="0" vertical="center"/>
    </xf>
    <xf borderId="0" fillId="45" fontId="369" numFmtId="4"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6" fontId="369" numFmtId="49" xfId="0" applyAlignment="1" applyFill="1" applyFont="1" applyNumberFormat="1">
      <alignment horizontal="center" readingOrder="0" vertical="center"/>
    </xf>
    <xf borderId="0" fillId="5" fontId="369" numFmtId="46" xfId="0" applyAlignment="1" applyFill="1" applyFont="1" applyNumberFormat="1">
      <alignment horizontal="center" vertical="center"/>
    </xf>
    <xf borderId="0" fillId="5" fontId="369"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6" fontId="371" numFmtId="46"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26" fontId="371" numFmtId="46" xfId="0" applyAlignment="1" applyFill="1" applyFont="1" applyNumberFormat="1">
      <alignment horizontal="center" vertical="center"/>
    </xf>
    <xf borderId="0" fillId="26" fontId="369"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36" fontId="478" numFmtId="49" xfId="0" applyAlignment="1" applyFill="1" applyFont="1" applyNumberFormat="1">
      <alignment horizontal="center" readingOrder="0" vertical="center"/>
    </xf>
    <xf borderId="0" fillId="5" fontId="372" numFmtId="46" xfId="0" applyAlignment="1" applyFill="1" applyFont="1" applyNumberFormat="1">
      <alignment horizontal="center" readingOrder="0" vertical="center"/>
    </xf>
    <xf borderId="0" fillId="80" fontId="372" numFmtId="49" xfId="0" applyAlignment="1" applyFill="1" applyFont="1" applyNumberFormat="1">
      <alignment horizontal="center" readingOrder="0" vertical="center"/>
    </xf>
    <xf borderId="0" fillId="65" fontId="372" numFmtId="165"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68"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45"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7" fontId="372" numFmtId="49" xfId="0" applyAlignment="1" applyFill="1" applyFont="1" applyNumberFormat="1">
      <alignment horizontal="center" readingOrder="0" vertical="center"/>
    </xf>
    <xf borderId="0" fillId="5" fontId="372" numFmtId="46" xfId="0" applyAlignment="1" applyFill="1" applyFont="1" applyNumberFormat="1">
      <alignment horizontal="center" vertical="center"/>
    </xf>
    <xf borderId="0" fillId="36" fontId="479" numFmtId="49" xfId="0" applyAlignment="1" applyFill="1" applyFont="1" applyNumberFormat="1">
      <alignment horizontal="center" vertical="center"/>
    </xf>
    <xf borderId="0" fillId="26" fontId="369" numFmtId="46" xfId="0" applyAlignment="1" applyFill="1" applyFont="1" applyNumberFormat="1">
      <alignment horizontal="center" readingOrder="0" vertical="center"/>
    </xf>
    <xf borderId="0" fillId="18" fontId="16" numFmtId="49" xfId="0" applyAlignment="1" applyFill="1" applyFont="1" applyNumberFormat="1">
      <alignment shrinkToFit="0" vertical="center" wrapText="0"/>
    </xf>
    <xf borderId="11" fillId="26" fontId="480" numFmtId="49" xfId="0" applyAlignment="1" applyBorder="1" applyFill="1" applyFont="1" applyNumberFormat="1">
      <alignment horizontal="center" readingOrder="0" vertical="center"/>
    </xf>
    <xf borderId="0" fillId="26" fontId="17" numFmtId="49" xfId="0" applyAlignment="1" applyFill="1" applyFont="1" applyNumberFormat="1">
      <alignment horizontal="right" vertical="center"/>
    </xf>
    <xf borderId="0" fillId="26" fontId="16" numFmtId="49" xfId="0" applyAlignment="1" applyFill="1" applyFont="1" applyNumberFormat="1">
      <alignment horizontal="center" vertical="center"/>
    </xf>
    <xf borderId="0" fillId="26" fontId="16" numFmtId="164" xfId="0" applyAlignment="1" applyFill="1" applyFont="1" applyNumberFormat="1">
      <alignment horizontal="center" vertical="center"/>
    </xf>
    <xf borderId="0" fillId="0" fontId="35" numFmtId="49" xfId="0" applyAlignment="1" applyFont="1" applyNumberFormat="1">
      <alignment readingOrder="0" vertical="center"/>
    </xf>
    <xf borderId="11" fillId="26" fontId="481" numFmtId="49" xfId="0" applyAlignment="1" applyBorder="1" applyFill="1" applyFont="1" applyNumberFormat="1">
      <alignment horizontal="center" readingOrder="0" vertical="center"/>
    </xf>
    <xf borderId="0" fillId="4" fontId="17" numFmtId="49" xfId="0" applyAlignment="1" applyFill="1" applyFont="1" applyNumberFormat="1">
      <alignment horizontal="right"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0" fontId="27" numFmtId="49" xfId="0" applyAlignment="1" applyFont="1" applyNumberFormat="1">
      <alignment horizontal="center" vertical="center"/>
    </xf>
    <xf borderId="0" fillId="5" fontId="27" numFmtId="49" xfId="0" applyAlignment="1" applyFill="1" applyFont="1" applyNumberFormat="1">
      <alignment horizontal="center" vertical="center"/>
    </xf>
    <xf borderId="0" fillId="37" fontId="482"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11" fillId="26" fontId="369" numFmtId="46" xfId="0" applyAlignment="1" applyBorder="1" applyFill="1" applyFont="1" applyNumberFormat="1">
      <alignment horizontal="center" readingOrder="0" vertical="center"/>
    </xf>
    <xf borderId="0" fillId="0" fontId="27"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3" numFmtId="46" xfId="0" applyAlignment="1" applyFill="1" applyFont="1" applyNumberFormat="1">
      <alignment horizontal="center" readingOrder="0" vertical="center"/>
    </xf>
    <xf borderId="0" fillId="0" fontId="483" numFmtId="49" xfId="0" applyAlignment="1" applyFont="1" applyNumberFormat="1">
      <alignment horizontal="center" readingOrder="0"/>
    </xf>
    <xf borderId="0" fillId="26" fontId="484" numFmtId="0" xfId="0" applyAlignment="1" applyFill="1" applyFont="1">
      <alignment horizontal="center" readingOrder="0" vertical="center"/>
    </xf>
    <xf borderId="0" fillId="26" fontId="485" numFmtId="49" xfId="0" applyAlignment="1" applyFill="1" applyFont="1" applyNumberFormat="1">
      <alignment horizontal="center" readingOrder="0" vertical="center"/>
    </xf>
    <xf borderId="0" fillId="37" fontId="486" numFmtId="49" xfId="0" applyAlignment="1" applyFill="1" applyFont="1" applyNumberFormat="1">
      <alignment horizontal="center" vertical="center"/>
    </xf>
    <xf borderId="0" fillId="26" fontId="220" numFmtId="49" xfId="0" applyAlignment="1" applyFill="1" applyFont="1" applyNumberFormat="1">
      <alignment horizontal="center" readingOrder="0" vertical="center"/>
    </xf>
    <xf borderId="0" fillId="0" fontId="487" numFmtId="49" xfId="0" applyAlignment="1" applyFont="1" applyNumberFormat="1">
      <alignment horizontal="center" readingOrder="0" vertical="center"/>
    </xf>
    <xf borderId="0" fillId="37" fontId="488" numFmtId="49" xfId="0" applyAlignment="1" applyFill="1" applyFont="1" applyNumberFormat="1">
      <alignment horizontal="center" readingOrder="0" vertical="center"/>
    </xf>
    <xf borderId="0" fillId="26" fontId="23" numFmtId="46" xfId="0" applyAlignment="1" applyFill="1" applyFont="1" applyNumberFormat="1">
      <alignment horizontal="center" readingOrder="0" vertical="center"/>
    </xf>
    <xf borderId="0" fillId="26" fontId="23" numFmtId="46" xfId="0" applyAlignment="1" applyFill="1" applyFont="1" applyNumberFormat="1">
      <alignment horizontal="center" readingOrder="0" vertical="center"/>
    </xf>
    <xf borderId="0" fillId="26" fontId="27" numFmtId="49" xfId="0" applyAlignment="1" applyFill="1" applyFont="1" applyNumberFormat="1">
      <alignment horizontal="center" readingOrder="0" vertical="center"/>
    </xf>
    <xf borderId="0" fillId="39" fontId="489" numFmtId="49" xfId="0" applyAlignment="1" applyFill="1" applyFont="1" applyNumberFormat="1">
      <alignment horizontal="center" vertical="center"/>
    </xf>
    <xf borderId="0" fillId="26" fontId="23" numFmtId="49" xfId="0" applyAlignment="1" applyFill="1" applyFont="1" applyNumberFormat="1">
      <alignment horizontal="center" readingOrder="0" vertical="center"/>
    </xf>
    <xf borderId="0" fillId="0" fontId="27" numFmtId="46" xfId="0" applyAlignment="1" applyFont="1" applyNumberFormat="1">
      <alignment horizontal="center" vertical="center"/>
    </xf>
    <xf borderId="0" fillId="26" fontId="18" numFmtId="49" xfId="0" applyAlignment="1" applyFill="1" applyFont="1" applyNumberFormat="1">
      <alignment horizontal="right" readingOrder="0" vertical="center"/>
    </xf>
    <xf borderId="0" fillId="39" fontId="490" numFmtId="49" xfId="0" applyAlignment="1" applyFill="1" applyFont="1" applyNumberFormat="1">
      <alignment horizontal="center" readingOrder="0" vertical="center"/>
    </xf>
    <xf borderId="11" fillId="26" fontId="369" numFmtId="49" xfId="0" applyAlignment="1" applyBorder="1" applyFill="1" applyFont="1" applyNumberFormat="1">
      <alignment horizontal="center" readingOrder="0" vertical="center"/>
    </xf>
    <xf borderId="0" fillId="39" fontId="23" numFmtId="49" xfId="0" applyAlignment="1" applyFill="1" applyFont="1" applyNumberFormat="1">
      <alignment horizontal="center" vertical="center"/>
    </xf>
    <xf borderId="0" fillId="26" fontId="16" numFmtId="0" xfId="0" applyAlignment="1" applyFill="1" applyFont="1">
      <alignment horizontal="right" readingOrder="0" vertical="center"/>
    </xf>
    <xf borderId="0" fillId="26" fontId="16" numFmtId="0" xfId="0" applyAlignment="1" applyFill="1" applyFont="1">
      <alignment horizontal="center" readingOrder="0" vertical="center"/>
    </xf>
    <xf borderId="0" fillId="39" fontId="27"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491" numFmtId="49" xfId="0" applyAlignment="1" applyFill="1" applyFont="1" applyNumberFormat="1">
      <alignment horizontal="center" vertical="center"/>
    </xf>
    <xf borderId="0" fillId="47" fontId="17"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vertical="center"/>
    </xf>
    <xf borderId="0" fillId="40" fontId="492" numFmtId="49" xfId="0" applyAlignment="1" applyFill="1" applyFont="1" applyNumberFormat="1">
      <alignment horizontal="center" readingOrder="0" vertical="center"/>
    </xf>
    <xf borderId="0" fillId="26" fontId="23" numFmtId="165" xfId="0" applyAlignment="1" applyFill="1" applyFont="1" applyNumberFormat="1">
      <alignment horizontal="center" readingOrder="0" vertical="center"/>
    </xf>
    <xf borderId="0" fillId="26" fontId="371" numFmtId="46" xfId="0" applyAlignment="1" applyFill="1" applyFont="1" applyNumberFormat="1">
      <alignment horizontal="center" readingOrder="0" vertical="center"/>
    </xf>
    <xf borderId="0" fillId="26" fontId="493" numFmtId="49" xfId="0" applyAlignment="1" applyFill="1" applyFont="1" applyNumberFormat="1">
      <alignment horizontal="center" readingOrder="0" vertical="center"/>
    </xf>
    <xf borderId="12" fillId="26" fontId="494" numFmtId="49" xfId="0" applyAlignment="1" applyBorder="1" applyFill="1" applyFont="1" applyNumberFormat="1">
      <alignment horizontal="center" readingOrder="0" vertical="center"/>
    </xf>
    <xf borderId="0" fillId="40" fontId="27" numFmtId="49" xfId="0" applyAlignment="1" applyFill="1" applyFont="1" applyNumberFormat="1">
      <alignment horizontal="center" vertical="center"/>
    </xf>
    <xf borderId="0" fillId="41" fontId="495" numFmtId="49" xfId="0" applyAlignment="1" applyFill="1" applyFont="1" applyNumberFormat="1">
      <alignment horizontal="center" readingOrder="0" vertical="center"/>
    </xf>
    <xf borderId="0" fillId="0" fontId="27" numFmtId="46" xfId="0" applyAlignment="1" applyFont="1" applyNumberFormat="1">
      <alignment horizontal="center" readingOrder="0" vertical="center"/>
    </xf>
    <xf borderId="0" fillId="32" fontId="371" numFmtId="49" xfId="0" applyAlignment="1" applyFill="1" applyFont="1" applyNumberFormat="1">
      <alignment horizontal="center" readingOrder="0" vertical="center"/>
    </xf>
    <xf borderId="12" fillId="26" fontId="371" numFmtId="49" xfId="0" applyAlignment="1" applyBorder="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41" fontId="496" numFmtId="49" xfId="0" applyAlignment="1" applyFill="1" applyFont="1" applyNumberFormat="1">
      <alignment horizontal="center" vertical="center"/>
    </xf>
    <xf borderId="0" fillId="41" fontId="497" numFmtId="49" xfId="0" applyAlignment="1" applyFill="1" applyFont="1" applyNumberFormat="1">
      <alignment horizontal="center" vertical="center"/>
    </xf>
    <xf borderId="12" fillId="38" fontId="371"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6" numFmtId="46" xfId="0" applyAlignment="1" applyFont="1" applyNumberFormat="1">
      <alignment horizontal="center" readingOrder="0" vertical="center"/>
    </xf>
    <xf borderId="0" fillId="41" fontId="23"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0" fillId="38" fontId="498" numFmtId="49" xfId="0" applyAlignment="1" applyFill="1" applyFont="1" applyNumberFormat="1">
      <alignment horizontal="center" vertical="center"/>
    </xf>
    <xf borderId="0" fillId="38" fontId="499" numFmtId="49" xfId="0" applyAlignment="1" applyFill="1" applyFont="1" applyNumberFormat="1">
      <alignment horizontal="center" readingOrder="0" vertical="center"/>
    </xf>
    <xf borderId="0" fillId="85" fontId="27" numFmtId="49" xfId="0" applyAlignment="1" applyFill="1" applyFont="1" applyNumberFormat="1">
      <alignment horizontal="center" vertical="center"/>
    </xf>
    <xf borderId="0" fillId="38" fontId="23" numFmtId="49" xfId="0" applyAlignment="1" applyFill="1" applyFont="1" applyNumberFormat="1">
      <alignment horizontal="center" vertical="center"/>
    </xf>
    <xf borderId="12" fillId="26" fontId="371" numFmtId="46" xfId="0" applyAlignment="1" applyBorder="1" applyFill="1" applyFont="1" applyNumberFormat="1">
      <alignment horizontal="center" readingOrder="0" vertical="center"/>
    </xf>
    <xf borderId="0" fillId="18" fontId="23" numFmtId="49" xfId="0" applyAlignment="1" applyFill="1" applyFont="1" applyNumberFormat="1">
      <alignment readingOrder="0" vertical="center"/>
    </xf>
    <xf borderId="0" fillId="4" fontId="372" numFmtId="46" xfId="0" applyAlignment="1" applyFill="1" applyFont="1" applyNumberFormat="1">
      <alignment horizontal="center" readingOrder="0" vertical="center"/>
    </xf>
    <xf borderId="13" fillId="26" fontId="372" numFmtId="49" xfId="0" applyAlignment="1" applyBorder="1" applyFill="1" applyFont="1" applyNumberFormat="1">
      <alignment horizontal="center" readingOrder="0" vertical="center"/>
    </xf>
    <xf borderId="13" fillId="26" fontId="372" numFmtId="165" xfId="0" applyAlignment="1" applyBorder="1" applyFill="1" applyFont="1" applyNumberFormat="1">
      <alignment horizontal="center" readingOrder="0" vertical="center"/>
    </xf>
    <xf borderId="13" fillId="26" fontId="372" numFmtId="46" xfId="0" applyAlignment="1" applyBorder="1" applyFill="1" applyFont="1" applyNumberFormat="1">
      <alignment horizontal="center" readingOrder="0" vertical="center"/>
    </xf>
    <xf borderId="0" fillId="26" fontId="27" numFmtId="49" xfId="0" applyAlignment="1" applyFill="1" applyFont="1" applyNumberFormat="1">
      <alignment horizontal="center" readingOrder="0" vertical="center"/>
    </xf>
    <xf borderId="0" fillId="56" fontId="23" numFmtId="49" xfId="0" applyAlignment="1" applyFill="1" applyFont="1" applyNumberFormat="1">
      <alignment horizontal="center" vertical="center"/>
    </xf>
    <xf borderId="0" fillId="26" fontId="16" numFmtId="49" xfId="0" applyAlignment="1" applyFill="1" applyFont="1" applyNumberFormat="1">
      <alignment horizontal="right" readingOrder="0" vertical="center"/>
    </xf>
    <xf borderId="0" fillId="56" fontId="500" numFmtId="49" xfId="0" applyAlignment="1" applyFill="1" applyFont="1" applyNumberFormat="1">
      <alignment horizontal="center" vertical="center"/>
    </xf>
    <xf borderId="0" fillId="56" fontId="23" numFmtId="49" xfId="0" applyAlignment="1" applyFill="1" applyFont="1" applyNumberFormat="1">
      <alignment horizontal="center" readingOrder="0" vertical="center"/>
    </xf>
    <xf borderId="0" fillId="26" fontId="23" numFmtId="165" xfId="0" applyAlignment="1" applyFill="1" applyFont="1" applyNumberFormat="1">
      <alignment horizontal="center" readingOrder="0" vertical="center"/>
    </xf>
    <xf borderId="0" fillId="56" fontId="501" numFmtId="49" xfId="0" applyAlignment="1" applyFill="1" applyFont="1" applyNumberFormat="1">
      <alignment horizontal="center" readingOrder="0" vertical="center"/>
    </xf>
    <xf borderId="0" fillId="26" fontId="16" numFmtId="0" xfId="0" applyAlignment="1" applyFill="1" applyFont="1">
      <alignment horizontal="right" readingOrder="0" vertical="center"/>
    </xf>
    <xf borderId="0" fillId="26" fontId="474" numFmtId="46" xfId="0" applyAlignment="1" applyFill="1" applyFont="1" applyNumberFormat="1">
      <alignment horizontal="center" readingOrder="0" vertical="center"/>
    </xf>
    <xf borderId="14" fillId="26" fontId="474" numFmtId="49" xfId="0" applyAlignment="1" applyBorder="1" applyFill="1" applyFont="1" applyNumberFormat="1">
      <alignment horizontal="center" readingOrder="0" vertical="center"/>
    </xf>
    <xf borderId="14" fillId="26" fontId="474"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4" fontId="17" numFmtId="46" xfId="0" applyAlignment="1" applyFill="1" applyFont="1" applyNumberFormat="1">
      <alignment horizontal="center" vertical="center"/>
    </xf>
    <xf borderId="0" fillId="26" fontId="16" numFmtId="46" xfId="0" applyAlignment="1" applyFill="1" applyFont="1" applyNumberFormat="1">
      <alignment horizontal="center" readingOrder="0" vertical="center"/>
    </xf>
    <xf borderId="0" fillId="26" fontId="17" numFmtId="46" xfId="0" applyAlignment="1" applyFill="1" applyFont="1" applyNumberFormat="1">
      <alignment horizontal="center" vertical="center"/>
    </xf>
    <xf borderId="0" fillId="26" fontId="17"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3" numFmtId="0" xfId="0" applyAlignment="1" applyFont="1">
      <alignment horizontal="center" readingOrder="0" vertical="center"/>
    </xf>
    <xf borderId="0" fillId="37" fontId="27" numFmtId="165" xfId="0" applyAlignment="1" applyFill="1" applyFont="1" applyNumberFormat="1">
      <alignment horizontal="center" vertical="center"/>
    </xf>
    <xf borderId="0" fillId="38" fontId="27" numFmtId="0" xfId="0" applyAlignment="1" applyFill="1" applyFont="1">
      <alignment horizontal="center" vertical="center"/>
    </xf>
    <xf borderId="0" fillId="39" fontId="27" numFmtId="0" xfId="0" applyAlignment="1" applyFill="1" applyFont="1">
      <alignment horizontal="center" vertical="center"/>
    </xf>
    <xf borderId="0" fillId="36" fontId="27" numFmtId="0" xfId="0" applyAlignment="1" applyFill="1" applyFont="1">
      <alignment horizontal="center" vertical="center"/>
    </xf>
    <xf borderId="0" fillId="32" fontId="27" numFmtId="0" xfId="0" applyAlignment="1" applyFill="1" applyFont="1">
      <alignment horizontal="center" vertical="center"/>
    </xf>
    <xf borderId="0" fillId="40" fontId="27" numFmtId="0" xfId="0" applyAlignment="1" applyFill="1" applyFont="1">
      <alignment horizontal="center" vertical="center"/>
    </xf>
    <xf borderId="0" fillId="41" fontId="27" numFmtId="0" xfId="0" applyAlignment="1" applyFill="1" applyFont="1">
      <alignment horizontal="center" vertical="center"/>
    </xf>
    <xf borderId="0" fillId="5" fontId="27" numFmtId="46" xfId="0" applyAlignment="1" applyFill="1" applyFont="1" applyNumberFormat="1">
      <alignment horizontal="center" vertical="center"/>
    </xf>
    <xf borderId="0" fillId="5" fontId="27" numFmtId="0" xfId="0" applyAlignment="1" applyFill="1" applyFont="1">
      <alignment horizontal="left" vertical="center"/>
    </xf>
    <xf borderId="0" fillId="26" fontId="16" numFmtId="0" xfId="0" applyAlignment="1" applyFill="1" applyFont="1">
      <alignment horizontal="right" vertical="center"/>
    </xf>
    <xf borderId="0" fillId="26" fontId="16" numFmtId="0" xfId="0" applyAlignment="1" applyFill="1" applyFont="1">
      <alignment horizontal="center" vertical="center"/>
    </xf>
    <xf borderId="0" fillId="26" fontId="16" numFmtId="46" xfId="0" applyAlignment="1" applyFill="1" applyFont="1" applyNumberFormat="1">
      <alignment horizontal="center" vertical="center"/>
    </xf>
    <xf borderId="0" fillId="26" fontId="27" numFmtId="165" xfId="0" applyAlignment="1" applyFill="1" applyFont="1" applyNumberFormat="1">
      <alignment horizontal="center" vertical="center"/>
    </xf>
    <xf borderId="0" fillId="26" fontId="27" numFmtId="0" xfId="0" applyAlignment="1" applyFill="1" applyFont="1">
      <alignment horizontal="center" vertical="center"/>
    </xf>
    <xf borderId="0" fillId="26" fontId="27" numFmtId="46" xfId="0" applyAlignment="1" applyFill="1" applyFont="1" applyNumberFormat="1">
      <alignment horizontal="center" vertical="center"/>
    </xf>
    <xf borderId="0" fillId="26" fontId="27" numFmtId="0" xfId="0" applyAlignment="1" applyFill="1" applyFont="1">
      <alignment horizontal="left" vertical="center"/>
    </xf>
    <xf borderId="0" fillId="26" fontId="502" numFmtId="49" xfId="0" applyAlignment="1" applyFill="1" applyFont="1" applyNumberFormat="1">
      <alignment horizontal="center" vertical="center"/>
    </xf>
    <xf borderId="0" fillId="4" fontId="503" numFmtId="49" xfId="0" applyAlignment="1" applyFill="1" applyFont="1" applyNumberFormat="1">
      <alignment horizontal="right" readingOrder="0" vertical="center"/>
    </xf>
    <xf borderId="0" fillId="32" fontId="23" numFmtId="49" xfId="0" applyAlignment="1" applyFill="1" applyFont="1" applyNumberFormat="1">
      <alignment horizontal="center" readingOrder="0" vertical="center"/>
    </xf>
    <xf borderId="0" fillId="56" fontId="504" numFmtId="49" xfId="0" applyAlignment="1" applyFill="1" applyFont="1" applyNumberFormat="1">
      <alignment horizontal="center" readingOrder="0" vertical="center"/>
    </xf>
    <xf borderId="0" fillId="32" fontId="505"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506"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0" fontId="507"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41"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508" numFmtId="49" xfId="0" applyAlignment="1" applyFill="1" applyFont="1" applyNumberFormat="1">
      <alignment horizontal="center" readingOrder="0" vertical="center"/>
    </xf>
    <xf borderId="0" fillId="26" fontId="16"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8" fontId="509"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vertical="center"/>
    </xf>
    <xf borderId="0" fillId="56" fontId="510" numFmtId="49" xfId="0" applyAlignment="1" applyFill="1" applyFont="1" applyNumberFormat="1">
      <alignment horizontal="center" readingOrder="0" vertical="center"/>
    </xf>
    <xf borderId="0" fillId="26" fontId="423" numFmtId="49" xfId="0" applyAlignment="1" applyFill="1" applyFont="1" applyNumberFormat="1">
      <alignment horizontal="right" readingOrder="0" vertical="center"/>
    </xf>
    <xf borderId="0" fillId="26" fontId="27" numFmtId="49" xfId="0" applyAlignment="1" applyFill="1" applyFont="1" applyNumberFormat="1">
      <alignment horizontal="center" readingOrder="0" vertical="center"/>
    </xf>
    <xf borderId="0" fillId="26" fontId="511" numFmtId="49" xfId="0" applyAlignment="1" applyFill="1" applyFont="1" applyNumberFormat="1">
      <alignment horizontal="center" readingOrder="0" vertical="center"/>
    </xf>
    <xf borderId="0" fillId="76" fontId="24" numFmtId="49" xfId="0" applyAlignment="1" applyFill="1" applyFont="1" applyNumberFormat="1">
      <alignment horizontal="center" readingOrder="0" vertical="center"/>
    </xf>
    <xf borderId="0" fillId="72" fontId="17"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0" fontId="512" numFmtId="49" xfId="0" applyAlignment="1" applyFill="1" applyFont="1" applyNumberFormat="1">
      <alignment horizontal="center" readingOrder="0" vertical="center"/>
    </xf>
    <xf borderId="0" fillId="55" fontId="513" numFmtId="49" xfId="0" applyAlignment="1" applyFill="1" applyFont="1" applyNumberFormat="1">
      <alignment horizontal="center" readingOrder="0" vertical="center"/>
    </xf>
    <xf borderId="0" fillId="81" fontId="514" numFmtId="49" xfId="0" applyAlignment="1" applyFill="1" applyFont="1" applyNumberFormat="1">
      <alignment horizontal="center" readingOrder="0" vertical="center"/>
    </xf>
    <xf borderId="0" fillId="68" fontId="515" numFmtId="49" xfId="0" applyAlignment="1" applyFill="1" applyFont="1" applyNumberFormat="1">
      <alignment horizontal="center" readingOrder="0" vertical="center"/>
    </xf>
    <xf borderId="0" fillId="82" fontId="516" numFmtId="49" xfId="0" applyAlignment="1" applyFill="1" applyFont="1" applyNumberFormat="1">
      <alignment horizontal="center" readingOrder="0" vertical="center"/>
    </xf>
    <xf borderId="0" fillId="45" fontId="517" numFmtId="49" xfId="0" applyAlignment="1" applyFill="1" applyFont="1" applyNumberFormat="1">
      <alignment horizontal="center" readingOrder="0" vertical="center"/>
    </xf>
    <xf borderId="0" fillId="83" fontId="518"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6" fontId="16" numFmtId="49" xfId="0" applyAlignment="1" applyFill="1" applyFont="1" applyNumberFormat="1">
      <alignment horizontal="left" vertical="center"/>
    </xf>
    <xf borderId="0" fillId="55" fontId="372" numFmtId="49" xfId="0" applyAlignment="1" applyFill="1" applyFont="1" applyNumberFormat="1">
      <alignment horizontal="center" readingOrder="0" vertical="center"/>
    </xf>
    <xf borderId="11" fillId="26" fontId="519" numFmtId="49" xfId="0" applyAlignment="1" applyBorder="1" applyFill="1" applyFont="1" applyNumberFormat="1">
      <alignment horizontal="center" readingOrder="0" vertical="center"/>
    </xf>
    <xf borderId="11" fillId="26" fontId="369" numFmtId="49" xfId="0" applyAlignment="1" applyBorder="1" applyFill="1" applyFont="1" applyNumberFormat="1">
      <alignment horizontal="center" readingOrder="0" vertical="center"/>
    </xf>
    <xf borderId="0" fillId="36" fontId="520" numFmtId="49" xfId="0" applyAlignment="1" applyFill="1" applyFont="1" applyNumberFormat="1">
      <alignment horizontal="center" readingOrder="0" vertical="center"/>
    </xf>
    <xf borderId="0" fillId="32" fontId="521" numFmtId="49" xfId="0" applyAlignment="1" applyFill="1" applyFont="1" applyNumberFormat="1">
      <alignment horizontal="center" readingOrder="0" vertical="center"/>
    </xf>
    <xf borderId="0" fillId="40" fontId="522" numFmtId="49" xfId="0" applyAlignment="1" applyFill="1" applyFont="1" applyNumberFormat="1">
      <alignment horizontal="center" readingOrder="0" vertical="center"/>
    </xf>
    <xf borderId="0" fillId="41" fontId="523" numFmtId="49" xfId="0" applyAlignment="1" applyFill="1" applyFont="1" applyNumberFormat="1">
      <alignment horizontal="center" readingOrder="0" vertical="center"/>
    </xf>
    <xf borderId="0" fillId="26" fontId="17" numFmtId="49" xfId="0" applyAlignment="1" applyFill="1" applyFont="1" applyNumberFormat="1">
      <alignment horizontal="center" vertical="center"/>
    </xf>
    <xf borderId="0" fillId="4" fontId="524" numFmtId="49" xfId="0" applyAlignment="1" applyFill="1" applyFont="1" applyNumberFormat="1">
      <alignment horizontal="right" readingOrder="0" vertical="center"/>
    </xf>
    <xf borderId="0" fillId="26" fontId="27" numFmtId="49" xfId="0" applyAlignment="1" applyFill="1" applyFont="1" applyNumberFormat="1">
      <alignment horizontal="center" readingOrder="0" vertical="center"/>
    </xf>
    <xf borderId="0" fillId="26" fontId="220" numFmtId="49" xfId="0" applyAlignment="1" applyFill="1" applyFont="1" applyNumberFormat="1">
      <alignment horizontal="center" readingOrder="0" vertical="center"/>
    </xf>
    <xf borderId="0" fillId="26" fontId="525"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26" fontId="526" numFmtId="49" xfId="0" applyAlignment="1" applyFill="1" applyFont="1" applyNumberFormat="1">
      <alignment horizontal="center" readingOrder="0" vertical="center"/>
    </xf>
    <xf borderId="0" fillId="26" fontId="527" numFmtId="49" xfId="0" applyAlignment="1" applyFill="1" applyFont="1" applyNumberFormat="1">
      <alignment horizont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6"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6" fontId="528" numFmtId="49" xfId="0" applyAlignment="1" applyFill="1" applyFont="1" applyNumberFormat="1">
      <alignment horizontal="center" readingOrder="0" vertical="center"/>
    </xf>
    <xf borderId="0" fillId="32" fontId="529" numFmtId="49" xfId="0" applyAlignment="1" applyFill="1" applyFont="1" applyNumberFormat="1">
      <alignment horizontal="center" readingOrder="0" vertical="center"/>
    </xf>
    <xf borderId="0" fillId="40" fontId="530" numFmtId="49" xfId="0" applyAlignment="1" applyFill="1" applyFont="1" applyNumberFormat="1">
      <alignment horizontal="center" readingOrder="0" vertical="center"/>
    </xf>
    <xf borderId="0" fillId="41" fontId="531" numFmtId="49" xfId="0" applyAlignment="1" applyFill="1" applyFont="1" applyNumberFormat="1">
      <alignment horizontal="center" readingOrder="0" vertical="center"/>
    </xf>
    <xf borderId="0" fillId="0" fontId="35" numFmtId="49" xfId="0" applyAlignment="1" applyFont="1" applyNumberFormat="1">
      <alignment horizontal="center" readingOrder="0"/>
    </xf>
    <xf borderId="0" fillId="26" fontId="23" numFmtId="49" xfId="0" applyAlignment="1" applyFill="1" applyFont="1" applyNumberFormat="1">
      <alignment horizontal="center" readingOrder="0" vertical="center"/>
    </xf>
    <xf borderId="0" fillId="0" fontId="35" numFmtId="49" xfId="0" applyAlignment="1" applyFont="1" applyNumberFormat="1">
      <alignment horizontal="center" readingOrder="0"/>
    </xf>
    <xf borderId="12" fillId="36" fontId="371" numFmtId="49" xfId="0" applyAlignment="1" applyBorder="1" applyFill="1" applyFont="1" applyNumberFormat="1">
      <alignment horizontal="center" readingOrder="0" vertical="center"/>
    </xf>
    <xf borderId="12" fillId="32" fontId="371" numFmtId="49" xfId="0" applyAlignment="1" applyBorder="1" applyFill="1" applyFont="1" applyNumberFormat="1">
      <alignment horizontal="center" readingOrder="0" vertical="center"/>
    </xf>
    <xf borderId="12" fillId="40" fontId="371" numFmtId="49" xfId="0" applyAlignment="1" applyBorder="1" applyFill="1" applyFont="1" applyNumberFormat="1">
      <alignment horizontal="center" readingOrder="0" vertical="center"/>
    </xf>
    <xf borderId="12" fillId="41" fontId="371" numFmtId="49" xfId="0" applyAlignment="1" applyBorder="1" applyFill="1" applyFont="1" applyNumberFormat="1">
      <alignment horizontal="center" readingOrder="0" vertical="center"/>
    </xf>
    <xf borderId="13" fillId="26" fontId="372" numFmtId="49" xfId="0" applyAlignment="1" applyBorder="1" applyFill="1" applyFont="1" applyNumberFormat="1">
      <alignment horizontal="center" readingOrder="0" vertical="center"/>
    </xf>
    <xf borderId="0" fillId="37" fontId="23" numFmtId="49" xfId="0" applyAlignment="1" applyFill="1" applyFont="1" applyNumberFormat="1">
      <alignment horizontal="center" readingOrder="0" vertical="center"/>
    </xf>
    <xf borderId="14" fillId="0" fontId="475" numFmtId="49" xfId="0" applyAlignment="1" applyBorder="1" applyFont="1" applyNumberFormat="1">
      <alignment horizontal="center" readingOrder="0"/>
    </xf>
    <xf borderId="14" fillId="26" fontId="474"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36" fontId="23" numFmtId="49" xfId="0" applyAlignment="1" applyFill="1" applyFont="1" applyNumberFormat="1">
      <alignment horizontal="center" readingOrder="0" vertical="center"/>
    </xf>
    <xf borderId="0" fillId="0" fontId="35" numFmtId="49" xfId="0" applyAlignment="1" applyFont="1" applyNumberFormat="1">
      <alignment readingOrder="0"/>
    </xf>
    <xf borderId="4" fillId="3" fontId="10" numFmtId="0" xfId="0" applyAlignment="1" applyBorder="1" applyFill="1" applyFont="1">
      <alignment horizontal="center" readingOrder="0"/>
    </xf>
    <xf borderId="0" fillId="4" fontId="17" numFmtId="49" xfId="0" applyAlignment="1" applyFill="1" applyFont="1" applyNumberFormat="1">
      <alignment horizontal="center" readingOrder="0" vertical="center"/>
    </xf>
    <xf borderId="5" fillId="3" fontId="532" numFmtId="0" xfId="0" applyAlignment="1" applyBorder="1" applyFill="1" applyFont="1">
      <alignment horizontal="center" readingOrder="0" shrinkToFit="0" vertical="center" wrapText="1"/>
    </xf>
    <xf borderId="5" fillId="3" fontId="532" numFmtId="49" xfId="0" applyAlignment="1" applyBorder="1" applyFill="1" applyFont="1" applyNumberFormat="1">
      <alignment horizontal="center" readingOrder="0" shrinkToFit="0" vertical="center" wrapText="1"/>
    </xf>
    <xf borderId="5" fillId="3" fontId="53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3" numFmtId="0" xfId="0" applyAlignment="1" applyBorder="1" applyFill="1" applyFont="1">
      <alignment horizontal="center" readingOrder="0" vertical="center"/>
    </xf>
    <xf borderId="2" fillId="58" fontId="53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89" numFmtId="0" xfId="0" applyAlignment="1" applyBorder="1" applyFill="1" applyFont="1">
      <alignment horizontal="center" readingOrder="0"/>
    </xf>
    <xf borderId="5" fillId="6" fontId="10" numFmtId="0" xfId="0" applyAlignment="1" applyBorder="1" applyFill="1" applyFont="1">
      <alignment horizontal="center" readingOrder="0"/>
    </xf>
    <xf borderId="0" fillId="39" fontId="23" numFmtId="49" xfId="0" applyAlignment="1" applyFill="1" applyFont="1" applyNumberFormat="1">
      <alignment horizontal="center" readingOrder="0" vertical="center"/>
    </xf>
    <xf borderId="5" fillId="6" fontId="535"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89" numFmtId="0" xfId="0" applyAlignment="1" applyBorder="1" applyFill="1" applyFont="1">
      <alignment horizontal="center" readingOrder="0"/>
    </xf>
    <xf borderId="5" fillId="88" fontId="189" numFmtId="0" xfId="0" applyAlignment="1" applyBorder="1" applyFill="1" applyFont="1">
      <alignment horizontal="center" readingOrder="0"/>
    </xf>
    <xf borderId="5" fillId="6" fontId="189"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16" fillId="58" fontId="534" numFmtId="0" xfId="0" applyAlignment="1" applyBorder="1" applyFill="1" applyFont="1">
      <alignment horizontal="center" readingOrder="0" vertical="center"/>
    </xf>
    <xf borderId="0" fillId="40" fontId="23" numFmtId="49" xfId="0" applyAlignment="1" applyFill="1" applyFont="1" applyNumberFormat="1">
      <alignment horizontal="center" readingOrder="0" vertical="center"/>
    </xf>
    <xf borderId="0" fillId="26" fontId="23" numFmtId="0" xfId="0" applyAlignment="1" applyFill="1" applyFont="1">
      <alignment horizontal="center" readingOrder="0" vertical="center"/>
    </xf>
    <xf borderId="4" fillId="6" fontId="10" numFmtId="0" xfId="0" applyAlignment="1" applyBorder="1" applyFill="1" applyFont="1">
      <alignment horizontal="center" readingOrder="0"/>
    </xf>
    <xf borderId="0" fillId="26" fontId="27" numFmtId="0" xfId="0" applyAlignment="1" applyFill="1" applyFont="1">
      <alignment horizontal="center" vertical="center"/>
    </xf>
    <xf borderId="0" fillId="37" fontId="27" numFmtId="0" xfId="0" applyAlignment="1" applyFill="1" applyFont="1">
      <alignment horizontal="center" vertical="center"/>
    </xf>
    <xf borderId="0" fillId="36" fontId="27" numFmtId="0" xfId="0" applyAlignment="1" applyFill="1" applyFont="1">
      <alignment horizontal="center" vertical="center"/>
    </xf>
    <xf borderId="0" fillId="32" fontId="27" numFmtId="0" xfId="0" applyAlignment="1" applyFill="1" applyFont="1">
      <alignment horizontal="center" vertical="center"/>
    </xf>
    <xf borderId="0" fillId="40" fontId="27" numFmtId="0" xfId="0" applyAlignment="1" applyFill="1" applyFont="1">
      <alignment horizontal="center" vertical="center"/>
    </xf>
    <xf borderId="0" fillId="41" fontId="27" numFmtId="0" xfId="0" applyAlignment="1" applyFill="1" applyFont="1">
      <alignment horizontal="center" vertical="center"/>
    </xf>
    <xf borderId="4" fillId="6" fontId="10" numFmtId="0" xfId="0" applyAlignment="1" applyBorder="1" applyFill="1" applyFont="1">
      <alignment horizontal="center"/>
    </xf>
    <xf borderId="2" fillId="31" fontId="536" numFmtId="0" xfId="0" applyAlignment="1" applyBorder="1" applyFill="1" applyFont="1">
      <alignment horizontal="center" readingOrder="0" vertical="center"/>
    </xf>
    <xf borderId="5" fillId="6" fontId="537"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38" fontId="36" numFmtId="49" xfId="0" applyAlignment="1" applyFill="1" applyFont="1" applyNumberFormat="1">
      <alignment horizontal="center" readingOrder="0" vertical="center"/>
    </xf>
    <xf borderId="0" fillId="6" fontId="538"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2" fillId="31" fontId="539" numFmtId="0" xfId="0" applyAlignment="1" applyBorder="1" applyFill="1" applyFont="1">
      <alignment horizontal="center" readingOrder="0" vertical="center"/>
    </xf>
    <xf borderId="5" fillId="6" fontId="540" numFmtId="0" xfId="0" applyAlignment="1" applyBorder="1" applyFill="1" applyFont="1">
      <alignment horizontal="center" readingOrder="0"/>
    </xf>
    <xf borderId="0" fillId="56" fontId="36" numFmtId="49" xfId="0" applyAlignment="1" applyFill="1" applyFont="1" applyNumberFormat="1">
      <alignment horizontal="center" readingOrder="0" vertical="center"/>
    </xf>
    <xf borderId="0" fillId="6" fontId="541" numFmtId="49" xfId="0" applyAlignment="1" applyFill="1" applyFont="1" applyNumberFormat="1">
      <alignment horizontal="center" readingOrder="0"/>
    </xf>
    <xf borderId="0" fillId="26" fontId="31" numFmtId="49" xfId="0" applyAlignment="1" applyFill="1" applyFont="1" applyNumberFormat="1">
      <alignment horizontal="right" readingOrder="0" vertical="center"/>
    </xf>
    <xf borderId="4" fillId="6" fontId="0" numFmtId="0" xfId="0" applyAlignment="1" applyBorder="1" applyFill="1" applyFont="1">
      <alignment horizontal="center" readingOrder="0"/>
    </xf>
    <xf borderId="0" fillId="6" fontId="542" numFmtId="0" xfId="0" applyAlignment="1" applyFill="1" applyFont="1">
      <alignment readingOrder="0" vertical="bottom"/>
    </xf>
    <xf borderId="0" fillId="6" fontId="6" numFmtId="0" xfId="0" applyAlignment="1" applyFill="1" applyFont="1">
      <alignment readingOrder="0" vertical="bottom"/>
    </xf>
    <xf borderId="5" fillId="6" fontId="543" numFmtId="21" xfId="0" applyAlignment="1" applyBorder="1" applyFill="1" applyFont="1" applyNumberFormat="1">
      <alignment horizontal="center" readingOrder="0"/>
    </xf>
    <xf borderId="4" fillId="6" fontId="544" numFmtId="21" xfId="0" applyAlignment="1" applyBorder="1" applyFill="1" applyFont="1" applyNumberFormat="1">
      <alignment horizontal="center" readingOrder="0"/>
    </xf>
    <xf borderId="4" fillId="6" fontId="545" numFmtId="21" xfId="0" applyAlignment="1" applyBorder="1" applyFill="1" applyFont="1" applyNumberFormat="1">
      <alignment horizontal="center" readingOrder="0"/>
    </xf>
    <xf borderId="4" fillId="6" fontId="546" numFmtId="0" xfId="0" applyAlignment="1" applyBorder="1" applyFill="1" applyFont="1">
      <alignment horizontal="center" readingOrder="0"/>
    </xf>
    <xf borderId="0" fillId="6" fontId="6" numFmtId="0" xfId="0" applyAlignment="1" applyFill="1" applyFont="1">
      <alignment readingOrder="0" vertical="bottom"/>
    </xf>
    <xf quotePrefix="1" borderId="5" fillId="6" fontId="547" numFmtId="0" xfId="0" applyAlignment="1" applyBorder="1" applyFill="1" applyFont="1">
      <alignment horizontal="center" readingOrder="0"/>
    </xf>
    <xf borderId="5" fillId="6" fontId="548" numFmtId="21" xfId="0" applyAlignment="1" applyBorder="1" applyFill="1" applyFont="1" applyNumberFormat="1">
      <alignment horizontal="center" readingOrder="0"/>
    </xf>
    <xf borderId="5" fillId="6" fontId="549" numFmtId="0" xfId="0" applyAlignment="1" applyBorder="1" applyFill="1" applyFont="1">
      <alignment horizontal="center" readingOrder="0"/>
    </xf>
    <xf borderId="0" fillId="4" fontId="550" numFmtId="49" xfId="0" applyAlignment="1" applyFill="1" applyFont="1" applyNumberFormat="1">
      <alignment horizontal="right" readingOrder="0" vertical="center"/>
    </xf>
    <xf borderId="0" fillId="41" fontId="36" numFmtId="49" xfId="0" applyAlignment="1" applyFill="1" applyFont="1" applyNumberFormat="1">
      <alignment horizontal="center" readingOrder="0" vertical="center"/>
    </xf>
    <xf borderId="0" fillId="26" fontId="290" numFmtId="49" xfId="0" applyAlignment="1" applyFill="1" applyFont="1" applyNumberFormat="1">
      <alignment horizontal="right" readingOrder="0" vertical="center"/>
    </xf>
    <xf borderId="0" fillId="26" fontId="551" numFmtId="49" xfId="0" applyAlignment="1" applyFill="1" applyFont="1" applyNumberFormat="1">
      <alignment horizontal="center" vertical="center"/>
    </xf>
    <xf borderId="0" fillId="26"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9" fillId="36" fontId="554" numFmtId="49" xfId="0" applyAlignment="1" applyBorder="1" applyFill="1" applyFont="1" applyNumberFormat="1">
      <alignment horizontal="center" readingOrder="0" vertical="center"/>
    </xf>
    <xf borderId="0" fillId="39" fontId="555" numFmtId="49" xfId="0" applyAlignment="1" applyFill="1" applyFont="1" applyNumberFormat="1">
      <alignment horizontal="center" readingOrder="0" vertical="center"/>
    </xf>
    <xf borderId="0" fillId="38" fontId="556" numFmtId="49" xfId="0" applyAlignment="1" applyFill="1" applyFont="1" applyNumberFormat="1">
      <alignment horizontal="center" readingOrder="0" vertical="center"/>
    </xf>
    <xf borderId="0" fillId="56" fontId="557" numFmtId="49" xfId="0" applyAlignment="1" applyFill="1" applyFont="1" applyNumberFormat="1">
      <alignment horizontal="center" readingOrder="0" vertical="center"/>
    </xf>
    <xf borderId="0" fillId="26" fontId="283" numFmtId="49" xfId="0" applyAlignment="1" applyFill="1" applyFont="1" applyNumberFormat="1">
      <alignment horizontal="right" readingOrder="0"/>
    </xf>
    <xf borderId="0" fillId="26" fontId="16" numFmtId="49" xfId="0" applyAlignment="1" applyFill="1" applyFont="1" applyNumberFormat="1">
      <alignment horizontal="center" readingOrder="0"/>
    </xf>
    <xf borderId="0" fillId="26" fontId="558" numFmtId="49" xfId="0" applyAlignment="1" applyFill="1" applyFont="1" applyNumberFormat="1">
      <alignment horizontal="center" readingOrder="0"/>
    </xf>
    <xf borderId="0" fillId="26" fontId="36" numFmtId="49" xfId="0" applyAlignment="1" applyFill="1" applyFont="1" applyNumberFormat="1">
      <alignment horizontal="center" vertical="center"/>
    </xf>
    <xf borderId="0" fillId="26" fontId="559" numFmtId="49" xfId="0" applyAlignment="1" applyFill="1" applyFont="1" applyNumberFormat="1">
      <alignment horizontal="center"/>
    </xf>
    <xf borderId="0" fillId="26" fontId="23"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3"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6" numFmtId="49" xfId="0" applyAlignment="1" applyFill="1" applyFont="1" applyNumberFormat="1">
      <alignment horizontal="center" vertical="center"/>
    </xf>
    <xf borderId="0" fillId="36" fontId="561" numFmtId="49" xfId="0" applyAlignment="1" applyFill="1" applyFont="1" applyNumberFormat="1">
      <alignment horizontal="center" readingOrder="0"/>
    </xf>
    <xf borderId="0" fillId="36" fontId="23" numFmtId="49" xfId="0" applyAlignment="1" applyFill="1" applyFont="1" applyNumberFormat="1">
      <alignment horizontal="center" readingOrder="0"/>
    </xf>
    <xf borderId="0" fillId="36" fontId="562" numFmtId="49" xfId="0" applyAlignment="1" applyFill="1" applyFont="1" applyNumberFormat="1">
      <alignment horizontal="center"/>
    </xf>
    <xf borderId="0" fillId="36" fontId="36" numFmtId="49" xfId="0" applyAlignment="1" applyFill="1" applyFont="1" applyNumberFormat="1">
      <alignment horizontal="center" vertical="center"/>
    </xf>
    <xf borderId="0" fillId="37" fontId="563" numFmtId="49" xfId="0" applyAlignment="1" applyFill="1" applyFont="1" applyNumberFormat="1">
      <alignment horizontal="center" readingOrder="0"/>
    </xf>
    <xf borderId="0" fillId="37" fontId="564" numFmtId="49" xfId="0" applyAlignment="1" applyFill="1" applyFont="1" applyNumberFormat="1">
      <alignment horizontal="center"/>
    </xf>
    <xf borderId="0" fillId="37" fontId="36" numFmtId="49" xfId="0" applyAlignment="1" applyFill="1" applyFont="1" applyNumberFormat="1">
      <alignment horizontal="center" vertical="center"/>
    </xf>
    <xf borderId="0" fillId="37" fontId="261" numFmtId="49" xfId="0" applyFill="1" applyFont="1" applyNumberFormat="1"/>
    <xf borderId="0" fillId="39" fontId="565" numFmtId="49" xfId="0" applyAlignment="1" applyFill="1" applyFont="1" applyNumberFormat="1">
      <alignment horizontal="center" readingOrder="0"/>
    </xf>
    <xf borderId="0" fillId="39" fontId="36" numFmtId="49" xfId="0" applyAlignment="1" applyFill="1" applyFont="1" applyNumberFormat="1">
      <alignment horizontal="center" vertical="center"/>
    </xf>
    <xf borderId="0" fillId="39" fontId="23" numFmtId="49" xfId="0" applyAlignment="1" applyFill="1" applyFont="1" applyNumberFormat="1">
      <alignment horizontal="center" readingOrder="0"/>
    </xf>
    <xf borderId="0" fillId="39" fontId="566" numFmtId="49" xfId="0" applyAlignment="1" applyFill="1" applyFont="1" applyNumberFormat="1">
      <alignment horizontal="center"/>
    </xf>
    <xf borderId="0" fillId="39" fontId="6" numFmtId="49" xfId="0" applyFill="1" applyFont="1" applyNumberFormat="1"/>
    <xf borderId="0" fillId="40" fontId="567" numFmtId="49" xfId="0" applyAlignment="1" applyFill="1" applyFont="1" applyNumberFormat="1">
      <alignment horizontal="center" readingOrder="0"/>
    </xf>
    <xf borderId="0" fillId="40" fontId="277"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41" fontId="277" numFmtId="49" xfId="0" applyAlignment="1" applyFill="1" applyFont="1" applyNumberFormat="1">
      <alignment horizontal="center" readingOrder="0"/>
    </xf>
    <xf borderId="0" fillId="41" fontId="36" numFmtId="49" xfId="0" applyAlignment="1" applyFill="1" applyFont="1" applyNumberFormat="1">
      <alignment horizontal="center" vertical="center"/>
    </xf>
    <xf borderId="0" fillId="41" fontId="222" numFmtId="49" xfId="0" applyAlignment="1" applyFill="1" applyFont="1" applyNumberFormat="1">
      <alignment horizontal="center" readingOrder="0" vertical="center"/>
    </xf>
    <xf borderId="0" fillId="38" fontId="570" numFmtId="49" xfId="0" applyAlignment="1" applyFill="1" applyFont="1" applyNumberFormat="1">
      <alignment horizontal="center" readingOrder="0"/>
    </xf>
    <xf borderId="0" fillId="38" fontId="23" numFmtId="49" xfId="0" applyAlignment="1" applyFill="1" applyFont="1" applyNumberFormat="1">
      <alignment horizontal="center" readingOrder="0"/>
    </xf>
    <xf borderId="0" fillId="38" fontId="23" numFmtId="49" xfId="0" applyAlignment="1" applyFill="1" applyFont="1" applyNumberFormat="1">
      <alignment horizontal="center" readingOrder="0"/>
    </xf>
    <xf borderId="0" fillId="38" fontId="261" numFmtId="49" xfId="0" applyFill="1" applyFont="1" applyNumberFormat="1"/>
    <xf borderId="0" fillId="56" fontId="23" numFmtId="49" xfId="0" applyAlignment="1" applyFill="1" applyFont="1" applyNumberFormat="1">
      <alignment horizontal="center" readingOrder="0"/>
    </xf>
    <xf borderId="0" fillId="56" fontId="36" numFmtId="49" xfId="0" applyAlignment="1" applyFill="1" applyFont="1" applyNumberFormat="1">
      <alignment horizontal="center" vertical="center"/>
    </xf>
    <xf borderId="0" fillId="56" fontId="571" numFmtId="49" xfId="0" applyAlignment="1" applyFill="1" applyFont="1" applyNumberFormat="1">
      <alignment horizontal="center"/>
    </xf>
    <xf borderId="0" fillId="56" fontId="222" numFmtId="49" xfId="0" applyAlignment="1" applyFill="1" applyFont="1" applyNumberFormat="1">
      <alignment horizontal="center" readingOrder="0" vertical="center"/>
    </xf>
    <xf borderId="0" fillId="56" fontId="572" numFmtId="49" xfId="0" applyAlignment="1" applyFill="1" applyFont="1" applyNumberFormat="1">
      <alignment horizontal="center" readingOrder="0"/>
    </xf>
    <xf borderId="0" fillId="56" fontId="277" numFmtId="49" xfId="0" applyAlignment="1" applyFill="1" applyFont="1" applyNumberFormat="1">
      <alignment horizontal="center" readingOrder="0"/>
    </xf>
    <xf borderId="0" fillId="4" fontId="383" numFmtId="49" xfId="0" applyAlignment="1" applyFill="1" applyFont="1" applyNumberFormat="1">
      <alignment horizontal="right" readingOrder="0" vertical="center"/>
    </xf>
    <xf borderId="0" fillId="40" fontId="36" numFmtId="49" xfId="0" applyAlignment="1" applyFill="1" applyFont="1" applyNumberFormat="1">
      <alignment horizontal="center" readingOrder="0" vertical="center"/>
    </xf>
    <xf borderId="0" fillId="26" fontId="17" numFmtId="49" xfId="0" applyAlignment="1" applyFill="1" applyFont="1" applyNumberFormat="1">
      <alignment horizontal="right" readingOrder="0" vertical="center"/>
    </xf>
    <xf borderId="0" fillId="26" fontId="573" numFmtId="49" xfId="0" applyAlignment="1" applyFill="1" applyFont="1" applyNumberFormat="1">
      <alignment horizontal="center" vertical="center"/>
    </xf>
    <xf borderId="0" fillId="26" fontId="574"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26" fontId="18" numFmtId="49" xfId="0" applyAlignment="1" applyFill="1" applyFont="1" applyNumberFormat="1">
      <alignment horizontal="right" readingOrder="0" vertical="center"/>
    </xf>
    <xf borderId="0" fillId="26" fontId="577"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6" fontId="578" numFmtId="49" xfId="0" applyAlignment="1" applyFill="1" applyFont="1" applyNumberFormat="1">
      <alignment horizontal="right" readingOrder="0" vertical="center"/>
    </xf>
    <xf borderId="0" fillId="26" fontId="222"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6" fontId="36" numFmtId="49" xfId="0" applyAlignment="1" applyFill="1" applyFont="1" applyNumberFormat="1">
      <alignment horizontal="center" readingOrder="0" vertical="center"/>
    </xf>
    <xf borderId="0" fillId="26"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26" fontId="583" numFmtId="49" xfId="0" applyAlignment="1" applyFill="1" applyFont="1" applyNumberFormat="1">
      <alignment horizontal="right" readingOrder="0" vertical="center"/>
    </xf>
    <xf borderId="0" fillId="26" fontId="383" numFmtId="49" xfId="0" applyAlignment="1" applyFill="1" applyFont="1" applyNumberFormat="1">
      <alignment horizontal="center" readingOrder="0" vertical="center"/>
    </xf>
    <xf borderId="0" fillId="4" fontId="290"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6" fontId="585" numFmtId="49" xfId="0" applyAlignment="1" applyFill="1" applyFont="1" applyNumberFormat="1">
      <alignment horizontal="center" readingOrder="0" vertical="center"/>
    </xf>
    <xf borderId="0" fillId="26"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7" fontId="36" numFmtId="49" xfId="0" applyAlignment="1" applyFill="1" applyFont="1" applyNumberFormat="1">
      <alignment horizontal="center" readingOrder="0" vertical="center"/>
    </xf>
    <xf borderId="0" fillId="40" fontId="54" numFmtId="49" xfId="0" applyAlignment="1" applyFill="1" applyFont="1" applyNumberFormat="1">
      <alignment horizontal="center" readingOrder="0"/>
    </xf>
    <xf borderId="0" fillId="26" fontId="23"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26" fontId="588" numFmtId="49" xfId="0" applyAlignment="1" applyFill="1" applyFont="1" applyNumberFormat="1">
      <alignment horizontal="right" readingOrder="0" vertical="center"/>
    </xf>
    <xf borderId="0" fillId="0" fontId="36" numFmtId="49" xfId="0" applyAlignment="1" applyFont="1" applyNumberFormat="1">
      <alignment horizontal="center"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7"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41" fontId="36" numFmtId="49" xfId="0" applyAlignment="1" applyFill="1" applyFont="1" applyNumberFormat="1">
      <alignment horizontal="center" vertical="center"/>
    </xf>
    <xf borderId="0" fillId="26" fontId="298" numFmtId="49" xfId="0" applyAlignment="1" applyFill="1" applyFont="1" applyNumberFormat="1">
      <alignment horizontal="right" readingOrder="0" vertical="center"/>
    </xf>
    <xf borderId="0" fillId="26" fontId="589" numFmtId="0" xfId="0" applyAlignment="1" applyFill="1" applyFont="1">
      <alignment horizontal="center" readingOrder="0"/>
    </xf>
    <xf borderId="0" fillId="26" fontId="471" numFmtId="49" xfId="0" applyAlignment="1" applyFill="1" applyFont="1" applyNumberFormat="1">
      <alignment horizontal="center" readingOrder="0"/>
    </xf>
    <xf borderId="0" fillId="26" fontId="17"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26" fontId="41" numFmtId="49" xfId="0" applyAlignment="1" applyFill="1" applyFont="1" applyNumberFormat="1">
      <alignment horizontal="center" readingOrder="0" vertical="center"/>
    </xf>
    <xf borderId="0" fillId="26" fontId="42"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3" numFmtId="49" xfId="0" applyAlignment="1" applyFill="1" applyFont="1" applyNumberFormat="1">
      <alignment horizontal="center" vertical="center"/>
    </xf>
    <xf borderId="0" fillId="36" fontId="591" numFmtId="49" xfId="0" applyAlignment="1" applyFill="1" applyFont="1" applyNumberFormat="1">
      <alignment horizontal="center" readingOrder="0" vertical="center"/>
    </xf>
    <xf borderId="0" fillId="36" fontId="592"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37" fontId="23" numFmtId="49" xfId="0" applyAlignment="1" applyFill="1" applyFont="1" applyNumberFormat="1">
      <alignment horizontal="center" vertical="center"/>
    </xf>
    <xf borderId="0" fillId="37" fontId="593"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38" fontId="23" numFmtId="49" xfId="0" applyAlignment="1" applyFill="1" applyFont="1" applyNumberFormat="1">
      <alignment horizontal="center" vertical="center"/>
    </xf>
    <xf borderId="0" fillId="38" fontId="597" numFmtId="49" xfId="0" applyAlignment="1" applyFill="1" applyFont="1" applyNumberFormat="1">
      <alignment horizontal="center" readingOrder="0" vertical="center"/>
    </xf>
    <xf borderId="0" fillId="56" fontId="598" numFmtId="49" xfId="0" applyAlignment="1" applyFill="1" applyFont="1" applyNumberFormat="1">
      <alignment horizontal="center" readingOrder="0" vertical="center"/>
    </xf>
    <xf borderId="0" fillId="56" fontId="23" numFmtId="49" xfId="0" applyAlignment="1" applyFill="1" applyFont="1" applyNumberFormat="1">
      <alignment horizontal="center" vertical="center"/>
    </xf>
    <xf borderId="0" fillId="56" fontId="599" numFmtId="49" xfId="0" applyAlignment="1" applyFill="1" applyFont="1" applyNumberFormat="1">
      <alignment horizontal="center" readingOrder="0" vertical="center"/>
    </xf>
    <xf borderId="0" fillId="56" fontId="600" numFmtId="49" xfId="0" applyAlignment="1" applyFill="1" applyFont="1" applyNumberFormat="1">
      <alignment horizontal="center" readingOrder="0" vertical="center"/>
    </xf>
    <xf borderId="0" fillId="26" fontId="601" numFmtId="49" xfId="0" applyAlignment="1" applyFill="1" applyFont="1" applyNumberFormat="1">
      <alignment horizontal="center" readingOrder="0" vertical="center"/>
    </xf>
    <xf borderId="0" fillId="26" fontId="602" numFmtId="49" xfId="0" applyAlignment="1" applyFill="1" applyFont="1" applyNumberFormat="1">
      <alignment horizontal="center" readingOrder="0" vertical="center"/>
    </xf>
    <xf borderId="9" fillId="26" fontId="603" numFmtId="49" xfId="0" applyAlignment="1" applyBorder="1" applyFill="1" applyFont="1" applyNumberFormat="1">
      <alignment horizontal="center" readingOrder="0" vertical="center"/>
    </xf>
    <xf borderId="0" fillId="26" fontId="604"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26" fontId="605" numFmtId="49" xfId="0" applyAlignment="1" applyFill="1" applyFont="1" applyNumberFormat="1">
      <alignment horizontal="right" readingOrder="0" vertical="center"/>
    </xf>
    <xf borderId="0" fillId="26" fontId="606"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26" fontId="41" numFmtId="49" xfId="0" applyAlignment="1" applyFill="1" applyFont="1" applyNumberFormat="1">
      <alignment horizontal="center" readingOrder="0" vertical="center"/>
    </xf>
    <xf borderId="0" fillId="26" fontId="42"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26" fontId="36" numFmtId="49" xfId="0" applyAlignment="1" applyFill="1" applyFont="1" applyNumberFormat="1">
      <alignment horizontal="center" readingOrder="0" vertical="center"/>
    </xf>
    <xf borderId="0" fillId="26" fontId="36" numFmtId="49" xfId="0" applyAlignment="1" applyFill="1" applyFont="1" applyNumberFormat="1">
      <alignment horizontal="center" vertical="center"/>
    </xf>
    <xf borderId="0" fillId="26" fontId="54" numFmtId="49" xfId="0" applyAlignment="1" applyFill="1" applyFont="1" applyNumberFormat="1">
      <alignment vertical="center"/>
    </xf>
    <xf borderId="0" fillId="36"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6" fontId="54"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54"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8" numFmtId="49" xfId="0" applyAlignment="1" applyFill="1" applyFont="1" applyNumberFormat="1">
      <alignment horizontal="center" readingOrder="0" textRotation="0" vertical="center"/>
    </xf>
    <xf borderId="0" fillId="4" fontId="39" numFmtId="49" xfId="0" applyAlignment="1" applyFill="1" applyFont="1" applyNumberFormat="1">
      <alignment horizontal="center" readingOrder="0" textRotation="0" vertical="center"/>
    </xf>
    <xf borderId="0" fillId="4" fontId="41" numFmtId="49" xfId="0" applyAlignment="1" applyFill="1" applyFont="1" applyNumberFormat="1">
      <alignment horizontal="center" readingOrder="0" textRotation="0" vertical="center"/>
    </xf>
    <xf borderId="0" fillId="4" fontId="42" numFmtId="49" xfId="0" applyAlignment="1" applyFill="1" applyFont="1" applyNumberFormat="1">
      <alignment horizontal="center" readingOrder="0" textRotation="0" vertical="center"/>
    </xf>
    <xf borderId="0" fillId="32" fontId="36" numFmtId="49" xfId="0" applyAlignment="1" applyFill="1" applyFont="1" applyNumberFormat="1">
      <alignment horizontal="center" readingOrder="0" textRotation="0" vertical="center"/>
    </xf>
    <xf borderId="0" fillId="32" fontId="36"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6" numFmtId="49" xfId="0" applyAlignment="1" applyFont="1" applyNumberFormat="1">
      <alignment horizontal="center" textRotation="0" vertical="center"/>
    </xf>
    <xf borderId="0" fillId="36" fontId="36" numFmtId="49" xfId="0" applyAlignment="1" applyFill="1" applyFont="1" applyNumberFormat="1">
      <alignment horizontal="center" readingOrder="0" textRotation="0" vertical="center"/>
    </xf>
    <xf borderId="0" fillId="36" fontId="36" numFmtId="49" xfId="0" applyAlignment="1" applyFill="1" applyFont="1" applyNumberFormat="1">
      <alignment horizontal="center" readingOrder="0" textRotation="0" vertical="center"/>
    </xf>
    <xf borderId="0" fillId="36" fontId="613" numFmtId="49" xfId="0" applyAlignment="1" applyFill="1" applyFont="1" applyNumberFormat="1">
      <alignment horizontal="center" readingOrder="0" textRotation="0" vertical="center"/>
    </xf>
    <xf borderId="0" fillId="36" fontId="614" numFmtId="49" xfId="0" applyAlignment="1" applyFill="1" applyFont="1" applyNumberFormat="1">
      <alignment horizontal="center" readingOrder="0" textRotation="0" vertical="center"/>
    </xf>
    <xf borderId="0" fillId="0" fontId="36" numFmtId="49" xfId="0" applyAlignment="1" applyFont="1" applyNumberFormat="1">
      <alignment horizontal="center" textRotation="0" vertical="center"/>
    </xf>
    <xf borderId="0" fillId="37" fontId="36" numFmtId="49" xfId="0" applyAlignment="1" applyFill="1" applyFont="1" applyNumberFormat="1">
      <alignment horizontal="center" readingOrder="0" textRotation="0" vertical="center"/>
    </xf>
    <xf borderId="0" fillId="37" fontId="615" numFmtId="49" xfId="0" applyAlignment="1" applyFill="1" applyFont="1" applyNumberFormat="1">
      <alignment horizontal="center" readingOrder="0" textRotation="0" vertical="center"/>
    </xf>
    <xf borderId="0" fillId="37" fontId="616" numFmtId="49" xfId="0" applyAlignment="1" applyFill="1" applyFont="1" applyNumberFormat="1">
      <alignment horizontal="center" readingOrder="0" textRotation="0" vertical="center"/>
    </xf>
    <xf borderId="0" fillId="37" fontId="617" numFmtId="49" xfId="0" applyAlignment="1" applyFill="1" applyFont="1" applyNumberFormat="1">
      <alignment horizontal="center" readingOrder="0" textRotation="0" vertical="center"/>
    </xf>
    <xf borderId="0" fillId="39" fontId="36" numFmtId="49" xfId="0" applyAlignment="1" applyFill="1" applyFont="1" applyNumberFormat="1">
      <alignment horizontal="center" readingOrder="0" textRotation="0" vertical="center"/>
    </xf>
    <xf borderId="0" fillId="39" fontId="618" numFmtId="49" xfId="0" applyAlignment="1" applyFill="1" applyFont="1" applyNumberFormat="1">
      <alignment horizontal="center" readingOrder="0" textRotation="0" vertical="center"/>
    </xf>
    <xf borderId="0" fillId="39" fontId="36" numFmtId="49" xfId="0" applyAlignment="1" applyFill="1" applyFont="1" applyNumberFormat="1">
      <alignment horizontal="center" readingOrder="0" textRotation="0" vertical="center"/>
    </xf>
    <xf borderId="0" fillId="39" fontId="36" numFmtId="49" xfId="0" applyAlignment="1" applyFill="1" applyFont="1" applyNumberFormat="1">
      <alignment horizontal="center" textRotation="0" vertical="center"/>
    </xf>
    <xf borderId="0" fillId="39" fontId="36" numFmtId="49" xfId="0" applyAlignment="1" applyFill="1" applyFont="1" applyNumberFormat="1">
      <alignment horizontal="center" textRotation="0" vertical="center"/>
    </xf>
    <xf borderId="0" fillId="40" fontId="36"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6" numFmtId="49" xfId="0" applyAlignment="1" applyFill="1" applyFont="1" applyNumberFormat="1">
      <alignment horizontal="center" readingOrder="0" textRotation="0" vertical="center"/>
    </xf>
    <xf borderId="0" fillId="40" fontId="36"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6" numFmtId="49" xfId="0" applyAlignment="1" applyFill="1" applyFont="1" applyNumberFormat="1">
      <alignment horizontal="center" textRotation="0" vertical="center"/>
    </xf>
    <xf borderId="0" fillId="41" fontId="36" numFmtId="49" xfId="0" applyAlignment="1" applyFill="1" applyFont="1" applyNumberFormat="1">
      <alignment horizontal="center" readingOrder="0" textRotation="0" vertical="center"/>
    </xf>
    <xf borderId="0" fillId="41" fontId="36"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6" numFmtId="49" xfId="0" applyAlignment="1" applyFill="1" applyFont="1" applyNumberFormat="1">
      <alignment horizontal="center" textRotation="0" vertical="center"/>
    </xf>
    <xf borderId="0" fillId="38" fontId="36" numFmtId="49" xfId="0" applyAlignment="1" applyFill="1" applyFont="1" applyNumberFormat="1">
      <alignment horizontal="center" readingOrder="0" textRotation="0" vertical="center"/>
    </xf>
    <xf borderId="0" fillId="38" fontId="36" numFmtId="49" xfId="0" applyAlignment="1" applyFill="1" applyFont="1" applyNumberFormat="1">
      <alignment horizontal="center" readingOrder="0" textRotation="0" vertical="center"/>
    </xf>
    <xf borderId="0" fillId="38" fontId="622" numFmtId="49" xfId="0" applyAlignment="1" applyFill="1" applyFont="1" applyNumberFormat="1">
      <alignment horizontal="center" readingOrder="0" textRotation="0" vertical="center"/>
    </xf>
    <xf borderId="0" fillId="38" fontId="36" numFmtId="49" xfId="0" applyAlignment="1" applyFill="1" applyFont="1" applyNumberFormat="1">
      <alignment horizontal="center" readingOrder="0" textRotation="0" vertical="center"/>
    </xf>
    <xf borderId="0" fillId="38" fontId="623" numFmtId="49" xfId="0" applyAlignment="1" applyFill="1" applyFont="1" applyNumberFormat="1">
      <alignment horizontal="center" readingOrder="0" textRotation="0" vertical="center"/>
    </xf>
    <xf borderId="0" fillId="38" fontId="36" numFmtId="49" xfId="0" applyAlignment="1" applyFill="1" applyFont="1" applyNumberFormat="1">
      <alignment horizontal="center" textRotation="0" vertical="center"/>
    </xf>
    <xf borderId="0" fillId="56" fontId="36" numFmtId="49" xfId="0" applyAlignment="1" applyFill="1" applyFont="1" applyNumberFormat="1">
      <alignment horizontal="center" readingOrder="0" textRotation="0" vertical="center"/>
    </xf>
    <xf borderId="0" fillId="56" fontId="36" numFmtId="49" xfId="0" applyAlignment="1" applyFill="1" applyFont="1" applyNumberFormat="1">
      <alignment horizontal="center" textRotation="0" vertical="center"/>
    </xf>
    <xf borderId="0" fillId="56" fontId="36" numFmtId="49" xfId="0" applyAlignment="1" applyFill="1" applyFont="1" applyNumberFormat="1">
      <alignment horizontal="center" readingOrder="0" textRotation="0" vertical="center"/>
    </xf>
    <xf borderId="0" fillId="56" fontId="624" numFmtId="49" xfId="0" applyAlignment="1" applyFill="1" applyFont="1" applyNumberFormat="1">
      <alignment horizontal="center" readingOrder="0" textRotation="0" vertical="center"/>
    </xf>
    <xf borderId="0" fillId="56" fontId="625" numFmtId="49" xfId="0" applyAlignment="1" applyFill="1" applyFont="1" applyNumberFormat="1">
      <alignment horizontal="center" readingOrder="0" textRotation="0" vertical="center"/>
    </xf>
    <xf borderId="0" fillId="26" fontId="626" numFmtId="49" xfId="0" applyAlignment="1" applyFill="1" applyFont="1" applyNumberFormat="1">
      <alignment horizontal="center" readingOrder="0" vertical="center"/>
    </xf>
    <xf borderId="0" fillId="26"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6" fontId="282" numFmtId="49" xfId="0" applyAlignment="1" applyFill="1" applyFont="1" applyNumberFormat="1">
      <alignment horizontal="right" readingOrder="0" vertical="center"/>
    </xf>
    <xf borderId="0" fillId="26" fontId="36"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26"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26" fontId="17" numFmtId="49" xfId="0" applyAlignment="1" applyFill="1" applyFont="1" applyNumberFormat="1">
      <alignment horizontal="right" readingOrder="0" vertic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center" vertical="center"/>
    </xf>
    <xf borderId="0" fillId="4" fontId="354" numFmtId="49" xfId="0" applyAlignment="1" applyFill="1" applyFont="1" applyNumberFormat="1">
      <alignment horizontal="right" readingOrder="0" vertical="center"/>
    </xf>
    <xf borderId="0" fillId="41" fontId="36"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6" numFmtId="49" xfId="0" applyAlignment="1" applyFill="1" applyFont="1" applyNumberFormat="1">
      <alignment horizontal="center" vertical="center"/>
    </xf>
    <xf borderId="0" fillId="36"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7" fontId="36" numFmtId="49" xfId="0" applyAlignment="1" applyFill="1" applyFont="1" applyNumberFormat="1">
      <alignment horizontal="center" vertical="center"/>
    </xf>
    <xf borderId="0" fillId="37" fontId="36"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1" fontId="36" numFmtId="49" xfId="0" applyAlignment="1" applyFill="1" applyFont="1" applyNumberFormat="1">
      <alignment horizontal="center" readingOrder="0" vertical="center"/>
    </xf>
    <xf borderId="0" fillId="41" fontId="54" numFmtId="49" xfId="0" applyAlignment="1" applyFill="1" applyFont="1" applyNumberFormat="1">
      <alignment vertical="center"/>
    </xf>
    <xf borderId="0" fillId="41"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8" fontId="36" numFmtId="49" xfId="0" applyAlignment="1" applyFill="1" applyFont="1" applyNumberFormat="1">
      <alignment horizontal="center" vertical="center"/>
    </xf>
    <xf borderId="0" fillId="56" fontId="36" numFmtId="49" xfId="0" applyAlignment="1" applyFill="1" applyFont="1" applyNumberFormat="1">
      <alignment horizontal="center" vertical="center"/>
    </xf>
    <xf borderId="0" fillId="26" fontId="634" numFmtId="49" xfId="0" applyAlignment="1" applyFill="1" applyFont="1" applyNumberFormat="1">
      <alignment horizontal="right" readingOrder="0" vertical="center"/>
    </xf>
    <xf borderId="0" fillId="4" fontId="282"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2"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56" fontId="36" numFmtId="49" xfId="0" applyAlignment="1" applyFill="1" applyFont="1" applyNumberFormat="1">
      <alignment horizontal="center" readingOrder="0" vertical="center"/>
    </xf>
    <xf borderId="0" fillId="26" fontId="606" numFmtId="49" xfId="0" applyAlignment="1" applyFill="1" applyFont="1" applyNumberFormat="1">
      <alignment horizontal="right" readingOrder="0" vertical="center"/>
    </xf>
    <xf borderId="0" fillId="39" fontId="636"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641"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54" numFmtId="49" xfId="0" applyFill="1" applyFont="1" applyNumberFormat="1"/>
    <xf borderId="0" fillId="40" fontId="642"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56" fontId="36" numFmtId="49" xfId="0" applyAlignment="1" applyFill="1" applyFont="1" applyNumberFormat="1">
      <alignment horizontal="center" readingOrder="0" vertical="center"/>
    </xf>
    <xf borderId="0" fillId="56" fontId="643"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6" fontId="36" numFmtId="49" xfId="0" applyAlignment="1" applyFill="1" applyFont="1" applyNumberFormat="1">
      <alignment horizontal="center" readingOrder="0" shrinkToFit="0" vertical="center" wrapText="0"/>
    </xf>
    <xf borderId="0" fillId="4" fontId="298" numFmtId="49" xfId="0" applyAlignment="1" applyFill="1" applyFont="1" applyNumberFormat="1">
      <alignment horizontal="right" readingOrder="0" vertical="center"/>
    </xf>
    <xf borderId="0" fillId="26" fontId="418" numFmtId="49" xfId="0" applyAlignment="1" applyFill="1" applyFont="1" applyNumberFormat="1">
      <alignment horizontal="right" readingOrder="0" vertical="center"/>
    </xf>
    <xf borderId="0" fillId="26" fontId="644" numFmtId="49" xfId="0" applyAlignment="1" applyFill="1" applyFont="1" applyNumberFormat="1">
      <alignment horizontal="right" readingOrder="0" vertical="center"/>
    </xf>
    <xf borderId="0" fillId="26" fontId="54"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6"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26"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3" numFmtId="49" xfId="0" applyAlignment="1" applyFill="1" applyFont="1" applyNumberFormat="1">
      <alignment horizontal="center" readingOrder="0"/>
    </xf>
    <xf borderId="0" fillId="38" fontId="36" numFmtId="49" xfId="0" applyAlignment="1" applyFill="1" applyFont="1" applyNumberFormat="1">
      <alignment horizontal="center" readingOrder="0" vertical="center"/>
    </xf>
    <xf borderId="0" fillId="26" fontId="649" numFmtId="49" xfId="0" applyAlignment="1" applyFill="1" applyFont="1" applyNumberFormat="1">
      <alignment horizontal="right" readingOrder="0" vertical="center"/>
    </xf>
    <xf borderId="0" fillId="26" fontId="16" numFmtId="49" xfId="0" applyAlignment="1" applyFill="1" applyFont="1" applyNumberFormat="1">
      <alignment horizontal="right" readingOrder="0" vertical="center"/>
    </xf>
    <xf borderId="0" fillId="26" fontId="23" numFmtId="49" xfId="0" applyAlignment="1" applyFill="1" applyFont="1" applyNumberFormat="1">
      <alignment horizontal="center" vertical="center"/>
    </xf>
    <xf borderId="0" fillId="26" fontId="23"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26" fontId="27"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6" fontId="36"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26" fontId="651" numFmtId="49" xfId="0" applyAlignment="1" applyFill="1" applyFont="1" applyNumberFormat="1">
      <alignment horizontal="right" readingOrder="0" vertical="center"/>
    </xf>
    <xf borderId="0" fillId="26" fontId="31" numFmtId="49" xfId="0" applyAlignment="1" applyFill="1" applyFont="1" applyNumberFormat="1">
      <alignment horizontal="right" readingOrder="0" vertical="center"/>
    </xf>
    <xf borderId="0" fillId="32" fontId="36" numFmtId="4" xfId="0" applyAlignment="1" applyFill="1" applyFont="1" applyNumberFormat="1">
      <alignment horizontal="center" vertical="center"/>
    </xf>
    <xf borderId="0" fillId="32" fontId="36" numFmtId="4" xfId="0" applyAlignment="1" applyFill="1" applyFont="1" applyNumberFormat="1">
      <alignment horizontal="center" readingOrder="0" vertical="center"/>
    </xf>
    <xf borderId="0" fillId="0" fontId="36" numFmtId="4" xfId="0" applyAlignment="1" applyFont="1" applyNumberFormat="1">
      <alignment horizontal="center" vertical="center"/>
    </xf>
    <xf borderId="0" fillId="36" fontId="652" numFmtId="4" xfId="0" applyAlignment="1" applyFill="1" applyFont="1" applyNumberFormat="1">
      <alignment horizontal="center" readingOrder="0" vertical="center"/>
    </xf>
    <xf borderId="0" fillId="36" fontId="36" numFmtId="4" xfId="0" applyAlignment="1" applyFill="1" applyFont="1" applyNumberFormat="1">
      <alignment horizontal="center" readingOrder="0" vertical="center"/>
    </xf>
    <xf borderId="0" fillId="36" fontId="36" numFmtId="4" xfId="0" applyAlignment="1" applyFill="1" applyFont="1" applyNumberFormat="1">
      <alignment horizontal="center" vertical="center"/>
    </xf>
    <xf borderId="0" fillId="0" fontId="36" numFmtId="4" xfId="0" applyAlignment="1" applyFont="1" applyNumberFormat="1">
      <alignment horizontal="center" vertical="center"/>
    </xf>
    <xf borderId="0" fillId="37" fontId="653" numFmtId="4" xfId="0" applyAlignment="1" applyFill="1" applyFont="1" applyNumberFormat="1">
      <alignment horizontal="center" readingOrder="0" vertical="center"/>
    </xf>
    <xf borderId="0" fillId="37" fontId="36" numFmtId="4" xfId="0" applyAlignment="1" applyFill="1" applyFont="1" applyNumberFormat="1">
      <alignment horizontal="center" vertical="center"/>
    </xf>
    <xf borderId="0" fillId="37" fontId="36" numFmtId="4" xfId="0" applyAlignment="1" applyFill="1" applyFont="1" applyNumberFormat="1">
      <alignment horizontal="center" readingOrder="0" vertical="center"/>
    </xf>
    <xf borderId="0" fillId="39" fontId="654" numFmtId="4" xfId="0" applyAlignment="1" applyFill="1" applyFont="1" applyNumberFormat="1">
      <alignment horizontal="center" readingOrder="0" vertical="center"/>
    </xf>
    <xf borderId="0" fillId="39" fontId="36" numFmtId="4" xfId="0" applyAlignment="1" applyFill="1" applyFont="1" applyNumberFormat="1">
      <alignment horizontal="center" vertical="center"/>
    </xf>
    <xf borderId="0" fillId="39" fontId="36" numFmtId="4" xfId="0" applyAlignment="1" applyFill="1" applyFont="1" applyNumberFormat="1">
      <alignment horizontal="center" readingOrder="0" vertical="center"/>
    </xf>
    <xf borderId="0" fillId="39" fontId="36"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6" numFmtId="4" xfId="0" applyAlignment="1" applyFill="1" applyFont="1" applyNumberFormat="1">
      <alignment horizontal="center" vertical="center"/>
    </xf>
    <xf borderId="0" fillId="40" fontId="36" numFmtId="4" xfId="0" applyAlignment="1" applyFill="1" applyFont="1" applyNumberFormat="1">
      <alignment horizontal="center" readingOrder="0" vertical="center"/>
    </xf>
    <xf borderId="0" fillId="40" fontId="36"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54" numFmtId="4" xfId="0" applyAlignment="1" applyFill="1" applyFont="1" applyNumberFormat="1">
      <alignment vertical="center"/>
    </xf>
    <xf borderId="0" fillId="41" fontId="36" numFmtId="4" xfId="0" applyAlignment="1" applyFill="1" applyFont="1" applyNumberFormat="1">
      <alignment horizontal="center" vertical="center"/>
    </xf>
    <xf borderId="0" fillId="41" fontId="36" numFmtId="4" xfId="0" applyAlignment="1" applyFill="1" applyFont="1" applyNumberFormat="1">
      <alignment horizontal="center" readingOrder="0" vertical="center"/>
    </xf>
    <xf borderId="0" fillId="38" fontId="657" numFmtId="4" xfId="0" applyAlignment="1" applyFill="1" applyFont="1" applyNumberFormat="1">
      <alignment horizontal="center" readingOrder="0" vertical="center"/>
    </xf>
    <xf borderId="0" fillId="38" fontId="36" numFmtId="4" xfId="0" applyAlignment="1" applyFill="1" applyFont="1" applyNumberFormat="1">
      <alignment horizontal="center" readingOrder="0" vertical="center"/>
    </xf>
    <xf borderId="0" fillId="38" fontId="36" numFmtId="4" xfId="0" applyAlignment="1" applyFill="1" applyFont="1" applyNumberFormat="1">
      <alignment horizontal="center" vertical="center"/>
    </xf>
    <xf borderId="0" fillId="56" fontId="658" numFmtId="4" xfId="0" applyAlignment="1" applyFill="1" applyFont="1" applyNumberFormat="1">
      <alignment horizontal="center" readingOrder="0" vertical="center"/>
    </xf>
    <xf borderId="0" fillId="56" fontId="36" numFmtId="4" xfId="0" applyAlignment="1" applyFill="1" applyFont="1" applyNumberFormat="1">
      <alignment horizontal="center" vertical="center"/>
    </xf>
    <xf borderId="0" fillId="56" fontId="36" numFmtId="4" xfId="0" applyAlignment="1" applyFill="1" applyFont="1" applyNumberFormat="1">
      <alignment horizontal="center" readingOrder="0" vertical="center"/>
    </xf>
    <xf borderId="0" fillId="26" fontId="587" numFmtId="49" xfId="0" applyAlignment="1" applyFill="1" applyFont="1" applyNumberFormat="1">
      <alignment horizontal="right" readingOrder="0" vertical="center"/>
    </xf>
    <xf borderId="0" fillId="26" fontId="23" numFmtId="49" xfId="0" applyAlignment="1" applyFill="1" applyFont="1" applyNumberFormat="1">
      <alignment horizontal="right"/>
    </xf>
    <xf borderId="0" fillId="26"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26" fontId="660" numFmtId="49" xfId="0" applyAlignment="1" applyFill="1" applyFont="1" applyNumberFormat="1">
      <alignment horizontal="right" readingOrder="0" vertical="center"/>
    </xf>
    <xf borderId="0" fillId="26" fontId="36" numFmtId="49" xfId="0" applyAlignment="1" applyFill="1" applyFont="1" applyNumberFormat="1">
      <alignment horizontal="center" vertical="center"/>
    </xf>
    <xf borderId="0" fillId="26" fontId="36" numFmtId="49" xfId="0" applyAlignment="1" applyFill="1" applyFont="1" applyNumberFormat="1">
      <alignment horizontal="center" vertical="center"/>
    </xf>
    <xf borderId="0" fillId="26" fontId="54"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6" fontId="663" numFmtId="49" xfId="0" applyAlignment="1" applyFill="1" applyFont="1" applyNumberFormat="1">
      <alignment horizontal="center" vertical="center"/>
    </xf>
    <xf borderId="0" fillId="26" fontId="17" numFmtId="49" xfId="0" applyAlignment="1" applyFill="1" applyFont="1" applyNumberFormat="1">
      <alignment horizontal="right" readingOrder="0" vertical="center"/>
    </xf>
    <xf borderId="0" fillId="26" fontId="664" numFmtId="49" xfId="0" applyAlignment="1" applyFill="1" applyFont="1" applyNumberFormat="1">
      <alignment horizontal="right" readingOrder="0" vertical="center"/>
    </xf>
    <xf borderId="0" fillId="26" fontId="23" numFmtId="49" xfId="0" applyAlignment="1" applyFill="1" applyFont="1" applyNumberFormat="1">
      <alignment horizontal="center"/>
    </xf>
    <xf borderId="0" fillId="26" fontId="665" numFmtId="49" xfId="0" applyAlignment="1" applyFill="1" applyFont="1" applyNumberFormat="1">
      <alignment horizontal="center" vertical="center"/>
    </xf>
    <xf borderId="0" fillId="32" fontId="23" numFmtId="49" xfId="0" applyAlignment="1" applyFill="1" applyFont="1" applyNumberFormat="1">
      <alignment horizontal="center"/>
    </xf>
    <xf borderId="0" fillId="26" fontId="666" numFmtId="49" xfId="0" applyAlignment="1" applyFill="1" applyFont="1" applyNumberFormat="1">
      <alignment horizontal="center" vertical="center"/>
    </xf>
    <xf borderId="0" fillId="36" fontId="667" numFmtId="49" xfId="0" applyAlignment="1" applyFill="1" applyFont="1" applyNumberFormat="1">
      <alignment horizontal="center" readingOrder="0" vertical="center"/>
    </xf>
    <xf borderId="9" fillId="37"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8" fontId="670" numFmtId="49" xfId="0" applyAlignment="1" applyFill="1" applyFont="1" applyNumberFormat="1">
      <alignment horizontal="center" vertical="center"/>
    </xf>
    <xf borderId="0" fillId="56" fontId="671" numFmtId="49" xfId="0" applyAlignment="1" applyFill="1" applyFont="1" applyNumberFormat="1">
      <alignment horizontal="center" readingOrder="0" vertical="center"/>
    </xf>
    <xf borderId="0" fillId="26" fontId="672" numFmtId="49" xfId="0" applyAlignment="1" applyFill="1" applyFont="1" applyNumberFormat="1">
      <alignment horizontal="right" readingOrder="0" vertical="center"/>
    </xf>
    <xf borderId="0" fillId="32" fontId="261" numFmtId="49" xfId="0" applyFill="1" applyFont="1" applyNumberFormat="1"/>
    <xf borderId="0" fillId="0" fontId="261" numFmtId="49" xfId="0" applyFont="1" applyNumberFormat="1"/>
    <xf borderId="0" fillId="36" fontId="23" numFmtId="49" xfId="0" applyAlignment="1" applyFill="1" applyFont="1" applyNumberFormat="1">
      <alignment horizontal="center"/>
    </xf>
    <xf borderId="0" fillId="36" fontId="23" numFmtId="49" xfId="0" applyAlignment="1" applyFill="1" applyFont="1" applyNumberFormat="1">
      <alignment horizontal="center"/>
    </xf>
    <xf borderId="0" fillId="36" fontId="261" numFmtId="49" xfId="0" applyFill="1" applyFont="1" applyNumberFormat="1"/>
    <xf borderId="0" fillId="0" fontId="6" numFmtId="49" xfId="0" applyFont="1" applyNumberFormat="1"/>
    <xf borderId="0" fillId="37" fontId="261" numFmtId="49" xfId="0" applyFill="1" applyFont="1" applyNumberFormat="1"/>
    <xf borderId="0" fillId="37" fontId="23" numFmtId="49" xfId="0" applyAlignment="1" applyFill="1" applyFont="1" applyNumberFormat="1">
      <alignment horizontal="center"/>
    </xf>
    <xf borderId="0" fillId="39" fontId="261" numFmtId="49" xfId="0" applyFill="1" applyFont="1" applyNumberFormat="1"/>
    <xf borderId="0" fillId="39" fontId="23" numFmtId="49" xfId="0" applyAlignment="1" applyFill="1" applyFont="1" applyNumberFormat="1">
      <alignment horizontal="center"/>
    </xf>
    <xf borderId="0" fillId="39" fontId="6" numFmtId="49" xfId="0" applyFill="1" applyFont="1" applyNumberFormat="1"/>
    <xf borderId="0" fillId="40" fontId="261" numFmtId="49" xfId="0" applyFill="1" applyFont="1" applyNumberFormat="1"/>
    <xf borderId="0" fillId="40" fontId="23" numFmtId="49" xfId="0" applyAlignment="1" applyFill="1" applyFont="1" applyNumberFormat="1">
      <alignment horizontal="center"/>
    </xf>
    <xf borderId="0" fillId="40" fontId="23" numFmtId="49" xfId="0" applyAlignment="1" applyFill="1" applyFont="1" applyNumberFormat="1">
      <alignment horizontal="center"/>
    </xf>
    <xf borderId="0" fillId="40" fontId="6" numFmtId="49" xfId="0" applyFill="1" applyFont="1" applyNumberFormat="1"/>
    <xf borderId="0" fillId="41" fontId="261" numFmtId="49" xfId="0" applyFill="1" applyFont="1" applyNumberFormat="1"/>
    <xf borderId="0" fillId="41" fontId="23" numFmtId="49" xfId="0" applyAlignment="1" applyFill="1" applyFont="1" applyNumberFormat="1">
      <alignment horizontal="center"/>
    </xf>
    <xf borderId="0" fillId="0" fontId="261" numFmtId="49" xfId="0" applyFont="1" applyNumberFormat="1"/>
    <xf borderId="0" fillId="38" fontId="23" numFmtId="49" xfId="0" applyAlignment="1" applyFill="1" applyFont="1" applyNumberFormat="1">
      <alignment horizontal="center"/>
    </xf>
    <xf borderId="0" fillId="38" fontId="261" numFmtId="49" xfId="0" applyFill="1" applyFont="1" applyNumberFormat="1"/>
    <xf borderId="0" fillId="38" fontId="23" numFmtId="49" xfId="0" applyAlignment="1" applyFill="1" applyFont="1" applyNumberFormat="1">
      <alignment horizontal="center"/>
    </xf>
    <xf borderId="0" fillId="56" fontId="261" numFmtId="49" xfId="0" applyFill="1" applyFont="1" applyNumberFormat="1"/>
    <xf borderId="9" fillId="56" fontId="673" numFmtId="49" xfId="0" applyAlignment="1" applyBorder="1" applyFill="1" applyFont="1" applyNumberFormat="1">
      <alignment horizontal="center"/>
    </xf>
    <xf borderId="0" fillId="26" fontId="76" numFmtId="49" xfId="0" applyAlignment="1" applyFill="1" applyFont="1" applyNumberFormat="1">
      <alignment horizontal="right" readingOrder="0" vertical="center"/>
    </xf>
    <xf borderId="0" fillId="26"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6" fontId="675" numFmtId="49" xfId="0" applyAlignment="1" applyFill="1" applyFont="1" applyNumberFormat="1">
      <alignment horizontal="center" readingOrder="0" vertical="center"/>
    </xf>
    <xf borderId="0" fillId="26"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26" fontId="678" numFmtId="49" xfId="0" applyAlignment="1" applyFill="1" applyFont="1" applyNumberFormat="1">
      <alignment horizontal="right" readingOrder="0" textRotation="0" vertical="center"/>
    </xf>
    <xf borderId="0" fillId="26" fontId="679" numFmtId="49" xfId="0" applyAlignment="1" applyFill="1" applyFont="1" applyNumberFormat="1">
      <alignment horizontal="right" readingOrder="0" vertical="center"/>
    </xf>
    <xf borderId="0" fillId="26"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9" fontId="682" numFmtId="49" xfId="0" applyAlignment="1" applyFill="1" applyFont="1" applyNumberFormat="1">
      <alignment horizontal="center" vertical="center"/>
    </xf>
    <xf borderId="0" fillId="4" fontId="316"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6"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6" fontId="685" numFmtId="49" xfId="0" applyAlignment="1" applyFill="1" applyFont="1" applyNumberFormat="1">
      <alignment horizontal="center" vertical="center"/>
    </xf>
    <xf borderId="0" fillId="37" fontId="686" numFmtId="49" xfId="0" applyAlignment="1" applyFill="1" applyFont="1" applyNumberFormat="1">
      <alignment horizontal="center" vertical="center"/>
    </xf>
    <xf borderId="0" fillId="56" fontId="687" numFmtId="49" xfId="0" applyAlignment="1" applyFill="1" applyFont="1" applyNumberFormat="1">
      <alignment horizontal="center" vertical="center"/>
    </xf>
    <xf borderId="0" fillId="56" fontId="688" numFmtId="49" xfId="0" applyAlignment="1" applyFill="1" applyFont="1" applyNumberFormat="1">
      <alignment horizontal="center" vertical="center"/>
    </xf>
    <xf borderId="0" fillId="4" fontId="31" numFmtId="49" xfId="0" applyAlignment="1" applyFill="1" applyFont="1" applyNumberFormat="1">
      <alignment horizontal="right" vertical="center"/>
    </xf>
    <xf borderId="0" fillId="26" fontId="31" numFmtId="49" xfId="0" applyAlignment="1" applyFill="1" applyFont="1" applyNumberFormat="1">
      <alignment horizontal="right" vertical="center"/>
    </xf>
    <xf borderId="0" fillId="38" fontId="36" numFmtId="49" xfId="0" applyAlignment="1" applyFill="1" applyFont="1" applyNumberFormat="1">
      <alignment horizontal="center" vertical="center"/>
    </xf>
    <xf borderId="0" fillId="26" fontId="6" numFmtId="49" xfId="0" applyFill="1" applyFont="1" applyNumberFormat="1"/>
    <xf borderId="0" fillId="0" fontId="6" numFmtId="49" xfId="0" applyFont="1" applyNumberFormat="1"/>
    <xf borderId="0" fillId="32" fontId="6" numFmtId="49" xfId="0" applyFill="1" applyFont="1" applyNumberFormat="1"/>
    <xf borderId="0" fillId="37" fontId="6" numFmtId="49" xfId="0" applyFill="1" applyFont="1" applyNumberFormat="1"/>
    <xf borderId="0" fillId="41" fontId="6" numFmtId="49" xfId="0" applyFill="1" applyFont="1" applyNumberFormat="1"/>
    <xf borderId="0" fillId="38" fontId="6" numFmtId="49" xfId="0" applyFill="1" applyFont="1" applyNumberFormat="1"/>
    <xf borderId="0" fillId="56"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ece2zm" TargetMode="External"/><Relationship Id="rId4042" Type="http://schemas.openxmlformats.org/officeDocument/2006/relationships/hyperlink" Target="https://youtu.be/PbuzEBssXKI" TargetMode="External"/><Relationship Id="rId4041" Type="http://schemas.openxmlformats.org/officeDocument/2006/relationships/hyperlink" Target="https://streamable.com/fsx42y" TargetMode="External"/><Relationship Id="rId4044" Type="http://schemas.openxmlformats.org/officeDocument/2006/relationships/hyperlink" Target="https://www.youtube.com/watch?v=Z4wlm-YC5rk&amp;ab_channel=Trobbin" TargetMode="External"/><Relationship Id="rId4043" Type="http://schemas.openxmlformats.org/officeDocument/2006/relationships/hyperlink" Target="https://www.twitch.tv/videos/1038648534" TargetMode="External"/><Relationship Id="rId4046" Type="http://schemas.openxmlformats.org/officeDocument/2006/relationships/hyperlink" Target="https://clips.twitch.tv/HelpfulRenownedMangoSoBayed-Zs9YC8cIaAL4tKOa" TargetMode="External"/><Relationship Id="rId4045" Type="http://schemas.openxmlformats.org/officeDocument/2006/relationships/hyperlink" Target="https://www.youtube.com/watch?v=u5aVDsE4yZs&amp;ab_channel=Trobbin" TargetMode="External"/><Relationship Id="rId4048" Type="http://schemas.openxmlformats.org/officeDocument/2006/relationships/hyperlink" Target="https://www.youtube.com/watch?v=dOCaFHQS77I&amp;ab_channel=Trobbin" TargetMode="External"/><Relationship Id="rId4047" Type="http://schemas.openxmlformats.org/officeDocument/2006/relationships/hyperlink" Target="https://www.youtube.com/watch?v=l-imREf_VJU&amp;list=PLH8CCpX902G8-DFOg7YgVOyqIefxKmrqU&amp;index=2&amp;ab_channel=Trobbin" TargetMode="External"/><Relationship Id="rId4049" Type="http://schemas.openxmlformats.org/officeDocument/2006/relationships/hyperlink" Target="https://www.youtube.com/watch?v=bymG0fP87Kc&amp;list=PLH8CCpX902G8-DFOg7YgVOyqIefxKmrqU&amp;index=5&amp;ab_channel=Trobbin" TargetMode="External"/><Relationship Id="rId4031" Type="http://schemas.openxmlformats.org/officeDocument/2006/relationships/hyperlink" Target="https://youtu.be/HZnBxf4JU_E" TargetMode="External"/><Relationship Id="rId4030" Type="http://schemas.openxmlformats.org/officeDocument/2006/relationships/hyperlink" Target="https://youtu.be/Qym3rnWucfc" TargetMode="External"/><Relationship Id="rId297" Type="http://schemas.openxmlformats.org/officeDocument/2006/relationships/hyperlink" Target="https://youtu.be/hOhXb3Gq06o" TargetMode="External"/><Relationship Id="rId4033" Type="http://schemas.openxmlformats.org/officeDocument/2006/relationships/hyperlink" Target="https://youtu.be/bjUyDNhmYzE?si=ZLjV-1_hlM1rN9NU" TargetMode="External"/><Relationship Id="rId296" Type="http://schemas.openxmlformats.org/officeDocument/2006/relationships/hyperlink" Target="https://youtu.be/pOcnQTxpOhg" TargetMode="External"/><Relationship Id="rId4032" Type="http://schemas.openxmlformats.org/officeDocument/2006/relationships/hyperlink" Target="https://youtu.be/l861rB8uKdc" TargetMode="External"/><Relationship Id="rId295" Type="http://schemas.openxmlformats.org/officeDocument/2006/relationships/hyperlink" Target="https://youtu.be/VcY4LWDnG0k" TargetMode="External"/><Relationship Id="rId4035" Type="http://schemas.openxmlformats.org/officeDocument/2006/relationships/hyperlink" Target="https://youtu.be/PXw_FPukiME"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pksmg2_/clip/DoubtfulAmusedKleeSeemsGood-aazgfPoXoD59ojT1" TargetMode="External"/><Relationship Id="rId4037" Type="http://schemas.openxmlformats.org/officeDocument/2006/relationships/hyperlink" Target="https://www.youtube.com/watch?v=n6t3ryt15_M&amp;feature=youtu.be" TargetMode="External"/><Relationship Id="rId4036" Type="http://schemas.openxmlformats.org/officeDocument/2006/relationships/hyperlink" Target="https://www.youtube.com/watch?v=lGYLythfgV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lOtCb_Aoz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bu2Wi9biHM&amp;feature=youtu.be" TargetMode="External"/><Relationship Id="rId4060" Type="http://schemas.openxmlformats.org/officeDocument/2006/relationships/hyperlink" Target="https://youtu.be/bOCD0sn133s" TargetMode="External"/><Relationship Id="rId4062" Type="http://schemas.openxmlformats.org/officeDocument/2006/relationships/hyperlink" Target="https://youtu.be/FShD6HLIKGY" TargetMode="External"/><Relationship Id="rId4061" Type="http://schemas.openxmlformats.org/officeDocument/2006/relationships/hyperlink" Target="https://youtu.be/B0TJgK3u3YU" TargetMode="External"/><Relationship Id="rId4064" Type="http://schemas.openxmlformats.org/officeDocument/2006/relationships/hyperlink" Target="https://youtu.be/tJyF6A_P4cw" TargetMode="External"/><Relationship Id="rId4063" Type="http://schemas.openxmlformats.org/officeDocument/2006/relationships/hyperlink" Target="https://youtu.be/2EOO7jxsV5U" TargetMode="External"/><Relationship Id="rId4066" Type="http://schemas.openxmlformats.org/officeDocument/2006/relationships/hyperlink" Target="https://youtu.be/ODe_uhQOVmw" TargetMode="External"/><Relationship Id="rId4065" Type="http://schemas.openxmlformats.org/officeDocument/2006/relationships/hyperlink" Target="https://youtu.be/rbfx7hopa4Y" TargetMode="External"/><Relationship Id="rId4068" Type="http://schemas.openxmlformats.org/officeDocument/2006/relationships/hyperlink" Target="https://youtu.be/7rLJ-F7D95Q" TargetMode="External"/><Relationship Id="rId4067" Type="http://schemas.openxmlformats.org/officeDocument/2006/relationships/hyperlink" Target="https://youtu.be/wP6B1hW--S0" TargetMode="External"/><Relationship Id="rId4069" Type="http://schemas.openxmlformats.org/officeDocument/2006/relationships/hyperlink" Target="https://youtu.be/xmoMtuRowOo" TargetMode="External"/><Relationship Id="rId4051" Type="http://schemas.openxmlformats.org/officeDocument/2006/relationships/hyperlink" Target="https://youtu.be/H2EFLjh19V8" TargetMode="External"/><Relationship Id="rId4050" Type="http://schemas.openxmlformats.org/officeDocument/2006/relationships/hyperlink" Target="https://www.youtube.com/watch?v=g9Q1066yuWk&amp;list=PLH8CCpX902G8-DFOg7YgVOyqIefxKmrqU&amp;index=12&amp;ab_channel=Trobbin" TargetMode="External"/><Relationship Id="rId4053" Type="http://schemas.openxmlformats.org/officeDocument/2006/relationships/hyperlink" Target="https://www.youtube.com/watch?v=_fuGO3wdf_c" TargetMode="External"/><Relationship Id="rId4052" Type="http://schemas.openxmlformats.org/officeDocument/2006/relationships/hyperlink" Target="https://youtu.be/ebTMHKAw-uM" TargetMode="External"/><Relationship Id="rId4055" Type="http://schemas.openxmlformats.org/officeDocument/2006/relationships/hyperlink" Target="https://www.youtube.com/watch?v=uRlpI4FPxow" TargetMode="External"/><Relationship Id="rId4054" Type="http://schemas.openxmlformats.org/officeDocument/2006/relationships/hyperlink" Target="https://www.youtube.com/watch?v=9yjWNlcF8pA" TargetMode="External"/><Relationship Id="rId4057" Type="http://schemas.openxmlformats.org/officeDocument/2006/relationships/hyperlink" Target="https://www.youtube.com/watch?v=JJYKLDBrWSw" TargetMode="External"/><Relationship Id="rId4056" Type="http://schemas.openxmlformats.org/officeDocument/2006/relationships/hyperlink" Target="https://www.youtube.com/watch?v=pI5iMtqB7BU" TargetMode="External"/><Relationship Id="rId4059" Type="http://schemas.openxmlformats.org/officeDocument/2006/relationships/hyperlink" Target="https://youtu.be/XBVEJ52O-Ig" TargetMode="External"/><Relationship Id="rId4058" Type="http://schemas.openxmlformats.org/officeDocument/2006/relationships/hyperlink" Target="https://www.youtube.com/watch?v=xJuhZoiiATI" TargetMode="External"/><Relationship Id="rId4008" Type="http://schemas.openxmlformats.org/officeDocument/2006/relationships/hyperlink" Target="https://youtu.be/IH-4uKm6isI" TargetMode="External"/><Relationship Id="rId4007" Type="http://schemas.openxmlformats.org/officeDocument/2006/relationships/hyperlink" Target="https://youtu.be/umgWlwQvLlg" TargetMode="External"/><Relationship Id="rId4009" Type="http://schemas.openxmlformats.org/officeDocument/2006/relationships/hyperlink" Target="https://www.twitch.tv/videos/156297855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ROk5J96rU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zLRiS54kMLo" TargetMode="External"/><Relationship Id="rId261" Type="http://schemas.openxmlformats.org/officeDocument/2006/relationships/hyperlink" Target="https://youtu.be/Cm5YKvPwH68" TargetMode="External"/><Relationship Id="rId4001" Type="http://schemas.openxmlformats.org/officeDocument/2006/relationships/hyperlink" Target="https://youtu.be/P9VWSfZRdZ8" TargetMode="External"/><Relationship Id="rId268" Type="http://schemas.openxmlformats.org/officeDocument/2006/relationships/hyperlink" Target="https://youtu.be/lF5I-rNolbY" TargetMode="External"/><Relationship Id="rId4004" Type="http://schemas.openxmlformats.org/officeDocument/2006/relationships/hyperlink" Target="https://youtu.be/2pdrTGGpy2s" TargetMode="External"/><Relationship Id="rId267" Type="http://schemas.openxmlformats.org/officeDocument/2006/relationships/hyperlink" Target="https://youtu.be/FF63DIA_80g" TargetMode="External"/><Relationship Id="rId4003" Type="http://schemas.openxmlformats.org/officeDocument/2006/relationships/hyperlink" Target="https://youtu.be/M0zcfBzYqS0" TargetMode="External"/><Relationship Id="rId266" Type="http://schemas.openxmlformats.org/officeDocument/2006/relationships/hyperlink" Target="https://youtu.be/616RKFgz2l8" TargetMode="External"/><Relationship Id="rId4006" Type="http://schemas.openxmlformats.org/officeDocument/2006/relationships/hyperlink" Target="https://youtu.be/7DKS_xqCH8A" TargetMode="External"/><Relationship Id="rId265" Type="http://schemas.openxmlformats.org/officeDocument/2006/relationships/hyperlink" Target="https://youtu.be/-8gR58RJ30E" TargetMode="External"/><Relationship Id="rId4005" Type="http://schemas.openxmlformats.org/officeDocument/2006/relationships/hyperlink" Target="https://youtu.be/XECoTk_c0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tBNhb-7Um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GeEHSpy7M" TargetMode="External"/><Relationship Id="rId286" Type="http://schemas.openxmlformats.org/officeDocument/2006/relationships/hyperlink" Target="https://youtu.be/wRQnzQfCIL8" TargetMode="External"/><Relationship Id="rId4022" Type="http://schemas.openxmlformats.org/officeDocument/2006/relationships/hyperlink" Target="https://youtu.be/y0NuMK8xHqg" TargetMode="External"/><Relationship Id="rId285" Type="http://schemas.openxmlformats.org/officeDocument/2006/relationships/hyperlink" Target="https://youtu.be/ZYySXtt1Uf4" TargetMode="External"/><Relationship Id="rId4021" Type="http://schemas.openxmlformats.org/officeDocument/2006/relationships/hyperlink" Target="https://youtu.be/v8KAMn60AmI" TargetMode="External"/><Relationship Id="rId284" Type="http://schemas.openxmlformats.org/officeDocument/2006/relationships/hyperlink" Target="https://youtu.be/REatB2dScPA" TargetMode="External"/><Relationship Id="rId4024" Type="http://schemas.openxmlformats.org/officeDocument/2006/relationships/hyperlink" Target="https://youtu.be/5DZ8BfAN4cI" TargetMode="External"/><Relationship Id="rId283" Type="http://schemas.openxmlformats.org/officeDocument/2006/relationships/hyperlink" Target="https://youtu.be/a46h4NnnmFE" TargetMode="External"/><Relationship Id="rId4023" Type="http://schemas.openxmlformats.org/officeDocument/2006/relationships/hyperlink" Target="https://youtu.be/wrHqU3R3n8s" TargetMode="External"/><Relationship Id="rId4026" Type="http://schemas.openxmlformats.org/officeDocument/2006/relationships/hyperlink" Target="https://youtu.be/SlWniPyjlmc" TargetMode="External"/><Relationship Id="rId289" Type="http://schemas.openxmlformats.org/officeDocument/2006/relationships/hyperlink" Target="https://youtu.be/7LBh_C4J5iY" TargetMode="External"/><Relationship Id="rId4025" Type="http://schemas.openxmlformats.org/officeDocument/2006/relationships/hyperlink" Target="https://youtu.be/5-gF0Swsi3g" TargetMode="External"/><Relationship Id="rId288" Type="http://schemas.openxmlformats.org/officeDocument/2006/relationships/hyperlink" Target="https://youtu.be/qK3aFC51SKo" TargetMode="External"/><Relationship Id="rId4028" Type="http://schemas.openxmlformats.org/officeDocument/2006/relationships/hyperlink" Target="https://youtu.be/4rPxyleozvM" TargetMode="External"/><Relationship Id="rId287" Type="http://schemas.openxmlformats.org/officeDocument/2006/relationships/hyperlink" Target="https://youtu.be/diJARAvgurA" TargetMode="External"/><Relationship Id="rId4027" Type="http://schemas.openxmlformats.org/officeDocument/2006/relationships/hyperlink" Target="https://youtu.be/4MSMADxISLE" TargetMode="External"/><Relationship Id="rId4019" Type="http://schemas.openxmlformats.org/officeDocument/2006/relationships/hyperlink" Target="https://youtu.be/RqUNHa6gnVg" TargetMode="External"/><Relationship Id="rId4018" Type="http://schemas.openxmlformats.org/officeDocument/2006/relationships/hyperlink" Target="https://youtu.be/YkHffV7svT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UNx_t8T6EY" TargetMode="External"/><Relationship Id="rId274" Type="http://schemas.openxmlformats.org/officeDocument/2006/relationships/hyperlink" Target="https://youtu.be/KEPDHGq7JW4" TargetMode="External"/><Relationship Id="rId4010" Type="http://schemas.openxmlformats.org/officeDocument/2006/relationships/hyperlink" Target="https://youtu.be/HZezdHtroIM" TargetMode="External"/><Relationship Id="rId273" Type="http://schemas.openxmlformats.org/officeDocument/2006/relationships/hyperlink" Target="https://youtu.be/gnK5yFupTaI" TargetMode="External"/><Relationship Id="rId4013" Type="http://schemas.openxmlformats.org/officeDocument/2006/relationships/hyperlink" Target="https://youtu.be/D0Oc-Q4O40A"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638636950" TargetMode="External"/><Relationship Id="rId279" Type="http://schemas.openxmlformats.org/officeDocument/2006/relationships/hyperlink" Target="https://youtu.be/qZzAKqi_Pa8" TargetMode="External"/><Relationship Id="rId4015" Type="http://schemas.openxmlformats.org/officeDocument/2006/relationships/hyperlink" Target="https://youtu.be/X-ta1hc2wpQ" TargetMode="External"/><Relationship Id="rId278" Type="http://schemas.openxmlformats.org/officeDocument/2006/relationships/hyperlink" Target="https://youtu.be/Vmgl-339amU" TargetMode="External"/><Relationship Id="rId4014" Type="http://schemas.openxmlformats.org/officeDocument/2006/relationships/hyperlink" Target="https://youtu.be/BZgjhNOo-go" TargetMode="External"/><Relationship Id="rId277" Type="http://schemas.openxmlformats.org/officeDocument/2006/relationships/hyperlink" Target="https://youtu.be/Fzsesuu4JWs" TargetMode="External"/><Relationship Id="rId4017" Type="http://schemas.openxmlformats.org/officeDocument/2006/relationships/hyperlink" Target="https://youtu.be/CfDEkDG5HFI" TargetMode="External"/><Relationship Id="rId276" Type="http://schemas.openxmlformats.org/officeDocument/2006/relationships/hyperlink" Target="https://youtu.be/vUHRRCpQoEw" TargetMode="External"/><Relationship Id="rId4016" Type="http://schemas.openxmlformats.org/officeDocument/2006/relationships/hyperlink" Target="https://youtu.be/dOp5piQQYqg"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2cNmPluoiBc" TargetMode="External"/><Relationship Id="rId4082" Type="http://schemas.openxmlformats.org/officeDocument/2006/relationships/hyperlink" Target="https://youtu.be/P5TEGCkaQoo" TargetMode="External"/><Relationship Id="rId4081" Type="http://schemas.openxmlformats.org/officeDocument/2006/relationships/hyperlink" Target="https://youtu.be/jnh_-mWwvac" TargetMode="External"/><Relationship Id="rId4084" Type="http://schemas.openxmlformats.org/officeDocument/2006/relationships/hyperlink" Target="https://youtu.be/c5ivIu3KTNc" TargetMode="External"/><Relationship Id="rId4083" Type="http://schemas.openxmlformats.org/officeDocument/2006/relationships/hyperlink" Target="https://youtu.be/q-a2kRPjabE" TargetMode="External"/><Relationship Id="rId4086" Type="http://schemas.openxmlformats.org/officeDocument/2006/relationships/hyperlink" Target="https://youtu.be/103Y3OMf0aQ" TargetMode="External"/><Relationship Id="rId4085" Type="http://schemas.openxmlformats.org/officeDocument/2006/relationships/hyperlink" Target="https://youtu.be/XAu3Fm_KLtA" TargetMode="External"/><Relationship Id="rId4088" Type="http://schemas.openxmlformats.org/officeDocument/2006/relationships/hyperlink" Target="https://youtu.be/rOU7bKPl8eQ" TargetMode="External"/><Relationship Id="rId4087" Type="http://schemas.openxmlformats.org/officeDocument/2006/relationships/hyperlink" Target="https://youtu.be/jGlEU5DpyVo" TargetMode="External"/><Relationship Id="rId4089" Type="http://schemas.openxmlformats.org/officeDocument/2006/relationships/hyperlink" Target="https://youtu.be/JIDZVaiH1Zw"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SQvsTexitFw" TargetMode="External"/><Relationship Id="rId4070" Type="http://schemas.openxmlformats.org/officeDocument/2006/relationships/hyperlink" Target="https://www.twitch.tv/fluddkoopa64/clip/PatientStrangeBoarStrawBeary-Uwwgrsfcw-IkJ_JF" TargetMode="External"/><Relationship Id="rId4073" Type="http://schemas.openxmlformats.org/officeDocument/2006/relationships/hyperlink" Target="https://youtu.be/htKV7SAmVTg" TargetMode="External"/><Relationship Id="rId4072" Type="http://schemas.openxmlformats.org/officeDocument/2006/relationships/hyperlink" Target="https://youtu.be/YjQgb8rNVNE" TargetMode="External"/><Relationship Id="rId4075" Type="http://schemas.openxmlformats.org/officeDocument/2006/relationships/hyperlink" Target="https://youtu.be/3irK5q5_xDA" TargetMode="External"/><Relationship Id="rId4074" Type="http://schemas.openxmlformats.org/officeDocument/2006/relationships/hyperlink" Target="https://youtu.be/-qhwA36z0Tg" TargetMode="External"/><Relationship Id="rId4077" Type="http://schemas.openxmlformats.org/officeDocument/2006/relationships/hyperlink" Target="https://youtu.be/pWR1aBoKX_k" TargetMode="External"/><Relationship Id="rId4076" Type="http://schemas.openxmlformats.org/officeDocument/2006/relationships/hyperlink" Target="https://youtu.be/SJLwy4WdsQw" TargetMode="External"/><Relationship Id="rId4079" Type="http://schemas.openxmlformats.org/officeDocument/2006/relationships/hyperlink" Target="https://youtu.be/-fI8sHQdy14" TargetMode="External"/><Relationship Id="rId4078" Type="http://schemas.openxmlformats.org/officeDocument/2006/relationships/hyperlink" Target="https://youtu.be/XhH95jrBA9Y"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nNwMb86Q1ZU" TargetMode="External"/><Relationship Id="rId4090" Type="http://schemas.openxmlformats.org/officeDocument/2006/relationships/hyperlink" Target="https://youtu.be/0R6LxUQfWiE" TargetMode="External"/><Relationship Id="rId4093" Type="http://schemas.openxmlformats.org/officeDocument/2006/relationships/hyperlink" Target="https://youtu.be/31NvcqsVwNs" TargetMode="External"/><Relationship Id="rId4092" Type="http://schemas.openxmlformats.org/officeDocument/2006/relationships/hyperlink" Target="https://youtu.be/98SGO8vM21Y" TargetMode="External"/><Relationship Id="rId4095" Type="http://schemas.openxmlformats.org/officeDocument/2006/relationships/hyperlink" Target="https://youtu.be/_nkkxtlbZKM" TargetMode="External"/><Relationship Id="rId4094" Type="http://schemas.openxmlformats.org/officeDocument/2006/relationships/hyperlink" Target="https://youtu.be/tYqUmqW3sac" TargetMode="External"/><Relationship Id="rId4097" Type="http://schemas.openxmlformats.org/officeDocument/2006/relationships/hyperlink" Target="https://youtu.be/m5m6TRv0iY0" TargetMode="External"/><Relationship Id="rId4096" Type="http://schemas.openxmlformats.org/officeDocument/2006/relationships/hyperlink" Target="https://youtu.be/xEAVWZHWu9I" TargetMode="External"/><Relationship Id="rId4099" Type="http://schemas.openxmlformats.org/officeDocument/2006/relationships/hyperlink" Target="https://youtu.be/PfEDbHEzpoM" TargetMode="External"/><Relationship Id="rId4098" Type="http://schemas.openxmlformats.org/officeDocument/2006/relationships/hyperlink" Target="https://youtu.be/2TWqv26IzoI"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V5dg32r_sOg" TargetMode="External"/><Relationship Id="rId4106" Type="http://schemas.openxmlformats.org/officeDocument/2006/relationships/hyperlink" Target="https://youtu.be/FYglbuzFuu4" TargetMode="External"/><Relationship Id="rId4109" Type="http://schemas.openxmlformats.org/officeDocument/2006/relationships/hyperlink" Target="https://www.youtube.com/watch?v=nZYcDtlRvM8" TargetMode="External"/><Relationship Id="rId4108" Type="http://schemas.openxmlformats.org/officeDocument/2006/relationships/hyperlink" Target="https://youtu.be/RYYp3oKODs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uKJi0DIKtBY"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e5e1Gop828s"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nTGmFqWJRyw"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cSFHM05liOE"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bIGrU1syHDY" TargetMode="External"/><Relationship Id="rId243" Type="http://schemas.openxmlformats.org/officeDocument/2006/relationships/hyperlink" Target="https://youtu.be/RH7uttowc1U" TargetMode="External"/><Relationship Id="rId4104" Type="http://schemas.openxmlformats.org/officeDocument/2006/relationships/hyperlink" Target="https://youtu.be/MRWKcNQGTv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LzAbYz22Xts" TargetMode="External"/><Relationship Id="rId4160" Type="http://schemas.openxmlformats.org/officeDocument/2006/relationships/hyperlink" Target="https://www.youtube.com/watch?v=Z4k7OhEvtNM" TargetMode="External"/><Relationship Id="rId4163" Type="http://schemas.openxmlformats.org/officeDocument/2006/relationships/hyperlink" Target="https://twitter.com/zelpikukirby/status/1295234878305271808" TargetMode="External"/><Relationship Id="rId4162" Type="http://schemas.openxmlformats.org/officeDocument/2006/relationships/hyperlink" Target="https://www.twitch.tv/inkstar/clip/SuccessfulCoweringLorisMcaT-fHzSu78G4Jp8x1Io" TargetMode="External"/><Relationship Id="rId4165" Type="http://schemas.openxmlformats.org/officeDocument/2006/relationships/hyperlink" Target="https://clips.twitch.tv/FantasticHumbleNuggetsAMPTropPunch-8vOucFusTrXlS3mn" TargetMode="External"/><Relationship Id="rId4164" Type="http://schemas.openxmlformats.org/officeDocument/2006/relationships/hyperlink" Target="https://youtu.be/7fwDH3Vvugs" TargetMode="External"/><Relationship Id="rId4167" Type="http://schemas.openxmlformats.org/officeDocument/2006/relationships/hyperlink" Target="https://www.youtube.com/watch?v=SrUwkGFzCEE" TargetMode="External"/><Relationship Id="rId4166" Type="http://schemas.openxmlformats.org/officeDocument/2006/relationships/hyperlink" Target="https://www.youtube.com/watch?v=xMqUb5dUiZM" TargetMode="External"/><Relationship Id="rId4169" Type="http://schemas.openxmlformats.org/officeDocument/2006/relationships/hyperlink" Target="https://www.youtube.com/watch?v=6Nt3IRc9yTw" TargetMode="External"/><Relationship Id="rId4168" Type="http://schemas.openxmlformats.org/officeDocument/2006/relationships/hyperlink" Target="https://www.youtube.com/watch?v=VdsKTXs-UTY" TargetMode="External"/><Relationship Id="rId4150" Type="http://schemas.openxmlformats.org/officeDocument/2006/relationships/hyperlink" Target="https://youtu.be/7o-futAzycw" TargetMode="External"/><Relationship Id="rId4152" Type="http://schemas.openxmlformats.org/officeDocument/2006/relationships/hyperlink" Target="https://www.youtube.com/watch?v=HPXO9760duU&amp;" TargetMode="External"/><Relationship Id="rId4151" Type="http://schemas.openxmlformats.org/officeDocument/2006/relationships/hyperlink" Target="https://www.youtube.com/watch?v=m-e9xTt4F-I" TargetMode="External"/><Relationship Id="rId4154" Type="http://schemas.openxmlformats.org/officeDocument/2006/relationships/hyperlink" Target="https://www.youtube.com/watch?v=PCcI6CIPGqk" TargetMode="External"/><Relationship Id="rId4153" Type="http://schemas.openxmlformats.org/officeDocument/2006/relationships/hyperlink" Target="https://www.youtube.com/watch?v=R4IxK2k5dl0&amp;" TargetMode="External"/><Relationship Id="rId4156" Type="http://schemas.openxmlformats.org/officeDocument/2006/relationships/hyperlink" Target="https://www.youtube.com/watch?v=oO5-I1f_Syo" TargetMode="External"/><Relationship Id="rId4155" Type="http://schemas.openxmlformats.org/officeDocument/2006/relationships/hyperlink" Target="https://www.youtube.com/watch?v=xWCGegw2YqQ" TargetMode="External"/><Relationship Id="rId4158" Type="http://schemas.openxmlformats.org/officeDocument/2006/relationships/hyperlink" Target="https://youtu.be/Bg5NdxwizTY" TargetMode="External"/><Relationship Id="rId4157" Type="http://schemas.openxmlformats.org/officeDocument/2006/relationships/hyperlink" Target="https://youtu.be/1HDBaMUS5Dw" TargetMode="External"/><Relationship Id="rId4159" Type="http://schemas.openxmlformats.org/officeDocument/2006/relationships/hyperlink" Target="https://www.youtube.com/watch?v=Jf9z2eakT9A"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Qmg_xLCSSbA" TargetMode="External"/><Relationship Id="rId4180" Type="http://schemas.openxmlformats.org/officeDocument/2006/relationships/hyperlink" Target="https://www.youtube.com/watch?v=gRryQt-bhAg" TargetMode="External"/><Relationship Id="rId4183" Type="http://schemas.openxmlformats.org/officeDocument/2006/relationships/drawing" Target="../drawings/drawing2.xml"/><Relationship Id="rId4182" Type="http://schemas.openxmlformats.org/officeDocument/2006/relationships/hyperlink" Target="https://www.youtube.com/watch?v=YxaJDqTfNGk" TargetMode="External"/><Relationship Id="rId4184" Type="http://schemas.openxmlformats.org/officeDocument/2006/relationships/vmlDrawing" Target="../drawings/vmlDrawing1.vml"/><Relationship Id="rId4189" Type="http://schemas.openxmlformats.org/officeDocument/2006/relationships/table" Target="../tables/table2.xml"/><Relationship Id="rId4188" Type="http://schemas.openxmlformats.org/officeDocument/2006/relationships/table" Target="../tables/table1.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L4jVt_16yUg" TargetMode="External"/><Relationship Id="rId4172" Type="http://schemas.openxmlformats.org/officeDocument/2006/relationships/hyperlink" Target="https://www.youtube.com/watch?v=OEN9ux8xfE4" TargetMode="External"/><Relationship Id="rId4171" Type="http://schemas.openxmlformats.org/officeDocument/2006/relationships/hyperlink" Target="https://www.youtube.com/watch?v=bLwqganoodE" TargetMode="External"/><Relationship Id="rId4174" Type="http://schemas.openxmlformats.org/officeDocument/2006/relationships/hyperlink" Target="https://www.youtube.com/watch?v=zuhk9lBcLvg" TargetMode="External"/><Relationship Id="rId4173" Type="http://schemas.openxmlformats.org/officeDocument/2006/relationships/hyperlink" Target="https://www.twitch.tv/videos/1841251739" TargetMode="External"/><Relationship Id="rId4176" Type="http://schemas.openxmlformats.org/officeDocument/2006/relationships/hyperlink" Target="https://www.youtube.com/watch?v=laCHqyWs984" TargetMode="External"/><Relationship Id="rId4175" Type="http://schemas.openxmlformats.org/officeDocument/2006/relationships/hyperlink" Target="https://www.youtube.com/watch?v=DxeBCVnAtNQ" TargetMode="External"/><Relationship Id="rId4178" Type="http://schemas.openxmlformats.org/officeDocument/2006/relationships/hyperlink" Target="https://youtu.be/caU8VP9BHrg?t=18" TargetMode="External"/><Relationship Id="rId4177" Type="http://schemas.openxmlformats.org/officeDocument/2006/relationships/hyperlink" Target="https://www.youtube.com/watch?v=caU8VP9BHrg" TargetMode="External"/><Relationship Id="rId4179" Type="http://schemas.openxmlformats.org/officeDocument/2006/relationships/hyperlink" Target="https://youtu.be/caU8VP9BHrg?t=34" TargetMode="External"/><Relationship Id="rId4129" Type="http://schemas.openxmlformats.org/officeDocument/2006/relationships/hyperlink" Target="https://youtu.be/977azXiemrc" TargetMode="External"/><Relationship Id="rId4128" Type="http://schemas.openxmlformats.org/officeDocument/2006/relationships/hyperlink" Target="https://youtu.be/t3uoOJoYOR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yZc7PHqxROY" TargetMode="External"/><Relationship Id="rId1096" Type="http://schemas.openxmlformats.org/officeDocument/2006/relationships/hyperlink" Target="https://youtu.be/1LBTYgtLjeE" TargetMode="External"/><Relationship Id="rId4120" Type="http://schemas.openxmlformats.org/officeDocument/2006/relationships/hyperlink" Target="https://youtu.be/q-NdD4rXL5M"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zXqDdDpJsaY"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d8E5eorTcc&amp;feature=youtu.be" TargetMode="External"/><Relationship Id="rId1099" Type="http://schemas.openxmlformats.org/officeDocument/2006/relationships/hyperlink" Target="https://youtu.be/Yy0mfSyx8LY" TargetMode="External"/><Relationship Id="rId4125" Type="http://schemas.openxmlformats.org/officeDocument/2006/relationships/hyperlink" Target="https://youtu.be/LR7-pLYq8ms" TargetMode="External"/><Relationship Id="rId4124" Type="http://schemas.openxmlformats.org/officeDocument/2006/relationships/hyperlink" Target="https://youtu.be/iZi92oX7OFc" TargetMode="External"/><Relationship Id="rId4127" Type="http://schemas.openxmlformats.org/officeDocument/2006/relationships/hyperlink" Target="https://youtu.be/ggc-FSw1An0" TargetMode="External"/><Relationship Id="rId4126" Type="http://schemas.openxmlformats.org/officeDocument/2006/relationships/hyperlink" Target="https://www.youtube.com/watch?v=4txGCrw2IKU&amp;feature=youtu.be" TargetMode="External"/><Relationship Id="rId4118" Type="http://schemas.openxmlformats.org/officeDocument/2006/relationships/hyperlink" Target="https://youtu.be/27CxZIOvcHM" TargetMode="External"/><Relationship Id="rId4117" Type="http://schemas.openxmlformats.org/officeDocument/2006/relationships/hyperlink" Target="https://www.youtube.com/watch?v=YKJ05njeDNs" TargetMode="External"/><Relationship Id="rId4119" Type="http://schemas.openxmlformats.org/officeDocument/2006/relationships/hyperlink" Target="https://youtu.be/AwP6a85z6T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314rWkYHf6A"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1xe-zs2KVf0" TargetMode="External"/><Relationship Id="rId1087" Type="http://schemas.openxmlformats.org/officeDocument/2006/relationships/hyperlink" Target="https://youtu.be/qELkaRf-Zfo" TargetMode="External"/><Relationship Id="rId4111" Type="http://schemas.openxmlformats.org/officeDocument/2006/relationships/hyperlink" Target="https://youtu.be/kySJxVHeP0U" TargetMode="External"/><Relationship Id="rId1088" Type="http://schemas.openxmlformats.org/officeDocument/2006/relationships/hyperlink" Target="https://youtu.be/MPcrorKQC-8" TargetMode="External"/><Relationship Id="rId4114" Type="http://schemas.openxmlformats.org/officeDocument/2006/relationships/hyperlink" Target="https://youtu.be/A8KjkBjUfOk" TargetMode="External"/><Relationship Id="rId1089" Type="http://schemas.openxmlformats.org/officeDocument/2006/relationships/hyperlink" Target="https://youtu.be/cu8fWVk7H0Q" TargetMode="External"/><Relationship Id="rId4113" Type="http://schemas.openxmlformats.org/officeDocument/2006/relationships/hyperlink" Target="https://youtu.be/3TQw0AW_aJU" TargetMode="External"/><Relationship Id="rId4116" Type="http://schemas.openxmlformats.org/officeDocument/2006/relationships/hyperlink" Target="https://www.youtube.com/watch?v=nFAborGQoIQ" TargetMode="External"/><Relationship Id="rId4115" Type="http://schemas.openxmlformats.org/officeDocument/2006/relationships/hyperlink" Target="https://youtu.be/vRD_ott4DpA" TargetMode="External"/><Relationship Id="rId4141" Type="http://schemas.openxmlformats.org/officeDocument/2006/relationships/hyperlink" Target="https://youtu.be/bGDn8Xgn3_4" TargetMode="External"/><Relationship Id="rId4140" Type="http://schemas.openxmlformats.org/officeDocument/2006/relationships/hyperlink" Target="https://www.twitch.tv/videos/856216849" TargetMode="External"/><Relationship Id="rId4143" Type="http://schemas.openxmlformats.org/officeDocument/2006/relationships/hyperlink" Target="https://youtu.be/Jnv7ihiQs6o?si=p089VCWihnt2eD8h" TargetMode="External"/><Relationship Id="rId4142" Type="http://schemas.openxmlformats.org/officeDocument/2006/relationships/hyperlink" Target="https://www.youtube.com/watch?v=YgcVpECSav8" TargetMode="External"/><Relationship Id="rId4145" Type="http://schemas.openxmlformats.org/officeDocument/2006/relationships/hyperlink" Target="https://youtu.be/m3di6ACAgl4" TargetMode="External"/><Relationship Id="rId4144" Type="http://schemas.openxmlformats.org/officeDocument/2006/relationships/hyperlink" Target="https://www.youtube.com/watch?v=DFSFi_y42_4" TargetMode="External"/><Relationship Id="rId4147" Type="http://schemas.openxmlformats.org/officeDocument/2006/relationships/hyperlink" Target="https://clips.twitch.tv/BoredGrossSageResidentSleeper-RoadRockbjIdqeRh" TargetMode="External"/><Relationship Id="rId4146" Type="http://schemas.openxmlformats.org/officeDocument/2006/relationships/hyperlink" Target="https://www.twitch.tv/weird__th/clip/TacitCheerfulApeANELE-du21r-ixc_DVvlUi" TargetMode="External"/><Relationship Id="rId4149" Type="http://schemas.openxmlformats.org/officeDocument/2006/relationships/hyperlink" Target="https://youtu.be/hOM8hYJojHg" TargetMode="External"/><Relationship Id="rId4148" Type="http://schemas.openxmlformats.org/officeDocument/2006/relationships/hyperlink" Target="https://www.youtube.com/watch?v=JVJuFsqyJ7Q" TargetMode="External"/><Relationship Id="rId4139" Type="http://schemas.openxmlformats.org/officeDocument/2006/relationships/hyperlink" Target="https://www.twitch.tv/videos/924471122" TargetMode="External"/><Relationship Id="rId4130" Type="http://schemas.openxmlformats.org/officeDocument/2006/relationships/hyperlink" Target="https://youtu.be/DJfG3FzltfU" TargetMode="External"/><Relationship Id="rId4132" Type="http://schemas.openxmlformats.org/officeDocument/2006/relationships/hyperlink" Target="https://www.youtube.com/watch?v=k-c9j9gTfWI" TargetMode="External"/><Relationship Id="rId4131" Type="http://schemas.openxmlformats.org/officeDocument/2006/relationships/hyperlink" Target="https://www.youtube.com/watch?v=-VZeV5aR2Gc" TargetMode="External"/><Relationship Id="rId4134" Type="http://schemas.openxmlformats.org/officeDocument/2006/relationships/hyperlink" Target="https://www.youtube.com/watch?v=ABGOgReoYkg" TargetMode="External"/><Relationship Id="rId4133" Type="http://schemas.openxmlformats.org/officeDocument/2006/relationships/hyperlink" Target="https://www.youtube.com/watch?v=f17gzDXlYEI" TargetMode="External"/><Relationship Id="rId4136" Type="http://schemas.openxmlformats.org/officeDocument/2006/relationships/hyperlink" Target="https://www.youtube.com/watch?v=LvIg-evunV8" TargetMode="External"/><Relationship Id="rId4135" Type="http://schemas.openxmlformats.org/officeDocument/2006/relationships/hyperlink" Target="https://www.youtube.com/watch?v=gzUXXtTt4nU" TargetMode="External"/><Relationship Id="rId4138" Type="http://schemas.openxmlformats.org/officeDocument/2006/relationships/hyperlink" Target="https://www.youtube.com/watch?v=qXYDyZM1szs" TargetMode="External"/><Relationship Id="rId4137" Type="http://schemas.openxmlformats.org/officeDocument/2006/relationships/hyperlink" Target="https://www.youtube.com/watch?v=djpYdinwdWs"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JsuKK_e0gN4"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LxCr_8S1PC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hxqKuvCqz6o"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OKO9wIkM7as"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b-wHqbQ15ZY"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clips.twitch.tv/CrepuscularScrumptiousOtterTakeNRG-cxJP968a0d4wce-J"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1935019822"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C3t3t5u6CdY"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twitch.tv/videos/2138466749"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7ewxs-J8-IA"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PXAYZ7142aY"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TRXerkU9S-Q"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DNEOspNb5ak"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b_-cHYo4eE8"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25AeESPcxzg"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WealthyIcyNeanderthalFreakinStinki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FilthyTalentedQuailStinkyCheese"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RefinedSmallBobaOhMyDog"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SassyBeautifulShrewSMOr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1GMC0eWiwM"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y0EVsg_YNQ"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SjGJSNNiG7c"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clips.twitch.tv/BoldDaintyHamburgerDoggo-HwljQ6lnz6OyXn3N"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RichSpineyBubbleteaM4xHeh-fIFup2DAWZcRVyHK"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Ha1CEnqV7r0"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TenuousPiercingMageGOWSkull-kGLgwfGlf3oOKCj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ILDpiFkyUg"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IkLea14rpLY"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Kmsg5bdlTP0"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Sm6zF3jKCd8"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vY3gE6o3eU"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TameFaintBottleYee-IEkbSrtMvnFQwhHW"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oweringAffluentGazelleMVGame-2lym0QMvFNPpiY48"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_h-Y9PTQCtQ"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zo70nuD-XLk"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nappyPoorZebraTwitchRaid"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TrustworthyBoldFishGivePLZ-Po2fD7at-sek261_"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885940624"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TenderUninterestedBisonEleGiggle-mdGTz9P-vvJ_SomS"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ViscousRepleteGoldfishPanicBasket-YqdRyFXSK23tLcD3"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EncouragingSecretiveLlamaDoggo-bwQ_C8eP-5aDg2tv"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FriendlyAffluentTofuYouWHY-UP1xCokl0WqaQm4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www.twitch.tv/videos/95740945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ClumsyCrepuscularPlumageNerfBlueBlaster-heP3VC5LrNVyumjo"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ViscousBloodyCheeseSpicyBoy"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www.twitch.tv/videos/1815831888"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youtu.be/fVvehheK9_Q?si=JCqDHGURTBuXBpo6"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HyperDaintyShallotCoolCat-ndROv_i6E4CKkm7N"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64132423"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lGpzbfDV7ps?si=nLRSH2YZSKc9zTVw"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RtlEfGBLHmo"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U69TxGBhuZk"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z6Uwjc_hKd4?si=7NzvT-tHwIvdinS5"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3932467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qleQ6WuOGHQ"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Dn0dR839pg" TargetMode="External"/><Relationship Id="rId3812" Type="http://schemas.openxmlformats.org/officeDocument/2006/relationships/hyperlink" Target="https://youtu.be/RivQW7e81Io" TargetMode="External"/><Relationship Id="rId3811" Type="http://schemas.openxmlformats.org/officeDocument/2006/relationships/hyperlink" Target="https://youtu.be/3OXvQRgiDNk" TargetMode="External"/><Relationship Id="rId3814" Type="http://schemas.openxmlformats.org/officeDocument/2006/relationships/hyperlink" Target="https://youtu.be/qN34iZMymLw" TargetMode="External"/><Relationship Id="rId3813" Type="http://schemas.openxmlformats.org/officeDocument/2006/relationships/hyperlink" Target="https://youtu.be/DuVyWFjd-2A" TargetMode="External"/><Relationship Id="rId3816" Type="http://schemas.openxmlformats.org/officeDocument/2006/relationships/hyperlink" Target="https://youtu.be/KYZNySrslfk" TargetMode="External"/><Relationship Id="rId3815" Type="http://schemas.openxmlformats.org/officeDocument/2006/relationships/hyperlink" Target="https://youtu.be/DEaYD0fWcsg" TargetMode="External"/><Relationship Id="rId3818" Type="http://schemas.openxmlformats.org/officeDocument/2006/relationships/hyperlink" Target="https://youtu.be/ioQ_htK8yrE" TargetMode="External"/><Relationship Id="rId3817" Type="http://schemas.openxmlformats.org/officeDocument/2006/relationships/hyperlink" Target="https://www.youtube.com/watch?v=KYZNySrslfk" TargetMode="External"/><Relationship Id="rId3819" Type="http://schemas.openxmlformats.org/officeDocument/2006/relationships/hyperlink" Target="https://youtu.be/trYi0VCJE54" TargetMode="External"/><Relationship Id="rId3801" Type="http://schemas.openxmlformats.org/officeDocument/2006/relationships/hyperlink" Target="https://clips.twitch.tv/HomelyPlausibleFloofBCWarrior-sSytr9fCDheZ_hDo" TargetMode="External"/><Relationship Id="rId3800" Type="http://schemas.openxmlformats.org/officeDocument/2006/relationships/hyperlink" Target="https://clips.twitch.tv/SaltyCrispyIcecreamWoofer" TargetMode="External"/><Relationship Id="rId3803" Type="http://schemas.openxmlformats.org/officeDocument/2006/relationships/hyperlink" Target="https://clips.twitch.tv/TallDistinctAniseFrankerZ-3S4o-2k1o4GqXMhX" TargetMode="External"/><Relationship Id="rId3802" Type="http://schemas.openxmlformats.org/officeDocument/2006/relationships/hyperlink" Target="https://clips.twitch.tv/MoldyRelatedTrollBatChest-WcJP5jR_ykR-S_WD" TargetMode="External"/><Relationship Id="rId3805" Type="http://schemas.openxmlformats.org/officeDocument/2006/relationships/hyperlink" Target="https://www.twitch.tv/videos/681679858" TargetMode="External"/><Relationship Id="rId3804" Type="http://schemas.openxmlformats.org/officeDocument/2006/relationships/hyperlink" Target="https://www.twitch.tv/videos/681678115" TargetMode="External"/><Relationship Id="rId3807" Type="http://schemas.openxmlformats.org/officeDocument/2006/relationships/hyperlink" Target="https://youtu.be/WTSwJDjIKMg" TargetMode="External"/><Relationship Id="rId3806" Type="http://schemas.openxmlformats.org/officeDocument/2006/relationships/hyperlink" Target="https://www.twitch.tv/videos/681697534" TargetMode="External"/><Relationship Id="rId3809" Type="http://schemas.openxmlformats.org/officeDocument/2006/relationships/hyperlink" Target="https://youtu.be/aTWt7MaiD2c" TargetMode="External"/><Relationship Id="rId3808" Type="http://schemas.openxmlformats.org/officeDocument/2006/relationships/hyperlink" Target="https://youtu.be/LCSY9YY_piU"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5NFV4JlVEhg"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youtu.be/fNVSKf4AXP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zlsxUCl28VA"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RjXUBXs_PiQ"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NqCh1AR43cg" TargetMode="External"/><Relationship Id="rId1219" Type="http://schemas.openxmlformats.org/officeDocument/2006/relationships/hyperlink" Target="https://youtu.be/ib-P1DOL8Uo" TargetMode="External"/><Relationship Id="rId3870" Type="http://schemas.openxmlformats.org/officeDocument/2006/relationships/hyperlink" Target="https://youtu.be/HW54mM9GIV0"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clips.twitch.tv/ClearTangibleOryxOMGScoots-RUJeu6MdrRyS8XMp"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aI2boBx2eg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S2yDCubR2o4"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Df8m_IV4vrA"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www.youtube.com/watch?v=LLV-ujq1ytc"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twitch.tv/videos/923267417"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DependableWimpyPlumberNerfRedBlaster-l0N1ltNqN24DfqO-"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EmpathicBlitheMouseCclamChamp-vw9pV9yJ-0wMcIEx"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oDxj7CTWpxg"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clips.twitch.tv/BlindingWittySquidArsonNoSexy-an14cMVazpBQ8zTL"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Eb9BhmGD1ss" TargetMode="External"/><Relationship Id="rId2530" Type="http://schemas.openxmlformats.org/officeDocument/2006/relationships/hyperlink" Target="https://youtu.be/PBkkyzXz0vA" TargetMode="External"/><Relationship Id="rId3860" Type="http://schemas.openxmlformats.org/officeDocument/2006/relationships/hyperlink" Target="https://youtu.be/HF3rMsvgnpU"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BlTsOFlPgME"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youtu.be/Y2uUOIFXt-k"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Oc0mzisGZgM"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qKz5kBAucjo"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5awgm4vADLQ"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7ZgVTZnK5E"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L3JP_GvYE7c"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is_vY-Grcv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S2-pKof3dr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69ic33AvIaQ"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gs6T_sN1V7s"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UbE6nG94rbc"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0cqSvG8RrC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q-qecF2b-PI"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nggxOuqniq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P1zYoS5W0-o"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ixBwATUne_8" TargetMode="External"/><Relationship Id="rId2550" Type="http://schemas.openxmlformats.org/officeDocument/2006/relationships/hyperlink" Target="https://youtu.be/CA9si0gN3zQ" TargetMode="External"/><Relationship Id="rId3880" Type="http://schemas.openxmlformats.org/officeDocument/2006/relationships/hyperlink" Target="https://youtu.be/74H20Y0ruuk"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Fwi1P8hhbEM"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Cr_xP8bgJec"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79vpdi3lud8"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u-0TbF-x-ys" TargetMode="External"/><Relationship Id="rId2500" Type="http://schemas.openxmlformats.org/officeDocument/2006/relationships/hyperlink" Target="https://youtu.be/RUgqny8h0sQ" TargetMode="External"/><Relationship Id="rId3832" Type="http://schemas.openxmlformats.org/officeDocument/2006/relationships/hyperlink" Target="https://youtu.be/0Hwip54es7g" TargetMode="External"/><Relationship Id="rId2501" Type="http://schemas.openxmlformats.org/officeDocument/2006/relationships/hyperlink" Target="https://youtu.be/9-4Sx88Rrlk" TargetMode="External"/><Relationship Id="rId3831" Type="http://schemas.openxmlformats.org/officeDocument/2006/relationships/hyperlink" Target="https://youtu.be/hn7ID9ScAkc" TargetMode="External"/><Relationship Id="rId2502" Type="http://schemas.openxmlformats.org/officeDocument/2006/relationships/hyperlink" Target="https://youtu.be/qFyGDuNYB1Y" TargetMode="External"/><Relationship Id="rId3834" Type="http://schemas.openxmlformats.org/officeDocument/2006/relationships/hyperlink" Target="https://youtu.be/uaFcvYbESHM" TargetMode="External"/><Relationship Id="rId2503" Type="http://schemas.openxmlformats.org/officeDocument/2006/relationships/hyperlink" Target="https://youtu.be/VOb_HIsYMEk" TargetMode="External"/><Relationship Id="rId3833" Type="http://schemas.openxmlformats.org/officeDocument/2006/relationships/hyperlink" Target="https://youtu.be/SnliE5bQ-nc" TargetMode="External"/><Relationship Id="rId2504" Type="http://schemas.openxmlformats.org/officeDocument/2006/relationships/hyperlink" Target="https://youtu.be/NOWSgC9zUaw" TargetMode="External"/><Relationship Id="rId3836" Type="http://schemas.openxmlformats.org/officeDocument/2006/relationships/hyperlink" Target="https://youtu.be/I7pAJQ_6f3w" TargetMode="External"/><Relationship Id="rId2505" Type="http://schemas.openxmlformats.org/officeDocument/2006/relationships/hyperlink" Target="https://youtu.be/WVo87yYidJ4" TargetMode="External"/><Relationship Id="rId3835" Type="http://schemas.openxmlformats.org/officeDocument/2006/relationships/hyperlink" Target="https://youtu.be/e7lz1Qg2qTA" TargetMode="External"/><Relationship Id="rId2506" Type="http://schemas.openxmlformats.org/officeDocument/2006/relationships/hyperlink" Target="https://youtu.be/eYfAbzNBvRM" TargetMode="External"/><Relationship Id="rId3838" Type="http://schemas.openxmlformats.org/officeDocument/2006/relationships/hyperlink" Target="https://youtu.be/YCBN8O8dVJU" TargetMode="External"/><Relationship Id="rId2507" Type="http://schemas.openxmlformats.org/officeDocument/2006/relationships/hyperlink" Target="https://youtu.be/CINddbETCxQ" TargetMode="External"/><Relationship Id="rId3837" Type="http://schemas.openxmlformats.org/officeDocument/2006/relationships/hyperlink" Target="https://youtu.be/Tha7_fjkWI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qCLfhQAaJoM%5C" TargetMode="External"/><Relationship Id="rId3830" Type="http://schemas.openxmlformats.org/officeDocument/2006/relationships/hyperlink" Target="https://youtu.be/fd6_7meeF5M" TargetMode="External"/><Relationship Id="rId3821" Type="http://schemas.openxmlformats.org/officeDocument/2006/relationships/hyperlink" Target="https://youtu.be/qZ1Z4KmwZG0" TargetMode="External"/><Relationship Id="rId3820" Type="http://schemas.openxmlformats.org/officeDocument/2006/relationships/hyperlink" Target="https://youtu.be/EBZnsD_7Mz8" TargetMode="External"/><Relationship Id="rId3823" Type="http://schemas.openxmlformats.org/officeDocument/2006/relationships/hyperlink" Target="https://youtu.be/ptAIiXvgE8E" TargetMode="External"/><Relationship Id="rId3822" Type="http://schemas.openxmlformats.org/officeDocument/2006/relationships/hyperlink" Target="https://youtu.be/bb7FpVYgK9M" TargetMode="External"/><Relationship Id="rId3825" Type="http://schemas.openxmlformats.org/officeDocument/2006/relationships/hyperlink" Target="https://youtu.be/JJ_VC6uEsxc" TargetMode="External"/><Relationship Id="rId3824" Type="http://schemas.openxmlformats.org/officeDocument/2006/relationships/hyperlink" Target="https://youtu.be/5zXuiTlBoU0" TargetMode="External"/><Relationship Id="rId3827" Type="http://schemas.openxmlformats.org/officeDocument/2006/relationships/hyperlink" Target="https://youtu.be/q8XoC6L5V3Y" TargetMode="External"/><Relationship Id="rId3826" Type="http://schemas.openxmlformats.org/officeDocument/2006/relationships/hyperlink" Target="https://youtu.be/7PeU1iWA2ro" TargetMode="External"/><Relationship Id="rId3829" Type="http://schemas.openxmlformats.org/officeDocument/2006/relationships/hyperlink" Target="https://youtu.be/l-J95YPF38s" TargetMode="External"/><Relationship Id="rId3828" Type="http://schemas.openxmlformats.org/officeDocument/2006/relationships/hyperlink" Target="https://youtu.be/TAwydb697hQ"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4YT0gKWYQ7I" TargetMode="External"/><Relationship Id="rId2523" Type="http://schemas.openxmlformats.org/officeDocument/2006/relationships/hyperlink" Target="https://youtu.be/7BFRkUtZva4" TargetMode="External"/><Relationship Id="rId3853" Type="http://schemas.openxmlformats.org/officeDocument/2006/relationships/hyperlink" Target="https://youtu.be/Xkor6JcyZu0" TargetMode="External"/><Relationship Id="rId2524" Type="http://schemas.openxmlformats.org/officeDocument/2006/relationships/hyperlink" Target="https://youtu.be/pr-HbxWOWKM" TargetMode="External"/><Relationship Id="rId3856" Type="http://schemas.openxmlformats.org/officeDocument/2006/relationships/hyperlink" Target="https://youtu.be/PriW-YP0H10" TargetMode="External"/><Relationship Id="rId2525" Type="http://schemas.openxmlformats.org/officeDocument/2006/relationships/hyperlink" Target="https://youtu.be/uzlELasL6rs" TargetMode="External"/><Relationship Id="rId3855" Type="http://schemas.openxmlformats.org/officeDocument/2006/relationships/hyperlink" Target="https://youtu.be/9hqIgI8IbP4" TargetMode="External"/><Relationship Id="rId2526" Type="http://schemas.openxmlformats.org/officeDocument/2006/relationships/hyperlink" Target="https://youtu.be/C8NGezkLAlk" TargetMode="External"/><Relationship Id="rId3858" Type="http://schemas.openxmlformats.org/officeDocument/2006/relationships/hyperlink" Target="https://youtu.be/5XoJ7OWgZcY" TargetMode="External"/><Relationship Id="rId2527" Type="http://schemas.openxmlformats.org/officeDocument/2006/relationships/hyperlink" Target="https://youtu.be/mXYEUsXV4vA" TargetMode="External"/><Relationship Id="rId3857" Type="http://schemas.openxmlformats.org/officeDocument/2006/relationships/hyperlink" Target="https://youtu.be/8bbcpUEnYm8"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g46wtxXYhtM" TargetMode="External"/><Relationship Id="rId3850" Type="http://schemas.openxmlformats.org/officeDocument/2006/relationships/hyperlink" Target="https://youtu.be/3pAUOrxc8XE"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rGwUTVf4_e4" TargetMode="External"/><Relationship Id="rId2521" Type="http://schemas.openxmlformats.org/officeDocument/2006/relationships/hyperlink" Target="https://youtu.be/tUVOVRxFAm4" TargetMode="External"/><Relationship Id="rId3851" Type="http://schemas.openxmlformats.org/officeDocument/2006/relationships/hyperlink" Target="https://youtu.be/-gpVMjuSwok" TargetMode="External"/><Relationship Id="rId2511" Type="http://schemas.openxmlformats.org/officeDocument/2006/relationships/hyperlink" Target="https://youtu.be/3tyzNFoalX8" TargetMode="External"/><Relationship Id="rId3843" Type="http://schemas.openxmlformats.org/officeDocument/2006/relationships/hyperlink" Target="https://youtu.be/9s0LXHFNAp4" TargetMode="External"/><Relationship Id="rId2512" Type="http://schemas.openxmlformats.org/officeDocument/2006/relationships/hyperlink" Target="https://youtu.be/OVLOMgv4lHM" TargetMode="External"/><Relationship Id="rId3842" Type="http://schemas.openxmlformats.org/officeDocument/2006/relationships/hyperlink" Target="https://youtu.be/j5XqeKoIu_Q" TargetMode="External"/><Relationship Id="rId2513" Type="http://schemas.openxmlformats.org/officeDocument/2006/relationships/hyperlink" Target="https://youtu.be/S8E5TXAF_Fg" TargetMode="External"/><Relationship Id="rId3845" Type="http://schemas.openxmlformats.org/officeDocument/2006/relationships/hyperlink" Target="https://youtu.be/Kq6ei9mgLgA" TargetMode="External"/><Relationship Id="rId2514" Type="http://schemas.openxmlformats.org/officeDocument/2006/relationships/hyperlink" Target="https://youtu.be/vCWp4nv7kPM" TargetMode="External"/><Relationship Id="rId3844" Type="http://schemas.openxmlformats.org/officeDocument/2006/relationships/hyperlink" Target="https://youtu.be/lwHw8i-g_Po" TargetMode="External"/><Relationship Id="rId2515" Type="http://schemas.openxmlformats.org/officeDocument/2006/relationships/hyperlink" Target="https://youtu.be/yqMLlzyocdY" TargetMode="External"/><Relationship Id="rId3847" Type="http://schemas.openxmlformats.org/officeDocument/2006/relationships/hyperlink" Target="https://youtu.be/CLlr_Dz3qIU" TargetMode="External"/><Relationship Id="rId2516" Type="http://schemas.openxmlformats.org/officeDocument/2006/relationships/hyperlink" Target="https://youtu.be/qWe0hRuACd4" TargetMode="External"/><Relationship Id="rId3846" Type="http://schemas.openxmlformats.org/officeDocument/2006/relationships/hyperlink" Target="https://youtu.be/7ZJG2yy5hfo" TargetMode="External"/><Relationship Id="rId2517" Type="http://schemas.openxmlformats.org/officeDocument/2006/relationships/hyperlink" Target="https://youtu.be/XCuw2OQP0gA" TargetMode="External"/><Relationship Id="rId3849" Type="http://schemas.openxmlformats.org/officeDocument/2006/relationships/hyperlink" Target="https://youtu.be/UJzBV8reGTo" TargetMode="External"/><Relationship Id="rId2518" Type="http://schemas.openxmlformats.org/officeDocument/2006/relationships/hyperlink" Target="https://youtu.be/4DBJt6tskao" TargetMode="External"/><Relationship Id="rId3848" Type="http://schemas.openxmlformats.org/officeDocument/2006/relationships/hyperlink" Target="https://youtu.be/wrP9euGtuso" TargetMode="External"/><Relationship Id="rId2519" Type="http://schemas.openxmlformats.org/officeDocument/2006/relationships/hyperlink" Target="https://youtu.be/NSaW590zATs" TargetMode="External"/><Relationship Id="rId3841" Type="http://schemas.openxmlformats.org/officeDocument/2006/relationships/hyperlink" Target="https://youtu.be/2qSsPg1K_iM" TargetMode="External"/><Relationship Id="rId2510" Type="http://schemas.openxmlformats.org/officeDocument/2006/relationships/hyperlink" Target="https://youtu.be/wjtk5aQl9rA" TargetMode="External"/><Relationship Id="rId3840" Type="http://schemas.openxmlformats.org/officeDocument/2006/relationships/hyperlink" Target="https://youtu.be/5XnbpapEQq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ucABuxm95co" TargetMode="External"/><Relationship Id="rId3910" Type="http://schemas.openxmlformats.org/officeDocument/2006/relationships/hyperlink" Target="https://www.youtube.com/watch?v=9xGu21pNIU0&amp;ab_channel=PKTDistinct" TargetMode="External"/><Relationship Id="rId3913" Type="http://schemas.openxmlformats.org/officeDocument/2006/relationships/hyperlink" Target="https://youtu.be/Abytid8Ky78" TargetMode="External"/><Relationship Id="rId3912" Type="http://schemas.openxmlformats.org/officeDocument/2006/relationships/hyperlink" Target="https://www.youtube.com/watch?v=_84gOBWcVZE&amp;ab_channel=PKTDistinct" TargetMode="External"/><Relationship Id="rId3915" Type="http://schemas.openxmlformats.org/officeDocument/2006/relationships/hyperlink" Target="https://youtu.be/wEm0hI8D0Es" TargetMode="External"/><Relationship Id="rId3914" Type="http://schemas.openxmlformats.org/officeDocument/2006/relationships/hyperlink" Target="https://youtu.be/L1J8ZYanHK4" TargetMode="External"/><Relationship Id="rId3917" Type="http://schemas.openxmlformats.org/officeDocument/2006/relationships/hyperlink" Target="https://youtu.be/TC6szU0KMQ0" TargetMode="External"/><Relationship Id="rId3916" Type="http://schemas.openxmlformats.org/officeDocument/2006/relationships/hyperlink" Target="https://youtu.be/hv7cmfuaj-s" TargetMode="External"/><Relationship Id="rId3919" Type="http://schemas.openxmlformats.org/officeDocument/2006/relationships/hyperlink" Target="https://youtu.be/YzH9npRkfKQ" TargetMode="External"/><Relationship Id="rId3918" Type="http://schemas.openxmlformats.org/officeDocument/2006/relationships/hyperlink" Target="https://youtu.be/MWIaeCpCjRg" TargetMode="External"/><Relationship Id="rId3900" Type="http://schemas.openxmlformats.org/officeDocument/2006/relationships/hyperlink" Target="https://youtu.be/_yyE2bJP2Bk" TargetMode="External"/><Relationship Id="rId3902" Type="http://schemas.openxmlformats.org/officeDocument/2006/relationships/hyperlink" Target="https://youtu.be/6in2eMbJ0ow" TargetMode="External"/><Relationship Id="rId3901" Type="http://schemas.openxmlformats.org/officeDocument/2006/relationships/hyperlink" Target="https://youtu.be/K9g9bFufOgE" TargetMode="External"/><Relationship Id="rId3904" Type="http://schemas.openxmlformats.org/officeDocument/2006/relationships/hyperlink" Target="https://youtu.be/cMWcL3kLKVs" TargetMode="External"/><Relationship Id="rId3903" Type="http://schemas.openxmlformats.org/officeDocument/2006/relationships/hyperlink" Target="https://youtu.be/oJ7uiss0Fac" TargetMode="External"/><Relationship Id="rId3906" Type="http://schemas.openxmlformats.org/officeDocument/2006/relationships/hyperlink" Target="https://youtu.be/pTOrGSUJHWI" TargetMode="External"/><Relationship Id="rId3905" Type="http://schemas.openxmlformats.org/officeDocument/2006/relationships/hyperlink" Target="https://youtu.be/HhrXXa3_6QQ" TargetMode="External"/><Relationship Id="rId3908" Type="http://schemas.openxmlformats.org/officeDocument/2006/relationships/hyperlink" Target="https://www.youtube.com/watch?v=dUnqokYc_xE" TargetMode="External"/><Relationship Id="rId3907" Type="http://schemas.openxmlformats.org/officeDocument/2006/relationships/hyperlink" Target="https://youtu.be/7104U-nv8CU" TargetMode="External"/><Relationship Id="rId3909" Type="http://schemas.openxmlformats.org/officeDocument/2006/relationships/hyperlink" Target="https://www.youtube.com/watch?v=PRFI0H1qM1A" TargetMode="External"/><Relationship Id="rId3931" Type="http://schemas.openxmlformats.org/officeDocument/2006/relationships/hyperlink" Target="https://youtu.be/OSNXTmoonnM" TargetMode="External"/><Relationship Id="rId2600" Type="http://schemas.openxmlformats.org/officeDocument/2006/relationships/hyperlink" Target="https://youtu.be/Dtt-mo-Aifw" TargetMode="External"/><Relationship Id="rId3930" Type="http://schemas.openxmlformats.org/officeDocument/2006/relationships/hyperlink" Target="https://youtu.be/J8p3S2OGWbY" TargetMode="External"/><Relationship Id="rId2601" Type="http://schemas.openxmlformats.org/officeDocument/2006/relationships/hyperlink" Target="https://youtu.be/lfGGIoutiGc" TargetMode="External"/><Relationship Id="rId3933" Type="http://schemas.openxmlformats.org/officeDocument/2006/relationships/hyperlink" Target="https://youtu.be/mEmDaTtNmiw" TargetMode="External"/><Relationship Id="rId2602" Type="http://schemas.openxmlformats.org/officeDocument/2006/relationships/hyperlink" Target="https://youtu.be/rppi8kUpsTA" TargetMode="External"/><Relationship Id="rId3932" Type="http://schemas.openxmlformats.org/officeDocument/2006/relationships/hyperlink" Target="https://youtu.be/YQQ0q65ToQQ" TargetMode="External"/><Relationship Id="rId2603" Type="http://schemas.openxmlformats.org/officeDocument/2006/relationships/hyperlink" Target="https://youtu.be/6LswOuqbRUI" TargetMode="External"/><Relationship Id="rId3935" Type="http://schemas.openxmlformats.org/officeDocument/2006/relationships/hyperlink" Target="https://youtu.be/BzPxFP5PIps" TargetMode="External"/><Relationship Id="rId2604" Type="http://schemas.openxmlformats.org/officeDocument/2006/relationships/hyperlink" Target="https://youtu.be/vS-Y7OnyFWE" TargetMode="External"/><Relationship Id="rId3934" Type="http://schemas.openxmlformats.org/officeDocument/2006/relationships/hyperlink" Target="https://youtu.be/MMo3ZBMPIrU"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x4wUe8VzFL4" TargetMode="External"/><Relationship Id="rId2606" Type="http://schemas.openxmlformats.org/officeDocument/2006/relationships/hyperlink" Target="https://youtu.be/C-bm3K3aU-I" TargetMode="External"/><Relationship Id="rId3936" Type="http://schemas.openxmlformats.org/officeDocument/2006/relationships/hyperlink" Target="https://youtu.be/ewGQiYOg6F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_BiWC77BP3o"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hfxXpN4iAk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w5Gjm0FOXnQ" TargetMode="External"/><Relationship Id="rId3922" Type="http://schemas.openxmlformats.org/officeDocument/2006/relationships/hyperlink" Target="https://youtu.be/gl9c1qhsTTo" TargetMode="External"/><Relationship Id="rId3921" Type="http://schemas.openxmlformats.org/officeDocument/2006/relationships/hyperlink" Target="https://youtu.be/vc2vKpA4W0o" TargetMode="External"/><Relationship Id="rId3924" Type="http://schemas.openxmlformats.org/officeDocument/2006/relationships/hyperlink" Target="https://youtu.be/_5EE7piEfdA" TargetMode="External"/><Relationship Id="rId3923" Type="http://schemas.openxmlformats.org/officeDocument/2006/relationships/hyperlink" Target="https://www.youtube.com/watch?v=xILNN4X1Sug" TargetMode="External"/><Relationship Id="rId3926" Type="http://schemas.openxmlformats.org/officeDocument/2006/relationships/hyperlink" Target="https://clips.twitch.tv/IgnorantInexpensiveWhaleAMPEnergyCherry-0_APFnMlwRxp93Up" TargetMode="External"/><Relationship Id="rId3925" Type="http://schemas.openxmlformats.org/officeDocument/2006/relationships/hyperlink" Target="https://www.youtube.com/watch?v=WYCGplnVh4A" TargetMode="External"/><Relationship Id="rId3928" Type="http://schemas.openxmlformats.org/officeDocument/2006/relationships/hyperlink" Target="https://youtu.be/npPbGmcpwTg" TargetMode="External"/><Relationship Id="rId3927" Type="http://schemas.openxmlformats.org/officeDocument/2006/relationships/hyperlink" Target="https://youtu.be/IA9rZ_hatPE" TargetMode="External"/><Relationship Id="rId3929" Type="http://schemas.openxmlformats.org/officeDocument/2006/relationships/hyperlink" Target="https://youtu.be/3Ovu89Qc6hc"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qhvHHeJ6c_8"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www.twitch.tv/cysse64/clip/PuzzledGentleSashimiDxAbomb-mCZpxdNoZNSHDAyO"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WEi5En16ras"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1dW06SPmki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LtLqTHqXYA" TargetMode="External"/><Relationship Id="rId2660" Type="http://schemas.openxmlformats.org/officeDocument/2006/relationships/hyperlink" Target="https://youtu.be/TLVlIuyOwrI" TargetMode="External"/><Relationship Id="rId3990" Type="http://schemas.openxmlformats.org/officeDocument/2006/relationships/hyperlink" Target="https://youtu.be/ADxHxNj6HV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v_H6xRBJa_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_iXBKQwq-Ys"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clips.twitch.tv/ProtectiveSpookyDogCharlietheUnicorn-JXqs21stCUVSayku"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qo_9Tt8brsI"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qgluFqR_tL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PAuCtRTeOZQ"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YB9LQDhmWDY"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2fhIenEkLl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0XUpJc8IzRk"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JqTJlKSmw-k"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www.youtube.com/watch?v=L5XPU2H7_R8"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www.youtube.com/watch?v=traHO3RCMFc"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FxAyf0hf3S4"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AlDJUqcUgNE" TargetMode="External"/><Relationship Id="rId2622" Type="http://schemas.openxmlformats.org/officeDocument/2006/relationships/hyperlink" Target="https://youtu.be/t_qCDLYjjxU" TargetMode="External"/><Relationship Id="rId3952" Type="http://schemas.openxmlformats.org/officeDocument/2006/relationships/hyperlink" Target="https://youtu.be/H3JDwX7khMg"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dorableAuspiciousPonyOMGScoots-cOHUPAy5-HX8cTlY"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OpenSwissHorseradishPlanking-F6U4Rdie9N3lGJTB"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30321696" TargetMode="External"/><Relationship Id="rId2626" Type="http://schemas.openxmlformats.org/officeDocument/2006/relationships/hyperlink" Target="https://youtu.be/W63_N-vjsxw" TargetMode="External"/><Relationship Id="rId3956" Type="http://schemas.openxmlformats.org/officeDocument/2006/relationships/hyperlink" Target="https://clips.twitch.tv/AmericanTardyDugongSpicyBoy-u5HRN4Pv98XlV4QZ"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UnsightlyObservantCrabsKappaClaus-1ZkgEyeYp8b3WKgQ" TargetMode="External"/><Relationship Id="rId2628" Type="http://schemas.openxmlformats.org/officeDocument/2006/relationships/hyperlink" Target="https://youtu.be/fWi_6o_JLTo" TargetMode="External"/><Relationship Id="rId3958" Type="http://schemas.openxmlformats.org/officeDocument/2006/relationships/hyperlink" Target="https://www.twitch.tv/videos/1224432075"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PN1OdPY83o" TargetMode="External"/><Relationship Id="rId2620" Type="http://schemas.openxmlformats.org/officeDocument/2006/relationships/hyperlink" Target="https://youtu.be/OHAOK210HI0" TargetMode="External"/><Relationship Id="rId3950" Type="http://schemas.openxmlformats.org/officeDocument/2006/relationships/hyperlink" Target="https://youtu.be/XFv2JXpwzPA"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djpRgtYWDDw"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YAMDglE01Tg"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odXAa6vbdas"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NBnUp-T3fhc"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CgWCSuJ5jnk" TargetMode="External"/><Relationship Id="rId2615" Type="http://schemas.openxmlformats.org/officeDocument/2006/relationships/hyperlink" Target="https://www.twitch.tv/videos/1283042923" TargetMode="External"/><Relationship Id="rId3945" Type="http://schemas.openxmlformats.org/officeDocument/2006/relationships/hyperlink" Target="https://youtu.be/gsTC2weC5O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8cgwjxbo"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dRTrvAdi71A"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www.youtube.com/watch?v=5ezTSko_BOU" TargetMode="External"/><Relationship Id="rId3940" Type="http://schemas.openxmlformats.org/officeDocument/2006/relationships/hyperlink" Target="https://youtu.be/PW3RefbTtj8"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UkTxsy8QDIE"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5H6ttD7tFYo"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Adhau5NCsCQ"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lURSmO_AyEw"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zwrAxg51_j8"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youtu.be/-EuPHAugnvU"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SarcasticJoyousMacaroniSaltBae-7jY8PhjdTlVbfUri" TargetMode="External"/><Relationship Id="rId2630" Type="http://schemas.openxmlformats.org/officeDocument/2006/relationships/hyperlink" Target="https://youtu.be/AhdB3c3vvw8" TargetMode="External"/><Relationship Id="rId3962" Type="http://schemas.openxmlformats.org/officeDocument/2006/relationships/hyperlink" Target="https://www.twitch.tv/videos/1252488021"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64996095"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206</v>
      </c>
      <c r="C1" s="32" t="s">
        <v>10</v>
      </c>
      <c r="F1" s="32" t="s">
        <v>56</v>
      </c>
      <c r="H1" s="55" t="s">
        <v>85</v>
      </c>
      <c r="W1" s="127"/>
      <c r="X1" s="57" t="s">
        <v>96</v>
      </c>
      <c r="AL1" s="130"/>
      <c r="AM1" s="37" t="s">
        <v>104</v>
      </c>
      <c r="BA1" s="130"/>
      <c r="BB1" s="40" t="s">
        <v>107</v>
      </c>
      <c r="BQ1" s="130"/>
      <c r="BR1" s="59" t="s">
        <v>108</v>
      </c>
      <c r="CF1" s="41"/>
      <c r="CG1" s="45" t="s">
        <v>109</v>
      </c>
      <c r="CU1" s="41"/>
      <c r="CV1" s="46" t="s">
        <v>110</v>
      </c>
      <c r="DH1" s="41"/>
      <c r="DI1" s="61" t="s">
        <v>111</v>
      </c>
    </row>
    <row r="2" ht="15.0" customHeight="1">
      <c r="A2" s="48" t="s">
        <v>34</v>
      </c>
      <c r="B2" s="49" t="s">
        <v>113</v>
      </c>
      <c r="C2" s="49" t="s">
        <v>114</v>
      </c>
      <c r="F2" s="49" t="s">
        <v>242</v>
      </c>
      <c r="H2" s="146" t="s">
        <v>116</v>
      </c>
      <c r="I2" s="146" t="s">
        <v>117</v>
      </c>
      <c r="J2" s="146" t="s">
        <v>125</v>
      </c>
      <c r="L2" s="146" t="s">
        <v>126</v>
      </c>
      <c r="M2" s="146" t="s">
        <v>128</v>
      </c>
      <c r="N2" s="146" t="s">
        <v>122</v>
      </c>
      <c r="P2" s="146" t="s">
        <v>123</v>
      </c>
      <c r="Q2" s="146" t="s">
        <v>119</v>
      </c>
      <c r="R2" s="146" t="s">
        <v>251</v>
      </c>
      <c r="T2" s="146" t="s">
        <v>252</v>
      </c>
      <c r="V2" s="146" t="s">
        <v>253</v>
      </c>
      <c r="W2" s="148"/>
      <c r="X2" s="149" t="s">
        <v>116</v>
      </c>
      <c r="Y2" s="149" t="s">
        <v>117</v>
      </c>
      <c r="AA2" s="149" t="s">
        <v>125</v>
      </c>
      <c r="AB2" s="149" t="s">
        <v>126</v>
      </c>
      <c r="AD2" s="149" t="s">
        <v>128</v>
      </c>
      <c r="AE2" s="149" t="s">
        <v>122</v>
      </c>
      <c r="AG2" s="149" t="s">
        <v>123</v>
      </c>
      <c r="AH2" s="149" t="s">
        <v>119</v>
      </c>
      <c r="AI2" s="149" t="s">
        <v>261</v>
      </c>
      <c r="AK2" s="149" t="s">
        <v>253</v>
      </c>
      <c r="AL2" s="148"/>
      <c r="AM2" s="152" t="s">
        <v>116</v>
      </c>
      <c r="AO2" s="152" t="s">
        <v>117</v>
      </c>
      <c r="AP2" s="152" t="s">
        <v>125</v>
      </c>
      <c r="AQ2" s="152" t="s">
        <v>126</v>
      </c>
      <c r="AS2" s="152" t="s">
        <v>128</v>
      </c>
      <c r="AT2" s="152" t="s">
        <v>122</v>
      </c>
      <c r="AU2" s="152" t="s">
        <v>123</v>
      </c>
      <c r="AV2" s="152" t="s">
        <v>119</v>
      </c>
      <c r="AW2" s="152" t="s">
        <v>269</v>
      </c>
      <c r="AX2" s="152" t="s">
        <v>272</v>
      </c>
      <c r="AZ2" s="152" t="s">
        <v>253</v>
      </c>
      <c r="BA2" s="156"/>
      <c r="BB2" s="78" t="s">
        <v>116</v>
      </c>
      <c r="BC2" s="78" t="s">
        <v>117</v>
      </c>
      <c r="BE2" s="78" t="s">
        <v>125</v>
      </c>
      <c r="BF2" s="78" t="s">
        <v>126</v>
      </c>
      <c r="BG2" s="78" t="s">
        <v>128</v>
      </c>
      <c r="BH2" s="78" t="s">
        <v>122</v>
      </c>
      <c r="BJ2" s="78" t="s">
        <v>282</v>
      </c>
      <c r="BL2" s="78" t="s">
        <v>123</v>
      </c>
      <c r="BM2" s="78" t="s">
        <v>119</v>
      </c>
      <c r="BN2" s="78" t="s">
        <v>154</v>
      </c>
      <c r="BO2" s="78" t="s">
        <v>252</v>
      </c>
      <c r="BP2" s="78" t="s">
        <v>253</v>
      </c>
      <c r="BQ2" s="161"/>
      <c r="BR2" s="80" t="s">
        <v>116</v>
      </c>
      <c r="BS2" s="80" t="s">
        <v>117</v>
      </c>
      <c r="BU2" s="80" t="s">
        <v>125</v>
      </c>
      <c r="BV2" s="80" t="s">
        <v>126</v>
      </c>
      <c r="BX2" s="80" t="s">
        <v>128</v>
      </c>
      <c r="BY2" s="80" t="s">
        <v>122</v>
      </c>
      <c r="CA2" s="80" t="s">
        <v>123</v>
      </c>
      <c r="CB2" s="80" t="s">
        <v>119</v>
      </c>
      <c r="CC2" s="80" t="s">
        <v>154</v>
      </c>
      <c r="CD2" s="80" t="s">
        <v>261</v>
      </c>
      <c r="CE2" s="80" t="s">
        <v>253</v>
      </c>
      <c r="CF2" s="80"/>
      <c r="CG2" s="82" t="s">
        <v>116</v>
      </c>
      <c r="CH2" s="82" t="s">
        <v>117</v>
      </c>
      <c r="CI2" s="82" t="s">
        <v>125</v>
      </c>
      <c r="CJ2" s="82" t="s">
        <v>126</v>
      </c>
      <c r="CL2" s="82" t="s">
        <v>128</v>
      </c>
      <c r="CM2" s="82" t="s">
        <v>122</v>
      </c>
      <c r="CO2" s="82" t="s">
        <v>123</v>
      </c>
      <c r="CP2" s="82" t="s">
        <v>119</v>
      </c>
      <c r="CQ2" s="82" t="s">
        <v>269</v>
      </c>
      <c r="CR2" s="82" t="s">
        <v>252</v>
      </c>
      <c r="CT2" s="82" t="s">
        <v>253</v>
      </c>
      <c r="CU2" s="165"/>
      <c r="CV2" s="84" t="s">
        <v>116</v>
      </c>
      <c r="CW2" s="84" t="s">
        <v>117</v>
      </c>
      <c r="CX2" s="84" t="s">
        <v>125</v>
      </c>
      <c r="CY2" s="84" t="s">
        <v>126</v>
      </c>
      <c r="CZ2" s="84" t="s">
        <v>128</v>
      </c>
      <c r="DB2" s="84" t="s">
        <v>122</v>
      </c>
      <c r="DC2" s="84" t="s">
        <v>123</v>
      </c>
      <c r="DD2" s="84" t="s">
        <v>119</v>
      </c>
      <c r="DE2" s="84" t="s">
        <v>317</v>
      </c>
      <c r="DF2" s="84" t="s">
        <v>318</v>
      </c>
      <c r="DG2" s="84" t="s">
        <v>253</v>
      </c>
      <c r="DH2" s="84"/>
      <c r="DI2" s="168" t="s">
        <v>319</v>
      </c>
      <c r="DJ2" s="168" t="s">
        <v>152</v>
      </c>
      <c r="DL2" s="171" t="s">
        <v>324</v>
      </c>
      <c r="DM2" s="168" t="s">
        <v>149</v>
      </c>
      <c r="DN2" s="168" t="s">
        <v>326</v>
      </c>
      <c r="DO2" s="168" t="s">
        <v>327</v>
      </c>
      <c r="DP2" s="168" t="s">
        <v>328</v>
      </c>
      <c r="DQ2" s="168" t="s">
        <v>330</v>
      </c>
      <c r="DR2" s="168" t="s">
        <v>333</v>
      </c>
      <c r="DT2" s="171" t="s">
        <v>334</v>
      </c>
      <c r="DU2" s="168" t="s">
        <v>137</v>
      </c>
      <c r="DV2" s="168" t="s">
        <v>151</v>
      </c>
      <c r="DW2" s="168" t="s">
        <v>141</v>
      </c>
      <c r="DX2" s="168" t="s">
        <v>153</v>
      </c>
      <c r="DY2" s="168" t="s">
        <v>337</v>
      </c>
      <c r="DZ2" s="168" t="s">
        <v>139</v>
      </c>
      <c r="EA2" s="168" t="s">
        <v>338</v>
      </c>
      <c r="EB2" s="168" t="s">
        <v>339</v>
      </c>
      <c r="EC2" s="168" t="s">
        <v>341</v>
      </c>
      <c r="ED2" s="171" t="s">
        <v>343</v>
      </c>
    </row>
    <row r="3" ht="23.25" customHeight="1">
      <c r="J3" s="177" t="s">
        <v>344</v>
      </c>
      <c r="K3" s="177" t="s">
        <v>346</v>
      </c>
      <c r="N3" s="177" t="s">
        <v>344</v>
      </c>
      <c r="O3" s="177" t="s">
        <v>346</v>
      </c>
      <c r="R3" s="177" t="s">
        <v>351</v>
      </c>
      <c r="S3" s="177" t="s">
        <v>191</v>
      </c>
      <c r="T3" s="177" t="s">
        <v>351</v>
      </c>
      <c r="U3" s="177" t="s">
        <v>191</v>
      </c>
      <c r="W3" s="178"/>
      <c r="Y3" s="179" t="s">
        <v>344</v>
      </c>
      <c r="Z3" s="180" t="s">
        <v>354</v>
      </c>
      <c r="AB3" s="179" t="s">
        <v>344</v>
      </c>
      <c r="AC3" s="180" t="s">
        <v>346</v>
      </c>
      <c r="AE3" s="180" t="s">
        <v>357</v>
      </c>
      <c r="AF3" s="180" t="s">
        <v>358</v>
      </c>
      <c r="AI3" s="180" t="s">
        <v>351</v>
      </c>
      <c r="AJ3" s="179" t="s">
        <v>191</v>
      </c>
      <c r="AL3" s="178"/>
      <c r="AM3" s="181" t="s">
        <v>344</v>
      </c>
      <c r="AN3" s="181" t="s">
        <v>346</v>
      </c>
      <c r="AQ3" s="181" t="s">
        <v>344</v>
      </c>
      <c r="AR3" s="181" t="s">
        <v>165</v>
      </c>
      <c r="AX3" s="181" t="s">
        <v>351</v>
      </c>
      <c r="AY3" s="181" t="s">
        <v>191</v>
      </c>
      <c r="BA3" s="183"/>
      <c r="BC3" s="184" t="s">
        <v>344</v>
      </c>
      <c r="BD3" s="184" t="s">
        <v>346</v>
      </c>
      <c r="BH3" s="184" t="s">
        <v>344</v>
      </c>
      <c r="BI3" s="184" t="s">
        <v>346</v>
      </c>
      <c r="BJ3" s="184" t="s">
        <v>369</v>
      </c>
      <c r="BK3" s="184" t="s">
        <v>373</v>
      </c>
      <c r="BQ3" s="186"/>
      <c r="BS3" s="187" t="s">
        <v>344</v>
      </c>
      <c r="BT3" s="187" t="s">
        <v>346</v>
      </c>
      <c r="BV3" s="187" t="s">
        <v>344</v>
      </c>
      <c r="BW3" s="187" t="s">
        <v>346</v>
      </c>
      <c r="BY3" s="187" t="s">
        <v>369</v>
      </c>
      <c r="BZ3" s="187" t="s">
        <v>373</v>
      </c>
      <c r="CC3" s="187" t="s">
        <v>380</v>
      </c>
      <c r="CF3" s="188"/>
      <c r="CJ3" s="189" t="s">
        <v>344</v>
      </c>
      <c r="CK3" s="189" t="s">
        <v>383</v>
      </c>
      <c r="CM3" s="189" t="s">
        <v>344</v>
      </c>
      <c r="CN3" s="189" t="s">
        <v>346</v>
      </c>
      <c r="CR3" s="189" t="s">
        <v>351</v>
      </c>
      <c r="CS3" s="189" t="s">
        <v>191</v>
      </c>
      <c r="CU3" s="190"/>
      <c r="CZ3" s="191" t="s">
        <v>344</v>
      </c>
      <c r="DA3" s="191" t="s">
        <v>346</v>
      </c>
      <c r="DH3" s="188"/>
      <c r="DJ3" s="192" t="s">
        <v>357</v>
      </c>
      <c r="DK3" s="192" t="s">
        <v>358</v>
      </c>
      <c r="DR3" s="192" t="s">
        <v>344</v>
      </c>
      <c r="DS3" s="192" t="s">
        <v>396</v>
      </c>
      <c r="ED3" s="200" t="s">
        <v>400</v>
      </c>
    </row>
    <row r="4" ht="15.75" customHeight="1">
      <c r="A4" s="205" t="s">
        <v>404</v>
      </c>
      <c r="C4" s="206" t="s">
        <v>408</v>
      </c>
      <c r="H4" s="207" t="s">
        <v>411</v>
      </c>
      <c r="I4" s="207" t="s">
        <v>414</v>
      </c>
      <c r="J4" s="207" t="s">
        <v>416</v>
      </c>
      <c r="K4" s="207" t="s">
        <v>417</v>
      </c>
      <c r="L4" s="207" t="s">
        <v>418</v>
      </c>
      <c r="M4" s="207" t="s">
        <v>419</v>
      </c>
      <c r="N4" s="207" t="s">
        <v>420</v>
      </c>
      <c r="O4" s="207" t="s">
        <v>421</v>
      </c>
      <c r="P4" s="207" t="s">
        <v>422</v>
      </c>
      <c r="Q4" s="207" t="s">
        <v>423</v>
      </c>
      <c r="R4" s="207" t="s">
        <v>425</v>
      </c>
      <c r="S4" s="207" t="s">
        <v>426</v>
      </c>
      <c r="T4" s="207" t="s">
        <v>428</v>
      </c>
      <c r="U4" s="207" t="s">
        <v>429</v>
      </c>
      <c r="V4" s="207" t="s">
        <v>431</v>
      </c>
      <c r="W4" s="210"/>
      <c r="X4" s="211" t="s">
        <v>432</v>
      </c>
      <c r="Y4" s="211" t="s">
        <v>433</v>
      </c>
      <c r="Z4" s="211" t="s">
        <v>435</v>
      </c>
      <c r="AA4" s="211" t="s">
        <v>436</v>
      </c>
      <c r="AB4" s="211" t="s">
        <v>437</v>
      </c>
      <c r="AC4" s="211" t="s">
        <v>438</v>
      </c>
      <c r="AD4" s="211" t="s">
        <v>440</v>
      </c>
      <c r="AE4" s="211" t="s">
        <v>441</v>
      </c>
      <c r="AF4" s="211" t="s">
        <v>442</v>
      </c>
      <c r="AG4" s="211" t="s">
        <v>444</v>
      </c>
      <c r="AH4" s="211" t="s">
        <v>446</v>
      </c>
      <c r="AI4" s="211" t="s">
        <v>448</v>
      </c>
      <c r="AJ4" s="211" t="s">
        <v>449</v>
      </c>
      <c r="AK4" s="211" t="s">
        <v>450</v>
      </c>
      <c r="AL4" s="214"/>
      <c r="AM4" s="215" t="s">
        <v>451</v>
      </c>
      <c r="AN4" s="215" t="s">
        <v>452</v>
      </c>
      <c r="AO4" s="215" t="s">
        <v>453</v>
      </c>
      <c r="AP4" s="215" t="s">
        <v>454</v>
      </c>
      <c r="AQ4" s="215" t="s">
        <v>455</v>
      </c>
      <c r="AR4" s="215" t="s">
        <v>457</v>
      </c>
      <c r="AS4" s="215" t="s">
        <v>458</v>
      </c>
      <c r="AT4" s="215" t="s">
        <v>459</v>
      </c>
      <c r="AU4" s="215" t="s">
        <v>460</v>
      </c>
      <c r="AV4" s="215" t="s">
        <v>461</v>
      </c>
      <c r="AW4" s="215" t="s">
        <v>462</v>
      </c>
      <c r="AX4" s="215" t="s">
        <v>463</v>
      </c>
      <c r="AY4" s="215" t="s">
        <v>426</v>
      </c>
      <c r="AZ4" s="215" t="s">
        <v>465</v>
      </c>
      <c r="BA4" s="219"/>
      <c r="BB4" s="221" t="s">
        <v>353</v>
      </c>
      <c r="BC4" s="221" t="s">
        <v>468</v>
      </c>
      <c r="BD4" s="221" t="s">
        <v>469</v>
      </c>
      <c r="BE4" s="221" t="s">
        <v>470</v>
      </c>
      <c r="BF4" s="221" t="s">
        <v>471</v>
      </c>
      <c r="BG4" s="221" t="s">
        <v>472</v>
      </c>
      <c r="BH4" s="221" t="s">
        <v>473</v>
      </c>
      <c r="BI4" s="221" t="s">
        <v>474</v>
      </c>
      <c r="BJ4" s="221" t="s">
        <v>476</v>
      </c>
      <c r="BK4" s="221" t="s">
        <v>478</v>
      </c>
      <c r="BL4" s="221" t="s">
        <v>479</v>
      </c>
      <c r="BM4" s="221" t="s">
        <v>480</v>
      </c>
      <c r="BN4" s="221" t="s">
        <v>481</v>
      </c>
      <c r="BO4" s="221" t="s">
        <v>482</v>
      </c>
      <c r="BP4" s="221" t="s">
        <v>484</v>
      </c>
      <c r="BQ4" s="219"/>
      <c r="BR4" s="224" t="s">
        <v>482</v>
      </c>
      <c r="BS4" s="224" t="s">
        <v>488</v>
      </c>
      <c r="BT4" s="224" t="s">
        <v>490</v>
      </c>
      <c r="BU4" s="224" t="s">
        <v>491</v>
      </c>
      <c r="BV4" s="224" t="s">
        <v>493</v>
      </c>
      <c r="BW4" s="224" t="s">
        <v>494</v>
      </c>
      <c r="BX4" s="224" t="s">
        <v>495</v>
      </c>
      <c r="BY4" s="224" t="s">
        <v>496</v>
      </c>
      <c r="BZ4" s="224" t="s">
        <v>497</v>
      </c>
      <c r="CA4" s="224" t="s">
        <v>498</v>
      </c>
      <c r="CB4" s="224" t="s">
        <v>499</v>
      </c>
      <c r="CC4" s="224" t="s">
        <v>501</v>
      </c>
      <c r="CD4" s="224" t="s">
        <v>503</v>
      </c>
      <c r="CE4" s="224" t="s">
        <v>505</v>
      </c>
      <c r="CF4" s="228"/>
      <c r="CG4" s="229" t="s">
        <v>506</v>
      </c>
      <c r="CH4" s="229" t="s">
        <v>507</v>
      </c>
      <c r="CI4" s="229" t="s">
        <v>508</v>
      </c>
      <c r="CJ4" s="229" t="s">
        <v>510</v>
      </c>
      <c r="CK4" s="229" t="s">
        <v>511</v>
      </c>
      <c r="CL4" s="229" t="s">
        <v>512</v>
      </c>
      <c r="CM4" s="229" t="s">
        <v>513</v>
      </c>
      <c r="CN4" s="229" t="s">
        <v>514</v>
      </c>
      <c r="CO4" s="229" t="s">
        <v>516</v>
      </c>
      <c r="CP4" s="229" t="s">
        <v>517</v>
      </c>
      <c r="CQ4" s="229" t="s">
        <v>518</v>
      </c>
      <c r="CR4" s="229" t="s">
        <v>519</v>
      </c>
      <c r="CS4" s="229" t="s">
        <v>520</v>
      </c>
      <c r="CT4" s="229" t="s">
        <v>521</v>
      </c>
      <c r="CU4" s="231"/>
      <c r="CV4" s="232" t="s">
        <v>522</v>
      </c>
      <c r="CW4" s="232" t="s">
        <v>523</v>
      </c>
      <c r="CX4" s="232" t="s">
        <v>524</v>
      </c>
      <c r="CY4" s="232" t="s">
        <v>525</v>
      </c>
      <c r="CZ4" s="232" t="s">
        <v>390</v>
      </c>
      <c r="DA4" s="232" t="s">
        <v>527</v>
      </c>
      <c r="DB4" s="232" t="s">
        <v>528</v>
      </c>
      <c r="DC4" s="232" t="s">
        <v>529</v>
      </c>
      <c r="DD4" s="232" t="s">
        <v>531</v>
      </c>
      <c r="DE4" s="232" t="s">
        <v>532</v>
      </c>
      <c r="DF4" s="232" t="s">
        <v>533</v>
      </c>
      <c r="DG4" s="232" t="s">
        <v>534</v>
      </c>
      <c r="DH4" s="237"/>
      <c r="DI4" s="239" t="s">
        <v>535</v>
      </c>
      <c r="DJ4" s="239" t="s">
        <v>538</v>
      </c>
      <c r="DK4" s="239" t="s">
        <v>539</v>
      </c>
      <c r="DL4" s="239" t="s">
        <v>540</v>
      </c>
      <c r="DM4" s="239" t="s">
        <v>516</v>
      </c>
      <c r="DN4" s="239" t="s">
        <v>541</v>
      </c>
      <c r="DO4" s="239" t="s">
        <v>542</v>
      </c>
      <c r="DP4" s="239" t="s">
        <v>541</v>
      </c>
      <c r="DQ4" s="239" t="s">
        <v>545</v>
      </c>
      <c r="DR4" s="239" t="s">
        <v>547</v>
      </c>
      <c r="DS4" s="239" t="s">
        <v>549</v>
      </c>
      <c r="DT4" s="239" t="s">
        <v>551</v>
      </c>
      <c r="DU4" s="239" t="s">
        <v>552</v>
      </c>
      <c r="DV4" s="239" t="s">
        <v>553</v>
      </c>
      <c r="DW4" s="239" t="s">
        <v>554</v>
      </c>
      <c r="DX4" s="239" t="s">
        <v>556</v>
      </c>
      <c r="DY4" s="239" t="s">
        <v>557</v>
      </c>
      <c r="DZ4" s="239" t="s">
        <v>558</v>
      </c>
      <c r="EA4" s="239" t="s">
        <v>560</v>
      </c>
      <c r="EB4" s="239" t="s">
        <v>561</v>
      </c>
      <c r="EC4" s="239" t="s">
        <v>562</v>
      </c>
      <c r="ED4" s="239" t="s">
        <v>322</v>
      </c>
    </row>
    <row r="5">
      <c r="A5" s="244" t="s">
        <v>67</v>
      </c>
      <c r="B5" s="245" t="s">
        <v>564</v>
      </c>
      <c r="C5" s="246" t="s">
        <v>565</v>
      </c>
      <c r="D5" s="247" t="s">
        <v>567</v>
      </c>
      <c r="E5" s="248" t="s">
        <v>568</v>
      </c>
      <c r="F5" s="249" t="s">
        <v>569</v>
      </c>
      <c r="G5" s="245" t="s">
        <v>571</v>
      </c>
      <c r="H5" s="251" t="s">
        <v>572</v>
      </c>
      <c r="I5" s="257" t="s">
        <v>579</v>
      </c>
      <c r="J5" s="257" t="s">
        <v>582</v>
      </c>
      <c r="K5" s="251" t="s">
        <v>585</v>
      </c>
      <c r="L5" s="261" t="s">
        <v>591</v>
      </c>
      <c r="M5" s="263" t="s">
        <v>595</v>
      </c>
      <c r="N5" s="257" t="s">
        <v>602</v>
      </c>
      <c r="O5" s="265" t="s">
        <v>605</v>
      </c>
      <c r="P5" s="251" t="s">
        <v>608</v>
      </c>
      <c r="Q5" s="257" t="s">
        <v>612</v>
      </c>
      <c r="R5" s="251" t="s">
        <v>617</v>
      </c>
      <c r="S5" s="257" t="s">
        <v>468</v>
      </c>
      <c r="T5" s="251" t="s">
        <v>625</v>
      </c>
      <c r="U5" s="261" t="s">
        <v>631</v>
      </c>
      <c r="V5" s="257" t="s">
        <v>637</v>
      </c>
      <c r="W5" s="106"/>
      <c r="X5" s="257" t="s">
        <v>640</v>
      </c>
      <c r="Y5" s="278"/>
      <c r="Z5" s="251" t="s">
        <v>644</v>
      </c>
      <c r="AA5" s="257" t="s">
        <v>648</v>
      </c>
      <c r="AB5" s="251" t="s">
        <v>654</v>
      </c>
      <c r="AC5" s="251" t="s">
        <v>656</v>
      </c>
      <c r="AD5" s="257" t="s">
        <v>660</v>
      </c>
      <c r="AE5" s="257" t="s">
        <v>441</v>
      </c>
      <c r="AF5" s="257" t="s">
        <v>664</v>
      </c>
      <c r="AG5" s="263" t="s">
        <v>665</v>
      </c>
      <c r="AH5" s="286" t="s">
        <v>668</v>
      </c>
      <c r="AI5" s="288"/>
      <c r="AJ5" s="289" t="s">
        <v>671</v>
      </c>
      <c r="AK5" s="257" t="s">
        <v>675</v>
      </c>
      <c r="AL5" s="105"/>
      <c r="AM5" s="257" t="s">
        <v>451</v>
      </c>
      <c r="AN5" s="261" t="s">
        <v>685</v>
      </c>
      <c r="AO5" s="251" t="s">
        <v>689</v>
      </c>
      <c r="AP5" s="257" t="s">
        <v>693</v>
      </c>
      <c r="AQ5" s="251" t="s">
        <v>698</v>
      </c>
      <c r="AR5" s="251" t="s">
        <v>703</v>
      </c>
      <c r="AS5" s="261" t="s">
        <v>706</v>
      </c>
      <c r="AT5" s="257" t="s">
        <v>711</v>
      </c>
      <c r="AU5" s="263" t="s">
        <v>719</v>
      </c>
      <c r="AV5" s="289" t="str">
        <f>HYPERLINK("https://youtu.be/g_WcDRyC8fE","24.35")</f>
        <v>24.35</v>
      </c>
      <c r="AW5" s="263" t="s">
        <v>724</v>
      </c>
      <c r="AX5" s="261" t="s">
        <v>728</v>
      </c>
      <c r="AY5" s="257" t="s">
        <v>735</v>
      </c>
      <c r="AZ5" s="263" t="s">
        <v>738</v>
      </c>
      <c r="BA5" s="286"/>
      <c r="BB5" s="257" t="s">
        <v>743</v>
      </c>
      <c r="BC5" s="261" t="s">
        <v>748</v>
      </c>
      <c r="BD5" s="257" t="s">
        <v>752</v>
      </c>
      <c r="BE5" s="316" t="str">
        <f>HYPERLINK("https://www.youtube.com/watch?v=ITcO-E11K4U&amp;feature=youtu.be","32.56")</f>
        <v>32.56</v>
      </c>
      <c r="BF5" s="257" t="s">
        <v>759</v>
      </c>
      <c r="BG5" s="261" t="s">
        <v>762</v>
      </c>
      <c r="BH5" s="257" t="s">
        <v>766</v>
      </c>
      <c r="BI5" s="316" t="s">
        <v>769</v>
      </c>
      <c r="BJ5" s="320"/>
      <c r="BK5" s="265" t="s">
        <v>774</v>
      </c>
      <c r="BL5" s="257" t="s">
        <v>777</v>
      </c>
      <c r="BM5" s="257" t="s">
        <v>779</v>
      </c>
      <c r="BN5" s="251" t="s">
        <v>781</v>
      </c>
      <c r="BO5" s="251" t="s">
        <v>787</v>
      </c>
      <c r="BP5" s="257" t="s">
        <v>793</v>
      </c>
      <c r="BQ5" s="324"/>
      <c r="BR5" s="316" t="s">
        <v>796</v>
      </c>
      <c r="BS5" s="257" t="s">
        <v>800</v>
      </c>
      <c r="BT5" s="330" t="s">
        <v>805</v>
      </c>
      <c r="BU5" s="257" t="s">
        <v>808</v>
      </c>
      <c r="BV5" s="257" t="s">
        <v>810</v>
      </c>
      <c r="BW5" s="263" t="s">
        <v>815</v>
      </c>
      <c r="BX5" s="257" t="s">
        <v>819</v>
      </c>
      <c r="BY5" s="330" t="s">
        <v>822</v>
      </c>
      <c r="BZ5" s="263" t="s">
        <v>826</v>
      </c>
      <c r="CA5" s="261" t="s">
        <v>830</v>
      </c>
      <c r="CB5" s="316" t="str">
        <f>HYPERLINK("https://www.youtube.com/watch?v=XkC-AMhKuvI","4:25.27")</f>
        <v>4:25.27</v>
      </c>
      <c r="CC5" s="265" t="str">
        <f>HYPERLINK("https://www.youtube.com/watch?v=tfbewzCayMA","1:11.86")</f>
        <v>1:11.86</v>
      </c>
      <c r="CD5" s="263" t="s">
        <v>834</v>
      </c>
      <c r="CE5" s="286" t="s">
        <v>837</v>
      </c>
      <c r="CF5" s="324"/>
      <c r="CG5" s="257" t="s">
        <v>838</v>
      </c>
      <c r="CH5" s="257" t="s">
        <v>840</v>
      </c>
      <c r="CI5" s="257" t="s">
        <v>846</v>
      </c>
      <c r="CJ5" s="257" t="s">
        <v>849</v>
      </c>
      <c r="CK5" s="278"/>
      <c r="CL5" s="257" t="s">
        <v>851</v>
      </c>
      <c r="CM5" s="257" t="s">
        <v>390</v>
      </c>
      <c r="CN5" s="289" t="s">
        <v>857</v>
      </c>
      <c r="CO5" s="261" t="s">
        <v>613</v>
      </c>
      <c r="CP5" s="257" t="s">
        <v>861</v>
      </c>
      <c r="CQ5" s="261" t="s">
        <v>865</v>
      </c>
      <c r="CR5" s="351"/>
      <c r="CS5" s="251" t="s">
        <v>871</v>
      </c>
      <c r="CT5" s="257" t="s">
        <v>875</v>
      </c>
      <c r="CU5" s="106"/>
      <c r="CV5" s="257" t="s">
        <v>878</v>
      </c>
      <c r="CW5" s="263" t="s">
        <v>880</v>
      </c>
      <c r="CX5" s="316" t="s">
        <v>884</v>
      </c>
      <c r="CY5" s="261" t="s">
        <v>886</v>
      </c>
      <c r="CZ5" s="257" t="s">
        <v>553</v>
      </c>
      <c r="DA5" s="257" t="s">
        <v>890</v>
      </c>
      <c r="DB5" s="289" t="s">
        <v>896</v>
      </c>
      <c r="DC5" s="263" t="s">
        <v>901</v>
      </c>
      <c r="DD5" s="261" t="s">
        <v>908</v>
      </c>
      <c r="DE5" s="251" t="s">
        <v>911</v>
      </c>
      <c r="DF5" s="257" t="s">
        <v>914</v>
      </c>
      <c r="DG5" s="257" t="s">
        <v>921</v>
      </c>
      <c r="DH5" s="351"/>
      <c r="DI5" s="257" t="s">
        <v>925</v>
      </c>
      <c r="DJ5" s="257" t="s">
        <v>929</v>
      </c>
      <c r="DK5" s="263" t="s">
        <v>933</v>
      </c>
      <c r="DL5" s="316" t="s">
        <v>540</v>
      </c>
      <c r="DM5" s="263" t="s">
        <v>516</v>
      </c>
      <c r="DN5" s="257" t="s">
        <v>941</v>
      </c>
      <c r="DO5" s="251" t="s">
        <v>946</v>
      </c>
      <c r="DP5" s="257" t="s">
        <v>949</v>
      </c>
      <c r="DQ5" s="257" t="s">
        <v>955</v>
      </c>
      <c r="DR5" s="257" t="s">
        <v>958</v>
      </c>
      <c r="DS5" s="316" t="s">
        <v>962</v>
      </c>
      <c r="DT5" s="257" t="s">
        <v>964</v>
      </c>
      <c r="DU5" s="257" t="s">
        <v>966</v>
      </c>
      <c r="DV5" s="251" t="s">
        <v>971</v>
      </c>
      <c r="DW5" s="257" t="s">
        <v>973</v>
      </c>
      <c r="DX5" s="316" t="s">
        <v>977</v>
      </c>
      <c r="DY5" s="257" t="s">
        <v>980</v>
      </c>
      <c r="DZ5" s="261" t="s">
        <v>982</v>
      </c>
      <c r="EA5" s="257" t="s">
        <v>985</v>
      </c>
      <c r="EB5" s="257" t="s">
        <v>993</v>
      </c>
      <c r="EC5" s="257" t="s">
        <v>998</v>
      </c>
      <c r="ED5" s="316" t="s">
        <v>1003</v>
      </c>
    </row>
    <row r="6">
      <c r="A6" s="377" t="s">
        <v>1007</v>
      </c>
      <c r="B6" s="378" t="s">
        <v>1009</v>
      </c>
      <c r="C6" s="379" t="s">
        <v>274</v>
      </c>
      <c r="D6" s="380" t="s">
        <v>1010</v>
      </c>
      <c r="E6" s="381" t="s">
        <v>399</v>
      </c>
      <c r="F6" s="382" t="s">
        <v>571</v>
      </c>
      <c r="G6" s="378" t="s">
        <v>571</v>
      </c>
      <c r="H6" s="384" t="s">
        <v>148</v>
      </c>
      <c r="I6" s="385" t="s">
        <v>286</v>
      </c>
      <c r="J6" s="384" t="s">
        <v>628</v>
      </c>
      <c r="K6" s="387" t="s">
        <v>1018</v>
      </c>
      <c r="L6" s="384" t="s">
        <v>1023</v>
      </c>
      <c r="M6" s="387" t="s">
        <v>1025</v>
      </c>
      <c r="N6" s="385" t="s">
        <v>1029</v>
      </c>
      <c r="O6" s="387" t="s">
        <v>1031</v>
      </c>
      <c r="P6" s="390" t="s">
        <v>1035</v>
      </c>
      <c r="Q6" s="387" t="s">
        <v>1041</v>
      </c>
      <c r="R6" s="387" t="s">
        <v>1045</v>
      </c>
      <c r="S6" s="390" t="s">
        <v>1046</v>
      </c>
      <c r="T6" s="387" t="s">
        <v>1050</v>
      </c>
      <c r="U6" s="387" t="s">
        <v>1058</v>
      </c>
      <c r="V6" s="385" t="s">
        <v>1061</v>
      </c>
      <c r="W6" s="394"/>
      <c r="X6" s="395" t="s">
        <v>1063</v>
      </c>
      <c r="Y6" s="397"/>
      <c r="Z6" s="395" t="s">
        <v>1068</v>
      </c>
      <c r="AA6" s="395" t="s">
        <v>700</v>
      </c>
      <c r="AB6" s="395" t="s">
        <v>1074</v>
      </c>
      <c r="AC6" s="395" t="s">
        <v>1077</v>
      </c>
      <c r="AD6" s="395" t="s">
        <v>1079</v>
      </c>
      <c r="AE6" s="399" t="s">
        <v>1081</v>
      </c>
      <c r="AF6" s="399" t="s">
        <v>1085</v>
      </c>
      <c r="AG6" s="399" t="s">
        <v>402</v>
      </c>
      <c r="AH6" s="395" t="s">
        <v>1091</v>
      </c>
      <c r="AI6" s="402"/>
      <c r="AJ6" s="399" t="s">
        <v>449</v>
      </c>
      <c r="AK6" s="403" t="s">
        <v>1098</v>
      </c>
      <c r="AL6" s="106"/>
      <c r="AM6" s="405" t="s">
        <v>1101</v>
      </c>
      <c r="AN6" s="406" t="s">
        <v>1105</v>
      </c>
      <c r="AO6" s="407" t="s">
        <v>1107</v>
      </c>
      <c r="AP6" s="407" t="s">
        <v>1109</v>
      </c>
      <c r="AQ6" s="407" t="s">
        <v>392</v>
      </c>
      <c r="AR6" s="411" t="s">
        <v>1117</v>
      </c>
      <c r="AS6" s="407" t="s">
        <v>1120</v>
      </c>
      <c r="AT6" s="407" t="s">
        <v>1125</v>
      </c>
      <c r="AU6" s="406" t="s">
        <v>1130</v>
      </c>
      <c r="AV6" s="406" t="s">
        <v>1133</v>
      </c>
      <c r="AW6" s="406" t="s">
        <v>656</v>
      </c>
      <c r="AX6" s="407" t="s">
        <v>463</v>
      </c>
      <c r="AY6" s="412" t="s">
        <v>1066</v>
      </c>
      <c r="AZ6" s="407" t="s">
        <v>1141</v>
      </c>
      <c r="BA6" s="413"/>
      <c r="BB6" s="414" t="s">
        <v>1144</v>
      </c>
      <c r="BC6" s="414" t="s">
        <v>1147</v>
      </c>
      <c r="BD6" s="414" t="s">
        <v>1148</v>
      </c>
      <c r="BE6" s="414" t="s">
        <v>1150</v>
      </c>
      <c r="BF6" s="414" t="s">
        <v>1151</v>
      </c>
      <c r="BG6" s="414" t="s">
        <v>749</v>
      </c>
      <c r="BH6" s="417" t="s">
        <v>473</v>
      </c>
      <c r="BI6" s="414" t="s">
        <v>1157</v>
      </c>
      <c r="BJ6" s="414" t="s">
        <v>1160</v>
      </c>
      <c r="BK6" s="414" t="s">
        <v>1163</v>
      </c>
      <c r="BL6" s="414" t="s">
        <v>1165</v>
      </c>
      <c r="BM6" s="417" t="s">
        <v>1169</v>
      </c>
      <c r="BN6" s="414" t="s">
        <v>1171</v>
      </c>
      <c r="BO6" s="414" t="s">
        <v>1173</v>
      </c>
      <c r="BP6" s="417" t="s">
        <v>1176</v>
      </c>
      <c r="BQ6" s="420"/>
      <c r="BR6" s="421" t="s">
        <v>1179</v>
      </c>
      <c r="BS6" s="421" t="s">
        <v>1182</v>
      </c>
      <c r="BT6" s="421" t="s">
        <v>1184</v>
      </c>
      <c r="BU6" s="421" t="s">
        <v>808</v>
      </c>
      <c r="BV6" s="421" t="s">
        <v>392</v>
      </c>
      <c r="BW6" s="421" t="s">
        <v>1188</v>
      </c>
      <c r="BX6" s="422" t="s">
        <v>1191</v>
      </c>
      <c r="BY6" s="422" t="s">
        <v>1193</v>
      </c>
      <c r="BZ6" s="422" t="s">
        <v>1196</v>
      </c>
      <c r="CA6" s="421" t="s">
        <v>1199</v>
      </c>
      <c r="CB6" s="422" t="s">
        <v>1201</v>
      </c>
      <c r="CC6" s="421" t="s">
        <v>1203</v>
      </c>
      <c r="CD6" s="421" t="s">
        <v>1205</v>
      </c>
      <c r="CE6" s="422" t="s">
        <v>1209</v>
      </c>
      <c r="CF6" s="424"/>
      <c r="CG6" s="428" t="s">
        <v>1125</v>
      </c>
      <c r="CH6" s="430" t="s">
        <v>1212</v>
      </c>
      <c r="CI6" s="428" t="s">
        <v>1217</v>
      </c>
      <c r="CJ6" s="428" t="s">
        <v>1219</v>
      </c>
      <c r="CK6" s="431"/>
      <c r="CL6" s="432" t="s">
        <v>1222</v>
      </c>
      <c r="CM6" s="428" t="s">
        <v>1224</v>
      </c>
      <c r="CN6" s="428" t="s">
        <v>1226</v>
      </c>
      <c r="CO6" s="428" t="s">
        <v>1231</v>
      </c>
      <c r="CP6" s="428" t="s">
        <v>1233</v>
      </c>
      <c r="CQ6" s="433" t="s">
        <v>1236</v>
      </c>
      <c r="CR6" s="434"/>
      <c r="CS6" s="433" t="s">
        <v>520</v>
      </c>
      <c r="CT6" s="428" t="s">
        <v>1242</v>
      </c>
      <c r="CU6" s="106"/>
      <c r="CV6" s="444" t="s">
        <v>1248</v>
      </c>
      <c r="CW6" s="449" t="s">
        <v>880</v>
      </c>
      <c r="CX6" s="454" t="s">
        <v>1264</v>
      </c>
      <c r="CY6" s="444" t="s">
        <v>1271</v>
      </c>
      <c r="CZ6" s="444" t="s">
        <v>1279</v>
      </c>
      <c r="DA6" s="458" t="s">
        <v>1290</v>
      </c>
      <c r="DB6" s="444" t="s">
        <v>1300</v>
      </c>
      <c r="DC6" s="444" t="s">
        <v>1310</v>
      </c>
      <c r="DD6" s="458" t="s">
        <v>1321</v>
      </c>
      <c r="DE6" s="444" t="s">
        <v>1050</v>
      </c>
      <c r="DF6" s="444" t="s">
        <v>1335</v>
      </c>
      <c r="DG6" s="458" t="s">
        <v>534</v>
      </c>
      <c r="DH6" s="467"/>
      <c r="DI6" s="470" t="s">
        <v>868</v>
      </c>
      <c r="DJ6" s="473" t="s">
        <v>1382</v>
      </c>
      <c r="DK6" s="473" t="s">
        <v>1394</v>
      </c>
      <c r="DL6" s="477"/>
      <c r="DM6" s="479" t="s">
        <v>516</v>
      </c>
      <c r="DN6" s="479" t="s">
        <v>1411</v>
      </c>
      <c r="DO6" s="481" t="s">
        <v>1414</v>
      </c>
      <c r="DP6" s="481" t="s">
        <v>1419</v>
      </c>
      <c r="DQ6" s="473" t="s">
        <v>1422</v>
      </c>
      <c r="DR6" s="484" t="s">
        <v>1430</v>
      </c>
      <c r="DS6" s="485" t="s">
        <v>1434</v>
      </c>
      <c r="DT6" s="473" t="s">
        <v>1439</v>
      </c>
      <c r="DU6" s="473" t="s">
        <v>1443</v>
      </c>
      <c r="DV6" s="479" t="s">
        <v>1448</v>
      </c>
      <c r="DW6" s="473" t="s">
        <v>973</v>
      </c>
      <c r="DX6" s="473" t="s">
        <v>1453</v>
      </c>
      <c r="DY6" s="479" t="s">
        <v>1458</v>
      </c>
      <c r="DZ6" s="473" t="s">
        <v>1461</v>
      </c>
      <c r="EA6" s="481" t="s">
        <v>560</v>
      </c>
      <c r="EB6" s="481" t="s">
        <v>1469</v>
      </c>
      <c r="EC6" s="473" t="s">
        <v>1476</v>
      </c>
      <c r="ED6" s="473" t="s">
        <v>1478</v>
      </c>
    </row>
    <row r="7">
      <c r="A7" s="487" t="s">
        <v>599</v>
      </c>
      <c r="B7" s="245" t="s">
        <v>1482</v>
      </c>
      <c r="C7" s="246" t="s">
        <v>233</v>
      </c>
      <c r="D7" s="247" t="s">
        <v>399</v>
      </c>
      <c r="E7" s="248" t="s">
        <v>176</v>
      </c>
      <c r="F7" s="249" t="s">
        <v>1484</v>
      </c>
      <c r="G7" s="245" t="s">
        <v>1485</v>
      </c>
      <c r="H7" s="488" t="s">
        <v>213</v>
      </c>
      <c r="I7" s="488" t="s">
        <v>1491</v>
      </c>
      <c r="J7" s="488" t="s">
        <v>582</v>
      </c>
      <c r="K7" s="488" t="s">
        <v>718</v>
      </c>
      <c r="L7" s="490" t="s">
        <v>1065</v>
      </c>
      <c r="M7" s="488" t="s">
        <v>1505</v>
      </c>
      <c r="N7" s="488" t="s">
        <v>1510</v>
      </c>
      <c r="O7" s="488" t="s">
        <v>1512</v>
      </c>
      <c r="P7" s="491" t="s">
        <v>608</v>
      </c>
      <c r="Q7" s="488" t="s">
        <v>1522</v>
      </c>
      <c r="R7" s="492" t="s">
        <v>1526</v>
      </c>
      <c r="S7" s="488" t="s">
        <v>1104</v>
      </c>
      <c r="T7" s="488" t="s">
        <v>1533</v>
      </c>
      <c r="U7" s="488" t="s">
        <v>1537</v>
      </c>
      <c r="V7" s="493" t="s">
        <v>1540</v>
      </c>
      <c r="W7" s="494"/>
      <c r="X7" s="257" t="s">
        <v>1541</v>
      </c>
      <c r="Y7" s="495"/>
      <c r="Z7" s="496" t="s">
        <v>1479</v>
      </c>
      <c r="AA7" s="497" t="s">
        <v>1543</v>
      </c>
      <c r="AB7" s="493" t="s">
        <v>1546</v>
      </c>
      <c r="AC7" s="488" t="s">
        <v>1548</v>
      </c>
      <c r="AD7" s="490" t="s">
        <v>1553</v>
      </c>
      <c r="AE7" s="488" t="s">
        <v>1556</v>
      </c>
      <c r="AF7" s="499" t="s">
        <v>1560</v>
      </c>
      <c r="AG7" s="488" t="s">
        <v>402</v>
      </c>
      <c r="AH7" s="490" t="s">
        <v>1083</v>
      </c>
      <c r="AI7" s="488" t="s">
        <v>1571</v>
      </c>
      <c r="AJ7" s="493" t="s">
        <v>1576</v>
      </c>
      <c r="AK7" s="488" t="s">
        <v>1577</v>
      </c>
      <c r="AL7" s="501"/>
      <c r="AM7" s="488" t="s">
        <v>1582</v>
      </c>
      <c r="AN7" s="490" t="s">
        <v>1586</v>
      </c>
      <c r="AO7" s="490" t="s">
        <v>1589</v>
      </c>
      <c r="AP7" s="493" t="s">
        <v>1591</v>
      </c>
      <c r="AQ7" s="488" t="s">
        <v>1592</v>
      </c>
      <c r="AR7" s="496" t="s">
        <v>457</v>
      </c>
      <c r="AS7" s="490" t="s">
        <v>458</v>
      </c>
      <c r="AT7" s="488" t="s">
        <v>459</v>
      </c>
      <c r="AU7" s="488" t="s">
        <v>1602</v>
      </c>
      <c r="AV7" s="490" t="s">
        <v>1605</v>
      </c>
      <c r="AW7" s="490" t="s">
        <v>1608</v>
      </c>
      <c r="AX7" s="499" t="s">
        <v>1614</v>
      </c>
      <c r="AY7" s="490" t="s">
        <v>1239</v>
      </c>
      <c r="AZ7" s="504" t="s">
        <v>1619</v>
      </c>
      <c r="BA7" s="505"/>
      <c r="BB7" s="488" t="s">
        <v>1622</v>
      </c>
      <c r="BC7" s="490" t="s">
        <v>1051</v>
      </c>
      <c r="BD7" s="488" t="s">
        <v>1148</v>
      </c>
      <c r="BE7" s="490" t="s">
        <v>1443</v>
      </c>
      <c r="BF7" s="257" t="s">
        <v>1634</v>
      </c>
      <c r="BG7" s="488" t="s">
        <v>1638</v>
      </c>
      <c r="BH7" s="488" t="s">
        <v>1639</v>
      </c>
      <c r="BI7" s="488" t="s">
        <v>474</v>
      </c>
      <c r="BJ7" s="497" t="s">
        <v>1641</v>
      </c>
      <c r="BK7" s="316" t="s">
        <v>1642</v>
      </c>
      <c r="BL7" s="488" t="s">
        <v>1643</v>
      </c>
      <c r="BM7" s="490" t="s">
        <v>1646</v>
      </c>
      <c r="BN7" s="488" t="s">
        <v>1649</v>
      </c>
      <c r="BO7" s="488" t="s">
        <v>1650</v>
      </c>
      <c r="BP7" s="497" t="s">
        <v>1652</v>
      </c>
      <c r="BQ7" s="497"/>
      <c r="BR7" s="251" t="s">
        <v>1653</v>
      </c>
      <c r="BS7" s="490" t="s">
        <v>1656</v>
      </c>
      <c r="BT7" s="511" t="s">
        <v>1660</v>
      </c>
      <c r="BU7" s="504" t="s">
        <v>1663</v>
      </c>
      <c r="BV7" s="490" t="s">
        <v>768</v>
      </c>
      <c r="BW7" s="257" t="s">
        <v>1667</v>
      </c>
      <c r="BX7" s="488" t="s">
        <v>1671</v>
      </c>
      <c r="BY7" s="488" t="s">
        <v>496</v>
      </c>
      <c r="BZ7" s="493" t="s">
        <v>1679</v>
      </c>
      <c r="CA7" s="488" t="s">
        <v>1680</v>
      </c>
      <c r="CB7" s="499" t="s">
        <v>1684</v>
      </c>
      <c r="CC7" s="488" t="s">
        <v>1687</v>
      </c>
      <c r="CD7" s="488" t="s">
        <v>481</v>
      </c>
      <c r="CE7" s="490" t="s">
        <v>1691</v>
      </c>
      <c r="CF7" s="505"/>
      <c r="CG7" s="488" t="s">
        <v>756</v>
      </c>
      <c r="CH7" s="257" t="s">
        <v>1697</v>
      </c>
      <c r="CI7" s="497" t="s">
        <v>1699</v>
      </c>
      <c r="CJ7" s="490" t="s">
        <v>1700</v>
      </c>
      <c r="CK7" s="505"/>
      <c r="CL7" s="490" t="s">
        <v>1704</v>
      </c>
      <c r="CM7" s="493" t="s">
        <v>1706</v>
      </c>
      <c r="CN7" s="488" t="s">
        <v>1707</v>
      </c>
      <c r="CO7" s="488" t="s">
        <v>1710</v>
      </c>
      <c r="CP7" s="488" t="s">
        <v>1712</v>
      </c>
      <c r="CQ7" s="490" t="s">
        <v>1713</v>
      </c>
      <c r="CR7" s="521"/>
      <c r="CS7" s="521" t="s">
        <v>1719</v>
      </c>
      <c r="CT7" s="488" t="s">
        <v>1721</v>
      </c>
      <c r="CU7" s="494"/>
      <c r="CV7" s="488" t="s">
        <v>1722</v>
      </c>
      <c r="CW7" s="490" t="s">
        <v>1728</v>
      </c>
      <c r="CX7" s="490" t="s">
        <v>1732</v>
      </c>
      <c r="CY7" s="257" t="s">
        <v>1736</v>
      </c>
      <c r="CZ7" s="488" t="s">
        <v>1738</v>
      </c>
      <c r="DA7" s="499" t="s">
        <v>1740</v>
      </c>
      <c r="DB7" s="490" t="s">
        <v>1747</v>
      </c>
      <c r="DC7" s="488" t="s">
        <v>1130</v>
      </c>
      <c r="DD7" s="488" t="s">
        <v>1752</v>
      </c>
      <c r="DE7" s="493" t="s">
        <v>532</v>
      </c>
      <c r="DF7" s="493" t="s">
        <v>1755</v>
      </c>
      <c r="DG7" s="490" t="s">
        <v>1756</v>
      </c>
      <c r="DH7" s="505"/>
      <c r="DI7" s="490" t="s">
        <v>1759</v>
      </c>
      <c r="DJ7" s="488" t="s">
        <v>1763</v>
      </c>
      <c r="DK7" s="488" t="s">
        <v>1766</v>
      </c>
      <c r="DL7" s="531"/>
      <c r="DM7" s="493" t="s">
        <v>1768</v>
      </c>
      <c r="DN7" s="492" t="s">
        <v>1772</v>
      </c>
      <c r="DO7" s="490" t="s">
        <v>542</v>
      </c>
      <c r="DP7" s="488" t="s">
        <v>1422</v>
      </c>
      <c r="DQ7" s="488" t="s">
        <v>1411</v>
      </c>
      <c r="DR7" s="490" t="s">
        <v>1779</v>
      </c>
      <c r="DS7" s="535" t="s">
        <v>1783</v>
      </c>
      <c r="DT7" s="490" t="s">
        <v>1786</v>
      </c>
      <c r="DU7" s="488" t="s">
        <v>1789</v>
      </c>
      <c r="DV7" s="488" t="s">
        <v>1792</v>
      </c>
      <c r="DW7" s="488" t="s">
        <v>1795</v>
      </c>
      <c r="DX7" s="488" t="s">
        <v>1799</v>
      </c>
      <c r="DY7" s="488" t="s">
        <v>1803</v>
      </c>
      <c r="DZ7" s="493" t="s">
        <v>1805</v>
      </c>
      <c r="EA7" s="493" t="s">
        <v>1806</v>
      </c>
      <c r="EB7" s="499" t="s">
        <v>1808</v>
      </c>
      <c r="EC7" s="499" t="s">
        <v>1811</v>
      </c>
      <c r="ED7" s="316" t="s">
        <v>322</v>
      </c>
    </row>
    <row r="8">
      <c r="A8" s="540" t="s">
        <v>1817</v>
      </c>
      <c r="B8" s="378" t="s">
        <v>1819</v>
      </c>
      <c r="C8" s="379" t="s">
        <v>171</v>
      </c>
      <c r="D8" s="380" t="s">
        <v>176</v>
      </c>
      <c r="E8" s="381" t="s">
        <v>176</v>
      </c>
      <c r="F8" s="382" t="s">
        <v>1820</v>
      </c>
      <c r="G8" s="378" t="s">
        <v>571</v>
      </c>
      <c r="H8" s="541" t="s">
        <v>1823</v>
      </c>
      <c r="I8" s="390" t="s">
        <v>1827</v>
      </c>
      <c r="J8" s="390" t="s">
        <v>1833</v>
      </c>
      <c r="K8" s="390" t="s">
        <v>760</v>
      </c>
      <c r="L8" s="390" t="s">
        <v>877</v>
      </c>
      <c r="M8" s="390" t="s">
        <v>1846</v>
      </c>
      <c r="N8" s="390" t="s">
        <v>1851</v>
      </c>
      <c r="O8" s="390" t="s">
        <v>1854</v>
      </c>
      <c r="P8" s="390" t="s">
        <v>1464</v>
      </c>
      <c r="Q8" s="390" t="s">
        <v>1860</v>
      </c>
      <c r="R8" s="541" t="s">
        <v>1864</v>
      </c>
      <c r="S8" s="390" t="s">
        <v>1138</v>
      </c>
      <c r="T8" s="390" t="s">
        <v>1870</v>
      </c>
      <c r="U8" s="390" t="s">
        <v>1875</v>
      </c>
      <c r="V8" s="541" t="s">
        <v>1877</v>
      </c>
      <c r="W8" s="106"/>
      <c r="X8" s="399" t="s">
        <v>572</v>
      </c>
      <c r="Y8" s="402"/>
      <c r="Z8" s="399" t="s">
        <v>1882</v>
      </c>
      <c r="AA8" s="399" t="s">
        <v>1885</v>
      </c>
      <c r="AB8" s="399" t="s">
        <v>1889</v>
      </c>
      <c r="AC8" s="399" t="s">
        <v>438</v>
      </c>
      <c r="AD8" s="399" t="s">
        <v>1893</v>
      </c>
      <c r="AE8" s="399" t="s">
        <v>1898</v>
      </c>
      <c r="AF8" s="399" t="s">
        <v>1085</v>
      </c>
      <c r="AG8" s="399" t="s">
        <v>1908</v>
      </c>
      <c r="AH8" s="399" t="s">
        <v>1912</v>
      </c>
      <c r="AI8" s="399" t="s">
        <v>1916</v>
      </c>
      <c r="AJ8" s="399" t="s">
        <v>1918</v>
      </c>
      <c r="AK8" s="399" t="s">
        <v>1924</v>
      </c>
      <c r="AL8" s="105"/>
      <c r="AM8" s="407" t="s">
        <v>1932</v>
      </c>
      <c r="AN8" s="407" t="s">
        <v>1941</v>
      </c>
      <c r="AO8" s="412" t="s">
        <v>1954</v>
      </c>
      <c r="AP8" s="407" t="s">
        <v>1961</v>
      </c>
      <c r="AQ8" s="570" t="s">
        <v>810</v>
      </c>
      <c r="AR8" s="407" t="s">
        <v>1133</v>
      </c>
      <c r="AS8" s="407" t="s">
        <v>1972</v>
      </c>
      <c r="AT8" s="572" t="s">
        <v>1978</v>
      </c>
      <c r="AU8" s="407" t="s">
        <v>1989</v>
      </c>
      <c r="AV8" s="573" t="s">
        <v>1994</v>
      </c>
      <c r="AW8" s="407" t="s">
        <v>865</v>
      </c>
      <c r="AX8" s="575" t="s">
        <v>1999</v>
      </c>
      <c r="AY8" s="407" t="s">
        <v>426</v>
      </c>
      <c r="AZ8" s="570" t="s">
        <v>2012</v>
      </c>
      <c r="BA8" s="570"/>
      <c r="BB8" s="414" t="str">
        <f>HYPERLINK("https://www.youtube.com/watch?v=eFt2RrKz2X8","49.51")</f>
        <v>49.51</v>
      </c>
      <c r="BC8" s="417" t="s">
        <v>2023</v>
      </c>
      <c r="BD8" s="417" t="s">
        <v>884</v>
      </c>
      <c r="BE8" s="417" t="s">
        <v>2037</v>
      </c>
      <c r="BF8" s="417" t="s">
        <v>1634</v>
      </c>
      <c r="BG8" s="417" t="s">
        <v>2046</v>
      </c>
      <c r="BH8" s="417" t="s">
        <v>2051</v>
      </c>
      <c r="BI8" s="579" t="s">
        <v>2055</v>
      </c>
      <c r="BJ8" s="580"/>
      <c r="BK8" s="417" t="s">
        <v>2057</v>
      </c>
      <c r="BL8" s="417" t="s">
        <v>2063</v>
      </c>
      <c r="BM8" s="581" t="s">
        <v>2068</v>
      </c>
      <c r="BN8" s="417" t="s">
        <v>891</v>
      </c>
      <c r="BO8" s="417" t="s">
        <v>2074</v>
      </c>
      <c r="BP8" s="417" t="s">
        <v>484</v>
      </c>
      <c r="BQ8" s="417"/>
      <c r="BR8" s="422" t="s">
        <v>2083</v>
      </c>
      <c r="BS8" s="422" t="s">
        <v>2089</v>
      </c>
      <c r="BT8" s="422" t="s">
        <v>2096</v>
      </c>
      <c r="BU8" s="422" t="s">
        <v>2103</v>
      </c>
      <c r="BV8" s="422" t="s">
        <v>2109</v>
      </c>
      <c r="BW8" s="422" t="s">
        <v>2116</v>
      </c>
      <c r="BX8" s="589" t="s">
        <v>2119</v>
      </c>
      <c r="BY8" s="590"/>
      <c r="BZ8" s="422" t="s">
        <v>2122</v>
      </c>
      <c r="CA8" s="422" t="s">
        <v>2125</v>
      </c>
      <c r="CB8" s="592" t="s">
        <v>2130</v>
      </c>
      <c r="CC8" s="422" t="s">
        <v>2139</v>
      </c>
      <c r="CD8" s="422" t="s">
        <v>2144</v>
      </c>
      <c r="CE8" s="589" t="s">
        <v>2148</v>
      </c>
      <c r="CF8" s="589"/>
      <c r="CG8" s="433" t="s">
        <v>711</v>
      </c>
      <c r="CH8" s="433" t="s">
        <v>2152</v>
      </c>
      <c r="CI8" s="433" t="s">
        <v>2158</v>
      </c>
      <c r="CJ8" s="433" t="s">
        <v>2160</v>
      </c>
      <c r="CK8" s="434"/>
      <c r="CL8" s="433" t="s">
        <v>2165</v>
      </c>
      <c r="CM8" s="433" t="s">
        <v>2169</v>
      </c>
      <c r="CN8" s="433" t="s">
        <v>1162</v>
      </c>
      <c r="CO8" s="593" t="s">
        <v>1710</v>
      </c>
      <c r="CP8" s="433" t="s">
        <v>2185</v>
      </c>
      <c r="CQ8" s="433" t="s">
        <v>1226</v>
      </c>
      <c r="CR8" s="593"/>
      <c r="CS8" s="433" t="s">
        <v>2195</v>
      </c>
      <c r="CT8" s="433" t="s">
        <v>2202</v>
      </c>
      <c r="CU8" s="106"/>
      <c r="CV8" s="458" t="s">
        <v>2210</v>
      </c>
      <c r="CW8" s="458" t="s">
        <v>2213</v>
      </c>
      <c r="CX8" s="458" t="s">
        <v>2216</v>
      </c>
      <c r="CY8" s="458" t="s">
        <v>2220</v>
      </c>
      <c r="CZ8" s="458" t="s">
        <v>2225</v>
      </c>
      <c r="DA8" s="458" t="s">
        <v>2231</v>
      </c>
      <c r="DB8" s="458" t="s">
        <v>2237</v>
      </c>
      <c r="DC8" s="458" t="s">
        <v>1897</v>
      </c>
      <c r="DD8" s="458" t="s">
        <v>2245</v>
      </c>
      <c r="DE8" s="458" t="s">
        <v>2253</v>
      </c>
      <c r="DF8" s="458" t="s">
        <v>2256</v>
      </c>
      <c r="DG8" s="449" t="s">
        <v>2263</v>
      </c>
      <c r="DH8" s="467"/>
      <c r="DI8" s="481" t="s">
        <v>889</v>
      </c>
      <c r="DJ8" s="481" t="s">
        <v>2281</v>
      </c>
      <c r="DK8" s="481" t="s">
        <v>2291</v>
      </c>
      <c r="DL8" s="599" t="s">
        <v>2296</v>
      </c>
      <c r="DM8" s="599" t="s">
        <v>516</v>
      </c>
      <c r="DN8" s="481" t="s">
        <v>1188</v>
      </c>
      <c r="DO8" s="481" t="s">
        <v>2306</v>
      </c>
      <c r="DP8" s="481" t="s">
        <v>2313</v>
      </c>
      <c r="DQ8" s="481" t="s">
        <v>2316</v>
      </c>
      <c r="DR8" s="481" t="s">
        <v>2327</v>
      </c>
      <c r="DS8" s="481" t="s">
        <v>443</v>
      </c>
      <c r="DT8" s="481" t="s">
        <v>2336</v>
      </c>
      <c r="DU8" s="603" t="s">
        <v>2340</v>
      </c>
      <c r="DV8" s="481" t="s">
        <v>2347</v>
      </c>
      <c r="DW8" s="603" t="s">
        <v>2353</v>
      </c>
      <c r="DX8" s="481" t="s">
        <v>2361</v>
      </c>
      <c r="DY8" s="481" t="s">
        <v>509</v>
      </c>
      <c r="DZ8" s="481" t="s">
        <v>2372</v>
      </c>
      <c r="EA8" s="481" t="s">
        <v>2379</v>
      </c>
      <c r="EB8" s="481" t="s">
        <v>993</v>
      </c>
      <c r="EC8" s="481" t="s">
        <v>2388</v>
      </c>
      <c r="ED8" s="473" t="s">
        <v>430</v>
      </c>
    </row>
    <row r="9">
      <c r="A9" s="604" t="s">
        <v>91</v>
      </c>
      <c r="B9" s="245" t="s">
        <v>2407</v>
      </c>
      <c r="C9" s="246" t="s">
        <v>205</v>
      </c>
      <c r="D9" s="247" t="s">
        <v>274</v>
      </c>
      <c r="E9" s="248" t="s">
        <v>233</v>
      </c>
      <c r="F9" s="249" t="s">
        <v>571</v>
      </c>
      <c r="G9" s="245" t="s">
        <v>571</v>
      </c>
      <c r="H9" s="612" t="s">
        <v>1569</v>
      </c>
      <c r="I9" s="613" t="s">
        <v>1953</v>
      </c>
      <c r="J9" s="612" t="s">
        <v>2486</v>
      </c>
      <c r="K9" s="614" t="s">
        <v>585</v>
      </c>
      <c r="L9" s="612" t="s">
        <v>2502</v>
      </c>
      <c r="M9" s="612" t="s">
        <v>2512</v>
      </c>
      <c r="N9" s="615" t="str">
        <f>HYPERLINK("https://youtu.be/uVW1ZCaqMSU","1:07.25")</f>
        <v>1:07.25</v>
      </c>
      <c r="O9" s="616" t="s">
        <v>601</v>
      </c>
      <c r="P9" s="612" t="s">
        <v>2537</v>
      </c>
      <c r="Q9" s="612" t="s">
        <v>2540</v>
      </c>
      <c r="R9" s="612" t="s">
        <v>2546</v>
      </c>
      <c r="S9" s="251" t="s">
        <v>893</v>
      </c>
      <c r="T9" s="612" t="s">
        <v>2552</v>
      </c>
      <c r="U9" s="613" t="s">
        <v>1303</v>
      </c>
      <c r="V9" s="612" t="s">
        <v>431</v>
      </c>
      <c r="W9" s="620" t="str">
        <f>""</f>
        <v/>
      </c>
      <c r="X9" s="612" t="s">
        <v>406</v>
      </c>
      <c r="Y9" s="621"/>
      <c r="Z9" s="612" t="s">
        <v>2576</v>
      </c>
      <c r="AA9" s="612" t="s">
        <v>694</v>
      </c>
      <c r="AB9" s="623" t="s">
        <v>2581</v>
      </c>
      <c r="AC9" s="612" t="s">
        <v>1077</v>
      </c>
      <c r="AD9" s="612" t="s">
        <v>2589</v>
      </c>
      <c r="AE9" s="623" t="s">
        <v>2594</v>
      </c>
      <c r="AF9" s="612" t="s">
        <v>2598</v>
      </c>
      <c r="AG9" s="612" t="s">
        <v>402</v>
      </c>
      <c r="AH9" s="612" t="s">
        <v>2613</v>
      </c>
      <c r="AI9" s="612" t="s">
        <v>2615</v>
      </c>
      <c r="AJ9" s="612" t="s">
        <v>2618</v>
      </c>
      <c r="AK9" s="612" t="s">
        <v>2626</v>
      </c>
      <c r="AL9" s="627" t="str">
        <f>""</f>
        <v/>
      </c>
      <c r="AM9" s="612" t="s">
        <v>421</v>
      </c>
      <c r="AN9" s="612" t="s">
        <v>1878</v>
      </c>
      <c r="AO9" s="612" t="s">
        <v>2649</v>
      </c>
      <c r="AP9" s="612" t="s">
        <v>2652</v>
      </c>
      <c r="AQ9" s="629" t="str">
        <f>HYPERLINK("https://youtu.be/FzRgQHExyak","47.99")</f>
        <v>47.99</v>
      </c>
      <c r="AR9" s="629" t="str">
        <f>HYPERLINK("https://youtu.be/FzRgQHExyak","27.86")</f>
        <v>27.86</v>
      </c>
      <c r="AS9" s="629" t="str">
        <f>HYPERLINK("https://youtu.be/TwmYqI1hIac","8.71")</f>
        <v>8.71</v>
      </c>
      <c r="AT9" s="612" t="s">
        <v>1952</v>
      </c>
      <c r="AU9" s="612" t="s">
        <v>2660</v>
      </c>
      <c r="AV9" s="612" t="s">
        <v>2673</v>
      </c>
      <c r="AW9" s="612" t="s">
        <v>2683</v>
      </c>
      <c r="AX9" s="612" t="s">
        <v>2695</v>
      </c>
      <c r="AY9" s="612" t="s">
        <v>2701</v>
      </c>
      <c r="AZ9" s="612" t="s">
        <v>2716</v>
      </c>
      <c r="BA9" s="637" t="str">
        <f>""</f>
        <v/>
      </c>
      <c r="BB9" s="612" t="s">
        <v>353</v>
      </c>
      <c r="BC9" s="612" t="s">
        <v>2729</v>
      </c>
      <c r="BD9" s="612" t="s">
        <v>884</v>
      </c>
      <c r="BE9" s="612" t="s">
        <v>2732</v>
      </c>
      <c r="BF9" s="612" t="s">
        <v>2736</v>
      </c>
      <c r="BG9" s="612" t="s">
        <v>2737</v>
      </c>
      <c r="BH9" s="612" t="s">
        <v>2740</v>
      </c>
      <c r="BI9" s="612" t="s">
        <v>2742</v>
      </c>
      <c r="BJ9" s="612" t="s">
        <v>2744</v>
      </c>
      <c r="BK9" s="637"/>
      <c r="BL9" s="612" t="s">
        <v>2750</v>
      </c>
      <c r="BM9" s="612" t="s">
        <v>2757</v>
      </c>
      <c r="BN9" s="612" t="s">
        <v>2761</v>
      </c>
      <c r="BO9" s="612" t="s">
        <v>2762</v>
      </c>
      <c r="BP9" s="612" t="s">
        <v>2603</v>
      </c>
      <c r="BQ9" s="641" t="str">
        <f>""</f>
        <v/>
      </c>
      <c r="BR9" s="612" t="s">
        <v>2767</v>
      </c>
      <c r="BS9" s="612" t="s">
        <v>2773</v>
      </c>
      <c r="BT9" s="612" t="s">
        <v>626</v>
      </c>
      <c r="BU9" s="612" t="s">
        <v>1894</v>
      </c>
      <c r="BV9" s="612" t="s">
        <v>2782</v>
      </c>
      <c r="BW9" s="612" t="s">
        <v>2787</v>
      </c>
      <c r="BX9" s="612" t="s">
        <v>2792</v>
      </c>
      <c r="BY9" s="612" t="s">
        <v>2795</v>
      </c>
      <c r="BZ9" s="612" t="s">
        <v>2802</v>
      </c>
      <c r="CA9" s="612" t="s">
        <v>2808</v>
      </c>
      <c r="CB9" s="612" t="s">
        <v>2813</v>
      </c>
      <c r="CC9" s="612" t="s">
        <v>2817</v>
      </c>
      <c r="CD9" s="612" t="s">
        <v>2818</v>
      </c>
      <c r="CE9" s="612" t="s">
        <v>2826</v>
      </c>
      <c r="CF9" s="641" t="str">
        <f>""</f>
        <v/>
      </c>
      <c r="CG9" s="612" t="s">
        <v>2845</v>
      </c>
      <c r="CH9" s="612" t="s">
        <v>2855</v>
      </c>
      <c r="CI9" s="612" t="s">
        <v>2080</v>
      </c>
      <c r="CJ9" s="612" t="s">
        <v>2865</v>
      </c>
      <c r="CK9" s="621"/>
      <c r="CL9" s="612" t="s">
        <v>1786</v>
      </c>
      <c r="CM9" s="612" t="s">
        <v>740</v>
      </c>
      <c r="CN9" s="612" t="s">
        <v>1397</v>
      </c>
      <c r="CO9" s="612" t="s">
        <v>1768</v>
      </c>
      <c r="CP9" s="612" t="s">
        <v>2879</v>
      </c>
      <c r="CQ9" s="612" t="s">
        <v>1805</v>
      </c>
      <c r="CR9" s="637"/>
      <c r="CS9" s="612" t="s">
        <v>1804</v>
      </c>
      <c r="CT9" s="612" t="s">
        <v>2888</v>
      </c>
      <c r="CU9" s="620" t="str">
        <f>""</f>
        <v/>
      </c>
      <c r="CV9" s="612" t="s">
        <v>2893</v>
      </c>
      <c r="CW9" s="612" t="s">
        <v>2902</v>
      </c>
      <c r="CX9" s="612" t="s">
        <v>2906</v>
      </c>
      <c r="CY9" s="612" t="s">
        <v>2916</v>
      </c>
      <c r="CZ9" s="612" t="s">
        <v>2927</v>
      </c>
      <c r="DA9" s="612" t="s">
        <v>527</v>
      </c>
      <c r="DB9" s="612" t="s">
        <v>2939</v>
      </c>
      <c r="DC9" s="612" t="s">
        <v>2763</v>
      </c>
      <c r="DD9" s="612" t="s">
        <v>2946</v>
      </c>
      <c r="DE9" s="612" t="s">
        <v>2948</v>
      </c>
      <c r="DF9" s="612" t="s">
        <v>635</v>
      </c>
      <c r="DG9" s="612" t="s">
        <v>2955</v>
      </c>
      <c r="DH9" s="637" t="str">
        <f>""</f>
        <v/>
      </c>
      <c r="DI9" s="612" t="s">
        <v>1171</v>
      </c>
      <c r="DJ9" s="613" t="s">
        <v>2333</v>
      </c>
      <c r="DK9" s="613" t="s">
        <v>1080</v>
      </c>
      <c r="DL9" s="637"/>
      <c r="DM9" s="616" t="s">
        <v>516</v>
      </c>
      <c r="DN9" s="612" t="s">
        <v>830</v>
      </c>
      <c r="DO9" s="612" t="s">
        <v>491</v>
      </c>
      <c r="DP9" s="612" t="s">
        <v>2994</v>
      </c>
      <c r="DQ9" s="612" t="s">
        <v>3000</v>
      </c>
      <c r="DR9" s="612" t="s">
        <v>3001</v>
      </c>
      <c r="DS9" s="612" t="s">
        <v>3005</v>
      </c>
      <c r="DT9" s="612" t="s">
        <v>3009</v>
      </c>
      <c r="DU9" s="616" t="s">
        <v>2610</v>
      </c>
      <c r="DV9" s="612" t="s">
        <v>3016</v>
      </c>
      <c r="DW9" s="629" t="str">
        <f>HYPERLINK("https://youtu.be/EiRuckwjMJk","22.80")</f>
        <v>22.80</v>
      </c>
      <c r="DX9" s="656" t="s">
        <v>3039</v>
      </c>
      <c r="DY9" s="612" t="s">
        <v>557</v>
      </c>
      <c r="DZ9" s="612" t="s">
        <v>3062</v>
      </c>
      <c r="EA9" s="612" t="s">
        <v>3067</v>
      </c>
      <c r="EB9" s="612" t="s">
        <v>561</v>
      </c>
      <c r="EC9" s="612" t="s">
        <v>3081</v>
      </c>
      <c r="ED9" s="612" t="s">
        <v>430</v>
      </c>
    </row>
    <row r="10">
      <c r="A10" s="659" t="s">
        <v>47</v>
      </c>
      <c r="B10" s="378" t="s">
        <v>3098</v>
      </c>
      <c r="C10" s="379" t="s">
        <v>171</v>
      </c>
      <c r="D10" s="380" t="s">
        <v>171</v>
      </c>
      <c r="E10" s="381" t="s">
        <v>274</v>
      </c>
      <c r="F10" s="382" t="s">
        <v>3102</v>
      </c>
      <c r="G10" s="378" t="s">
        <v>3104</v>
      </c>
      <c r="H10" s="541" t="s">
        <v>214</v>
      </c>
      <c r="I10" s="541" t="s">
        <v>308</v>
      </c>
      <c r="J10" s="387" t="str">
        <f>HYPERLINK("https://www.youtube.com/watch?v=tkQbymSQ2xo","37.07")</f>
        <v>37.07</v>
      </c>
      <c r="K10" s="387" t="s">
        <v>3111</v>
      </c>
      <c r="L10" s="387" t="s">
        <v>891</v>
      </c>
      <c r="M10" s="541" t="s">
        <v>3117</v>
      </c>
      <c r="N10" s="666" t="s">
        <v>3118</v>
      </c>
      <c r="O10" s="387" t="s">
        <v>3119</v>
      </c>
      <c r="P10" s="390" t="s">
        <v>422</v>
      </c>
      <c r="Q10" s="541" t="s">
        <v>3128</v>
      </c>
      <c r="R10" s="390" t="s">
        <v>3131</v>
      </c>
      <c r="S10" s="390" t="s">
        <v>468</v>
      </c>
      <c r="T10" s="390" t="s">
        <v>2618</v>
      </c>
      <c r="U10" s="541" t="s">
        <v>429</v>
      </c>
      <c r="V10" s="541" t="s">
        <v>3142</v>
      </c>
      <c r="W10" s="106"/>
      <c r="X10" s="399" t="s">
        <v>1742</v>
      </c>
      <c r="Y10" s="402"/>
      <c r="Z10" s="399" t="s">
        <v>1479</v>
      </c>
      <c r="AA10" s="669" t="s">
        <v>3152</v>
      </c>
      <c r="AB10" s="395" t="s">
        <v>2518</v>
      </c>
      <c r="AC10" s="395" t="s">
        <v>2650</v>
      </c>
      <c r="AD10" s="395" t="s">
        <v>2925</v>
      </c>
      <c r="AE10" s="399" t="s">
        <v>3168</v>
      </c>
      <c r="AF10" s="399" t="s">
        <v>442</v>
      </c>
      <c r="AG10" s="395" t="str">
        <f>HYPERLINK("https://www.youtube.com/watch?v=oqSoo8shf5E","15.02")</f>
        <v>15.02</v>
      </c>
      <c r="AH10" s="670" t="s">
        <v>3182</v>
      </c>
      <c r="AI10" s="397"/>
      <c r="AJ10" s="395" t="str">
        <f>HYPERLINK("https://www.youtube.com/watch?v=8BrDAvD-IV4","1:01.54")</f>
        <v>1:01.54</v>
      </c>
      <c r="AK10" s="399" t="s">
        <v>3189</v>
      </c>
      <c r="AL10" s="105"/>
      <c r="AM10" s="671" t="s">
        <v>1214</v>
      </c>
      <c r="AN10" s="406" t="s">
        <v>3191</v>
      </c>
      <c r="AO10" s="407" t="s">
        <v>3194</v>
      </c>
      <c r="AP10" s="570" t="s">
        <v>3200</v>
      </c>
      <c r="AQ10" s="407" t="s">
        <v>3202</v>
      </c>
      <c r="AR10" s="407" t="s">
        <v>3209</v>
      </c>
      <c r="AS10" s="570" t="s">
        <v>3214</v>
      </c>
      <c r="AT10" s="570" t="s">
        <v>3215</v>
      </c>
      <c r="AU10" s="407" t="s">
        <v>529</v>
      </c>
      <c r="AV10" s="407" t="s">
        <v>3216</v>
      </c>
      <c r="AW10" s="407" t="s">
        <v>329</v>
      </c>
      <c r="AX10" s="407" t="s">
        <v>463</v>
      </c>
      <c r="AY10" s="570" t="s">
        <v>1095</v>
      </c>
      <c r="AZ10" s="407" t="s">
        <v>3224</v>
      </c>
      <c r="BA10" s="413"/>
      <c r="BB10" s="417" t="s">
        <v>3229</v>
      </c>
      <c r="BC10" s="417" t="s">
        <v>1668</v>
      </c>
      <c r="BD10" s="414" t="str">
        <f>HYPERLINK("https://youtu.be/-cZziOaZ-0M","28.57")</f>
        <v>28.57</v>
      </c>
      <c r="BE10" s="417" t="s">
        <v>3236</v>
      </c>
      <c r="BF10" s="579" t="s">
        <v>3239</v>
      </c>
      <c r="BG10" s="581" t="s">
        <v>3240</v>
      </c>
      <c r="BH10" s="674" t="s">
        <v>3241</v>
      </c>
      <c r="BI10" s="414" t="s">
        <v>1157</v>
      </c>
      <c r="BJ10" s="414" t="str">
        <f>HYPERLINK("https://youtu.be/9gxH3aJW5Tg", "1:16.85")</f>
        <v>1:16.85</v>
      </c>
      <c r="BK10" s="580"/>
      <c r="BL10" s="417" t="s">
        <v>3246</v>
      </c>
      <c r="BM10" s="581" t="s">
        <v>3249</v>
      </c>
      <c r="BN10" s="675" t="s">
        <v>781</v>
      </c>
      <c r="BO10" s="417" t="s">
        <v>482</v>
      </c>
      <c r="BP10" s="579" t="s">
        <v>3252</v>
      </c>
      <c r="BQ10" s="579"/>
      <c r="BR10" s="589" t="s">
        <v>3254</v>
      </c>
      <c r="BS10" s="422" t="s">
        <v>1583</v>
      </c>
      <c r="BT10" s="421" t="s">
        <v>1184</v>
      </c>
      <c r="BU10" s="421" t="s">
        <v>967</v>
      </c>
      <c r="BV10" s="422" t="s">
        <v>3261</v>
      </c>
      <c r="BW10" s="421" t="str">
        <f>HYPERLINK("https://youtu.be/Rjvv1xMLao8","21.26")</f>
        <v>21.26</v>
      </c>
      <c r="BX10" s="589" t="s">
        <v>3279</v>
      </c>
      <c r="BY10" s="421" t="s">
        <v>3281</v>
      </c>
      <c r="BZ10" s="422" t="s">
        <v>3291</v>
      </c>
      <c r="CA10" s="422" t="s">
        <v>3301</v>
      </c>
      <c r="CB10" s="592" t="s">
        <v>2130</v>
      </c>
      <c r="CC10" s="421" t="str">
        <f>HYPERLINK("https://www.youtube.com/watch?v=_HQgQjbTLjM","1:11.35")</f>
        <v>1:11.35</v>
      </c>
      <c r="CD10" s="422" t="s">
        <v>3314</v>
      </c>
      <c r="CE10" s="422" t="s">
        <v>3316</v>
      </c>
      <c r="CF10" s="424"/>
      <c r="CG10" s="428" t="s">
        <v>876</v>
      </c>
      <c r="CH10" s="428" t="s">
        <v>2055</v>
      </c>
      <c r="CI10" s="432" t="str">
        <f>HYPERLINK("https://www.youtube.com/watch?v=aWzlUqH0LaM","31.73")</f>
        <v>31.73</v>
      </c>
      <c r="CJ10" s="433" t="s">
        <v>3332</v>
      </c>
      <c r="CK10" s="434"/>
      <c r="CL10" s="433" t="s">
        <v>3339</v>
      </c>
      <c r="CM10" s="428" t="str">
        <f>HYPERLINK("https://www.youtube.com/watch?v=LZjT27th0oY","50.99")</f>
        <v>50.99</v>
      </c>
      <c r="CN10" s="428" t="s">
        <v>3358</v>
      </c>
      <c r="CO10" s="433" t="s">
        <v>3364</v>
      </c>
      <c r="CP10" s="433" t="s">
        <v>3365</v>
      </c>
      <c r="CQ10" s="433" t="s">
        <v>3369</v>
      </c>
      <c r="CR10" s="431"/>
      <c r="CS10" s="432" t="str">
        <f>HYPERLINK("https://www.youtube.com/watch?v=yFzs8Y2mRjU","1:11.12")</f>
        <v>1:11.12</v>
      </c>
      <c r="CT10" s="433" t="s">
        <v>3374</v>
      </c>
      <c r="CU10" s="106"/>
      <c r="CV10" s="444" t="str">
        <f>HYPERLINK("https://www.youtube.com/watch?v=z8eq5ALteYM","43.11")</f>
        <v>43.11</v>
      </c>
      <c r="CW10" s="458" t="s">
        <v>3380</v>
      </c>
      <c r="CX10" s="444" t="s">
        <v>865</v>
      </c>
      <c r="CY10" s="444" t="s">
        <v>3386</v>
      </c>
      <c r="CZ10" s="683" t="s">
        <v>1770</v>
      </c>
      <c r="DA10" s="444" t="s">
        <v>527</v>
      </c>
      <c r="DB10" s="444" t="s">
        <v>3389</v>
      </c>
      <c r="DC10" s="458" t="s">
        <v>3395</v>
      </c>
      <c r="DD10" s="458" t="s">
        <v>3397</v>
      </c>
      <c r="DE10" s="458" t="s">
        <v>3402</v>
      </c>
      <c r="DF10" s="458" t="s">
        <v>1528</v>
      </c>
      <c r="DG10" s="458" t="s">
        <v>3407</v>
      </c>
      <c r="DH10" s="467"/>
      <c r="DI10" s="473" t="s">
        <v>877</v>
      </c>
      <c r="DJ10" s="481" t="s">
        <v>3412</v>
      </c>
      <c r="DK10" s="685" t="s">
        <v>3413</v>
      </c>
      <c r="DL10" s="686"/>
      <c r="DM10" s="599" t="s">
        <v>516</v>
      </c>
      <c r="DN10" s="481" t="s">
        <v>3420</v>
      </c>
      <c r="DO10" s="481" t="s">
        <v>3427</v>
      </c>
      <c r="DP10" s="481" t="s">
        <v>3431</v>
      </c>
      <c r="DQ10" s="481" t="s">
        <v>3436</v>
      </c>
      <c r="DR10" s="481" t="s">
        <v>1186</v>
      </c>
      <c r="DS10" s="688" t="s">
        <v>3439</v>
      </c>
      <c r="DT10" s="473" t="s">
        <v>3440</v>
      </c>
      <c r="DU10" s="481" t="s">
        <v>801</v>
      </c>
      <c r="DV10" s="481" t="s">
        <v>3445</v>
      </c>
      <c r="DW10" s="481" t="s">
        <v>3449</v>
      </c>
      <c r="DX10" s="481" t="s">
        <v>3459</v>
      </c>
      <c r="DY10" s="481" t="s">
        <v>1803</v>
      </c>
      <c r="DZ10" s="481" t="s">
        <v>3465</v>
      </c>
      <c r="EA10" s="481" t="s">
        <v>3471</v>
      </c>
      <c r="EB10" s="481" t="s">
        <v>3476</v>
      </c>
      <c r="EC10" s="685" t="s">
        <v>3479</v>
      </c>
      <c r="ED10" s="473" t="s">
        <v>430</v>
      </c>
    </row>
    <row r="11">
      <c r="A11" s="697" t="s">
        <v>86</v>
      </c>
      <c r="B11" s="698" t="s">
        <v>3486</v>
      </c>
      <c r="C11" s="699" t="s">
        <v>176</v>
      </c>
      <c r="D11" s="700" t="s">
        <v>270</v>
      </c>
      <c r="E11" s="701" t="s">
        <v>178</v>
      </c>
      <c r="F11" s="702" t="s">
        <v>3490</v>
      </c>
      <c r="G11" s="698" t="s">
        <v>3490</v>
      </c>
      <c r="H11" s="705" t="s">
        <v>3491</v>
      </c>
      <c r="I11" s="705" t="s">
        <v>3494</v>
      </c>
      <c r="J11" s="707" t="s">
        <v>3496</v>
      </c>
      <c r="K11" s="614" t="s">
        <v>585</v>
      </c>
      <c r="L11" s="705" t="s">
        <v>1089</v>
      </c>
      <c r="M11" s="705" t="s">
        <v>3503</v>
      </c>
      <c r="N11" s="710" t="s">
        <v>3504</v>
      </c>
      <c r="O11" s="705" t="s">
        <v>1538</v>
      </c>
      <c r="P11" s="705" t="s">
        <v>2537</v>
      </c>
      <c r="Q11" s="320"/>
      <c r="R11" s="718"/>
      <c r="S11" s="705" t="s">
        <v>1066</v>
      </c>
      <c r="T11" s="718"/>
      <c r="U11" s="718"/>
      <c r="V11" s="705" t="s">
        <v>3511</v>
      </c>
      <c r="W11" s="723"/>
      <c r="X11" s="705" t="s">
        <v>3514</v>
      </c>
      <c r="Y11" s="726"/>
      <c r="Z11" s="705" t="s">
        <v>1479</v>
      </c>
      <c r="AA11" s="705" t="s">
        <v>700</v>
      </c>
      <c r="AB11" s="710" t="s">
        <v>3530</v>
      </c>
      <c r="AC11" s="705" t="s">
        <v>2650</v>
      </c>
      <c r="AD11" s="705" t="s">
        <v>3259</v>
      </c>
      <c r="AE11" s="718"/>
      <c r="AF11" s="705" t="s">
        <v>3545</v>
      </c>
      <c r="AG11" s="705" t="s">
        <v>402</v>
      </c>
      <c r="AH11" s="718"/>
      <c r="AI11" s="718"/>
      <c r="AJ11" s="705" t="s">
        <v>3552</v>
      </c>
      <c r="AK11" s="705" t="s">
        <v>3557</v>
      </c>
      <c r="AL11" s="734"/>
      <c r="AM11" s="705" t="s">
        <v>3559</v>
      </c>
      <c r="AN11" s="705" t="s">
        <v>3561</v>
      </c>
      <c r="AO11" s="718"/>
      <c r="AP11" s="718"/>
      <c r="AQ11" s="718"/>
      <c r="AR11" s="718"/>
      <c r="AS11" s="718"/>
      <c r="AT11" s="718"/>
      <c r="AU11" s="705" t="s">
        <v>529</v>
      </c>
      <c r="AV11" s="705" t="s">
        <v>3571</v>
      </c>
      <c r="AW11" s="705" t="s">
        <v>2244</v>
      </c>
      <c r="AX11" s="718"/>
      <c r="AY11" s="707" t="s">
        <v>3576</v>
      </c>
      <c r="AZ11" s="718"/>
      <c r="BA11" s="718"/>
      <c r="BB11" s="705" t="s">
        <v>3584</v>
      </c>
      <c r="BC11" s="710" t="s">
        <v>3588</v>
      </c>
      <c r="BD11" s="710" t="s">
        <v>1402</v>
      </c>
      <c r="BE11" s="705" t="s">
        <v>1150</v>
      </c>
      <c r="BF11" s="705" t="s">
        <v>3604</v>
      </c>
      <c r="BG11" s="705" t="s">
        <v>1129</v>
      </c>
      <c r="BH11" s="707" t="s">
        <v>3614</v>
      </c>
      <c r="BI11" s="705" t="s">
        <v>985</v>
      </c>
      <c r="BJ11" s="718"/>
      <c r="BK11" s="710" t="s">
        <v>3620</v>
      </c>
      <c r="BL11" s="705" t="s">
        <v>3624</v>
      </c>
      <c r="BM11" s="718"/>
      <c r="BN11" s="705" t="s">
        <v>3633</v>
      </c>
      <c r="BO11" s="705" t="s">
        <v>3635</v>
      </c>
      <c r="BP11" s="718"/>
      <c r="BQ11" s="746"/>
      <c r="BR11" s="705" t="s">
        <v>3638</v>
      </c>
      <c r="BS11" s="705" t="s">
        <v>3640</v>
      </c>
      <c r="BT11" s="705" t="s">
        <v>3644</v>
      </c>
      <c r="BU11" s="710" t="s">
        <v>3647</v>
      </c>
      <c r="BV11" s="705" t="s">
        <v>3648</v>
      </c>
      <c r="BW11" s="705" t="s">
        <v>3649</v>
      </c>
      <c r="BX11" s="705" t="s">
        <v>3653</v>
      </c>
      <c r="BY11" s="705" t="s">
        <v>3658</v>
      </c>
      <c r="BZ11" s="705" t="s">
        <v>3665</v>
      </c>
      <c r="CA11" s="705" t="s">
        <v>3667</v>
      </c>
      <c r="CB11" s="718"/>
      <c r="CC11" s="257" t="s">
        <v>3670</v>
      </c>
      <c r="CD11" s="705" t="s">
        <v>3676</v>
      </c>
      <c r="CE11" s="705" t="s">
        <v>3679</v>
      </c>
      <c r="CF11" s="746"/>
      <c r="CG11" s="710" t="s">
        <v>3683</v>
      </c>
      <c r="CH11" s="705" t="s">
        <v>1506</v>
      </c>
      <c r="CI11" s="705" t="s">
        <v>3684</v>
      </c>
      <c r="CJ11" s="705" t="s">
        <v>3692</v>
      </c>
      <c r="CK11" s="726"/>
      <c r="CL11" s="705" t="s">
        <v>3705</v>
      </c>
      <c r="CM11" s="707" t="s">
        <v>3711</v>
      </c>
      <c r="CN11" s="705" t="s">
        <v>3715</v>
      </c>
      <c r="CO11" s="705" t="s">
        <v>1231</v>
      </c>
      <c r="CP11" s="718"/>
      <c r="CQ11" s="710" t="s">
        <v>3727</v>
      </c>
      <c r="CR11" s="718"/>
      <c r="CS11" s="718"/>
      <c r="CT11" s="718"/>
      <c r="CU11" s="723"/>
      <c r="CV11" s="705" t="s">
        <v>1118</v>
      </c>
      <c r="CW11" s="705" t="s">
        <v>3740</v>
      </c>
      <c r="CX11" s="705" t="s">
        <v>3753</v>
      </c>
      <c r="CY11" s="705" t="s">
        <v>847</v>
      </c>
      <c r="CZ11" s="710" t="s">
        <v>3761</v>
      </c>
      <c r="DA11" s="705" t="s">
        <v>3763</v>
      </c>
      <c r="DB11" s="705" t="s">
        <v>3764</v>
      </c>
      <c r="DC11" s="705" t="s">
        <v>529</v>
      </c>
      <c r="DD11" s="705" t="s">
        <v>3768</v>
      </c>
      <c r="DE11" s="758"/>
      <c r="DF11" s="718"/>
      <c r="DG11" s="705" t="s">
        <v>3771</v>
      </c>
      <c r="DH11" s="718"/>
      <c r="DI11" s="705" t="s">
        <v>1065</v>
      </c>
      <c r="DJ11" s="718"/>
      <c r="DK11" s="718"/>
      <c r="DL11" s="718"/>
      <c r="DM11" s="762" t="s">
        <v>516</v>
      </c>
      <c r="DN11" s="763" t="s">
        <v>3484</v>
      </c>
      <c r="DO11" s="710" t="s">
        <v>556</v>
      </c>
      <c r="DP11" s="614" t="s">
        <v>3784</v>
      </c>
      <c r="DQ11" s="765" t="s">
        <v>545</v>
      </c>
      <c r="DR11" s="705" t="s">
        <v>3788</v>
      </c>
      <c r="DS11" s="705" t="s">
        <v>3794</v>
      </c>
      <c r="DT11" s="718"/>
      <c r="DU11" s="705" t="s">
        <v>3796</v>
      </c>
      <c r="DV11" s="707" t="s">
        <v>3547</v>
      </c>
      <c r="DW11" s="718"/>
      <c r="DX11" s="718"/>
      <c r="DY11" s="705" t="s">
        <v>3799</v>
      </c>
      <c r="DZ11" s="614" t="s">
        <v>457</v>
      </c>
      <c r="EA11" s="705" t="s">
        <v>3802</v>
      </c>
      <c r="EB11" s="707" t="s">
        <v>3804</v>
      </c>
      <c r="EC11" s="707" t="s">
        <v>3808</v>
      </c>
      <c r="ED11" s="710" t="s">
        <v>3810</v>
      </c>
    </row>
    <row r="12">
      <c r="A12" s="377" t="s">
        <v>536</v>
      </c>
      <c r="B12" s="378" t="s">
        <v>3811</v>
      </c>
      <c r="C12" s="379" t="s">
        <v>233</v>
      </c>
      <c r="D12" s="380" t="s">
        <v>176</v>
      </c>
      <c r="E12" s="381" t="s">
        <v>274</v>
      </c>
      <c r="F12" s="382" t="s">
        <v>3817</v>
      </c>
      <c r="G12" s="378" t="s">
        <v>3104</v>
      </c>
      <c r="H12" s="387" t="s">
        <v>213</v>
      </c>
      <c r="I12" s="541" t="s">
        <v>307</v>
      </c>
      <c r="J12" s="387" t="s">
        <v>3826</v>
      </c>
      <c r="K12" s="387" t="s">
        <v>3830</v>
      </c>
      <c r="L12" s="387" t="s">
        <v>889</v>
      </c>
      <c r="M12" s="390" t="s">
        <v>3838</v>
      </c>
      <c r="N12" s="541" t="s">
        <v>3844</v>
      </c>
      <c r="O12" s="387" t="s">
        <v>3846</v>
      </c>
      <c r="P12" s="390" t="s">
        <v>1467</v>
      </c>
      <c r="Q12" s="541" t="s">
        <v>586</v>
      </c>
      <c r="R12" s="541"/>
      <c r="S12" s="387" t="s">
        <v>2761</v>
      </c>
      <c r="T12" s="387" t="s">
        <v>2618</v>
      </c>
      <c r="U12" s="775" t="s">
        <v>800</v>
      </c>
      <c r="V12" s="387" t="s">
        <v>1703</v>
      </c>
      <c r="W12" s="777"/>
      <c r="X12" s="395" t="s">
        <v>166</v>
      </c>
      <c r="Y12" s="397"/>
      <c r="Z12" s="395" t="s">
        <v>1882</v>
      </c>
      <c r="AA12" s="399" t="s">
        <v>2310</v>
      </c>
      <c r="AB12" s="399" t="s">
        <v>243</v>
      </c>
      <c r="AC12" s="399" t="s">
        <v>3880</v>
      </c>
      <c r="AD12" s="395" t="s">
        <v>1553</v>
      </c>
      <c r="AE12" s="399" t="s">
        <v>1081</v>
      </c>
      <c r="AF12" s="780" t="s">
        <v>1560</v>
      </c>
      <c r="AG12" s="670" t="s">
        <v>3353</v>
      </c>
      <c r="AH12" s="395" t="s">
        <v>3885</v>
      </c>
      <c r="AI12" s="399" t="s">
        <v>3889</v>
      </c>
      <c r="AJ12" s="670" t="s">
        <v>3890</v>
      </c>
      <c r="AK12" s="395" t="s">
        <v>3501</v>
      </c>
      <c r="AL12" s="105"/>
      <c r="AM12" s="407" t="s">
        <v>3548</v>
      </c>
      <c r="AN12" s="570" t="s">
        <v>3575</v>
      </c>
      <c r="AO12" s="407" t="s">
        <v>3631</v>
      </c>
      <c r="AP12" s="570" t="s">
        <v>3894</v>
      </c>
      <c r="AQ12" s="570" t="s">
        <v>3722</v>
      </c>
      <c r="AR12" s="570"/>
      <c r="AS12" s="572" t="s">
        <v>706</v>
      </c>
      <c r="AT12" s="406" t="s">
        <v>3807</v>
      </c>
      <c r="AU12" s="407" t="s">
        <v>2660</v>
      </c>
      <c r="AV12" s="407" t="s">
        <v>3900</v>
      </c>
      <c r="AW12" s="407" t="s">
        <v>656</v>
      </c>
      <c r="AX12" s="570" t="s">
        <v>3907</v>
      </c>
      <c r="AY12" s="406" t="s">
        <v>3908</v>
      </c>
      <c r="AZ12" s="570" t="s">
        <v>3911</v>
      </c>
      <c r="BA12" s="570"/>
      <c r="BB12" s="417" t="s">
        <v>3912</v>
      </c>
      <c r="BC12" s="417" t="s">
        <v>3919</v>
      </c>
      <c r="BD12" s="417" t="s">
        <v>469</v>
      </c>
      <c r="BE12" s="417" t="s">
        <v>3926</v>
      </c>
      <c r="BF12" s="417" t="s">
        <v>3927</v>
      </c>
      <c r="BG12" s="581" t="s">
        <v>3928</v>
      </c>
      <c r="BH12" s="581" t="s">
        <v>3929</v>
      </c>
      <c r="BI12" s="417" t="s">
        <v>3930</v>
      </c>
      <c r="BJ12" s="580"/>
      <c r="BK12" s="414" t="s">
        <v>3934</v>
      </c>
      <c r="BL12" s="414" t="s">
        <v>479</v>
      </c>
      <c r="BM12" s="581" t="s">
        <v>511</v>
      </c>
      <c r="BN12" s="414" t="s">
        <v>3938</v>
      </c>
      <c r="BO12" s="417" t="s">
        <v>3941</v>
      </c>
      <c r="BP12" s="417" t="s">
        <v>3943</v>
      </c>
      <c r="BQ12" s="784"/>
      <c r="BR12" s="589" t="s">
        <v>3945</v>
      </c>
      <c r="BS12" s="421" t="s">
        <v>3947</v>
      </c>
      <c r="BT12" s="421" t="s">
        <v>3948</v>
      </c>
      <c r="BU12" s="421" t="s">
        <v>3950</v>
      </c>
      <c r="BV12" s="422" t="s">
        <v>3951</v>
      </c>
      <c r="BW12" s="422" t="s">
        <v>3953</v>
      </c>
      <c r="BX12" s="589" t="s">
        <v>3959</v>
      </c>
      <c r="BY12" s="589" t="s">
        <v>3960</v>
      </c>
      <c r="BZ12" s="589" t="s">
        <v>3961</v>
      </c>
      <c r="CA12" s="422" t="s">
        <v>786</v>
      </c>
      <c r="CB12" s="589" t="s">
        <v>3962</v>
      </c>
      <c r="CC12" s="589" t="s">
        <v>3963</v>
      </c>
      <c r="CD12" s="589" t="s">
        <v>3964</v>
      </c>
      <c r="CE12" s="421" t="s">
        <v>505</v>
      </c>
      <c r="CF12" s="785"/>
      <c r="CG12" s="433" t="s">
        <v>2919</v>
      </c>
      <c r="CH12" s="433" t="s">
        <v>3968</v>
      </c>
      <c r="CI12" s="433" t="s">
        <v>508</v>
      </c>
      <c r="CJ12" s="593" t="s">
        <v>3977</v>
      </c>
      <c r="CK12" s="593"/>
      <c r="CL12" s="786" t="s">
        <v>1222</v>
      </c>
      <c r="CM12" s="593" t="s">
        <v>513</v>
      </c>
      <c r="CN12" s="428" t="s">
        <v>3979</v>
      </c>
      <c r="CO12" s="433" t="s">
        <v>1710</v>
      </c>
      <c r="CP12" s="428" t="s">
        <v>517</v>
      </c>
      <c r="CQ12" s="433" t="s">
        <v>518</v>
      </c>
      <c r="CR12" s="789" t="s">
        <v>3986</v>
      </c>
      <c r="CS12" s="791" t="s">
        <v>3670</v>
      </c>
      <c r="CT12" s="433" t="s">
        <v>3993</v>
      </c>
      <c r="CU12" s="106"/>
      <c r="CV12" s="683" t="s">
        <v>971</v>
      </c>
      <c r="CW12" s="792" t="s">
        <v>880</v>
      </c>
      <c r="CX12" s="793" t="s">
        <v>3880</v>
      </c>
      <c r="CY12" s="683" t="s">
        <v>971</v>
      </c>
      <c r="CZ12" s="683" t="s">
        <v>3997</v>
      </c>
      <c r="DA12" s="458" t="s">
        <v>3999</v>
      </c>
      <c r="DB12" s="683" t="s">
        <v>4004</v>
      </c>
      <c r="DC12" s="458" t="s">
        <v>1346</v>
      </c>
      <c r="DD12" s="793" t="s">
        <v>4007</v>
      </c>
      <c r="DE12" s="458" t="s">
        <v>4009</v>
      </c>
      <c r="DF12" s="794" t="s">
        <v>801</v>
      </c>
      <c r="DG12" s="444" t="s">
        <v>4012</v>
      </c>
      <c r="DH12" s="795"/>
      <c r="DI12" s="473" t="s">
        <v>2761</v>
      </c>
      <c r="DJ12" s="481" t="s">
        <v>3060</v>
      </c>
      <c r="DK12" s="481" t="s">
        <v>785</v>
      </c>
      <c r="DL12" s="685"/>
      <c r="DM12" s="599" t="s">
        <v>516</v>
      </c>
      <c r="DN12" s="685" t="s">
        <v>4017</v>
      </c>
      <c r="DO12" s="481" t="s">
        <v>4018</v>
      </c>
      <c r="DP12" s="481" t="s">
        <v>541</v>
      </c>
      <c r="DQ12" s="481" t="s">
        <v>2316</v>
      </c>
      <c r="DR12" s="473" t="s">
        <v>4019</v>
      </c>
      <c r="DS12" s="473" t="s">
        <v>2684</v>
      </c>
      <c r="DT12" s="481" t="s">
        <v>4020</v>
      </c>
      <c r="DU12" s="481" t="s">
        <v>2861</v>
      </c>
      <c r="DV12" s="481" t="s">
        <v>2404</v>
      </c>
      <c r="DW12" s="481" t="s">
        <v>554</v>
      </c>
      <c r="DX12" s="481" t="s">
        <v>556</v>
      </c>
      <c r="DY12" s="470" t="s">
        <v>4026</v>
      </c>
      <c r="DZ12" s="481" t="s">
        <v>4027</v>
      </c>
      <c r="EA12" s="685" t="s">
        <v>4031</v>
      </c>
      <c r="EB12" s="685" t="s">
        <v>4032</v>
      </c>
      <c r="EC12" s="481" t="s">
        <v>4033</v>
      </c>
      <c r="ED12" s="473" t="s">
        <v>4034</v>
      </c>
    </row>
    <row r="13">
      <c r="A13" s="802" t="s">
        <v>39</v>
      </c>
      <c r="B13" s="245" t="s">
        <v>4036</v>
      </c>
      <c r="C13" s="246" t="s">
        <v>2038</v>
      </c>
      <c r="D13" s="247" t="s">
        <v>567</v>
      </c>
      <c r="E13" s="248" t="s">
        <v>205</v>
      </c>
      <c r="F13" s="249" t="s">
        <v>4037</v>
      </c>
      <c r="G13" s="245" t="s">
        <v>3490</v>
      </c>
      <c r="H13" s="257" t="s">
        <v>1569</v>
      </c>
      <c r="I13" s="251" t="s">
        <v>1953</v>
      </c>
      <c r="J13" s="251" t="s">
        <v>4040</v>
      </c>
      <c r="K13" s="257" t="s">
        <v>4042</v>
      </c>
      <c r="L13" s="251" t="s">
        <v>4045</v>
      </c>
      <c r="M13" s="261" t="s">
        <v>4047</v>
      </c>
      <c r="N13" s="807" t="s">
        <v>4050</v>
      </c>
      <c r="O13" s="251" t="s">
        <v>655</v>
      </c>
      <c r="P13" s="251" t="s">
        <v>608</v>
      </c>
      <c r="Q13" s="758"/>
      <c r="R13" s="320"/>
      <c r="S13" s="257" t="s">
        <v>1065</v>
      </c>
      <c r="T13" s="758"/>
      <c r="U13" s="320"/>
      <c r="V13" s="320"/>
      <c r="W13" s="106"/>
      <c r="X13" s="261" t="s">
        <v>4052</v>
      </c>
      <c r="Y13" s="351"/>
      <c r="Z13" s="263" t="s">
        <v>4055</v>
      </c>
      <c r="AA13" s="257" t="s">
        <v>694</v>
      </c>
      <c r="AB13" s="511" t="s">
        <v>4063</v>
      </c>
      <c r="AC13" s="263" t="s">
        <v>4064</v>
      </c>
      <c r="AD13" s="251" t="s">
        <v>4066</v>
      </c>
      <c r="AE13" s="286" t="s">
        <v>4067</v>
      </c>
      <c r="AF13" s="257" t="s">
        <v>1085</v>
      </c>
      <c r="AG13" s="251" t="s">
        <v>3321</v>
      </c>
      <c r="AH13" s="251" t="s">
        <v>4074</v>
      </c>
      <c r="AI13" s="286"/>
      <c r="AJ13" s="257" t="s">
        <v>4030</v>
      </c>
      <c r="AK13" s="320"/>
      <c r="AL13" s="105"/>
      <c r="AM13" s="257" t="s">
        <v>1582</v>
      </c>
      <c r="AN13" s="263" t="s">
        <v>4084</v>
      </c>
      <c r="AO13" s="320"/>
      <c r="AP13" s="257" t="s">
        <v>4086</v>
      </c>
      <c r="AQ13" s="320"/>
      <c r="AR13" s="257" t="s">
        <v>4090</v>
      </c>
      <c r="AS13" s="320"/>
      <c r="AT13" s="320"/>
      <c r="AU13" s="251" t="s">
        <v>1310</v>
      </c>
      <c r="AV13" s="263" t="s">
        <v>1458</v>
      </c>
      <c r="AW13" s="257" t="s">
        <v>1408</v>
      </c>
      <c r="AX13" s="320"/>
      <c r="AY13" s="511" t="s">
        <v>4095</v>
      </c>
      <c r="AZ13" s="320"/>
      <c r="BA13" s="320"/>
      <c r="BB13" s="251" t="s">
        <v>4088</v>
      </c>
      <c r="BC13" s="257" t="s">
        <v>4097</v>
      </c>
      <c r="BD13" s="263" t="s">
        <v>1402</v>
      </c>
      <c r="BE13" s="251" t="s">
        <v>4100</v>
      </c>
      <c r="BF13" s="257" t="s">
        <v>740</v>
      </c>
      <c r="BG13" s="320"/>
      <c r="BH13" s="257" t="s">
        <v>4101</v>
      </c>
      <c r="BI13" s="251" t="s">
        <v>4105</v>
      </c>
      <c r="BJ13" s="263" t="s">
        <v>4106</v>
      </c>
      <c r="BK13" s="251" t="s">
        <v>4107</v>
      </c>
      <c r="BL13" s="251" t="s">
        <v>4109</v>
      </c>
      <c r="BM13" s="320"/>
      <c r="BN13" s="257" t="s">
        <v>1171</v>
      </c>
      <c r="BO13" s="320"/>
      <c r="BP13" s="320"/>
      <c r="BQ13" s="824"/>
      <c r="BR13" s="257" t="s">
        <v>2447</v>
      </c>
      <c r="BS13" s="261" t="s">
        <v>4110</v>
      </c>
      <c r="BT13" s="251" t="s">
        <v>462</v>
      </c>
      <c r="BU13" s="251" t="s">
        <v>789</v>
      </c>
      <c r="BV13" s="261" t="s">
        <v>4113</v>
      </c>
      <c r="BW13" s="263" t="s">
        <v>815</v>
      </c>
      <c r="BX13" s="286" t="s">
        <v>4114</v>
      </c>
      <c r="BY13" s="251" t="s">
        <v>4115</v>
      </c>
      <c r="BZ13" s="251" t="s">
        <v>3960</v>
      </c>
      <c r="CA13" s="251" t="s">
        <v>1419</v>
      </c>
      <c r="CB13" s="320"/>
      <c r="CC13" s="257" t="s">
        <v>994</v>
      </c>
      <c r="CD13" s="320"/>
      <c r="CE13" s="320"/>
      <c r="CF13" s="824"/>
      <c r="CG13" s="261" t="s">
        <v>4122</v>
      </c>
      <c r="CH13" s="251" t="s">
        <v>4124</v>
      </c>
      <c r="CI13" s="257" t="s">
        <v>4126</v>
      </c>
      <c r="CJ13" s="251" t="s">
        <v>4130</v>
      </c>
      <c r="CK13" s="251" t="s">
        <v>4134</v>
      </c>
      <c r="CL13" s="257" t="s">
        <v>590</v>
      </c>
      <c r="CM13" s="263" t="s">
        <v>4137</v>
      </c>
      <c r="CN13" s="257" t="s">
        <v>4141</v>
      </c>
      <c r="CO13" s="251" t="s">
        <v>4142</v>
      </c>
      <c r="CP13" s="261" t="s">
        <v>4144</v>
      </c>
      <c r="CQ13" s="251" t="s">
        <v>663</v>
      </c>
      <c r="CR13" s="320"/>
      <c r="CS13" s="257" t="s">
        <v>4148</v>
      </c>
      <c r="CT13" s="320"/>
      <c r="CU13" s="106"/>
      <c r="CV13" s="263" t="s">
        <v>4151</v>
      </c>
      <c r="CW13" s="257" t="s">
        <v>1728</v>
      </c>
      <c r="CX13" s="261" t="s">
        <v>4125</v>
      </c>
      <c r="CY13" s="263" t="s">
        <v>4154</v>
      </c>
      <c r="CZ13" s="251" t="s">
        <v>3564</v>
      </c>
      <c r="DA13" s="251" t="s">
        <v>4157</v>
      </c>
      <c r="DB13" s="263" t="s">
        <v>4158</v>
      </c>
      <c r="DC13" s="251" t="s">
        <v>2393</v>
      </c>
      <c r="DD13" s="320"/>
      <c r="DE13" s="320"/>
      <c r="DF13" s="257" t="s">
        <v>4160</v>
      </c>
      <c r="DG13" s="320"/>
      <c r="DH13" s="320"/>
      <c r="DI13" s="261" t="s">
        <v>4162</v>
      </c>
      <c r="DJ13" s="320"/>
      <c r="DK13" s="320"/>
      <c r="DL13" s="286"/>
      <c r="DM13" s="263" t="s">
        <v>516</v>
      </c>
      <c r="DN13" s="286" t="s">
        <v>4164</v>
      </c>
      <c r="DO13" s="263" t="s">
        <v>556</v>
      </c>
      <c r="DP13" s="320"/>
      <c r="DQ13" s="257" t="s">
        <v>4166</v>
      </c>
      <c r="DR13" s="511" t="s">
        <v>4169</v>
      </c>
      <c r="DS13" s="251" t="s">
        <v>1077</v>
      </c>
      <c r="DT13" s="263" t="s">
        <v>4172</v>
      </c>
      <c r="DU13" s="320"/>
      <c r="DV13" s="286" t="s">
        <v>175</v>
      </c>
      <c r="DW13" s="257" t="s">
        <v>542</v>
      </c>
      <c r="DX13" s="320"/>
      <c r="DY13" s="257" t="s">
        <v>980</v>
      </c>
      <c r="DZ13" s="320"/>
      <c r="EA13" s="257" t="s">
        <v>4174</v>
      </c>
      <c r="EB13" s="286" t="s">
        <v>4175</v>
      </c>
      <c r="EC13" s="251" t="s">
        <v>4176</v>
      </c>
      <c r="ED13" s="289" t="s">
        <v>4179</v>
      </c>
    </row>
    <row r="14">
      <c r="A14" s="831" t="s">
        <v>49</v>
      </c>
      <c r="B14" s="378" t="s">
        <v>4180</v>
      </c>
      <c r="C14" s="379" t="s">
        <v>394</v>
      </c>
      <c r="D14" s="380" t="s">
        <v>4181</v>
      </c>
      <c r="E14" s="381" t="s">
        <v>176</v>
      </c>
      <c r="F14" s="382" t="s">
        <v>4182</v>
      </c>
      <c r="G14" s="378" t="s">
        <v>3102</v>
      </c>
      <c r="H14" s="390" t="s">
        <v>4183</v>
      </c>
      <c r="I14" s="390" t="s">
        <v>310</v>
      </c>
      <c r="J14" s="390" t="s">
        <v>4186</v>
      </c>
      <c r="K14" s="390" t="s">
        <v>708</v>
      </c>
      <c r="L14" s="390" t="s">
        <v>893</v>
      </c>
      <c r="M14" s="390" t="s">
        <v>4191</v>
      </c>
      <c r="N14" s="832" t="s">
        <v>4192</v>
      </c>
      <c r="O14" s="390" t="s">
        <v>4194</v>
      </c>
      <c r="P14" s="390" t="s">
        <v>2537</v>
      </c>
      <c r="Q14" s="833" t="s">
        <v>4195</v>
      </c>
      <c r="R14" s="541"/>
      <c r="S14" s="834" t="s">
        <v>4197</v>
      </c>
      <c r="T14" s="835"/>
      <c r="U14" s="390" t="s">
        <v>166</v>
      </c>
      <c r="V14" s="836"/>
      <c r="W14" s="106"/>
      <c r="X14" s="399" t="s">
        <v>4200</v>
      </c>
      <c r="Y14" s="402"/>
      <c r="Z14" s="399" t="s">
        <v>1425</v>
      </c>
      <c r="AA14" s="780" t="s">
        <v>4204</v>
      </c>
      <c r="AB14" s="399" t="s">
        <v>4205</v>
      </c>
      <c r="AC14" s="399" t="s">
        <v>2671</v>
      </c>
      <c r="AD14" s="399" t="s">
        <v>4209</v>
      </c>
      <c r="AE14" s="399" t="s">
        <v>4210</v>
      </c>
      <c r="AF14" s="399" t="s">
        <v>2598</v>
      </c>
      <c r="AG14" s="780" t="s">
        <v>665</v>
      </c>
      <c r="AH14" s="399" t="s">
        <v>4217</v>
      </c>
      <c r="AI14" s="837"/>
      <c r="AJ14" s="780" t="s">
        <v>4219</v>
      </c>
      <c r="AK14" s="399" t="s">
        <v>4221</v>
      </c>
      <c r="AL14" s="105"/>
      <c r="AM14" s="575" t="s">
        <v>4222</v>
      </c>
      <c r="AN14" s="575" t="s">
        <v>1892</v>
      </c>
      <c r="AO14" s="839"/>
      <c r="AP14" s="839"/>
      <c r="AQ14" s="839"/>
      <c r="AR14" s="412" t="s">
        <v>4225</v>
      </c>
      <c r="AS14" s="407" t="s">
        <v>4227</v>
      </c>
      <c r="AT14" s="575" t="s">
        <v>4229</v>
      </c>
      <c r="AU14" s="407" t="s">
        <v>4232</v>
      </c>
      <c r="AV14" s="572" t="s">
        <v>4236</v>
      </c>
      <c r="AW14" s="407" t="s">
        <v>4239</v>
      </c>
      <c r="AX14" s="839"/>
      <c r="AY14" s="407" t="s">
        <v>3861</v>
      </c>
      <c r="AZ14" s="839"/>
      <c r="BA14" s="839"/>
      <c r="BB14" s="417" t="s">
        <v>4092</v>
      </c>
      <c r="BC14" s="784" t="s">
        <v>748</v>
      </c>
      <c r="BD14" s="420" t="s">
        <v>1402</v>
      </c>
      <c r="BE14" s="417" t="s">
        <v>4244</v>
      </c>
      <c r="BF14" s="417" t="s">
        <v>1634</v>
      </c>
      <c r="BG14" s="417" t="s">
        <v>4246</v>
      </c>
      <c r="BH14" s="843" t="s">
        <v>4247</v>
      </c>
      <c r="BI14" s="843" t="s">
        <v>4105</v>
      </c>
      <c r="BJ14" s="417" t="s">
        <v>701</v>
      </c>
      <c r="BK14" s="581"/>
      <c r="BL14" s="417" t="s">
        <v>4253</v>
      </c>
      <c r="BM14" s="580"/>
      <c r="BN14" s="417" t="s">
        <v>4254</v>
      </c>
      <c r="BO14" s="420" t="s">
        <v>3204</v>
      </c>
      <c r="BP14" s="580"/>
      <c r="BQ14" s="845"/>
      <c r="BR14" s="422" t="s">
        <v>4258</v>
      </c>
      <c r="BS14" s="422" t="s">
        <v>4260</v>
      </c>
      <c r="BT14" s="422" t="s">
        <v>4262</v>
      </c>
      <c r="BU14" s="422" t="s">
        <v>4263</v>
      </c>
      <c r="BV14" s="847" t="s">
        <v>4264</v>
      </c>
      <c r="BW14" s="422" t="s">
        <v>2138</v>
      </c>
      <c r="BX14" s="422" t="s">
        <v>4267</v>
      </c>
      <c r="BY14" s="422" t="s">
        <v>4269</v>
      </c>
      <c r="BZ14" s="849"/>
      <c r="CA14" s="422" t="s">
        <v>3039</v>
      </c>
      <c r="CB14" s="422" t="s">
        <v>4270</v>
      </c>
      <c r="CC14" s="422" t="s">
        <v>4273</v>
      </c>
      <c r="CD14" s="847" t="s">
        <v>834</v>
      </c>
      <c r="CE14" s="850"/>
      <c r="CF14" s="851"/>
      <c r="CG14" s="428" t="s">
        <v>1125</v>
      </c>
      <c r="CH14" s="433" t="s">
        <v>3223</v>
      </c>
      <c r="CI14" s="433" t="s">
        <v>4277</v>
      </c>
      <c r="CJ14" s="433" t="s">
        <v>4278</v>
      </c>
      <c r="CK14" s="434"/>
      <c r="CL14" s="789" t="s">
        <v>4279</v>
      </c>
      <c r="CM14" s="433" t="s">
        <v>4281</v>
      </c>
      <c r="CN14" s="433" t="s">
        <v>4283</v>
      </c>
      <c r="CO14" s="791" t="s">
        <v>287</v>
      </c>
      <c r="CP14" s="852"/>
      <c r="CQ14" s="433" t="s">
        <v>4285</v>
      </c>
      <c r="CR14" s="852"/>
      <c r="CS14" s="852"/>
      <c r="CT14" s="852"/>
      <c r="CU14" s="106"/>
      <c r="CV14" s="794" t="s">
        <v>4289</v>
      </c>
      <c r="CW14" s="458" t="s">
        <v>2902</v>
      </c>
      <c r="CX14" s="458" t="s">
        <v>4291</v>
      </c>
      <c r="CY14" s="458" t="s">
        <v>4292</v>
      </c>
      <c r="CZ14" s="458" t="s">
        <v>4293</v>
      </c>
      <c r="DA14" s="458" t="s">
        <v>4294</v>
      </c>
      <c r="DB14" s="458" t="s">
        <v>4297</v>
      </c>
      <c r="DC14" s="458" t="s">
        <v>4298</v>
      </c>
      <c r="DD14" s="449" t="s">
        <v>4301</v>
      </c>
      <c r="DE14" s="853"/>
      <c r="DF14" s="854"/>
      <c r="DG14" s="458" t="s">
        <v>4302</v>
      </c>
      <c r="DH14" s="467"/>
      <c r="DI14" s="481" t="s">
        <v>4303</v>
      </c>
      <c r="DJ14" s="855"/>
      <c r="DK14" s="855"/>
      <c r="DL14" s="855"/>
      <c r="DM14" s="599" t="s">
        <v>516</v>
      </c>
      <c r="DN14" s="481" t="s">
        <v>4305</v>
      </c>
      <c r="DO14" s="855"/>
      <c r="DP14" s="855"/>
      <c r="DQ14" s="855"/>
      <c r="DR14" s="599" t="s">
        <v>4307</v>
      </c>
      <c r="DS14" s="599" t="s">
        <v>4308</v>
      </c>
      <c r="DT14" s="470" t="s">
        <v>4310</v>
      </c>
      <c r="DU14" s="481" t="s">
        <v>4312</v>
      </c>
      <c r="DV14" s="855"/>
      <c r="DW14" s="481" t="s">
        <v>4313</v>
      </c>
      <c r="DX14" s="855"/>
      <c r="DY14" s="599" t="s">
        <v>1458</v>
      </c>
      <c r="DZ14" s="603" t="s">
        <v>982</v>
      </c>
      <c r="EA14" s="856"/>
      <c r="EB14" s="470" t="s">
        <v>1594</v>
      </c>
      <c r="EC14" s="481" t="s">
        <v>3081</v>
      </c>
      <c r="ED14" s="473" t="s">
        <v>322</v>
      </c>
    </row>
    <row r="15">
      <c r="A15" s="857" t="s">
        <v>643</v>
      </c>
      <c r="B15" s="245" t="s">
        <v>4317</v>
      </c>
      <c r="C15" s="246" t="s">
        <v>171</v>
      </c>
      <c r="D15" s="247" t="s">
        <v>274</v>
      </c>
      <c r="E15" s="248" t="s">
        <v>233</v>
      </c>
      <c r="F15" s="249" t="s">
        <v>4318</v>
      </c>
      <c r="G15" s="245" t="s">
        <v>4320</v>
      </c>
      <c r="H15" s="316" t="s">
        <v>768</v>
      </c>
      <c r="I15" s="316" t="s">
        <v>4321</v>
      </c>
      <c r="J15" s="257" t="s">
        <v>4322</v>
      </c>
      <c r="K15" s="257" t="s">
        <v>718</v>
      </c>
      <c r="L15" s="257" t="s">
        <v>4324</v>
      </c>
      <c r="M15" s="257" t="s">
        <v>4326</v>
      </c>
      <c r="N15" s="316" t="s">
        <v>4327</v>
      </c>
      <c r="O15" s="286" t="s">
        <v>1229</v>
      </c>
      <c r="P15" s="257" t="s">
        <v>2537</v>
      </c>
      <c r="Q15" s="263" t="s">
        <v>1745</v>
      </c>
      <c r="R15" s="758"/>
      <c r="S15" s="257" t="s">
        <v>2046</v>
      </c>
      <c r="T15" s="261" t="s">
        <v>4330</v>
      </c>
      <c r="U15" s="316" t="str">
        <f>HYPERLINK("https://www.youtube.com/watch?v=GZFbEGnFzbQ","51.24")</f>
        <v>51.24</v>
      </c>
      <c r="V15" s="286" t="s">
        <v>4333</v>
      </c>
      <c r="W15" s="394"/>
      <c r="X15" s="257" t="s">
        <v>374</v>
      </c>
      <c r="Y15" s="351"/>
      <c r="Z15" s="257" t="s">
        <v>4334</v>
      </c>
      <c r="AA15" s="316" t="s">
        <v>4338</v>
      </c>
      <c r="AB15" s="286" t="s">
        <v>4339</v>
      </c>
      <c r="AC15" s="257" t="s">
        <v>2101</v>
      </c>
      <c r="AD15" s="257" t="s">
        <v>4341</v>
      </c>
      <c r="AE15" s="257" t="s">
        <v>4344</v>
      </c>
      <c r="AF15" s="257" t="s">
        <v>1085</v>
      </c>
      <c r="AG15" s="257" t="s">
        <v>402</v>
      </c>
      <c r="AH15" s="286" t="s">
        <v>4346</v>
      </c>
      <c r="AI15" s="286"/>
      <c r="AJ15" s="257" t="s">
        <v>4347</v>
      </c>
      <c r="AK15" s="257" t="s">
        <v>4348</v>
      </c>
      <c r="AL15" s="105"/>
      <c r="AM15" s="257" t="s">
        <v>4350</v>
      </c>
      <c r="AN15" s="257" t="s">
        <v>1941</v>
      </c>
      <c r="AO15" s="257" t="s">
        <v>4353</v>
      </c>
      <c r="AP15" s="251" t="s">
        <v>4355</v>
      </c>
      <c r="AQ15" s="263" t="s">
        <v>4356</v>
      </c>
      <c r="AR15" s="257" t="s">
        <v>3399</v>
      </c>
      <c r="AS15" s="316" t="str">
        <f>HYPERLINK("https://www.youtube.com/watch?v=TJzWG_MCKOU","8.81")</f>
        <v>8.81</v>
      </c>
      <c r="AT15" s="316" t="str">
        <f>HYPERLINK("https://www.youtube.com/watch?v=smL2OgYrZfY","55.51")</f>
        <v>55.51</v>
      </c>
      <c r="AU15" s="257" t="s">
        <v>1130</v>
      </c>
      <c r="AV15" s="257" t="s">
        <v>3999</v>
      </c>
      <c r="AW15" s="257" t="s">
        <v>4239</v>
      </c>
      <c r="AX15" s="351"/>
      <c r="AY15" s="257" t="s">
        <v>1051</v>
      </c>
      <c r="AZ15" s="320"/>
      <c r="BA15" s="320"/>
      <c r="BB15" s="286" t="s">
        <v>389</v>
      </c>
      <c r="BC15" s="316" t="s">
        <v>1668</v>
      </c>
      <c r="BD15" s="257" t="s">
        <v>1148</v>
      </c>
      <c r="BE15" s="316" t="s">
        <v>4363</v>
      </c>
      <c r="BF15" s="257" t="s">
        <v>4365</v>
      </c>
      <c r="BG15" s="257" t="s">
        <v>4366</v>
      </c>
      <c r="BH15" s="320"/>
      <c r="BI15" s="257" t="s">
        <v>188</v>
      </c>
      <c r="BJ15" s="320"/>
      <c r="BK15" s="257" t="s">
        <v>4370</v>
      </c>
      <c r="BL15" s="257" t="s">
        <v>3705</v>
      </c>
      <c r="BM15" s="320"/>
      <c r="BN15" s="257" t="s">
        <v>3377</v>
      </c>
      <c r="BO15" s="257" t="s">
        <v>4373</v>
      </c>
      <c r="BP15" s="286" t="s">
        <v>2428</v>
      </c>
      <c r="BQ15" s="286"/>
      <c r="BR15" s="257" t="s">
        <v>4373</v>
      </c>
      <c r="BS15" s="257" t="s">
        <v>488</v>
      </c>
      <c r="BT15" s="257" t="s">
        <v>4375</v>
      </c>
      <c r="BU15" s="257" t="s">
        <v>2103</v>
      </c>
      <c r="BV15" s="257" t="s">
        <v>493</v>
      </c>
      <c r="BW15" s="257" t="s">
        <v>4378</v>
      </c>
      <c r="BX15" s="261" t="s">
        <v>4379</v>
      </c>
      <c r="BY15" s="257" t="s">
        <v>4380</v>
      </c>
      <c r="BZ15" s="257" t="s">
        <v>4382</v>
      </c>
      <c r="CA15" s="316" t="s">
        <v>4383</v>
      </c>
      <c r="CB15" s="257" t="s">
        <v>4384</v>
      </c>
      <c r="CC15" s="257" t="s">
        <v>4385</v>
      </c>
      <c r="CD15" s="257" t="s">
        <v>817</v>
      </c>
      <c r="CE15" s="286" t="s">
        <v>4387</v>
      </c>
      <c r="CF15" s="324"/>
      <c r="CG15" s="257" t="s">
        <v>4388</v>
      </c>
      <c r="CH15" s="257" t="s">
        <v>4390</v>
      </c>
      <c r="CI15" s="316" t="str">
        <f>HYPERLINK("https://www.youtube.com/watch?v=QruUacvahtM&amp;feature=youtu.be","32.70")</f>
        <v>32.70</v>
      </c>
      <c r="CJ15" s="257" t="s">
        <v>510</v>
      </c>
      <c r="CK15" s="351"/>
      <c r="CL15" s="257" t="s">
        <v>4391</v>
      </c>
      <c r="CM15" s="862" t="s">
        <v>4392</v>
      </c>
      <c r="CN15" s="257" t="s">
        <v>1805</v>
      </c>
      <c r="CO15" s="257" t="s">
        <v>1710</v>
      </c>
      <c r="CP15" s="257" t="s">
        <v>517</v>
      </c>
      <c r="CQ15" s="257" t="s">
        <v>1405</v>
      </c>
      <c r="CR15" s="320"/>
      <c r="CS15" s="320"/>
      <c r="CT15" s="316" t="s">
        <v>4396</v>
      </c>
      <c r="CU15" s="106"/>
      <c r="CV15" s="257" t="s">
        <v>4398</v>
      </c>
      <c r="CW15" s="316" t="str">
        <f>HYPERLINK("https://www.youtube.com/watch?v=SeVl832TS18&amp;feature=youtu.be","12.57")</f>
        <v>12.57</v>
      </c>
      <c r="CX15" s="286" t="s">
        <v>1162</v>
      </c>
      <c r="CY15" s="257" t="s">
        <v>3386</v>
      </c>
      <c r="CZ15" s="316" t="s">
        <v>4071</v>
      </c>
      <c r="DA15" s="257" t="s">
        <v>4399</v>
      </c>
      <c r="DB15" s="316" t="s">
        <v>4401</v>
      </c>
      <c r="DC15" s="286" t="s">
        <v>4402</v>
      </c>
      <c r="DD15" s="320"/>
      <c r="DE15" s="257" t="s">
        <v>2837</v>
      </c>
      <c r="DF15" s="320"/>
      <c r="DG15" s="316" t="s">
        <v>4404</v>
      </c>
      <c r="DH15" s="288"/>
      <c r="DI15" s="257" t="s">
        <v>535</v>
      </c>
      <c r="DJ15" s="257" t="s">
        <v>4406</v>
      </c>
      <c r="DK15" s="320"/>
      <c r="DL15" s="351"/>
      <c r="DM15" s="263" t="s">
        <v>516</v>
      </c>
      <c r="DN15" s="257" t="s">
        <v>2787</v>
      </c>
      <c r="DO15" s="257" t="s">
        <v>4410</v>
      </c>
      <c r="DP15" s="257" t="s">
        <v>4411</v>
      </c>
      <c r="DQ15" s="320"/>
      <c r="DR15" s="316" t="s">
        <v>4413</v>
      </c>
      <c r="DS15" s="316" t="s">
        <v>3794</v>
      </c>
      <c r="DT15" s="257" t="s">
        <v>551</v>
      </c>
      <c r="DU15" s="257" t="s">
        <v>4414</v>
      </c>
      <c r="DV15" s="286" t="s">
        <v>4418</v>
      </c>
      <c r="DW15" s="316" t="s">
        <v>554</v>
      </c>
      <c r="DX15" s="320"/>
      <c r="DY15" s="257" t="s">
        <v>4420</v>
      </c>
      <c r="DZ15" s="320"/>
      <c r="EA15" s="320"/>
      <c r="EB15" s="257" t="s">
        <v>4422</v>
      </c>
      <c r="EC15" s="257" t="s">
        <v>562</v>
      </c>
      <c r="ED15" s="316" t="s">
        <v>322</v>
      </c>
    </row>
    <row r="16">
      <c r="A16" s="540" t="s">
        <v>66</v>
      </c>
      <c r="B16" s="378" t="s">
        <v>4427</v>
      </c>
      <c r="C16" s="379" t="s">
        <v>361</v>
      </c>
      <c r="D16" s="380" t="s">
        <v>205</v>
      </c>
      <c r="E16" s="381" t="s">
        <v>176</v>
      </c>
      <c r="F16" s="382" t="s">
        <v>4428</v>
      </c>
      <c r="G16" s="378" t="s">
        <v>4428</v>
      </c>
      <c r="H16" s="390" t="s">
        <v>4429</v>
      </c>
      <c r="I16" s="390" t="s">
        <v>4430</v>
      </c>
      <c r="J16" s="390" t="s">
        <v>4431</v>
      </c>
      <c r="K16" s="390" t="s">
        <v>4042</v>
      </c>
      <c r="L16" s="390" t="s">
        <v>889</v>
      </c>
      <c r="M16" s="390" t="s">
        <v>4436</v>
      </c>
      <c r="N16" s="390" t="s">
        <v>2302</v>
      </c>
      <c r="O16" s="390" t="s">
        <v>4437</v>
      </c>
      <c r="P16" s="390" t="s">
        <v>2537</v>
      </c>
      <c r="Q16" s="541"/>
      <c r="R16" s="541"/>
      <c r="S16" s="864" t="s">
        <v>4440</v>
      </c>
      <c r="T16" s="835"/>
      <c r="U16" s="834" t="s">
        <v>1521</v>
      </c>
      <c r="V16" s="835"/>
      <c r="W16" s="106"/>
      <c r="X16" s="399" t="s">
        <v>4442</v>
      </c>
      <c r="Y16" s="402"/>
      <c r="Z16" s="399" t="s">
        <v>2227</v>
      </c>
      <c r="AA16" s="399" t="s">
        <v>2311</v>
      </c>
      <c r="AB16" s="399" t="s">
        <v>4443</v>
      </c>
      <c r="AC16" s="399" t="s">
        <v>1548</v>
      </c>
      <c r="AD16" s="399" t="s">
        <v>2189</v>
      </c>
      <c r="AE16" s="399" t="s">
        <v>4448</v>
      </c>
      <c r="AF16" s="399" t="s">
        <v>4449</v>
      </c>
      <c r="AG16" s="399" t="s">
        <v>402</v>
      </c>
      <c r="AH16" s="837"/>
      <c r="AI16" s="837"/>
      <c r="AJ16" s="837"/>
      <c r="AK16" s="837"/>
      <c r="AL16" s="105"/>
      <c r="AM16" s="407" t="s">
        <v>4452</v>
      </c>
      <c r="AN16" s="407" t="s">
        <v>882</v>
      </c>
      <c r="AO16" s="839"/>
      <c r="AP16" s="412" t="s">
        <v>4454</v>
      </c>
      <c r="AQ16" s="839"/>
      <c r="AR16" s="839"/>
      <c r="AS16" s="407" t="s">
        <v>4458</v>
      </c>
      <c r="AT16" s="839"/>
      <c r="AU16" s="407" t="s">
        <v>529</v>
      </c>
      <c r="AV16" s="407" t="s">
        <v>4460</v>
      </c>
      <c r="AW16" s="575" t="s">
        <v>1402</v>
      </c>
      <c r="AX16" s="839"/>
      <c r="AY16" s="575" t="s">
        <v>4118</v>
      </c>
      <c r="AZ16" s="866"/>
      <c r="BA16" s="839"/>
      <c r="BB16" s="420" t="s">
        <v>4462</v>
      </c>
      <c r="BC16" s="843" t="s">
        <v>4463</v>
      </c>
      <c r="BD16" s="843" t="s">
        <v>4465</v>
      </c>
      <c r="BE16" s="417" t="s">
        <v>1150</v>
      </c>
      <c r="BF16" s="784" t="s">
        <v>4468</v>
      </c>
      <c r="BG16" s="420" t="s">
        <v>4470</v>
      </c>
      <c r="BH16" s="420" t="s">
        <v>4472</v>
      </c>
      <c r="BI16" s="843" t="s">
        <v>4105</v>
      </c>
      <c r="BJ16" s="784" t="s">
        <v>4474</v>
      </c>
      <c r="BK16" s="417" t="s">
        <v>4476</v>
      </c>
      <c r="BL16" s="417" t="s">
        <v>4477</v>
      </c>
      <c r="BM16" s="420" t="s">
        <v>4479</v>
      </c>
      <c r="BN16" s="843" t="s">
        <v>781</v>
      </c>
      <c r="BO16" s="784" t="s">
        <v>4480</v>
      </c>
      <c r="BP16" s="420" t="s">
        <v>4481</v>
      </c>
      <c r="BQ16" s="845"/>
      <c r="BR16" s="422" t="s">
        <v>4482</v>
      </c>
      <c r="BS16" s="422" t="s">
        <v>1639</v>
      </c>
      <c r="BT16" s="422" t="s">
        <v>4485</v>
      </c>
      <c r="BU16" s="422" t="s">
        <v>3950</v>
      </c>
      <c r="BV16" s="422" t="s">
        <v>4488</v>
      </c>
      <c r="BW16" s="422" t="s">
        <v>3574</v>
      </c>
      <c r="BX16" s="422" t="s">
        <v>4489</v>
      </c>
      <c r="BY16" s="422" t="s">
        <v>4490</v>
      </c>
      <c r="BZ16" s="422" t="s">
        <v>4492</v>
      </c>
      <c r="CA16" s="422" t="s">
        <v>498</v>
      </c>
      <c r="CB16" s="868" t="s">
        <v>4493</v>
      </c>
      <c r="CC16" s="868" t="s">
        <v>4495</v>
      </c>
      <c r="CD16" s="422" t="s">
        <v>2144</v>
      </c>
      <c r="CE16" s="849"/>
      <c r="CF16" s="851"/>
      <c r="CG16" s="433" t="s">
        <v>1125</v>
      </c>
      <c r="CH16" s="433" t="s">
        <v>543</v>
      </c>
      <c r="CI16" s="433" t="s">
        <v>4501</v>
      </c>
      <c r="CJ16" s="433" t="s">
        <v>4502</v>
      </c>
      <c r="CK16" s="869"/>
      <c r="CL16" s="433" t="s">
        <v>224</v>
      </c>
      <c r="CM16" s="433" t="s">
        <v>4503</v>
      </c>
      <c r="CN16" s="433" t="s">
        <v>1402</v>
      </c>
      <c r="CO16" s="433" t="s">
        <v>4505</v>
      </c>
      <c r="CP16" s="852"/>
      <c r="CQ16" s="433" t="s">
        <v>4506</v>
      </c>
      <c r="CR16" s="852"/>
      <c r="CS16" s="852"/>
      <c r="CT16" s="852"/>
      <c r="CU16" s="106"/>
      <c r="CV16" s="458" t="s">
        <v>1838</v>
      </c>
      <c r="CW16" s="458" t="s">
        <v>523</v>
      </c>
      <c r="CX16" s="458" t="s">
        <v>4506</v>
      </c>
      <c r="CY16" s="458" t="s">
        <v>847</v>
      </c>
      <c r="CZ16" s="458" t="s">
        <v>4488</v>
      </c>
      <c r="DA16" s="458" t="s">
        <v>1461</v>
      </c>
      <c r="DB16" s="458" t="s">
        <v>4509</v>
      </c>
      <c r="DC16" s="458" t="s">
        <v>2409</v>
      </c>
      <c r="DD16" s="853"/>
      <c r="DE16" s="853"/>
      <c r="DF16" s="853"/>
      <c r="DG16" s="853"/>
      <c r="DH16" s="853"/>
      <c r="DI16" s="470" t="s">
        <v>868</v>
      </c>
      <c r="DJ16" s="855"/>
      <c r="DK16" s="872"/>
      <c r="DL16" s="685"/>
      <c r="DM16" s="599" t="s">
        <v>516</v>
      </c>
      <c r="DN16" s="855"/>
      <c r="DO16" s="481" t="s">
        <v>2103</v>
      </c>
      <c r="DP16" s="855"/>
      <c r="DQ16" s="688"/>
      <c r="DR16" s="481" t="s">
        <v>4516</v>
      </c>
      <c r="DS16" s="481" t="s">
        <v>549</v>
      </c>
      <c r="DT16" s="481" t="s">
        <v>2165</v>
      </c>
      <c r="DU16" s="855"/>
      <c r="DV16" s="855"/>
      <c r="DW16" s="470" t="s">
        <v>4518</v>
      </c>
      <c r="DX16" s="855"/>
      <c r="DY16" s="855"/>
      <c r="DZ16" s="481" t="s">
        <v>4323</v>
      </c>
      <c r="EA16" s="481" t="s">
        <v>2379</v>
      </c>
      <c r="EB16" s="855"/>
      <c r="EC16" s="855"/>
      <c r="ED16" s="473" t="s">
        <v>4523</v>
      </c>
    </row>
    <row r="17">
      <c r="A17" s="873" t="s">
        <v>4525</v>
      </c>
      <c r="B17" s="245" t="s">
        <v>4526</v>
      </c>
      <c r="C17" s="246" t="s">
        <v>271</v>
      </c>
      <c r="D17" s="247" t="s">
        <v>176</v>
      </c>
      <c r="E17" s="248" t="s">
        <v>274</v>
      </c>
      <c r="F17" s="249" t="s">
        <v>571</v>
      </c>
      <c r="G17" s="245" t="s">
        <v>1485</v>
      </c>
      <c r="H17" s="316" t="s">
        <v>190</v>
      </c>
      <c r="I17" s="316" t="s">
        <v>298</v>
      </c>
      <c r="J17" s="316" t="s">
        <v>632</v>
      </c>
      <c r="K17" s="316" t="s">
        <v>721</v>
      </c>
      <c r="L17" s="257" t="s">
        <v>881</v>
      </c>
      <c r="M17" s="881" t="s">
        <v>4529</v>
      </c>
      <c r="N17" s="257" t="s">
        <v>1028</v>
      </c>
      <c r="O17" s="316" t="s">
        <v>4532</v>
      </c>
      <c r="P17" s="316" t="s">
        <v>1464</v>
      </c>
      <c r="Q17" s="257" t="s">
        <v>3710</v>
      </c>
      <c r="R17" s="257" t="s">
        <v>4538</v>
      </c>
      <c r="S17" s="257" t="s">
        <v>1239</v>
      </c>
      <c r="T17" s="263" t="s">
        <v>3884</v>
      </c>
      <c r="U17" s="257" t="s">
        <v>166</v>
      </c>
      <c r="V17" s="257" t="s">
        <v>1698</v>
      </c>
      <c r="W17" s="106"/>
      <c r="X17" s="316" t="s">
        <v>1809</v>
      </c>
      <c r="Y17" s="288"/>
      <c r="Z17" s="316" t="s">
        <v>4543</v>
      </c>
      <c r="AA17" s="316" t="s">
        <v>2305</v>
      </c>
      <c r="AB17" s="257" t="s">
        <v>2477</v>
      </c>
      <c r="AC17" s="257" t="s">
        <v>2657</v>
      </c>
      <c r="AD17" s="316" t="s">
        <v>440</v>
      </c>
      <c r="AE17" s="316" t="s">
        <v>4547</v>
      </c>
      <c r="AF17" s="316" t="s">
        <v>3123</v>
      </c>
      <c r="AG17" s="316" t="s">
        <v>444</v>
      </c>
      <c r="AH17" s="257" t="s">
        <v>446</v>
      </c>
      <c r="AI17" s="257" t="s">
        <v>448</v>
      </c>
      <c r="AJ17" s="257" t="s">
        <v>1654</v>
      </c>
      <c r="AK17" s="257" t="s">
        <v>3499</v>
      </c>
      <c r="AL17" s="105"/>
      <c r="AM17" s="257" t="s">
        <v>1542</v>
      </c>
      <c r="AN17" s="257" t="s">
        <v>3090</v>
      </c>
      <c r="AO17" s="257" t="s">
        <v>453</v>
      </c>
      <c r="AP17" s="257" t="s">
        <v>2185</v>
      </c>
      <c r="AQ17" s="257" t="s">
        <v>4560</v>
      </c>
      <c r="AR17" s="257" t="s">
        <v>4562</v>
      </c>
      <c r="AS17" s="316" t="s">
        <v>458</v>
      </c>
      <c r="AT17" s="257" t="s">
        <v>3801</v>
      </c>
      <c r="AU17" s="257" t="s">
        <v>1602</v>
      </c>
      <c r="AV17" s="257" t="s">
        <v>4565</v>
      </c>
      <c r="AW17" s="257" t="s">
        <v>2722</v>
      </c>
      <c r="AX17" s="257" t="s">
        <v>4569</v>
      </c>
      <c r="AY17" s="257" t="s">
        <v>426</v>
      </c>
      <c r="AZ17" s="257" t="s">
        <v>4571</v>
      </c>
      <c r="BA17" s="320"/>
      <c r="BB17" s="893" t="s">
        <v>4091</v>
      </c>
      <c r="BC17" s="705" t="s">
        <v>4112</v>
      </c>
      <c r="BD17" s="705" t="s">
        <v>1148</v>
      </c>
      <c r="BE17" s="893" t="s">
        <v>4193</v>
      </c>
      <c r="BF17" s="705" t="s">
        <v>212</v>
      </c>
      <c r="BG17" s="893" t="s">
        <v>4257</v>
      </c>
      <c r="BH17" s="893" t="s">
        <v>2534</v>
      </c>
      <c r="BI17" s="705" t="s">
        <v>1605</v>
      </c>
      <c r="BJ17" s="893" t="s">
        <v>4371</v>
      </c>
      <c r="BK17" s="895"/>
      <c r="BL17" s="893" t="s">
        <v>479</v>
      </c>
      <c r="BM17" s="496" t="s">
        <v>4486</v>
      </c>
      <c r="BN17" s="893" t="s">
        <v>1106</v>
      </c>
      <c r="BO17" s="893" t="s">
        <v>1933</v>
      </c>
      <c r="BP17" s="893" t="s">
        <v>4524</v>
      </c>
      <c r="BQ17" s="824"/>
      <c r="BR17" s="316" t="s">
        <v>1008</v>
      </c>
      <c r="BS17" s="257" t="s">
        <v>219</v>
      </c>
      <c r="BT17" s="257" t="s">
        <v>1019</v>
      </c>
      <c r="BU17" s="257" t="s">
        <v>2306</v>
      </c>
      <c r="BV17" s="257" t="s">
        <v>432</v>
      </c>
      <c r="BW17" s="257" t="s">
        <v>4590</v>
      </c>
      <c r="BX17" s="257" t="s">
        <v>4592</v>
      </c>
      <c r="BY17" s="316" t="s">
        <v>4593</v>
      </c>
      <c r="BZ17" s="320"/>
      <c r="CA17" s="257" t="s">
        <v>4594</v>
      </c>
      <c r="CB17" s="257" t="s">
        <v>4597</v>
      </c>
      <c r="CC17" s="257" t="s">
        <v>4599</v>
      </c>
      <c r="CD17" s="257" t="s">
        <v>503</v>
      </c>
      <c r="CE17" s="257" t="s">
        <v>4603</v>
      </c>
      <c r="CF17" s="824"/>
      <c r="CG17" s="257" t="s">
        <v>2517</v>
      </c>
      <c r="CH17" s="257" t="s">
        <v>4605</v>
      </c>
      <c r="CI17" s="257" t="s">
        <v>4607</v>
      </c>
      <c r="CJ17" s="257" t="s">
        <v>4608</v>
      </c>
      <c r="CK17" s="351"/>
      <c r="CL17" s="257" t="s">
        <v>523</v>
      </c>
      <c r="CM17" s="257" t="s">
        <v>4610</v>
      </c>
      <c r="CN17" s="257" t="s">
        <v>1408</v>
      </c>
      <c r="CO17" s="257" t="s">
        <v>3286</v>
      </c>
      <c r="CP17" s="257" t="s">
        <v>979</v>
      </c>
      <c r="CQ17" s="257" t="s">
        <v>2819</v>
      </c>
      <c r="CR17" s="261" t="s">
        <v>4616</v>
      </c>
      <c r="CS17" s="257" t="s">
        <v>1169</v>
      </c>
      <c r="CT17" s="257" t="s">
        <v>4619</v>
      </c>
      <c r="CU17" s="106"/>
      <c r="CV17" s="257" t="s">
        <v>4620</v>
      </c>
      <c r="CW17" s="257" t="s">
        <v>4425</v>
      </c>
      <c r="CX17" s="257" t="s">
        <v>4623</v>
      </c>
      <c r="CY17" s="257" t="s">
        <v>4625</v>
      </c>
      <c r="CZ17" s="257" t="s">
        <v>4245</v>
      </c>
      <c r="DA17" s="257" t="s">
        <v>4628</v>
      </c>
      <c r="DB17" s="257" t="s">
        <v>4629</v>
      </c>
      <c r="DC17" s="263" t="s">
        <v>901</v>
      </c>
      <c r="DD17" s="257" t="s">
        <v>4633</v>
      </c>
      <c r="DE17" s="257" t="s">
        <v>4635</v>
      </c>
      <c r="DF17" s="257" t="s">
        <v>4146</v>
      </c>
      <c r="DG17" s="257" t="s">
        <v>4636</v>
      </c>
      <c r="DH17" s="320"/>
      <c r="DI17" s="257" t="s">
        <v>4639</v>
      </c>
      <c r="DJ17" s="261" t="s">
        <v>2721</v>
      </c>
      <c r="DK17" s="257" t="s">
        <v>539</v>
      </c>
      <c r="DL17" s="257" t="s">
        <v>4245</v>
      </c>
      <c r="DM17" s="263" t="s">
        <v>516</v>
      </c>
      <c r="DN17" s="257" t="s">
        <v>2797</v>
      </c>
      <c r="DO17" s="257" t="s">
        <v>963</v>
      </c>
      <c r="DP17" s="257" t="s">
        <v>4648</v>
      </c>
      <c r="DQ17" s="257" t="s">
        <v>4650</v>
      </c>
      <c r="DR17" s="257" t="s">
        <v>843</v>
      </c>
      <c r="DS17" s="316" t="s">
        <v>4652</v>
      </c>
      <c r="DT17" s="257" t="s">
        <v>3339</v>
      </c>
      <c r="DU17" s="257" t="s">
        <v>801</v>
      </c>
      <c r="DV17" s="257" t="s">
        <v>4654</v>
      </c>
      <c r="DW17" s="257" t="s">
        <v>4656</v>
      </c>
      <c r="DX17" s="263" t="s">
        <v>4657</v>
      </c>
      <c r="DY17" s="257" t="s">
        <v>4236</v>
      </c>
      <c r="DZ17" s="257" t="s">
        <v>558</v>
      </c>
      <c r="EA17" s="261" t="s">
        <v>4659</v>
      </c>
      <c r="EB17" s="257" t="s">
        <v>4660</v>
      </c>
      <c r="EC17" s="257" t="s">
        <v>4663</v>
      </c>
      <c r="ED17" s="316" t="s">
        <v>680</v>
      </c>
    </row>
    <row r="18">
      <c r="A18" s="906" t="s">
        <v>4665</v>
      </c>
      <c r="B18" s="378" t="s">
        <v>4668</v>
      </c>
      <c r="C18" s="379" t="s">
        <v>233</v>
      </c>
      <c r="D18" s="380" t="s">
        <v>274</v>
      </c>
      <c r="E18" s="381" t="s">
        <v>361</v>
      </c>
      <c r="F18" s="382" t="s">
        <v>1400</v>
      </c>
      <c r="G18" s="378" t="s">
        <v>4669</v>
      </c>
      <c r="H18" s="864" t="s">
        <v>4079</v>
      </c>
      <c r="I18" s="390" t="s">
        <v>414</v>
      </c>
      <c r="J18" s="390" t="s">
        <v>4672</v>
      </c>
      <c r="K18" s="390" t="s">
        <v>417</v>
      </c>
      <c r="L18" s="390" t="s">
        <v>4324</v>
      </c>
      <c r="M18" s="390" t="s">
        <v>4676</v>
      </c>
      <c r="N18" s="390" t="s">
        <v>4677</v>
      </c>
      <c r="O18" s="390" t="s">
        <v>1525</v>
      </c>
      <c r="P18" s="390" t="s">
        <v>2537</v>
      </c>
      <c r="Q18" s="835"/>
      <c r="R18" s="541"/>
      <c r="S18" s="390" t="s">
        <v>749</v>
      </c>
      <c r="T18" s="541"/>
      <c r="U18" s="390" t="s">
        <v>166</v>
      </c>
      <c r="V18" s="390" t="s">
        <v>4681</v>
      </c>
      <c r="W18" s="106"/>
      <c r="X18" s="399" t="s">
        <v>4684</v>
      </c>
      <c r="Y18" s="908"/>
      <c r="Z18" s="399" t="s">
        <v>435</v>
      </c>
      <c r="AA18" s="399" t="s">
        <v>436</v>
      </c>
      <c r="AB18" s="399" t="s">
        <v>2526</v>
      </c>
      <c r="AC18" s="399" t="s">
        <v>4308</v>
      </c>
      <c r="AD18" s="399" t="s">
        <v>4691</v>
      </c>
      <c r="AE18" s="399" t="s">
        <v>4693</v>
      </c>
      <c r="AF18" s="399" t="s">
        <v>3545</v>
      </c>
      <c r="AG18" s="399" t="s">
        <v>402</v>
      </c>
      <c r="AH18" s="399" t="s">
        <v>4695</v>
      </c>
      <c r="AI18" s="837"/>
      <c r="AJ18" s="399" t="s">
        <v>4697</v>
      </c>
      <c r="AK18" s="669" t="s">
        <v>4700</v>
      </c>
      <c r="AL18" s="105"/>
      <c r="AM18" s="412" t="s">
        <v>4701</v>
      </c>
      <c r="AN18" s="407" t="s">
        <v>1874</v>
      </c>
      <c r="AO18" s="572" t="s">
        <v>4702</v>
      </c>
      <c r="AP18" s="572" t="s">
        <v>4704</v>
      </c>
      <c r="AQ18" s="839"/>
      <c r="AR18" s="839"/>
      <c r="AS18" s="839"/>
      <c r="AT18" s="407" t="s">
        <v>4243</v>
      </c>
      <c r="AU18" s="572" t="s">
        <v>1897</v>
      </c>
      <c r="AV18" s="407" t="s">
        <v>461</v>
      </c>
      <c r="AW18" s="407" t="s">
        <v>1187</v>
      </c>
      <c r="AX18" s="839"/>
      <c r="AY18" s="407" t="s">
        <v>4707</v>
      </c>
      <c r="AZ18" s="839"/>
      <c r="BA18" s="839"/>
      <c r="BB18" s="417" t="s">
        <v>367</v>
      </c>
      <c r="BC18" s="417" t="s">
        <v>2058</v>
      </c>
      <c r="BD18" s="417" t="s">
        <v>1148</v>
      </c>
      <c r="BE18" s="417" t="s">
        <v>4709</v>
      </c>
      <c r="BF18" s="417" t="s">
        <v>4711</v>
      </c>
      <c r="BG18" s="417" t="s">
        <v>4713</v>
      </c>
      <c r="BH18" s="580"/>
      <c r="BI18" s="417" t="s">
        <v>4716</v>
      </c>
      <c r="BJ18" s="417" t="s">
        <v>4719</v>
      </c>
      <c r="BK18" s="580"/>
      <c r="BL18" s="784" t="s">
        <v>4722</v>
      </c>
      <c r="BM18" s="417" t="s">
        <v>4727</v>
      </c>
      <c r="BN18" s="417" t="s">
        <v>1046</v>
      </c>
      <c r="BO18" s="417" t="s">
        <v>4730</v>
      </c>
      <c r="BP18" s="417" t="s">
        <v>4731</v>
      </c>
      <c r="BQ18" s="845"/>
      <c r="BR18" s="422" t="s">
        <v>3048</v>
      </c>
      <c r="BS18" s="422" t="s">
        <v>1706</v>
      </c>
      <c r="BT18" s="422" t="s">
        <v>4733</v>
      </c>
      <c r="BU18" s="422" t="s">
        <v>4735</v>
      </c>
      <c r="BV18" s="868" t="s">
        <v>4737</v>
      </c>
      <c r="BW18" s="422" t="s">
        <v>4741</v>
      </c>
      <c r="BX18" s="422" t="s">
        <v>4743</v>
      </c>
      <c r="BY18" s="422" t="s">
        <v>3315</v>
      </c>
      <c r="BZ18" s="849"/>
      <c r="CA18" s="592" t="s">
        <v>830</v>
      </c>
      <c r="CB18" s="849"/>
      <c r="CC18" s="422" t="s">
        <v>1719</v>
      </c>
      <c r="CD18" s="849"/>
      <c r="CE18" s="849"/>
      <c r="CF18" s="851"/>
      <c r="CG18" s="433" t="s">
        <v>4751</v>
      </c>
      <c r="CH18" s="433" t="s">
        <v>663</v>
      </c>
      <c r="CI18" s="433" t="s">
        <v>2158</v>
      </c>
      <c r="CJ18" s="912" t="s">
        <v>3309</v>
      </c>
      <c r="CK18" s="434"/>
      <c r="CL18" s="434"/>
      <c r="CM18" s="433" t="s">
        <v>4754</v>
      </c>
      <c r="CN18" s="433" t="s">
        <v>4755</v>
      </c>
      <c r="CO18" s="912" t="s">
        <v>613</v>
      </c>
      <c r="CP18" s="791" t="s">
        <v>4756</v>
      </c>
      <c r="CQ18" s="433" t="s">
        <v>4035</v>
      </c>
      <c r="CR18" s="852"/>
      <c r="CS18" s="433" t="s">
        <v>520</v>
      </c>
      <c r="CT18" s="852"/>
      <c r="CU18" s="106"/>
      <c r="CV18" s="458" t="s">
        <v>4760</v>
      </c>
      <c r="CW18" s="853"/>
      <c r="CX18" s="458" t="s">
        <v>524</v>
      </c>
      <c r="CY18" s="458" t="s">
        <v>938</v>
      </c>
      <c r="CZ18" s="458" t="s">
        <v>4183</v>
      </c>
      <c r="DA18" s="458" t="s">
        <v>4764</v>
      </c>
      <c r="DB18" s="458" t="s">
        <v>4767</v>
      </c>
      <c r="DC18" s="458" t="s">
        <v>4769</v>
      </c>
      <c r="DD18" s="853"/>
      <c r="DE18" s="794" t="s">
        <v>4772</v>
      </c>
      <c r="DF18" s="913" t="s">
        <v>2115</v>
      </c>
      <c r="DG18" s="683"/>
      <c r="DH18" s="853"/>
      <c r="DI18" s="481" t="s">
        <v>4774</v>
      </c>
      <c r="DJ18" s="855"/>
      <c r="DK18" s="855"/>
      <c r="DL18" s="855"/>
      <c r="DM18" s="481" t="s">
        <v>1768</v>
      </c>
      <c r="DN18" s="481" t="s">
        <v>2116</v>
      </c>
      <c r="DO18" s="481" t="s">
        <v>4656</v>
      </c>
      <c r="DP18" s="481" t="s">
        <v>4779</v>
      </c>
      <c r="DQ18" s="855"/>
      <c r="DR18" s="481" t="s">
        <v>4780</v>
      </c>
      <c r="DS18" s="481" t="s">
        <v>4781</v>
      </c>
      <c r="DT18" s="481" t="s">
        <v>4675</v>
      </c>
      <c r="DU18" s="481" t="s">
        <v>424</v>
      </c>
      <c r="DV18" s="481" t="s">
        <v>4786</v>
      </c>
      <c r="DW18" s="481" t="s">
        <v>2361</v>
      </c>
      <c r="DX18" s="603" t="s">
        <v>4788</v>
      </c>
      <c r="DY18" s="481" t="s">
        <v>4236</v>
      </c>
      <c r="DZ18" s="599" t="s">
        <v>3085</v>
      </c>
      <c r="EA18" s="481" t="s">
        <v>2742</v>
      </c>
      <c r="EB18" s="481" t="s">
        <v>4792</v>
      </c>
      <c r="EC18" s="481" t="s">
        <v>3081</v>
      </c>
      <c r="ED18" s="473" t="s">
        <v>4796</v>
      </c>
    </row>
    <row r="19">
      <c r="A19" s="487" t="s">
        <v>687</v>
      </c>
      <c r="B19" s="245" t="s">
        <v>4797</v>
      </c>
      <c r="C19" s="246" t="s">
        <v>271</v>
      </c>
      <c r="D19" s="247" t="s">
        <v>233</v>
      </c>
      <c r="E19" s="248" t="s">
        <v>274</v>
      </c>
      <c r="F19" s="249" t="s">
        <v>4799</v>
      </c>
      <c r="G19" s="245" t="s">
        <v>569</v>
      </c>
      <c r="H19" s="278" t="s">
        <v>2076</v>
      </c>
      <c r="I19" s="278" t="s">
        <v>4800</v>
      </c>
      <c r="J19" s="257" t="s">
        <v>4801</v>
      </c>
      <c r="K19" s="257" t="s">
        <v>746</v>
      </c>
      <c r="L19" s="316" t="s">
        <v>4254</v>
      </c>
      <c r="M19" s="316" t="s">
        <v>4806</v>
      </c>
      <c r="N19" s="257" t="s">
        <v>4809</v>
      </c>
      <c r="O19" s="316" t="s">
        <v>3846</v>
      </c>
      <c r="P19" s="316" t="s">
        <v>422</v>
      </c>
      <c r="Q19" s="286" t="s">
        <v>4812</v>
      </c>
      <c r="R19" s="286" t="s">
        <v>425</v>
      </c>
      <c r="S19" s="286" t="s">
        <v>1114</v>
      </c>
      <c r="T19" s="316" t="s">
        <v>428</v>
      </c>
      <c r="U19" s="316" t="s">
        <v>4814</v>
      </c>
      <c r="V19" s="286" t="s">
        <v>4816</v>
      </c>
      <c r="W19" s="394"/>
      <c r="X19" s="316" t="s">
        <v>4817</v>
      </c>
      <c r="Y19" s="288"/>
      <c r="Z19" s="316" t="s">
        <v>4818</v>
      </c>
      <c r="AA19" s="286" t="s">
        <v>2324</v>
      </c>
      <c r="AB19" s="278" t="s">
        <v>2490</v>
      </c>
      <c r="AC19" s="316" t="s">
        <v>438</v>
      </c>
      <c r="AD19" s="862" t="s">
        <v>612</v>
      </c>
      <c r="AE19" s="278" t="s">
        <v>4821</v>
      </c>
      <c r="AF19" s="316" t="s">
        <v>1382</v>
      </c>
      <c r="AG19" s="286" t="s">
        <v>4823</v>
      </c>
      <c r="AH19" s="316" t="s">
        <v>4259</v>
      </c>
      <c r="AI19" s="288"/>
      <c r="AJ19" s="316" t="s">
        <v>4824</v>
      </c>
      <c r="AK19" s="286" t="s">
        <v>4827</v>
      </c>
      <c r="AL19" s="105"/>
      <c r="AM19" s="316" t="s">
        <v>4828</v>
      </c>
      <c r="AN19" s="916" t="s">
        <v>3218</v>
      </c>
      <c r="AO19" s="316" t="s">
        <v>4829</v>
      </c>
      <c r="AP19" s="316" t="s">
        <v>4830</v>
      </c>
      <c r="AQ19" s="286" t="s">
        <v>800</v>
      </c>
      <c r="AR19" s="286"/>
      <c r="AS19" s="286" t="s">
        <v>4833</v>
      </c>
      <c r="AT19" s="286" t="s">
        <v>4835</v>
      </c>
      <c r="AU19" s="286" t="s">
        <v>4837</v>
      </c>
      <c r="AV19" s="278" t="s">
        <v>4311</v>
      </c>
      <c r="AW19" s="316" t="s">
        <v>4839</v>
      </c>
      <c r="AX19" s="316" t="s">
        <v>4841</v>
      </c>
      <c r="AY19" s="286" t="s">
        <v>1102</v>
      </c>
      <c r="AZ19" s="316" t="s">
        <v>4843</v>
      </c>
      <c r="BA19" s="288"/>
      <c r="BB19" s="286" t="s">
        <v>367</v>
      </c>
      <c r="BC19" s="316" t="s">
        <v>4845</v>
      </c>
      <c r="BD19" s="286" t="s">
        <v>4131</v>
      </c>
      <c r="BE19" s="316" t="s">
        <v>4847</v>
      </c>
      <c r="BF19" s="316" t="s">
        <v>759</v>
      </c>
      <c r="BG19" s="316" t="s">
        <v>4440</v>
      </c>
      <c r="BH19" s="286" t="s">
        <v>4852</v>
      </c>
      <c r="BI19" s="862" t="s">
        <v>2055</v>
      </c>
      <c r="BJ19" s="316" t="s">
        <v>4853</v>
      </c>
      <c r="BK19" s="316" t="s">
        <v>4854</v>
      </c>
      <c r="BL19" s="316" t="s">
        <v>523</v>
      </c>
      <c r="BM19" s="265" t="s">
        <v>4857</v>
      </c>
      <c r="BN19" s="316" t="s">
        <v>4860</v>
      </c>
      <c r="BO19" s="286" t="s">
        <v>4514</v>
      </c>
      <c r="BP19" s="265" t="s">
        <v>4521</v>
      </c>
      <c r="BQ19" s="917"/>
      <c r="BR19" s="881" t="s">
        <v>4863</v>
      </c>
      <c r="BS19" s="278" t="s">
        <v>4864</v>
      </c>
      <c r="BT19" s="316" t="s">
        <v>490</v>
      </c>
      <c r="BU19" s="316" t="s">
        <v>491</v>
      </c>
      <c r="BV19" s="316" t="s">
        <v>488</v>
      </c>
      <c r="BW19" s="286" t="s">
        <v>4739</v>
      </c>
      <c r="BX19" s="316" t="s">
        <v>4865</v>
      </c>
      <c r="BY19" s="286" t="s">
        <v>4868</v>
      </c>
      <c r="BZ19" s="286" t="s">
        <v>4869</v>
      </c>
      <c r="CA19" s="316" t="s">
        <v>4820</v>
      </c>
      <c r="CB19" s="316" t="s">
        <v>4826</v>
      </c>
      <c r="CC19" s="286" t="s">
        <v>2966</v>
      </c>
      <c r="CD19" s="286" t="s">
        <v>2761</v>
      </c>
      <c r="CE19" s="261" t="s">
        <v>495</v>
      </c>
      <c r="CF19" s="351"/>
      <c r="CG19" s="278" t="s">
        <v>4873</v>
      </c>
      <c r="CH19" s="257" t="s">
        <v>4874</v>
      </c>
      <c r="CI19" s="316" t="s">
        <v>4875</v>
      </c>
      <c r="CJ19" s="286" t="s">
        <v>2346</v>
      </c>
      <c r="CK19" s="286"/>
      <c r="CL19" s="286" t="s">
        <v>4876</v>
      </c>
      <c r="CM19" s="278" t="s">
        <v>876</v>
      </c>
      <c r="CN19" s="316" t="s">
        <v>2973</v>
      </c>
      <c r="CO19" s="316" t="s">
        <v>1231</v>
      </c>
      <c r="CP19" s="286" t="s">
        <v>2476</v>
      </c>
      <c r="CQ19" s="916" t="s">
        <v>2657</v>
      </c>
      <c r="CR19" s="286"/>
      <c r="CS19" s="286" t="s">
        <v>4850</v>
      </c>
      <c r="CT19" s="316" t="s">
        <v>521</v>
      </c>
      <c r="CU19" s="106"/>
      <c r="CV19" s="316" t="s">
        <v>4877</v>
      </c>
      <c r="CW19" s="316" t="s">
        <v>523</v>
      </c>
      <c r="CX19" s="316" t="s">
        <v>2906</v>
      </c>
      <c r="CY19" s="316" t="s">
        <v>2465</v>
      </c>
      <c r="CZ19" s="316" t="s">
        <v>1723</v>
      </c>
      <c r="DA19" s="316" t="s">
        <v>4399</v>
      </c>
      <c r="DB19" s="316" t="s">
        <v>4882</v>
      </c>
      <c r="DC19" s="286" t="s">
        <v>1874</v>
      </c>
      <c r="DD19" s="286" t="s">
        <v>4883</v>
      </c>
      <c r="DE19" s="330" t="s">
        <v>4884</v>
      </c>
      <c r="DF19" s="330" t="s">
        <v>3467</v>
      </c>
      <c r="DG19" s="316" t="s">
        <v>4887</v>
      </c>
      <c r="DH19" s="288"/>
      <c r="DI19" s="316" t="s">
        <v>889</v>
      </c>
      <c r="DJ19" s="286" t="s">
        <v>4890</v>
      </c>
      <c r="DK19" s="316" t="s">
        <v>2392</v>
      </c>
      <c r="DL19" s="288"/>
      <c r="DM19" s="286" t="s">
        <v>1710</v>
      </c>
      <c r="DN19" s="316" t="s">
        <v>4891</v>
      </c>
      <c r="DO19" s="286" t="s">
        <v>808</v>
      </c>
      <c r="DP19" s="257" t="s">
        <v>494</v>
      </c>
      <c r="DQ19" s="286" t="s">
        <v>4892</v>
      </c>
      <c r="DR19" s="278" t="s">
        <v>4893</v>
      </c>
      <c r="DS19" s="278"/>
      <c r="DT19" s="316" t="s">
        <v>4894</v>
      </c>
      <c r="DU19" s="316" t="s">
        <v>3465</v>
      </c>
      <c r="DV19" s="286" t="s">
        <v>759</v>
      </c>
      <c r="DW19" s="316" t="s">
        <v>4895</v>
      </c>
      <c r="DX19" s="316" t="s">
        <v>4708</v>
      </c>
      <c r="DY19" s="316" t="s">
        <v>4898</v>
      </c>
      <c r="DZ19" s="316" t="s">
        <v>4902</v>
      </c>
      <c r="EA19" s="257" t="s">
        <v>4904</v>
      </c>
      <c r="EB19" s="278" t="s">
        <v>993</v>
      </c>
      <c r="EC19" s="316" t="s">
        <v>4906</v>
      </c>
      <c r="ED19" s="316" t="s">
        <v>1003</v>
      </c>
    </row>
    <row r="20">
      <c r="A20" s="934" t="s">
        <v>4907</v>
      </c>
      <c r="B20" s="378" t="s">
        <v>4908</v>
      </c>
      <c r="C20" s="379" t="s">
        <v>233</v>
      </c>
      <c r="D20" s="380" t="s">
        <v>171</v>
      </c>
      <c r="E20" s="381" t="s">
        <v>271</v>
      </c>
      <c r="F20" s="382" t="s">
        <v>401</v>
      </c>
      <c r="G20" s="378" t="s">
        <v>4909</v>
      </c>
      <c r="H20" s="541" t="s">
        <v>4654</v>
      </c>
      <c r="I20" s="541" t="s">
        <v>4910</v>
      </c>
      <c r="J20" s="832" t="s">
        <v>653</v>
      </c>
      <c r="K20" s="541" t="s">
        <v>718</v>
      </c>
      <c r="L20" s="390" t="s">
        <v>891</v>
      </c>
      <c r="M20" s="833" t="s">
        <v>4915</v>
      </c>
      <c r="N20" s="937" t="s">
        <v>4916</v>
      </c>
      <c r="O20" s="387" t="s">
        <v>4917</v>
      </c>
      <c r="P20" s="387" t="s">
        <v>2537</v>
      </c>
      <c r="Q20" s="775"/>
      <c r="R20" s="945"/>
      <c r="S20" s="541" t="s">
        <v>4926</v>
      </c>
      <c r="T20" s="390" t="s">
        <v>4929</v>
      </c>
      <c r="U20" s="835"/>
      <c r="V20" s="835"/>
      <c r="W20" s="106"/>
      <c r="X20" s="395" t="s">
        <v>4943</v>
      </c>
      <c r="Y20" s="402"/>
      <c r="Z20" s="399" t="s">
        <v>4956</v>
      </c>
      <c r="AA20" s="908" t="s">
        <v>2310</v>
      </c>
      <c r="AB20" s="395" t="s">
        <v>4205</v>
      </c>
      <c r="AC20" s="399" t="s">
        <v>2650</v>
      </c>
      <c r="AD20" s="395" t="s">
        <v>4991</v>
      </c>
      <c r="AE20" s="399" t="s">
        <v>4997</v>
      </c>
      <c r="AF20" s="399" t="s">
        <v>2598</v>
      </c>
      <c r="AG20" s="399" t="s">
        <v>402</v>
      </c>
      <c r="AH20" s="670"/>
      <c r="AI20" s="402"/>
      <c r="AJ20" s="399" t="s">
        <v>5018</v>
      </c>
      <c r="AK20" s="837"/>
      <c r="AL20" s="105"/>
      <c r="AM20" s="407" t="s">
        <v>1582</v>
      </c>
      <c r="AN20" s="1006" t="s">
        <v>5056</v>
      </c>
      <c r="AO20" s="407" t="s">
        <v>3618</v>
      </c>
      <c r="AP20" s="839"/>
      <c r="AQ20" s="839"/>
      <c r="AR20" s="839"/>
      <c r="AS20" s="570" t="s">
        <v>4671</v>
      </c>
      <c r="AT20" s="839"/>
      <c r="AU20" s="407" t="s">
        <v>529</v>
      </c>
      <c r="AV20" s="1016" t="s">
        <v>5085</v>
      </c>
      <c r="AW20" s="407" t="s">
        <v>2906</v>
      </c>
      <c r="AX20" s="839"/>
      <c r="AY20" s="1019" t="s">
        <v>5089</v>
      </c>
      <c r="AZ20" s="839"/>
      <c r="BA20" s="839"/>
      <c r="BB20" s="414" t="str">
        <f>HYPERLINK("https://clips.twitch.tv/JollyDarlingMousePipeHype","49.40")</f>
        <v>49.40</v>
      </c>
      <c r="BC20" s="417" t="s">
        <v>1668</v>
      </c>
      <c r="BD20" s="417" t="s">
        <v>469</v>
      </c>
      <c r="BE20" s="414" t="s">
        <v>4202</v>
      </c>
      <c r="BF20" s="414" t="str">
        <f>HYPERLINK("https://clips.twitch.tv/ExquisiteCourteousFlyUnSane","52.80")</f>
        <v>52.80</v>
      </c>
      <c r="BG20" s="581" t="s">
        <v>5093</v>
      </c>
      <c r="BH20" s="580"/>
      <c r="BI20" s="417" t="s">
        <v>5095</v>
      </c>
      <c r="BJ20" s="580"/>
      <c r="BK20" s="581" t="s">
        <v>5098</v>
      </c>
      <c r="BL20" s="581" t="s">
        <v>4150</v>
      </c>
      <c r="BM20" s="581" t="s">
        <v>480</v>
      </c>
      <c r="BN20" s="843" t="s">
        <v>781</v>
      </c>
      <c r="BO20" s="414" t="s">
        <v>4510</v>
      </c>
      <c r="BP20" s="580"/>
      <c r="BQ20" s="845"/>
      <c r="BR20" s="785"/>
      <c r="BS20" s="421" t="str">
        <f>HYPERLINK("https://clips.twitch.tv/PolishedAnimatedPenguinOhMyDog","50.72")</f>
        <v>50.72</v>
      </c>
      <c r="BT20" s="422" t="s">
        <v>3069</v>
      </c>
      <c r="BU20" s="422" t="s">
        <v>4653</v>
      </c>
      <c r="BV20" s="421" t="s">
        <v>5108</v>
      </c>
      <c r="BW20" s="1024" t="s">
        <v>541</v>
      </c>
      <c r="BX20" s="849"/>
      <c r="BY20" s="589"/>
      <c r="BZ20" s="589" t="s">
        <v>5109</v>
      </c>
      <c r="CA20" s="589" t="s">
        <v>3301</v>
      </c>
      <c r="CB20" s="589" t="s">
        <v>499</v>
      </c>
      <c r="CC20" s="1025" t="s">
        <v>5110</v>
      </c>
      <c r="CD20" s="589" t="s">
        <v>5112</v>
      </c>
      <c r="CE20" s="849"/>
      <c r="CF20" s="851"/>
      <c r="CG20" s="428" t="str">
        <f>HYPERLINK("https://clips.twitch.tv/PlainYummyKuduDeIlluminati","53.44")</f>
        <v>53.44</v>
      </c>
      <c r="CH20" s="869" t="s">
        <v>2055</v>
      </c>
      <c r="CI20" s="433" t="s">
        <v>5114</v>
      </c>
      <c r="CJ20" s="593" t="s">
        <v>5116</v>
      </c>
      <c r="CK20" s="593"/>
      <c r="CL20" s="593" t="s">
        <v>5117</v>
      </c>
      <c r="CM20" s="1028" t="s">
        <v>5118</v>
      </c>
      <c r="CN20" s="593" t="s">
        <v>884</v>
      </c>
      <c r="CO20" s="593" t="s">
        <v>5120</v>
      </c>
      <c r="CP20" s="852"/>
      <c r="CQ20" s="433" t="s">
        <v>656</v>
      </c>
      <c r="CR20" s="434"/>
      <c r="CS20" s="433" t="s">
        <v>5121</v>
      </c>
      <c r="CT20" s="852"/>
      <c r="CU20" s="106"/>
      <c r="CV20" s="683" t="s">
        <v>5080</v>
      </c>
      <c r="CW20" s="683" t="s">
        <v>5123</v>
      </c>
      <c r="CX20" s="1029" t="s">
        <v>5124</v>
      </c>
      <c r="CY20" s="458" t="s">
        <v>2468</v>
      </c>
      <c r="CZ20" s="1030" t="s">
        <v>5126</v>
      </c>
      <c r="DA20" s="467"/>
      <c r="DB20" s="458" t="s">
        <v>5127</v>
      </c>
      <c r="DC20" s="683" t="s">
        <v>5130</v>
      </c>
      <c r="DD20" s="853"/>
      <c r="DE20" s="458" t="s">
        <v>5131</v>
      </c>
      <c r="DF20" s="458" t="s">
        <v>5132</v>
      </c>
      <c r="DG20" s="853"/>
      <c r="DH20" s="853"/>
      <c r="DI20" s="685" t="s">
        <v>418</v>
      </c>
      <c r="DJ20" s="855"/>
      <c r="DK20" s="855"/>
      <c r="DL20" s="685"/>
      <c r="DM20" s="685" t="s">
        <v>1768</v>
      </c>
      <c r="DN20" s="685" t="s">
        <v>5134</v>
      </c>
      <c r="DO20" s="685" t="s">
        <v>2316</v>
      </c>
      <c r="DP20" s="685" t="s">
        <v>4650</v>
      </c>
      <c r="DQ20" s="685" t="s">
        <v>5135</v>
      </c>
      <c r="DR20" s="1036" t="s">
        <v>3620</v>
      </c>
      <c r="DS20" s="481" t="s">
        <v>5137</v>
      </c>
      <c r="DT20" s="685" t="s">
        <v>4666</v>
      </c>
      <c r="DU20" s="855"/>
      <c r="DV20" s="481" t="s">
        <v>5140</v>
      </c>
      <c r="DW20" s="685" t="s">
        <v>1795</v>
      </c>
      <c r="DX20" s="855"/>
      <c r="DY20" s="855"/>
      <c r="DZ20" s="473" t="s">
        <v>3906</v>
      </c>
      <c r="EA20" s="688" t="s">
        <v>998</v>
      </c>
      <c r="EB20" s="481" t="s">
        <v>3831</v>
      </c>
      <c r="EC20" s="481" t="s">
        <v>3081</v>
      </c>
      <c r="ED20" s="1039" t="s">
        <v>5142</v>
      </c>
    </row>
    <row r="21">
      <c r="A21" s="1040" t="s">
        <v>37</v>
      </c>
      <c r="B21" s="245" t="s">
        <v>5144</v>
      </c>
      <c r="C21" s="246" t="s">
        <v>271</v>
      </c>
      <c r="D21" s="247" t="s">
        <v>171</v>
      </c>
      <c r="E21" s="248" t="s">
        <v>176</v>
      </c>
      <c r="F21" s="249" t="s">
        <v>5146</v>
      </c>
      <c r="G21" s="245" t="s">
        <v>3891</v>
      </c>
      <c r="H21" s="257" t="s">
        <v>5147</v>
      </c>
      <c r="I21" s="257" t="s">
        <v>292</v>
      </c>
      <c r="J21" s="257" t="s">
        <v>627</v>
      </c>
      <c r="K21" s="257" t="s">
        <v>714</v>
      </c>
      <c r="L21" s="496" t="s">
        <v>874</v>
      </c>
      <c r="M21" s="257" t="s">
        <v>5154</v>
      </c>
      <c r="N21" s="496" t="s">
        <v>1011</v>
      </c>
      <c r="O21" s="496" t="s">
        <v>1194</v>
      </c>
      <c r="P21" s="1052" t="s">
        <v>1462</v>
      </c>
      <c r="Q21" s="257" t="s">
        <v>1498</v>
      </c>
      <c r="R21" s="320"/>
      <c r="S21" s="286" t="s">
        <v>1525</v>
      </c>
      <c r="T21" s="257" t="s">
        <v>2405</v>
      </c>
      <c r="U21" s="257" t="s">
        <v>1569</v>
      </c>
      <c r="V21" s="257" t="s">
        <v>5163</v>
      </c>
      <c r="W21" s="106"/>
      <c r="X21" s="496" t="s">
        <v>432</v>
      </c>
      <c r="Y21" s="1060"/>
      <c r="Z21" s="496" t="s">
        <v>5165</v>
      </c>
      <c r="AA21" s="496" t="s">
        <v>2305</v>
      </c>
      <c r="AB21" s="496" t="s">
        <v>2465</v>
      </c>
      <c r="AC21" s="496" t="s">
        <v>2644</v>
      </c>
      <c r="AD21" s="496" t="s">
        <v>2931</v>
      </c>
      <c r="AE21" s="1063"/>
      <c r="AF21" s="496" t="s">
        <v>3032</v>
      </c>
      <c r="AG21" s="496" t="s">
        <v>3325</v>
      </c>
      <c r="AH21" s="257" t="s">
        <v>3400</v>
      </c>
      <c r="AI21" s="320"/>
      <c r="AJ21" s="257" t="s">
        <v>5176</v>
      </c>
      <c r="AK21" s="257" t="s">
        <v>2375</v>
      </c>
      <c r="AL21" s="105"/>
      <c r="AM21" s="257" t="s">
        <v>2381</v>
      </c>
      <c r="AN21" s="257" t="s">
        <v>3567</v>
      </c>
      <c r="AO21" s="257" t="s">
        <v>3645</v>
      </c>
      <c r="AP21" s="257" t="s">
        <v>5182</v>
      </c>
      <c r="AQ21" s="261" t="s">
        <v>4101</v>
      </c>
      <c r="AR21" s="261" t="s">
        <v>5185</v>
      </c>
      <c r="AS21" s="257" t="s">
        <v>4227</v>
      </c>
      <c r="AT21" s="257" t="s">
        <v>3800</v>
      </c>
      <c r="AU21" s="496" t="s">
        <v>3561</v>
      </c>
      <c r="AV21" s="496" t="s">
        <v>3946</v>
      </c>
      <c r="AW21" s="257" t="s">
        <v>2301</v>
      </c>
      <c r="AX21" s="320"/>
      <c r="AY21" s="257" t="s">
        <v>3985</v>
      </c>
      <c r="AZ21" s="257" t="s">
        <v>5196</v>
      </c>
      <c r="BA21" s="320"/>
      <c r="BB21" s="496" t="s">
        <v>406</v>
      </c>
      <c r="BC21" s="496" t="s">
        <v>3938</v>
      </c>
      <c r="BD21" s="496" t="s">
        <v>4123</v>
      </c>
      <c r="BE21" s="496" t="s">
        <v>3236</v>
      </c>
      <c r="BF21" s="496" t="s">
        <v>876</v>
      </c>
      <c r="BG21" s="496" t="s">
        <v>1999</v>
      </c>
      <c r="BH21" s="496" t="s">
        <v>4287</v>
      </c>
      <c r="BI21" s="257" t="s">
        <v>2235</v>
      </c>
      <c r="BJ21" s="257" t="s">
        <v>4369</v>
      </c>
      <c r="BK21" s="496" t="s">
        <v>4359</v>
      </c>
      <c r="BL21" s="496" t="s">
        <v>4471</v>
      </c>
      <c r="BM21" s="257" t="s">
        <v>4330</v>
      </c>
      <c r="BN21" s="257" t="s">
        <v>2761</v>
      </c>
      <c r="BO21" s="286" t="s">
        <v>3554</v>
      </c>
      <c r="BP21" s="257" t="s">
        <v>692</v>
      </c>
      <c r="BQ21" s="824"/>
      <c r="BR21" s="257" t="s">
        <v>5223</v>
      </c>
      <c r="BS21" s="496" t="s">
        <v>488</v>
      </c>
      <c r="BT21" s="496" t="s">
        <v>4579</v>
      </c>
      <c r="BU21" s="496" t="s">
        <v>2306</v>
      </c>
      <c r="BV21" s="496" t="s">
        <v>4705</v>
      </c>
      <c r="BW21" s="496" t="s">
        <v>4753</v>
      </c>
      <c r="BX21" s="496" t="s">
        <v>4776</v>
      </c>
      <c r="BY21" s="257" t="s">
        <v>5254</v>
      </c>
      <c r="BZ21" s="257" t="s">
        <v>5255</v>
      </c>
      <c r="CA21" s="496" t="s">
        <v>4653</v>
      </c>
      <c r="CB21" s="257" t="s">
        <v>4832</v>
      </c>
      <c r="CC21" s="257" t="s">
        <v>4846</v>
      </c>
      <c r="CD21" s="257" t="s">
        <v>463</v>
      </c>
      <c r="CE21" s="257" t="s">
        <v>5265</v>
      </c>
      <c r="CF21" s="824"/>
      <c r="CG21" s="496" t="s">
        <v>4897</v>
      </c>
      <c r="CH21" s="496" t="s">
        <v>4920</v>
      </c>
      <c r="CI21" s="496" t="s">
        <v>5273</v>
      </c>
      <c r="CJ21" s="496" t="s">
        <v>5275</v>
      </c>
      <c r="CK21" s="1060"/>
      <c r="CL21" s="496" t="s">
        <v>5280</v>
      </c>
      <c r="CM21" s="496" t="s">
        <v>945</v>
      </c>
      <c r="CN21" s="496" t="s">
        <v>2110</v>
      </c>
      <c r="CO21" s="496" t="s">
        <v>2351</v>
      </c>
      <c r="CP21" s="257" t="s">
        <v>5286</v>
      </c>
      <c r="CQ21" s="257" t="s">
        <v>2692</v>
      </c>
      <c r="CR21" s="320"/>
      <c r="CS21" s="257" t="s">
        <v>5291</v>
      </c>
      <c r="CT21" s="257" t="s">
        <v>5294</v>
      </c>
      <c r="CU21" s="106"/>
      <c r="CV21" s="496" t="s">
        <v>3576</v>
      </c>
      <c r="CW21" s="496" t="s">
        <v>5300</v>
      </c>
      <c r="CX21" s="257" t="s">
        <v>656</v>
      </c>
      <c r="CY21" s="496" t="s">
        <v>2252</v>
      </c>
      <c r="CZ21" s="257" t="s">
        <v>5308</v>
      </c>
      <c r="DA21" s="257" t="s">
        <v>928</v>
      </c>
      <c r="DB21" s="496" t="s">
        <v>4882</v>
      </c>
      <c r="DC21" s="496" t="s">
        <v>2963</v>
      </c>
      <c r="DD21" s="257" t="s">
        <v>531</v>
      </c>
      <c r="DE21" s="286" t="s">
        <v>4635</v>
      </c>
      <c r="DF21" s="286" t="s">
        <v>5324</v>
      </c>
      <c r="DG21" s="261" t="s">
        <v>5197</v>
      </c>
      <c r="DH21" s="320"/>
      <c r="DI21" s="257" t="s">
        <v>1614</v>
      </c>
      <c r="DJ21" s="320"/>
      <c r="DK21" s="261" t="s">
        <v>5333</v>
      </c>
      <c r="DL21" s="257" t="s">
        <v>5334</v>
      </c>
      <c r="DM21" s="286" t="s">
        <v>1768</v>
      </c>
      <c r="DN21" s="257" t="s">
        <v>5338</v>
      </c>
      <c r="DO21" s="257" t="s">
        <v>2103</v>
      </c>
      <c r="DP21" s="257" t="s">
        <v>3950</v>
      </c>
      <c r="DQ21" s="263" t="s">
        <v>4410</v>
      </c>
      <c r="DR21" s="496" t="s">
        <v>5355</v>
      </c>
      <c r="DS21" s="496" t="s">
        <v>5315</v>
      </c>
      <c r="DT21" s="257" t="s">
        <v>4666</v>
      </c>
      <c r="DU21" s="257" t="s">
        <v>5358</v>
      </c>
      <c r="DV21" s="257" t="s">
        <v>553</v>
      </c>
      <c r="DW21" s="286" t="s">
        <v>5361</v>
      </c>
      <c r="DX21" s="286" t="s">
        <v>5362</v>
      </c>
      <c r="DY21" s="286" t="s">
        <v>5363</v>
      </c>
      <c r="DZ21" s="286" t="s">
        <v>3842</v>
      </c>
      <c r="EA21" s="257" t="s">
        <v>5364</v>
      </c>
      <c r="EB21" s="257" t="s">
        <v>2787</v>
      </c>
      <c r="EC21" s="257" t="s">
        <v>4906</v>
      </c>
      <c r="ED21" s="316" t="s">
        <v>5368</v>
      </c>
    </row>
    <row r="22">
      <c r="A22" s="1111" t="s">
        <v>68</v>
      </c>
      <c r="B22" s="378" t="s">
        <v>5372</v>
      </c>
      <c r="C22" s="379" t="s">
        <v>271</v>
      </c>
      <c r="D22" s="380" t="s">
        <v>171</v>
      </c>
      <c r="E22" s="381" t="s">
        <v>171</v>
      </c>
      <c r="F22" s="382" t="s">
        <v>3718</v>
      </c>
      <c r="G22" s="378" t="s">
        <v>5373</v>
      </c>
      <c r="H22" s="390" t="s">
        <v>1575</v>
      </c>
      <c r="I22" s="390" t="s">
        <v>5306</v>
      </c>
      <c r="J22" s="541" t="s">
        <v>5381</v>
      </c>
      <c r="K22" s="390" t="s">
        <v>750</v>
      </c>
      <c r="L22" s="390" t="s">
        <v>418</v>
      </c>
      <c r="M22" s="775" t="s">
        <v>5413</v>
      </c>
      <c r="N22" s="1121" t="s">
        <v>5417</v>
      </c>
      <c r="O22" s="390" t="s">
        <v>1247</v>
      </c>
      <c r="P22" s="1123" t="s">
        <v>2537</v>
      </c>
      <c r="Q22" s="541" t="s">
        <v>4903</v>
      </c>
      <c r="R22" s="390" t="s">
        <v>4194</v>
      </c>
      <c r="S22" s="541" t="s">
        <v>4538</v>
      </c>
      <c r="T22" s="541" t="s">
        <v>5449</v>
      </c>
      <c r="U22" s="390" t="s">
        <v>175</v>
      </c>
      <c r="V22" s="541" t="s">
        <v>5452</v>
      </c>
      <c r="W22" s="106"/>
      <c r="X22" s="397" t="s">
        <v>5455</v>
      </c>
      <c r="Y22" s="1129" t="s">
        <v>5456</v>
      </c>
      <c r="Z22" s="399" t="s">
        <v>5165</v>
      </c>
      <c r="AA22" s="669" t="s">
        <v>306</v>
      </c>
      <c r="AB22" s="1133" t="s">
        <v>2485</v>
      </c>
      <c r="AC22" s="399" t="s">
        <v>5462</v>
      </c>
      <c r="AD22" s="399" t="s">
        <v>1745</v>
      </c>
      <c r="AE22" s="669" t="s">
        <v>5467</v>
      </c>
      <c r="AF22" s="670" t="s">
        <v>3060</v>
      </c>
      <c r="AG22" s="399" t="s">
        <v>5470</v>
      </c>
      <c r="AH22" s="670" t="s">
        <v>3619</v>
      </c>
      <c r="AI22" s="670" t="s">
        <v>4215</v>
      </c>
      <c r="AJ22" s="399" t="s">
        <v>5472</v>
      </c>
      <c r="AK22" s="670" t="s">
        <v>5474</v>
      </c>
      <c r="AL22" s="105"/>
      <c r="AM22" s="407" t="s">
        <v>5475</v>
      </c>
      <c r="AN22" s="407" t="s">
        <v>5478</v>
      </c>
      <c r="AO22" s="570" t="s">
        <v>5479</v>
      </c>
      <c r="AP22" s="570" t="s">
        <v>774</v>
      </c>
      <c r="AQ22" s="570" t="s">
        <v>4911</v>
      </c>
      <c r="AR22" s="570" t="s">
        <v>5367</v>
      </c>
      <c r="AS22" s="570" t="s">
        <v>5480</v>
      </c>
      <c r="AT22" s="570" t="s">
        <v>5481</v>
      </c>
      <c r="AU22" s="1019" t="s">
        <v>3886</v>
      </c>
      <c r="AV22" s="1016" t="s">
        <v>5483</v>
      </c>
      <c r="AW22" s="407" t="s">
        <v>573</v>
      </c>
      <c r="AX22" s="407" t="s">
        <v>1525</v>
      </c>
      <c r="AY22" s="570" t="s">
        <v>5485</v>
      </c>
      <c r="AZ22" s="570" t="s">
        <v>5486</v>
      </c>
      <c r="BA22" s="570"/>
      <c r="BB22" s="581" t="s">
        <v>5487</v>
      </c>
      <c r="BC22" s="417" t="s">
        <v>5489</v>
      </c>
      <c r="BD22" s="581" t="s">
        <v>1397</v>
      </c>
      <c r="BE22" s="417" t="s">
        <v>470</v>
      </c>
      <c r="BF22" s="417" t="s">
        <v>4243</v>
      </c>
      <c r="BG22" s="417" t="s">
        <v>2761</v>
      </c>
      <c r="BH22" s="581" t="s">
        <v>1144</v>
      </c>
      <c r="BI22" s="414" t="s">
        <v>5493</v>
      </c>
      <c r="BJ22" s="581" t="s">
        <v>5494</v>
      </c>
      <c r="BK22" s="414" t="s">
        <v>4800</v>
      </c>
      <c r="BL22" s="417" t="s">
        <v>5499</v>
      </c>
      <c r="BM22" s="581" t="s">
        <v>5501</v>
      </c>
      <c r="BN22" s="581" t="s">
        <v>4045</v>
      </c>
      <c r="BO22" s="581" t="s">
        <v>5502</v>
      </c>
      <c r="BP22" s="581" t="s">
        <v>5504</v>
      </c>
      <c r="BQ22" s="1145"/>
      <c r="BR22" s="422" t="s">
        <v>603</v>
      </c>
      <c r="BS22" s="589" t="s">
        <v>5510</v>
      </c>
      <c r="BT22" s="422" t="s">
        <v>5514</v>
      </c>
      <c r="BU22" s="422" t="s">
        <v>1032</v>
      </c>
      <c r="BV22" s="1147" t="s">
        <v>4786</v>
      </c>
      <c r="BW22" s="422" t="s">
        <v>5547</v>
      </c>
      <c r="BX22" s="422" t="s">
        <v>5561</v>
      </c>
      <c r="BY22" s="589" t="s">
        <v>5572</v>
      </c>
      <c r="BZ22" s="589" t="s">
        <v>5574</v>
      </c>
      <c r="CA22" s="422" t="s">
        <v>5575</v>
      </c>
      <c r="CB22" s="422" t="s">
        <v>499</v>
      </c>
      <c r="CC22" s="422" t="s">
        <v>5586</v>
      </c>
      <c r="CD22" s="589" t="s">
        <v>5587</v>
      </c>
      <c r="CE22" s="589" t="s">
        <v>5588</v>
      </c>
      <c r="CF22" s="1150"/>
      <c r="CG22" s="433" t="s">
        <v>838</v>
      </c>
      <c r="CH22" s="1028" t="s">
        <v>558</v>
      </c>
      <c r="CI22" s="1154" t="s">
        <v>5599</v>
      </c>
      <c r="CJ22" s="433" t="s">
        <v>3037</v>
      </c>
      <c r="CK22" s="434"/>
      <c r="CL22" s="434" t="s">
        <v>1728</v>
      </c>
      <c r="CM22" s="433" t="s">
        <v>1995</v>
      </c>
      <c r="CN22" s="433" t="s">
        <v>1162</v>
      </c>
      <c r="CO22" s="433" t="s">
        <v>5608</v>
      </c>
      <c r="CP22" s="593" t="s">
        <v>5611</v>
      </c>
      <c r="CQ22" s="593" t="s">
        <v>3841</v>
      </c>
      <c r="CR22" s="593"/>
      <c r="CS22" s="593" t="s">
        <v>5616</v>
      </c>
      <c r="CT22" s="593" t="s">
        <v>5620</v>
      </c>
      <c r="CU22" s="106"/>
      <c r="CV22" s="458" t="s">
        <v>2210</v>
      </c>
      <c r="CW22" s="458" t="s">
        <v>5633</v>
      </c>
      <c r="CX22" s="683" t="s">
        <v>1226</v>
      </c>
      <c r="CY22" s="444" t="s">
        <v>813</v>
      </c>
      <c r="CZ22" s="1159" t="s">
        <v>631</v>
      </c>
      <c r="DA22" s="1159" t="s">
        <v>1741</v>
      </c>
      <c r="DB22" s="458" t="s">
        <v>5654</v>
      </c>
      <c r="DC22" s="458" t="s">
        <v>758</v>
      </c>
      <c r="DD22" s="683" t="s">
        <v>5668</v>
      </c>
      <c r="DE22" s="683" t="s">
        <v>5669</v>
      </c>
      <c r="DF22" s="683" t="s">
        <v>5671</v>
      </c>
      <c r="DG22" s="683" t="s">
        <v>3945</v>
      </c>
      <c r="DH22" s="683"/>
      <c r="DI22" s="685" t="s">
        <v>5673</v>
      </c>
      <c r="DJ22" s="685" t="s">
        <v>5674</v>
      </c>
      <c r="DK22" s="685" t="s">
        <v>5675</v>
      </c>
      <c r="DL22" s="685"/>
      <c r="DM22" s="599" t="s">
        <v>516</v>
      </c>
      <c r="DN22" s="685" t="s">
        <v>5469</v>
      </c>
      <c r="DO22" s="685" t="s">
        <v>5677</v>
      </c>
      <c r="DP22" s="685" t="s">
        <v>5679</v>
      </c>
      <c r="DQ22" s="481" t="s">
        <v>4656</v>
      </c>
      <c r="DR22" s="685" t="s">
        <v>3610</v>
      </c>
      <c r="DS22" s="685" t="s">
        <v>5681</v>
      </c>
      <c r="DT22" s="685" t="s">
        <v>5300</v>
      </c>
      <c r="DU22" s="685" t="s">
        <v>5682</v>
      </c>
      <c r="DV22" s="685" t="s">
        <v>4092</v>
      </c>
      <c r="DW22" s="685" t="s">
        <v>5683</v>
      </c>
      <c r="DX22" s="685" t="s">
        <v>3906</v>
      </c>
      <c r="DY22" s="685" t="s">
        <v>5684</v>
      </c>
      <c r="DZ22" s="685" t="s">
        <v>5685</v>
      </c>
      <c r="EA22" s="685" t="s">
        <v>1318</v>
      </c>
      <c r="EB22" s="481" t="s">
        <v>5686</v>
      </c>
      <c r="EC22" s="685" t="s">
        <v>5688</v>
      </c>
      <c r="ED22" s="1039" t="s">
        <v>5689</v>
      </c>
    </row>
    <row r="23">
      <c r="A23" s="1163" t="s">
        <v>36</v>
      </c>
      <c r="B23" s="245" t="s">
        <v>5690</v>
      </c>
      <c r="C23" s="246" t="s">
        <v>274</v>
      </c>
      <c r="D23" s="247" t="s">
        <v>233</v>
      </c>
      <c r="E23" s="248" t="s">
        <v>274</v>
      </c>
      <c r="F23" s="249" t="s">
        <v>4318</v>
      </c>
      <c r="G23" s="245" t="s">
        <v>4318</v>
      </c>
      <c r="H23" s="1165" t="s">
        <v>158</v>
      </c>
      <c r="I23" s="1165" t="s">
        <v>289</v>
      </c>
      <c r="J23" s="1165" t="s">
        <v>623</v>
      </c>
      <c r="K23" s="1165" t="s">
        <v>710</v>
      </c>
      <c r="L23" s="1165" t="s">
        <v>870</v>
      </c>
      <c r="M23" s="1165" t="s">
        <v>5695</v>
      </c>
      <c r="N23" s="1165" t="s">
        <v>841</v>
      </c>
      <c r="O23" s="1165" t="s">
        <v>1218</v>
      </c>
      <c r="P23" s="1165" t="s">
        <v>1035</v>
      </c>
      <c r="Q23" s="1165" t="s">
        <v>1496</v>
      </c>
      <c r="R23" s="1168"/>
      <c r="S23" s="1165" t="s">
        <v>605</v>
      </c>
      <c r="T23" s="1165" t="s">
        <v>1647</v>
      </c>
      <c r="U23" s="1168"/>
      <c r="V23" s="1165" t="s">
        <v>1692</v>
      </c>
      <c r="W23" s="1169"/>
      <c r="X23" s="763" t="s">
        <v>5705</v>
      </c>
      <c r="Y23" s="763" t="s">
        <v>195</v>
      </c>
      <c r="Z23" s="1165" t="s">
        <v>4334</v>
      </c>
      <c r="AA23" s="1171" t="s">
        <v>306</v>
      </c>
      <c r="AB23" s="1165" t="s">
        <v>2276</v>
      </c>
      <c r="AC23" s="1165" t="s">
        <v>1270</v>
      </c>
      <c r="AD23" s="762" t="s">
        <v>1451</v>
      </c>
      <c r="AE23" s="1168"/>
      <c r="AF23" s="1165" t="s">
        <v>3037</v>
      </c>
      <c r="AG23" s="1165" t="s">
        <v>3353</v>
      </c>
      <c r="AH23" s="1165" t="s">
        <v>3398</v>
      </c>
      <c r="AI23" s="1168"/>
      <c r="AJ23" s="1165" t="s">
        <v>3434</v>
      </c>
      <c r="AK23" s="1165" t="s">
        <v>3495</v>
      </c>
      <c r="AL23" s="1176"/>
      <c r="AM23" s="1165" t="s">
        <v>761</v>
      </c>
      <c r="AN23" s="1165" t="s">
        <v>3562</v>
      </c>
      <c r="AO23" s="1165" t="s">
        <v>3454</v>
      </c>
      <c r="AP23" s="1165" t="s">
        <v>983</v>
      </c>
      <c r="AQ23" s="1165" t="s">
        <v>3706</v>
      </c>
      <c r="AR23" s="1165" t="s">
        <v>3746</v>
      </c>
      <c r="AS23" s="1168"/>
      <c r="AT23" s="1165" t="s">
        <v>3798</v>
      </c>
      <c r="AU23" s="1165" t="s">
        <v>2582</v>
      </c>
      <c r="AV23" s="1165" t="s">
        <v>3969</v>
      </c>
      <c r="AW23" s="1165" t="s">
        <v>4014</v>
      </c>
      <c r="AX23" s="1168"/>
      <c r="AY23" s="1165" t="s">
        <v>3981</v>
      </c>
      <c r="AZ23" s="1165" t="s">
        <v>4023</v>
      </c>
      <c r="BA23" s="1168"/>
      <c r="BB23" s="1184" t="s">
        <v>4089</v>
      </c>
      <c r="BC23" s="1165" t="s">
        <v>1668</v>
      </c>
      <c r="BD23" s="1165" t="s">
        <v>3932</v>
      </c>
      <c r="BE23" s="1165" t="s">
        <v>4189</v>
      </c>
      <c r="BF23" s="1165" t="s">
        <v>5794</v>
      </c>
      <c r="BG23" s="1165" t="s">
        <v>4272</v>
      </c>
      <c r="BH23" s="1165" t="s">
        <v>4288</v>
      </c>
      <c r="BI23" s="1165" t="s">
        <v>4314</v>
      </c>
      <c r="BJ23" s="1168"/>
      <c r="BK23" s="1165" t="s">
        <v>4358</v>
      </c>
      <c r="BL23" s="1165" t="s">
        <v>5820</v>
      </c>
      <c r="BM23" s="1165" t="s">
        <v>4484</v>
      </c>
      <c r="BN23" s="1165" t="s">
        <v>1023</v>
      </c>
      <c r="BO23" s="1165" t="s">
        <v>4511</v>
      </c>
      <c r="BP23" s="1165" t="s">
        <v>4522</v>
      </c>
      <c r="BQ23" s="1192"/>
      <c r="BR23" s="1165" t="s">
        <v>1933</v>
      </c>
      <c r="BS23" s="1165" t="s">
        <v>190</v>
      </c>
      <c r="BT23" s="1165" t="s">
        <v>4578</v>
      </c>
      <c r="BU23" s="1165" t="s">
        <v>4646</v>
      </c>
      <c r="BV23" s="1165" t="s">
        <v>2109</v>
      </c>
      <c r="BW23" s="1165" t="s">
        <v>4752</v>
      </c>
      <c r="BX23" s="1165" t="s">
        <v>2199</v>
      </c>
      <c r="BY23" s="1168"/>
      <c r="BZ23" s="1165" t="s">
        <v>3665</v>
      </c>
      <c r="CA23" s="1165" t="s">
        <v>4815</v>
      </c>
      <c r="CB23" s="1165" t="s">
        <v>4831</v>
      </c>
      <c r="CC23" s="1165" t="s">
        <v>4844</v>
      </c>
      <c r="CD23" s="1165" t="s">
        <v>4118</v>
      </c>
      <c r="CE23" s="1165" t="s">
        <v>4886</v>
      </c>
      <c r="CF23" s="1192"/>
      <c r="CG23" s="1165" t="s">
        <v>4896</v>
      </c>
      <c r="CH23" s="1165" t="s">
        <v>3957</v>
      </c>
      <c r="CI23" s="1165" t="s">
        <v>5935</v>
      </c>
      <c r="CJ23" s="1165" t="s">
        <v>5115</v>
      </c>
      <c r="CK23" s="762" t="s">
        <v>5143</v>
      </c>
      <c r="CL23" s="1168"/>
      <c r="CM23" s="1165" t="s">
        <v>190</v>
      </c>
      <c r="CN23" s="1165" t="s">
        <v>5367</v>
      </c>
      <c r="CO23" s="1165" t="s">
        <v>4549</v>
      </c>
      <c r="CP23" s="1165" t="s">
        <v>5712</v>
      </c>
      <c r="CQ23" s="1165" t="s">
        <v>5824</v>
      </c>
      <c r="CR23" s="1168"/>
      <c r="CS23" s="1165" t="s">
        <v>5724</v>
      </c>
      <c r="CT23" s="1165" t="s">
        <v>5353</v>
      </c>
      <c r="CU23" s="1169"/>
      <c r="CV23" s="1165" t="s">
        <v>1223</v>
      </c>
      <c r="CW23" s="1168"/>
      <c r="CX23" s="1165" t="s">
        <v>3931</v>
      </c>
      <c r="CY23" s="763" t="s">
        <v>5208</v>
      </c>
      <c r="CZ23" s="1184" t="s">
        <v>4264</v>
      </c>
      <c r="DA23" s="1165" t="s">
        <v>6014</v>
      </c>
      <c r="DB23" s="1165" t="s">
        <v>6023</v>
      </c>
      <c r="DC23" s="1165" t="s">
        <v>3886</v>
      </c>
      <c r="DD23" s="1217" t="s">
        <v>5582</v>
      </c>
      <c r="DE23" s="1165" t="s">
        <v>3437</v>
      </c>
      <c r="DF23" s="1165" t="s">
        <v>3512</v>
      </c>
      <c r="DG23" s="1165" t="s">
        <v>6058</v>
      </c>
      <c r="DH23" s="1168"/>
      <c r="DI23" s="1165" t="s">
        <v>4117</v>
      </c>
      <c r="DJ23" s="1168"/>
      <c r="DK23" s="1168"/>
      <c r="DL23" s="1168"/>
      <c r="DM23" s="1168"/>
      <c r="DN23" s="1168"/>
      <c r="DO23" s="1168"/>
      <c r="DP23" s="1168"/>
      <c r="DQ23" s="1168"/>
      <c r="DR23" s="1184" t="s">
        <v>6082</v>
      </c>
      <c r="DS23" s="1165" t="s">
        <v>4096</v>
      </c>
      <c r="DT23" s="1168"/>
      <c r="DU23" s="1168"/>
      <c r="DV23" s="1168"/>
      <c r="DW23" s="1168"/>
      <c r="DX23" s="1168"/>
      <c r="DY23" s="1168"/>
      <c r="DZ23" s="1168"/>
      <c r="EA23" s="1168"/>
      <c r="EB23" s="1168"/>
      <c r="EC23" s="1168"/>
      <c r="ED23" s="1168"/>
    </row>
    <row r="24">
      <c r="A24" s="540" t="s">
        <v>99</v>
      </c>
      <c r="B24" s="378" t="s">
        <v>6118</v>
      </c>
      <c r="C24" s="379" t="s">
        <v>271</v>
      </c>
      <c r="D24" s="380" t="s">
        <v>271</v>
      </c>
      <c r="E24" s="381" t="s">
        <v>171</v>
      </c>
      <c r="F24" s="382" t="s">
        <v>1519</v>
      </c>
      <c r="G24" s="378" t="s">
        <v>3257</v>
      </c>
      <c r="H24" s="390" t="s">
        <v>6131</v>
      </c>
      <c r="I24" s="390" t="s">
        <v>4484</v>
      </c>
      <c r="J24" s="390" t="s">
        <v>4168</v>
      </c>
      <c r="K24" s="390" t="s">
        <v>755</v>
      </c>
      <c r="L24" s="390" t="s">
        <v>6170</v>
      </c>
      <c r="M24" s="864" t="s">
        <v>4047</v>
      </c>
      <c r="N24" s="390" t="s">
        <v>6180</v>
      </c>
      <c r="O24" s="541" t="s">
        <v>6182</v>
      </c>
      <c r="P24" s="1121" t="s">
        <v>1462</v>
      </c>
      <c r="Q24" s="541" t="s">
        <v>6183</v>
      </c>
      <c r="R24" s="835"/>
      <c r="S24" s="390" t="s">
        <v>6184</v>
      </c>
      <c r="T24" s="835"/>
      <c r="U24" s="541" t="s">
        <v>5126</v>
      </c>
      <c r="V24" s="835"/>
      <c r="W24" s="106"/>
      <c r="X24" s="399" t="s">
        <v>2976</v>
      </c>
      <c r="Y24" s="670"/>
      <c r="Z24" s="399" t="s">
        <v>6191</v>
      </c>
      <c r="AA24" s="1133" t="s">
        <v>2326</v>
      </c>
      <c r="AB24" s="399" t="s">
        <v>6192</v>
      </c>
      <c r="AC24" s="399" t="s">
        <v>4308</v>
      </c>
      <c r="AD24" s="399" t="s">
        <v>2180</v>
      </c>
      <c r="AE24" s="399" t="s">
        <v>6205</v>
      </c>
      <c r="AF24" s="670" t="s">
        <v>3060</v>
      </c>
      <c r="AG24" s="670" t="s">
        <v>6214</v>
      </c>
      <c r="AH24" s="670" t="s">
        <v>6216</v>
      </c>
      <c r="AI24" s="670"/>
      <c r="AJ24" s="670" t="s">
        <v>6219</v>
      </c>
      <c r="AK24" s="837"/>
      <c r="AL24" s="105"/>
      <c r="AM24" s="407" t="s">
        <v>761</v>
      </c>
      <c r="AN24" s="570" t="s">
        <v>3205</v>
      </c>
      <c r="AO24" s="570" t="s">
        <v>6223</v>
      </c>
      <c r="AP24" s="570" t="s">
        <v>6084</v>
      </c>
      <c r="AQ24" s="839"/>
      <c r="AR24" s="407" t="s">
        <v>1039</v>
      </c>
      <c r="AS24" s="839"/>
      <c r="AT24" s="839"/>
      <c r="AU24" s="407" t="s">
        <v>2660</v>
      </c>
      <c r="AV24" s="1019" t="s">
        <v>6236</v>
      </c>
      <c r="AW24" s="407" t="s">
        <v>6238</v>
      </c>
      <c r="AX24" s="839"/>
      <c r="AY24" s="1019" t="s">
        <v>6245</v>
      </c>
      <c r="AZ24" s="839"/>
      <c r="BA24" s="839"/>
      <c r="BB24" s="581" t="s">
        <v>3640</v>
      </c>
      <c r="BC24" s="1228" t="s">
        <v>4845</v>
      </c>
      <c r="BD24" s="581" t="s">
        <v>6251</v>
      </c>
      <c r="BE24" s="581" t="s">
        <v>6254</v>
      </c>
      <c r="BF24" s="417" t="s">
        <v>6258</v>
      </c>
      <c r="BG24" s="581" t="s">
        <v>6271</v>
      </c>
      <c r="BH24" s="580"/>
      <c r="BI24" s="581" t="s">
        <v>6274</v>
      </c>
      <c r="BJ24" s="580"/>
      <c r="BK24" s="581" t="s">
        <v>6280</v>
      </c>
      <c r="BL24" s="417" t="s">
        <v>964</v>
      </c>
      <c r="BM24" s="581" t="s">
        <v>6288</v>
      </c>
      <c r="BN24" s="581" t="s">
        <v>1066</v>
      </c>
      <c r="BO24" s="417" t="s">
        <v>1933</v>
      </c>
      <c r="BP24" s="580"/>
      <c r="BQ24" s="845"/>
      <c r="BR24" s="1229" t="s">
        <v>6029</v>
      </c>
      <c r="BS24" s="422" t="s">
        <v>6322</v>
      </c>
      <c r="BT24" s="589" t="s">
        <v>6328</v>
      </c>
      <c r="BU24" s="422" t="s">
        <v>6331</v>
      </c>
      <c r="BV24" s="422" t="s">
        <v>2759</v>
      </c>
      <c r="BW24" s="589" t="s">
        <v>3840</v>
      </c>
      <c r="BX24" s="1229" t="s">
        <v>2544</v>
      </c>
      <c r="BY24" s="849"/>
      <c r="BZ24" s="422" t="s">
        <v>6355</v>
      </c>
      <c r="CA24" s="422" t="s">
        <v>5466</v>
      </c>
      <c r="CB24" s="589" t="s">
        <v>6371</v>
      </c>
      <c r="CC24" s="1229" t="s">
        <v>2091</v>
      </c>
      <c r="CD24" s="422" t="s">
        <v>813</v>
      </c>
      <c r="CE24" s="422" t="s">
        <v>6385</v>
      </c>
      <c r="CF24" s="851"/>
      <c r="CG24" s="433" t="s">
        <v>6399</v>
      </c>
      <c r="CH24" s="433" t="s">
        <v>3930</v>
      </c>
      <c r="CI24" s="593" t="s">
        <v>6419</v>
      </c>
      <c r="CJ24" s="433" t="s">
        <v>5024</v>
      </c>
      <c r="CK24" s="433" t="s">
        <v>6425</v>
      </c>
      <c r="CL24" s="433" t="s">
        <v>4876</v>
      </c>
      <c r="CM24" s="433" t="s">
        <v>3947</v>
      </c>
      <c r="CN24" s="433" t="s">
        <v>1077</v>
      </c>
      <c r="CO24" s="593" t="s">
        <v>1710</v>
      </c>
      <c r="CP24" s="852"/>
      <c r="CQ24" s="593" t="s">
        <v>5853</v>
      </c>
      <c r="CR24" s="852"/>
      <c r="CS24" s="593" t="s">
        <v>6438</v>
      </c>
      <c r="CT24" s="852"/>
      <c r="CU24" s="106"/>
      <c r="CV24" s="458" t="s">
        <v>6444</v>
      </c>
      <c r="CW24" s="683" t="s">
        <v>6452</v>
      </c>
      <c r="CX24" s="458" t="s">
        <v>1608</v>
      </c>
      <c r="CY24" s="458" t="s">
        <v>525</v>
      </c>
      <c r="CZ24" s="458" t="s">
        <v>6478</v>
      </c>
      <c r="DA24" s="1159" t="s">
        <v>1901</v>
      </c>
      <c r="DB24" s="458" t="s">
        <v>6488</v>
      </c>
      <c r="DC24" s="683" t="s">
        <v>758</v>
      </c>
      <c r="DD24" s="1159" t="s">
        <v>6507</v>
      </c>
      <c r="DE24" s="1159" t="s">
        <v>6509</v>
      </c>
      <c r="DF24" s="683" t="s">
        <v>589</v>
      </c>
      <c r="DG24" s="853"/>
      <c r="DH24" s="853"/>
      <c r="DI24" s="685" t="s">
        <v>6513</v>
      </c>
      <c r="DJ24" s="685"/>
      <c r="DK24" s="685" t="s">
        <v>6435</v>
      </c>
      <c r="DL24" s="685" t="s">
        <v>6104</v>
      </c>
      <c r="DM24" s="685" t="s">
        <v>1710</v>
      </c>
      <c r="DN24" s="481" t="s">
        <v>2138</v>
      </c>
      <c r="DO24" s="685" t="s">
        <v>6530</v>
      </c>
      <c r="DP24" s="685" t="s">
        <v>3767</v>
      </c>
      <c r="DQ24" s="855"/>
      <c r="DR24" s="481" t="s">
        <v>6303</v>
      </c>
      <c r="DS24" s="481" t="s">
        <v>2301</v>
      </c>
      <c r="DT24" s="481" t="s">
        <v>2816</v>
      </c>
      <c r="DU24" s="481" t="s">
        <v>552</v>
      </c>
      <c r="DV24" s="481" t="s">
        <v>4943</v>
      </c>
      <c r="DW24" s="481" t="s">
        <v>6586</v>
      </c>
      <c r="DX24" s="685" t="s">
        <v>6592</v>
      </c>
      <c r="DY24" s="481" t="s">
        <v>6595</v>
      </c>
      <c r="DZ24" s="481" t="s">
        <v>6607</v>
      </c>
      <c r="EA24" s="685" t="s">
        <v>4628</v>
      </c>
      <c r="EB24" s="481" t="s">
        <v>6612</v>
      </c>
      <c r="EC24" s="481" t="s">
        <v>562</v>
      </c>
      <c r="ED24" s="1236" t="s">
        <v>6625</v>
      </c>
    </row>
    <row r="25">
      <c r="A25" s="1237" t="s">
        <v>97</v>
      </c>
      <c r="B25" s="245" t="s">
        <v>6628</v>
      </c>
      <c r="C25" s="246" t="s">
        <v>171</v>
      </c>
      <c r="D25" s="247" t="s">
        <v>233</v>
      </c>
      <c r="E25" s="248" t="s">
        <v>271</v>
      </c>
      <c r="F25" s="249" t="s">
        <v>1485</v>
      </c>
      <c r="G25" s="245" t="s">
        <v>3052</v>
      </c>
      <c r="H25" s="257" t="s">
        <v>6633</v>
      </c>
      <c r="I25" s="257" t="s">
        <v>6643</v>
      </c>
      <c r="J25" s="257" t="s">
        <v>6648</v>
      </c>
      <c r="K25" s="257" t="s">
        <v>714</v>
      </c>
      <c r="L25" s="257" t="s">
        <v>5025</v>
      </c>
      <c r="M25" s="257" t="s">
        <v>6665</v>
      </c>
      <c r="N25" s="257" t="s">
        <v>6671</v>
      </c>
      <c r="O25" s="257" t="s">
        <v>1968</v>
      </c>
      <c r="P25" s="257" t="s">
        <v>1462</v>
      </c>
      <c r="Q25" s="257" t="s">
        <v>3456</v>
      </c>
      <c r="R25" s="257" t="s">
        <v>2425</v>
      </c>
      <c r="S25" s="257" t="s">
        <v>1542</v>
      </c>
      <c r="T25" s="257" t="s">
        <v>6703</v>
      </c>
      <c r="U25" s="257" t="s">
        <v>1569</v>
      </c>
      <c r="V25" s="257" t="s">
        <v>6722</v>
      </c>
      <c r="W25" s="394"/>
      <c r="X25" s="257" t="s">
        <v>6736</v>
      </c>
      <c r="Y25" s="278"/>
      <c r="Z25" s="257" t="s">
        <v>4334</v>
      </c>
      <c r="AA25" s="257" t="s">
        <v>436</v>
      </c>
      <c r="AB25" s="257" t="s">
        <v>698</v>
      </c>
      <c r="AC25" s="257" t="s">
        <v>467</v>
      </c>
      <c r="AD25" s="257" t="s">
        <v>2398</v>
      </c>
      <c r="AE25" s="330" t="s">
        <v>6782</v>
      </c>
      <c r="AF25" s="257" t="s">
        <v>442</v>
      </c>
      <c r="AG25" s="257" t="s">
        <v>1908</v>
      </c>
      <c r="AH25" s="257" t="s">
        <v>6825</v>
      </c>
      <c r="AI25" s="257" t="s">
        <v>4003</v>
      </c>
      <c r="AJ25" s="257" t="s">
        <v>3450</v>
      </c>
      <c r="AK25" s="257" t="s">
        <v>450</v>
      </c>
      <c r="AL25" s="105"/>
      <c r="AM25" s="257" t="s">
        <v>1208</v>
      </c>
      <c r="AN25" s="257" t="s">
        <v>6879</v>
      </c>
      <c r="AO25" s="257" t="s">
        <v>6454</v>
      </c>
      <c r="AP25" s="257" t="s">
        <v>6905</v>
      </c>
      <c r="AQ25" s="257" t="s">
        <v>6918</v>
      </c>
      <c r="AR25" s="257" t="s">
        <v>558</v>
      </c>
      <c r="AS25" s="257" t="s">
        <v>6941</v>
      </c>
      <c r="AT25" s="257" t="s">
        <v>6952</v>
      </c>
      <c r="AU25" s="257" t="s">
        <v>283</v>
      </c>
      <c r="AV25" s="257" t="s">
        <v>3216</v>
      </c>
      <c r="AW25" s="257" t="s">
        <v>2340</v>
      </c>
      <c r="AX25" s="257" t="s">
        <v>6994</v>
      </c>
      <c r="AY25" s="257" t="s">
        <v>3901</v>
      </c>
      <c r="AZ25" s="257" t="s">
        <v>7015</v>
      </c>
      <c r="BA25" s="286"/>
      <c r="BB25" s="257" t="s">
        <v>3208</v>
      </c>
      <c r="BC25" s="257" t="s">
        <v>5489</v>
      </c>
      <c r="BD25" s="257" t="s">
        <v>4123</v>
      </c>
      <c r="BE25" s="257" t="s">
        <v>7039</v>
      </c>
      <c r="BF25" s="257" t="s">
        <v>1125</v>
      </c>
      <c r="BG25" s="257" t="s">
        <v>3403</v>
      </c>
      <c r="BH25" s="257" t="s">
        <v>4392</v>
      </c>
      <c r="BI25" s="257" t="s">
        <v>1461</v>
      </c>
      <c r="BJ25" s="257" t="s">
        <v>2173</v>
      </c>
      <c r="BK25" s="257" t="s">
        <v>5917</v>
      </c>
      <c r="BL25" s="257" t="s">
        <v>7103</v>
      </c>
      <c r="BM25" s="257" t="s">
        <v>7116</v>
      </c>
      <c r="BN25" s="257" t="s">
        <v>1106</v>
      </c>
      <c r="BO25" s="257" t="s">
        <v>7135</v>
      </c>
      <c r="BP25" s="257" t="s">
        <v>7142</v>
      </c>
      <c r="BQ25" s="324"/>
      <c r="BR25" s="257" t="s">
        <v>7035</v>
      </c>
      <c r="BS25" s="257" t="s">
        <v>4687</v>
      </c>
      <c r="BT25" s="257" t="s">
        <v>7177</v>
      </c>
      <c r="BU25" s="257" t="s">
        <v>7189</v>
      </c>
      <c r="BV25" s="257" t="s">
        <v>4705</v>
      </c>
      <c r="BW25" s="257" t="s">
        <v>7210</v>
      </c>
      <c r="BX25" s="257" t="s">
        <v>7222</v>
      </c>
      <c r="BY25" s="257" t="s">
        <v>7227</v>
      </c>
      <c r="BZ25" s="881" t="s">
        <v>7233</v>
      </c>
      <c r="CA25" s="257" t="s">
        <v>1453</v>
      </c>
      <c r="CB25" s="257" t="s">
        <v>7246</v>
      </c>
      <c r="CC25" s="257" t="s">
        <v>7256</v>
      </c>
      <c r="CD25" s="257" t="s">
        <v>2916</v>
      </c>
      <c r="CE25" s="257" t="s">
        <v>7278</v>
      </c>
      <c r="CF25" s="324"/>
      <c r="CG25" s="257" t="s">
        <v>7290</v>
      </c>
      <c r="CH25" s="257" t="s">
        <v>884</v>
      </c>
      <c r="CI25" s="257" t="s">
        <v>7311</v>
      </c>
      <c r="CJ25" s="257" t="s">
        <v>7328</v>
      </c>
      <c r="CK25" s="278"/>
      <c r="CL25" s="257" t="s">
        <v>7340</v>
      </c>
      <c r="CM25" s="257" t="s">
        <v>7344</v>
      </c>
      <c r="CN25" s="257" t="s">
        <v>514</v>
      </c>
      <c r="CO25" s="257" t="s">
        <v>409</v>
      </c>
      <c r="CP25" s="257" t="s">
        <v>7352</v>
      </c>
      <c r="CQ25" s="257" t="s">
        <v>5349</v>
      </c>
      <c r="CR25" s="257" t="s">
        <v>2458</v>
      </c>
      <c r="CS25" s="881" t="s">
        <v>2041</v>
      </c>
      <c r="CT25" s="257" t="s">
        <v>7356</v>
      </c>
      <c r="CU25" s="106"/>
      <c r="CV25" s="316" t="str">
        <f>HYPERLINK("https://www.youtube.com/watch?v=parV2KwURTw","43.36")</f>
        <v>43.36</v>
      </c>
      <c r="CW25" s="257" t="s">
        <v>7358</v>
      </c>
      <c r="CX25" s="316" t="s">
        <v>7362</v>
      </c>
      <c r="CY25" s="257" t="s">
        <v>3634</v>
      </c>
      <c r="CZ25" s="257" t="s">
        <v>4442</v>
      </c>
      <c r="DA25" s="257" t="s">
        <v>3999</v>
      </c>
      <c r="DB25" s="257" t="s">
        <v>7365</v>
      </c>
      <c r="DC25" s="257" t="s">
        <v>1955</v>
      </c>
      <c r="DD25" s="257" t="s">
        <v>5776</v>
      </c>
      <c r="DE25" s="257" t="s">
        <v>3437</v>
      </c>
      <c r="DF25" s="257" t="s">
        <v>580</v>
      </c>
      <c r="DG25" s="257" t="s">
        <v>7156</v>
      </c>
      <c r="DH25" s="286"/>
      <c r="DI25" s="257" t="s">
        <v>1999</v>
      </c>
      <c r="DJ25" s="316" t="str">
        <f>HYPERLINK("https://www.youtube.com/watch?v=tvfpeUyMNms","1:33.18")</f>
        <v>1:33.18</v>
      </c>
      <c r="DK25" s="257" t="s">
        <v>7374</v>
      </c>
      <c r="DL25" s="257" t="s">
        <v>7376</v>
      </c>
      <c r="DM25" s="263" t="s">
        <v>516</v>
      </c>
      <c r="DN25" s="257" t="s">
        <v>3457</v>
      </c>
      <c r="DO25" s="257" t="s">
        <v>7380</v>
      </c>
      <c r="DP25" s="257" t="s">
        <v>6331</v>
      </c>
      <c r="DQ25" s="251" t="s">
        <v>5683</v>
      </c>
      <c r="DR25" s="257" t="s">
        <v>850</v>
      </c>
      <c r="DS25" s="257" t="s">
        <v>966</v>
      </c>
      <c r="DT25" s="257" t="s">
        <v>7385</v>
      </c>
      <c r="DU25" s="257" t="s">
        <v>7386</v>
      </c>
      <c r="DV25" s="257" t="s">
        <v>221</v>
      </c>
      <c r="DW25" s="257" t="s">
        <v>6586</v>
      </c>
      <c r="DX25" s="257" t="s">
        <v>7389</v>
      </c>
      <c r="DY25" s="257" t="s">
        <v>7391</v>
      </c>
      <c r="DZ25" s="257" t="s">
        <v>7392</v>
      </c>
      <c r="EA25" s="257" t="s">
        <v>7396</v>
      </c>
      <c r="EB25" s="257" t="s">
        <v>2787</v>
      </c>
      <c r="EC25" s="257" t="s">
        <v>7398</v>
      </c>
      <c r="ED25" s="316" t="s">
        <v>680</v>
      </c>
    </row>
    <row r="26">
      <c r="A26" s="540" t="s">
        <v>51</v>
      </c>
      <c r="B26" s="378" t="s">
        <v>7402</v>
      </c>
      <c r="C26" s="379" t="s">
        <v>171</v>
      </c>
      <c r="D26" s="380" t="s">
        <v>274</v>
      </c>
      <c r="E26" s="381" t="s">
        <v>233</v>
      </c>
      <c r="F26" s="382" t="s">
        <v>2442</v>
      </c>
      <c r="G26" s="378" t="s">
        <v>7404</v>
      </c>
      <c r="H26" s="390" t="s">
        <v>6131</v>
      </c>
      <c r="I26" s="390" t="s">
        <v>2559</v>
      </c>
      <c r="J26" s="390" t="s">
        <v>4168</v>
      </c>
      <c r="K26" s="390" t="s">
        <v>417</v>
      </c>
      <c r="L26" s="390" t="s">
        <v>7410</v>
      </c>
      <c r="M26" s="541" t="s">
        <v>7420</v>
      </c>
      <c r="N26" s="390" t="s">
        <v>7423</v>
      </c>
      <c r="O26" s="390" t="s">
        <v>7435</v>
      </c>
      <c r="P26" s="390" t="s">
        <v>422</v>
      </c>
      <c r="Q26" s="541" t="s">
        <v>7462</v>
      </c>
      <c r="R26" s="835"/>
      <c r="S26" s="835"/>
      <c r="T26" s="835"/>
      <c r="U26" s="835"/>
      <c r="V26" s="541" t="s">
        <v>7467</v>
      </c>
      <c r="W26" s="106"/>
      <c r="X26" s="399" t="s">
        <v>1456</v>
      </c>
      <c r="Y26" s="397"/>
      <c r="Z26" s="395" t="s">
        <v>435</v>
      </c>
      <c r="AA26" s="670" t="s">
        <v>7499</v>
      </c>
      <c r="AB26" s="670" t="s">
        <v>437</v>
      </c>
      <c r="AC26" s="399" t="s">
        <v>2475</v>
      </c>
      <c r="AD26" s="399" t="s">
        <v>838</v>
      </c>
      <c r="AE26" s="670"/>
      <c r="AF26" s="399" t="s">
        <v>7532</v>
      </c>
      <c r="AG26" s="1287" t="s">
        <v>7544</v>
      </c>
      <c r="AH26" s="837"/>
      <c r="AI26" s="670"/>
      <c r="AJ26" s="670" t="s">
        <v>3446</v>
      </c>
      <c r="AK26" s="670" t="s">
        <v>5745</v>
      </c>
      <c r="AL26" s="105"/>
      <c r="AM26" s="839"/>
      <c r="AN26" s="570" t="s">
        <v>7548</v>
      </c>
      <c r="AO26" s="407" t="s">
        <v>5321</v>
      </c>
      <c r="AP26" s="570" t="s">
        <v>3097</v>
      </c>
      <c r="AQ26" s="570" t="s">
        <v>5932</v>
      </c>
      <c r="AR26" s="570" t="s">
        <v>7562</v>
      </c>
      <c r="AS26" s="839"/>
      <c r="AT26" s="839"/>
      <c r="AU26" s="406" t="s">
        <v>5130</v>
      </c>
      <c r="AV26" s="573" t="s">
        <v>7583</v>
      </c>
      <c r="AW26" s="570" t="s">
        <v>462</v>
      </c>
      <c r="AX26" s="839"/>
      <c r="AY26" s="839"/>
      <c r="AZ26" s="570" t="s">
        <v>7593</v>
      </c>
      <c r="BA26" s="570"/>
      <c r="BB26" s="581" t="s">
        <v>7198</v>
      </c>
      <c r="BC26" s="581" t="s">
        <v>5489</v>
      </c>
      <c r="BD26" s="674" t="s">
        <v>4131</v>
      </c>
      <c r="BE26" s="1289" t="s">
        <v>3236</v>
      </c>
      <c r="BF26" s="1228" t="s">
        <v>4241</v>
      </c>
      <c r="BG26" s="581" t="s">
        <v>7603</v>
      </c>
      <c r="BH26" s="580"/>
      <c r="BI26" s="581" t="s">
        <v>4565</v>
      </c>
      <c r="BJ26" s="581" t="s">
        <v>2753</v>
      </c>
      <c r="BK26" s="581" t="s">
        <v>6045</v>
      </c>
      <c r="BL26" s="581" t="s">
        <v>2858</v>
      </c>
      <c r="BM26" s="580"/>
      <c r="BN26" s="417" t="s">
        <v>4118</v>
      </c>
      <c r="BO26" s="581" t="s">
        <v>7626</v>
      </c>
      <c r="BP26" s="1228" t="s">
        <v>5589</v>
      </c>
      <c r="BQ26" s="845"/>
      <c r="BR26" s="1025" t="s">
        <v>6034</v>
      </c>
      <c r="BS26" s="422" t="s">
        <v>1720</v>
      </c>
      <c r="BT26" s="422" t="s">
        <v>7636</v>
      </c>
      <c r="BU26" s="1292" t="s">
        <v>931</v>
      </c>
      <c r="BV26" s="422" t="s">
        <v>5894</v>
      </c>
      <c r="BW26" s="590" t="s">
        <v>494</v>
      </c>
      <c r="BX26" s="849"/>
      <c r="BY26" s="849"/>
      <c r="BZ26" s="1229" t="s">
        <v>7646</v>
      </c>
      <c r="CA26" s="589" t="s">
        <v>6331</v>
      </c>
      <c r="CB26" s="589" t="s">
        <v>7647</v>
      </c>
      <c r="CC26" s="422" t="s">
        <v>501</v>
      </c>
      <c r="CD26" s="422" t="s">
        <v>6210</v>
      </c>
      <c r="CE26" s="589" t="s">
        <v>5901</v>
      </c>
      <c r="CF26" s="1150"/>
      <c r="CG26" s="433" t="s">
        <v>4365</v>
      </c>
      <c r="CH26" s="433" t="s">
        <v>7670</v>
      </c>
      <c r="CI26" s="593" t="s">
        <v>7680</v>
      </c>
      <c r="CJ26" s="433" t="s">
        <v>7681</v>
      </c>
      <c r="CK26" s="869"/>
      <c r="CL26" s="869"/>
      <c r="CM26" s="789" t="s">
        <v>7687</v>
      </c>
      <c r="CN26" s="791" t="s">
        <v>1264</v>
      </c>
      <c r="CO26" s="593" t="s">
        <v>4549</v>
      </c>
      <c r="CP26" s="852"/>
      <c r="CQ26" s="593" t="s">
        <v>443</v>
      </c>
      <c r="CR26" s="593"/>
      <c r="CS26" s="593" t="s">
        <v>5732</v>
      </c>
      <c r="CT26" s="912" t="s">
        <v>4482</v>
      </c>
      <c r="CU26" s="106"/>
      <c r="CV26" s="458" t="s">
        <v>7713</v>
      </c>
      <c r="CW26" s="683" t="s">
        <v>7722</v>
      </c>
      <c r="CX26" s="793" t="s">
        <v>1405</v>
      </c>
      <c r="CY26" s="458" t="s">
        <v>6921</v>
      </c>
      <c r="CZ26" s="458" t="s">
        <v>7209</v>
      </c>
      <c r="DA26" s="1299" t="s">
        <v>7744</v>
      </c>
      <c r="DB26" s="1300" t="s">
        <v>7760</v>
      </c>
      <c r="DC26" s="458" t="s">
        <v>7770</v>
      </c>
      <c r="DD26" s="683" t="s">
        <v>6897</v>
      </c>
      <c r="DE26" s="683" t="s">
        <v>4003</v>
      </c>
      <c r="DF26" s="683" t="s">
        <v>7789</v>
      </c>
      <c r="DG26" s="683" t="s">
        <v>6649</v>
      </c>
      <c r="DH26" s="683"/>
      <c r="DI26" s="685" t="s">
        <v>463</v>
      </c>
      <c r="DJ26" s="855"/>
      <c r="DK26" s="855"/>
      <c r="DL26" s="855"/>
      <c r="DM26" s="599" t="s">
        <v>516</v>
      </c>
      <c r="DN26" s="685" t="s">
        <v>7800</v>
      </c>
      <c r="DO26" s="685" t="s">
        <v>7802</v>
      </c>
      <c r="DP26" s="855"/>
      <c r="DQ26" s="855"/>
      <c r="DR26" s="481" t="s">
        <v>5648</v>
      </c>
      <c r="DS26" s="685" t="s">
        <v>1957</v>
      </c>
      <c r="DT26" s="685" t="s">
        <v>4204</v>
      </c>
      <c r="DU26" s="872"/>
      <c r="DV26" s="855"/>
      <c r="DW26" s="685" t="s">
        <v>4804</v>
      </c>
      <c r="DX26" s="855"/>
      <c r="DY26" s="685" t="s">
        <v>7391</v>
      </c>
      <c r="DZ26" s="685" t="s">
        <v>920</v>
      </c>
      <c r="EA26" s="685" t="s">
        <v>7833</v>
      </c>
      <c r="EB26" s="481" t="s">
        <v>7836</v>
      </c>
      <c r="EC26" s="685" t="s">
        <v>4157</v>
      </c>
      <c r="ED26" s="1039" t="s">
        <v>7848</v>
      </c>
    </row>
    <row r="27">
      <c r="A27" s="244" t="s">
        <v>6891</v>
      </c>
      <c r="B27" s="245" t="s">
        <v>7854</v>
      </c>
      <c r="C27" s="246" t="s">
        <v>271</v>
      </c>
      <c r="D27" s="247" t="s">
        <v>271</v>
      </c>
      <c r="E27" s="248" t="s">
        <v>171</v>
      </c>
      <c r="F27" s="249" t="s">
        <v>3502</v>
      </c>
      <c r="G27" s="245" t="s">
        <v>3196</v>
      </c>
      <c r="H27" s="286" t="s">
        <v>7863</v>
      </c>
      <c r="I27" s="286" t="s">
        <v>7867</v>
      </c>
      <c r="J27" s="257" t="s">
        <v>635</v>
      </c>
      <c r="K27" s="286" t="s">
        <v>727</v>
      </c>
      <c r="L27" s="257" t="s">
        <v>5025</v>
      </c>
      <c r="M27" s="286" t="s">
        <v>7889</v>
      </c>
      <c r="N27" s="286" t="s">
        <v>4756</v>
      </c>
      <c r="O27" s="286" t="s">
        <v>7896</v>
      </c>
      <c r="P27" s="286" t="s">
        <v>1467</v>
      </c>
      <c r="Q27" s="257" t="s">
        <v>7259</v>
      </c>
      <c r="R27" s="286"/>
      <c r="S27" s="286" t="s">
        <v>1104</v>
      </c>
      <c r="T27" s="286" t="s">
        <v>7916</v>
      </c>
      <c r="U27" s="286" t="s">
        <v>4654</v>
      </c>
      <c r="V27" s="286" t="s">
        <v>7920</v>
      </c>
      <c r="W27" s="106"/>
      <c r="X27" s="286" t="s">
        <v>166</v>
      </c>
      <c r="Y27" s="286"/>
      <c r="Z27" s="286" t="s">
        <v>6191</v>
      </c>
      <c r="AA27" s="286" t="s">
        <v>2349</v>
      </c>
      <c r="AB27" s="286" t="s">
        <v>7931</v>
      </c>
      <c r="AC27" s="257" t="s">
        <v>7939</v>
      </c>
      <c r="AD27" s="286" t="s">
        <v>7950</v>
      </c>
      <c r="AE27" s="286" t="s">
        <v>7951</v>
      </c>
      <c r="AF27" s="257" t="s">
        <v>442</v>
      </c>
      <c r="AG27" s="286" t="s">
        <v>3353</v>
      </c>
      <c r="AH27" s="1306" t="s">
        <v>2666</v>
      </c>
      <c r="AI27" s="758"/>
      <c r="AJ27" s="286" t="s">
        <v>2617</v>
      </c>
      <c r="AK27" s="286" t="s">
        <v>7970</v>
      </c>
      <c r="AL27" s="105"/>
      <c r="AM27" s="286" t="s">
        <v>1092</v>
      </c>
      <c r="AN27" s="257" t="s">
        <v>7973</v>
      </c>
      <c r="AO27" s="257" t="s">
        <v>7982</v>
      </c>
      <c r="AP27" s="286" t="s">
        <v>7986</v>
      </c>
      <c r="AQ27" s="257" t="s">
        <v>6037</v>
      </c>
      <c r="AR27" s="257" t="s">
        <v>4311</v>
      </c>
      <c r="AS27" s="286" t="s">
        <v>2336</v>
      </c>
      <c r="AT27" s="286" t="s">
        <v>6938</v>
      </c>
      <c r="AU27" s="257" t="s">
        <v>4232</v>
      </c>
      <c r="AV27" s="286" t="s">
        <v>4565</v>
      </c>
      <c r="AW27" s="278" t="s">
        <v>8012</v>
      </c>
      <c r="AX27" s="286"/>
      <c r="AY27" s="286" t="s">
        <v>8016</v>
      </c>
      <c r="AZ27" s="286" t="s">
        <v>8018</v>
      </c>
      <c r="BA27" s="286"/>
      <c r="BB27" s="257" t="s">
        <v>7667</v>
      </c>
      <c r="BC27" s="286" t="s">
        <v>8029</v>
      </c>
      <c r="BD27" s="286" t="s">
        <v>469</v>
      </c>
      <c r="BE27" s="286" t="s">
        <v>8031</v>
      </c>
      <c r="BF27" s="286" t="s">
        <v>3863</v>
      </c>
      <c r="BG27" s="257" t="s">
        <v>8036</v>
      </c>
      <c r="BH27" s="286" t="s">
        <v>8049</v>
      </c>
      <c r="BI27" s="286" t="s">
        <v>2235</v>
      </c>
      <c r="BJ27" s="286" t="s">
        <v>8052</v>
      </c>
      <c r="BK27" s="286" t="s">
        <v>8054</v>
      </c>
      <c r="BL27" s="286" t="s">
        <v>3380</v>
      </c>
      <c r="BM27" s="286" t="s">
        <v>8058</v>
      </c>
      <c r="BN27" s="881" t="s">
        <v>4197</v>
      </c>
      <c r="BO27" s="286" t="s">
        <v>8063</v>
      </c>
      <c r="BP27" s="286" t="s">
        <v>8064</v>
      </c>
      <c r="BQ27" s="324"/>
      <c r="BR27" s="286"/>
      <c r="BS27" s="286" t="s">
        <v>8069</v>
      </c>
      <c r="BT27" s="286" t="s">
        <v>4585</v>
      </c>
      <c r="BU27" s="286" t="s">
        <v>1894</v>
      </c>
      <c r="BV27" s="257" t="s">
        <v>8070</v>
      </c>
      <c r="BW27" s="286" t="s">
        <v>799</v>
      </c>
      <c r="BX27" s="286" t="s">
        <v>7555</v>
      </c>
      <c r="BY27" s="1310" t="s">
        <v>8083</v>
      </c>
      <c r="BZ27" s="286" t="s">
        <v>8086</v>
      </c>
      <c r="CA27" s="257" t="s">
        <v>4819</v>
      </c>
      <c r="CB27" s="286" t="s">
        <v>8100</v>
      </c>
      <c r="CC27" s="286" t="s">
        <v>8102</v>
      </c>
      <c r="CD27" s="286" t="s">
        <v>1546</v>
      </c>
      <c r="CE27" s="286" t="s">
        <v>8104</v>
      </c>
      <c r="CF27" s="324"/>
      <c r="CG27" s="257" t="s">
        <v>4897</v>
      </c>
      <c r="CH27" s="257" t="s">
        <v>8116</v>
      </c>
      <c r="CI27" s="286" t="s">
        <v>8124</v>
      </c>
      <c r="CJ27" s="286" t="s">
        <v>8125</v>
      </c>
      <c r="CK27" s="286"/>
      <c r="CL27" s="286" t="s">
        <v>8129</v>
      </c>
      <c r="CM27" s="286" t="s">
        <v>1787</v>
      </c>
      <c r="CN27" s="257" t="s">
        <v>4309</v>
      </c>
      <c r="CO27" s="286" t="s">
        <v>5608</v>
      </c>
      <c r="CP27" s="511" t="s">
        <v>5712</v>
      </c>
      <c r="CQ27" s="257" t="s">
        <v>4308</v>
      </c>
      <c r="CR27" s="286"/>
      <c r="CS27" s="286" t="s">
        <v>8152</v>
      </c>
      <c r="CT27" s="286" t="s">
        <v>7331</v>
      </c>
      <c r="CU27" s="106"/>
      <c r="CV27" s="286" t="s">
        <v>4058</v>
      </c>
      <c r="CW27" s="286" t="s">
        <v>5633</v>
      </c>
      <c r="CX27" s="257" t="s">
        <v>1405</v>
      </c>
      <c r="CY27" s="286" t="s">
        <v>8165</v>
      </c>
      <c r="CZ27" s="286" t="s">
        <v>8168</v>
      </c>
      <c r="DA27" s="286" t="s">
        <v>8169</v>
      </c>
      <c r="DB27" s="286" t="s">
        <v>8173</v>
      </c>
      <c r="DC27" s="286" t="s">
        <v>2983</v>
      </c>
      <c r="DD27" s="257" t="s">
        <v>8177</v>
      </c>
      <c r="DE27" s="286" t="s">
        <v>8187</v>
      </c>
      <c r="DF27" s="286" t="s">
        <v>5671</v>
      </c>
      <c r="DG27" s="286" t="s">
        <v>8192</v>
      </c>
      <c r="DH27" s="286"/>
      <c r="DI27" s="286" t="s">
        <v>8194</v>
      </c>
      <c r="DJ27" s="286"/>
      <c r="DK27" s="316" t="str">
        <f>HYPERLINK("https://youtu.be/OBiIqIyDHqc","1:30.08")</f>
        <v>1:30.08</v>
      </c>
      <c r="DL27" s="286"/>
      <c r="DM27" s="257" t="s">
        <v>1768</v>
      </c>
      <c r="DN27" s="286" t="s">
        <v>1799</v>
      </c>
      <c r="DO27" s="286" t="s">
        <v>786</v>
      </c>
      <c r="DP27" s="286" t="s">
        <v>8213</v>
      </c>
      <c r="DQ27" s="286" t="s">
        <v>5135</v>
      </c>
      <c r="DR27" s="286" t="s">
        <v>8216</v>
      </c>
      <c r="DS27" s="286"/>
      <c r="DT27" s="286" t="s">
        <v>8218</v>
      </c>
      <c r="DU27" s="286" t="s">
        <v>8220</v>
      </c>
      <c r="DV27" s="286" t="s">
        <v>1726</v>
      </c>
      <c r="DW27" s="286" t="s">
        <v>8224</v>
      </c>
      <c r="DX27" s="286" t="s">
        <v>8226</v>
      </c>
      <c r="DY27" s="286" t="s">
        <v>2055</v>
      </c>
      <c r="DZ27" s="286" t="s">
        <v>8231</v>
      </c>
      <c r="EA27" s="286" t="s">
        <v>8233</v>
      </c>
      <c r="EB27" s="286" t="s">
        <v>8236</v>
      </c>
      <c r="EC27" s="286" t="s">
        <v>5085</v>
      </c>
      <c r="ED27" s="316" t="s">
        <v>8239</v>
      </c>
    </row>
    <row r="28">
      <c r="A28" s="1315" t="s">
        <v>75</v>
      </c>
      <c r="B28" s="378" t="s">
        <v>8260</v>
      </c>
      <c r="C28" s="379" t="s">
        <v>271</v>
      </c>
      <c r="D28" s="380" t="s">
        <v>271</v>
      </c>
      <c r="E28" s="381" t="s">
        <v>171</v>
      </c>
      <c r="F28" s="382" t="s">
        <v>3317</v>
      </c>
      <c r="G28" s="378" t="s">
        <v>8270</v>
      </c>
      <c r="H28" s="1317" t="s">
        <v>945</v>
      </c>
      <c r="I28" s="1322" t="s">
        <v>407</v>
      </c>
      <c r="J28" s="1322" t="s">
        <v>416</v>
      </c>
      <c r="K28" s="1322" t="s">
        <v>718</v>
      </c>
      <c r="L28" s="1322" t="s">
        <v>1171</v>
      </c>
      <c r="M28" s="1339" t="s">
        <v>2122</v>
      </c>
      <c r="N28" s="1317" t="s">
        <v>1531</v>
      </c>
      <c r="O28" s="1322" t="s">
        <v>8316</v>
      </c>
      <c r="P28" s="1322" t="s">
        <v>422</v>
      </c>
      <c r="Q28" s="1346" t="s">
        <v>2416</v>
      </c>
      <c r="R28" s="1317" t="s">
        <v>615</v>
      </c>
      <c r="S28" s="1317" t="s">
        <v>1095</v>
      </c>
      <c r="T28" s="1322" t="s">
        <v>8353</v>
      </c>
      <c r="U28" s="1322" t="s">
        <v>8356</v>
      </c>
      <c r="V28" s="1339" t="s">
        <v>8357</v>
      </c>
      <c r="W28" s="494"/>
      <c r="X28" s="1356" t="s">
        <v>8362</v>
      </c>
      <c r="Y28" s="1357"/>
      <c r="Z28" s="1357" t="s">
        <v>8367</v>
      </c>
      <c r="AA28" s="1362" t="s">
        <v>8368</v>
      </c>
      <c r="AB28" s="1362" t="s">
        <v>8369</v>
      </c>
      <c r="AC28" s="1373" t="str">
        <f>HYPERLINK("https://youtu.be/uGMxtAWodvo","30.22")</f>
        <v>30.22</v>
      </c>
      <c r="AD28" s="1373" t="s">
        <v>2775</v>
      </c>
      <c r="AE28" s="1357"/>
      <c r="AF28" s="1362" t="s">
        <v>3060</v>
      </c>
      <c r="AG28" s="1373" t="str">
        <f>HYPERLINK("https://www.youtube.com/watch?v=EdK5oJYC1tk","15.10")</f>
        <v>15.10</v>
      </c>
      <c r="AH28" s="1362" t="s">
        <v>1546</v>
      </c>
      <c r="AI28" s="1362" t="s">
        <v>1916</v>
      </c>
      <c r="AJ28" s="1373" t="str">
        <f>HYPERLINK("https://youtu.be/ZXRdUyO-EWA","1:01.11")</f>
        <v>1:01.11</v>
      </c>
      <c r="AK28" s="1356" t="s">
        <v>8383</v>
      </c>
      <c r="AL28" s="1385"/>
      <c r="AM28" s="756" t="s">
        <v>1111</v>
      </c>
      <c r="AN28" s="1387" t="s">
        <v>3205</v>
      </c>
      <c r="AO28" s="1388" t="s">
        <v>8386</v>
      </c>
      <c r="AP28" s="1387" t="s">
        <v>8388</v>
      </c>
      <c r="AQ28" s="1388"/>
      <c r="AR28" s="1388"/>
      <c r="AS28" s="1387" t="s">
        <v>8392</v>
      </c>
      <c r="AT28" s="1397" t="s">
        <v>923</v>
      </c>
      <c r="AU28" s="1387" t="s">
        <v>3561</v>
      </c>
      <c r="AV28" s="1387" t="s">
        <v>8397</v>
      </c>
      <c r="AW28" s="1400" t="s">
        <v>469</v>
      </c>
      <c r="AX28" s="1397" t="str">
        <f>HYPERLINK("https://youtu.be/LGq_coDO1t0","41.89")</f>
        <v>41.89</v>
      </c>
      <c r="AY28" s="1387" t="s">
        <v>4707</v>
      </c>
      <c r="AZ28" s="1388" t="s">
        <v>8409</v>
      </c>
      <c r="BA28" s="1388"/>
      <c r="BB28" s="1404" t="s">
        <v>8410</v>
      </c>
      <c r="BC28" s="1408" t="s">
        <v>468</v>
      </c>
      <c r="BD28" s="1408" t="s">
        <v>469</v>
      </c>
      <c r="BE28" s="1404" t="s">
        <v>8418</v>
      </c>
      <c r="BF28" s="1410" t="s">
        <v>876</v>
      </c>
      <c r="BG28" s="1404" t="s">
        <v>1614</v>
      </c>
      <c r="BH28" s="1404" t="str">
        <f>HYPERLINK("https://youtu.be/SCwM4I4j6-A","50.19")</f>
        <v>50.19</v>
      </c>
      <c r="BI28" s="1404" t="s">
        <v>3944</v>
      </c>
      <c r="BJ28" s="1410"/>
      <c r="BK28" s="1404" t="str">
        <f>HYPERLINK("https://youtu.be/1ecLZd2x6O4","1:28.27")</f>
        <v>1:28.27</v>
      </c>
      <c r="BL28" s="1404" t="s">
        <v>2852</v>
      </c>
      <c r="BM28" s="1410" t="s">
        <v>8446</v>
      </c>
      <c r="BN28" s="1408" t="s">
        <v>481</v>
      </c>
      <c r="BO28" s="1404" t="str">
        <f>HYPERLINK("https://youtu.be/tUFd3-e8u0s","1:27.08")</f>
        <v>1:27.08</v>
      </c>
      <c r="BP28" s="1410" t="s">
        <v>3565</v>
      </c>
      <c r="BQ28" s="1413"/>
      <c r="BR28" s="1414" t="s">
        <v>4210</v>
      </c>
      <c r="BS28" s="1415" t="str">
        <f>HYPERLINK("https://youtu.be/sYs50tvUHuo","52.01")</f>
        <v>52.01</v>
      </c>
      <c r="BT28" s="1419" t="s">
        <v>3007</v>
      </c>
      <c r="BU28" s="1415" t="s">
        <v>4166</v>
      </c>
      <c r="BV28" s="1414" t="s">
        <v>6216</v>
      </c>
      <c r="BW28" s="1415" t="str">
        <f>HYPERLINK("https://youtu.be/n7zdK3H7Bag","22.27")</f>
        <v>22.27</v>
      </c>
      <c r="BX28" s="1414"/>
      <c r="BY28" s="1414" t="s">
        <v>8487</v>
      </c>
      <c r="BZ28" s="1415" t="s">
        <v>4492</v>
      </c>
      <c r="CA28" s="1419" t="s">
        <v>3667</v>
      </c>
      <c r="CB28" s="1419" t="s">
        <v>8492</v>
      </c>
      <c r="CC28" s="1419" t="s">
        <v>2569</v>
      </c>
      <c r="CD28" s="1415" t="s">
        <v>1471</v>
      </c>
      <c r="CE28" s="1414" t="s">
        <v>8495</v>
      </c>
      <c r="CF28" s="1424"/>
      <c r="CG28" s="1425" t="s">
        <v>208</v>
      </c>
      <c r="CH28" s="1425" t="s">
        <v>4874</v>
      </c>
      <c r="CI28" s="1425" t="s">
        <v>8497</v>
      </c>
      <c r="CJ28" s="1430" t="s">
        <v>3254</v>
      </c>
      <c r="CK28" s="1431"/>
      <c r="CL28" s="1430" t="s">
        <v>8505</v>
      </c>
      <c r="CM28" s="1425" t="s">
        <v>8510</v>
      </c>
      <c r="CN28" s="1430" t="s">
        <v>1707</v>
      </c>
      <c r="CO28" s="1425" t="s">
        <v>4609</v>
      </c>
      <c r="CP28" s="1435"/>
      <c r="CQ28" s="1435" t="s">
        <v>1434</v>
      </c>
      <c r="CR28" s="1435"/>
      <c r="CS28" s="1435" t="s">
        <v>3905</v>
      </c>
      <c r="CT28" s="1435"/>
      <c r="CU28" s="494"/>
      <c r="CV28" s="1436" t="s">
        <v>5208</v>
      </c>
      <c r="CW28" s="1437" t="str">
        <f>HYPERLINK("https://www.youtube.com/watch?v=wOcz6idXkPk","13.28")</f>
        <v>13.28</v>
      </c>
      <c r="CX28" s="1438" t="s">
        <v>2906</v>
      </c>
      <c r="CY28" s="1440" t="s">
        <v>6804</v>
      </c>
      <c r="CZ28" s="1437" t="s">
        <v>8554</v>
      </c>
      <c r="DA28" s="1438" t="s">
        <v>3930</v>
      </c>
      <c r="DB28" s="1438" t="s">
        <v>7276</v>
      </c>
      <c r="DC28" s="1438" t="s">
        <v>8578</v>
      </c>
      <c r="DD28" s="1440" t="s">
        <v>6926</v>
      </c>
      <c r="DE28" s="1440" t="s">
        <v>8580</v>
      </c>
      <c r="DF28" s="1438" t="s">
        <v>2474</v>
      </c>
      <c r="DG28" s="1437" t="str">
        <f>HYPERLINK("https://youtu.be/1RIW6L86hD0","1:39.58")</f>
        <v>1:39.58</v>
      </c>
      <c r="DH28" s="1440"/>
      <c r="DI28" s="1448" t="s">
        <v>6210</v>
      </c>
      <c r="DJ28" s="1450" t="str">
        <f>HYPERLINK("https://youtu.be/0qbQjk4eFZ4","1:30.01")</f>
        <v>1:30.01</v>
      </c>
      <c r="DK28" s="1450" t="str">
        <f>HYPERLINK("https://youtu.be/KytqO9xTGZE","1:28.71")</f>
        <v>1:28.71</v>
      </c>
      <c r="DL28" s="1448"/>
      <c r="DM28" s="1448" t="s">
        <v>1768</v>
      </c>
      <c r="DN28" s="1448" t="s">
        <v>554</v>
      </c>
      <c r="DO28" s="1450" t="s">
        <v>8607</v>
      </c>
      <c r="DP28" s="1450" t="s">
        <v>8618</v>
      </c>
      <c r="DQ28" s="1450" t="s">
        <v>8627</v>
      </c>
      <c r="DR28" s="1450" t="str">
        <f>HYPERLINK("https://youtu.be/ZcgmlQvaJlw","1:20.73")</f>
        <v>1:20.73</v>
      </c>
      <c r="DS28" s="1451" t="s">
        <v>8638</v>
      </c>
      <c r="DT28" s="1450" t="str">
        <f>HYPERLINK("https://youtu.be/dmtW9oWPfEA","13.00")</f>
        <v>13.00</v>
      </c>
      <c r="DU28" s="1453" t="s">
        <v>8650</v>
      </c>
      <c r="DV28" s="1448" t="s">
        <v>4122</v>
      </c>
      <c r="DW28" s="1453" t="s">
        <v>1795</v>
      </c>
      <c r="DX28" s="1448" t="s">
        <v>2096</v>
      </c>
      <c r="DY28" s="1448" t="s">
        <v>4283</v>
      </c>
      <c r="DZ28" s="1450" t="s">
        <v>8661</v>
      </c>
      <c r="EA28" s="1450" t="s">
        <v>8671</v>
      </c>
      <c r="EB28" s="1448" t="s">
        <v>8679</v>
      </c>
      <c r="EC28" s="1448" t="s">
        <v>8680</v>
      </c>
      <c r="ED28" s="1450" t="str">
        <f>HYPERLINK("https://youtu.be/Oh1CRK6fpa4","6.59")</f>
        <v>6.59</v>
      </c>
    </row>
    <row r="29">
      <c r="A29" s="244" t="s">
        <v>70</v>
      </c>
      <c r="B29" s="245" t="s">
        <v>8690</v>
      </c>
      <c r="C29" s="246" t="s">
        <v>171</v>
      </c>
      <c r="D29" s="247" t="s">
        <v>274</v>
      </c>
      <c r="E29" s="248" t="s">
        <v>274</v>
      </c>
      <c r="F29" s="249" t="s">
        <v>8700</v>
      </c>
      <c r="G29" s="245" t="s">
        <v>8701</v>
      </c>
      <c r="H29" s="286" t="s">
        <v>8702</v>
      </c>
      <c r="I29" s="862" t="s">
        <v>1604</v>
      </c>
      <c r="J29" s="278" t="s">
        <v>8708</v>
      </c>
      <c r="K29" s="316" t="str">
        <f>HYPERLINK("https://www.youtube.com/watch?v=V_9f-nXbRug","13.67")</f>
        <v>13.67</v>
      </c>
      <c r="L29" s="316" t="str">
        <f>HYPERLINK("https://www.youtube.com/watch?v=j1q4O70FX8E","42.43")</f>
        <v>42.43</v>
      </c>
      <c r="M29" s="286" t="s">
        <v>8720</v>
      </c>
      <c r="N29" s="316" t="str">
        <f>HYPERLINK("https://clips.twitch.tv/OilyTriangularPistachioTwitchRPG","1:09.53")</f>
        <v>1:09.53</v>
      </c>
      <c r="O29" s="862" t="s">
        <v>2425</v>
      </c>
      <c r="P29" s="316" t="str">
        <f>HYPERLINK("https://clips.twitch.tv/TalentedMushyWitchOhMyDog","15.97")</f>
        <v>15.97</v>
      </c>
      <c r="Q29" s="320"/>
      <c r="R29" s="320"/>
      <c r="S29" s="316" t="str">
        <f>HYPERLINK("https://clips.twitch.tv/AdventurousMushyEmuYouDontSay","41.89")</f>
        <v>41.89</v>
      </c>
      <c r="T29" s="286"/>
      <c r="U29" s="286"/>
      <c r="V29" s="320"/>
      <c r="W29" s="106"/>
      <c r="X29" s="286" t="s">
        <v>2034</v>
      </c>
      <c r="Y29" s="288"/>
      <c r="Z29" s="316" t="str">
        <f>HYPERLINK("https://www.youtube.com/watch?v=nyQHRNtFaXI","16.35")</f>
        <v>16.35</v>
      </c>
      <c r="AA29" s="316" t="str">
        <f>HYPERLINK("https://clips.twitch.tv/TolerantSpineyAubergineBibleThump","14.30")</f>
        <v>14.30</v>
      </c>
      <c r="AB29" s="316" t="str">
        <f>HYPERLINK("https://www.youtube.com/watch?v=9mma0iHfWaU","43.74")</f>
        <v>43.74</v>
      </c>
      <c r="AC29" s="316" t="str">
        <f>HYPERLINK("https://clips.twitch.tv/PeppyEnthusiasticTrollNotLikeThis","29.98")</f>
        <v>29.98</v>
      </c>
      <c r="AD29" s="286" t="s">
        <v>2180</v>
      </c>
      <c r="AE29" s="320"/>
      <c r="AF29" s="316" t="str">
        <f>HYPERLINK("https://clips.twitch.tv/TransparentFragileSwordLitty","1:33.78")</f>
        <v>1:33.78</v>
      </c>
      <c r="AG29" s="330" t="str">
        <f>HYPERLINK("https://clips.twitch.tv/TameArbitraryBurritoYouDontSay","15.00")</f>
        <v>15.00</v>
      </c>
      <c r="AH29" s="257" t="s">
        <v>8741</v>
      </c>
      <c r="AI29" s="288"/>
      <c r="AJ29" s="265" t="str">
        <f>HYPERLINK("https://www.twitch.tv/videos/568026549","1:02.08")</f>
        <v>1:02.08</v>
      </c>
      <c r="AK29" s="320"/>
      <c r="AL29" s="105"/>
      <c r="AM29" s="316" t="str">
        <f>HYPERLINK("https://clips.twitch.tv/EvilExcitedPangolinMrDestructoid","39.12")</f>
        <v>39.12</v>
      </c>
      <c r="AN29" s="316" t="str">
        <f>HYPERLINK("https://clips.twitch.tv/FunnySparklyDelicataArgieB8","18.64")</f>
        <v>18.64</v>
      </c>
      <c r="AO29" s="320"/>
      <c r="AP29" s="320"/>
      <c r="AQ29" s="286" t="s">
        <v>5988</v>
      </c>
      <c r="AR29" s="758"/>
      <c r="AS29" s="758"/>
      <c r="AT29" s="320"/>
      <c r="AU29" s="316" t="str">
        <f>HYPERLINK("https://clips.twitch.tv/FairColorfulRaisinImGlitch","17.90")</f>
        <v>17.90</v>
      </c>
      <c r="AV29" s="316" t="s">
        <v>1290</v>
      </c>
      <c r="AW29" s="286" t="s">
        <v>4074</v>
      </c>
      <c r="AX29" s="320"/>
      <c r="AY29" s="265" t="str">
        <f>HYPERLINK("https://www.youtube.com/watch?v=RqAsb8giAqw","42.22")</f>
        <v>42.22</v>
      </c>
      <c r="AZ29" s="320"/>
      <c r="BA29" s="320"/>
      <c r="BB29" s="316" t="str">
        <f>HYPERLINK("https://clips.twitch.tv/KitschyVivaciousInternPermaSmug","49.23")</f>
        <v>49.23</v>
      </c>
      <c r="BC29" s="881" t="s">
        <v>8743</v>
      </c>
      <c r="BD29" s="286" t="s">
        <v>884</v>
      </c>
      <c r="BE29" s="316" t="str">
        <f>HYPERLINK("https://clips.twitch.tv/DepressedAstuteChimpanzeeTebowing","33.55")</f>
        <v>33.55</v>
      </c>
      <c r="BF29" s="286" t="s">
        <v>876</v>
      </c>
      <c r="BG29" s="286" t="s">
        <v>3564</v>
      </c>
      <c r="BH29" s="316" t="str">
        <f>HYPERLINK("https://clips.twitch.tv/RichBlatantPheasantCoolStoryBob","47.65")</f>
        <v>47.65</v>
      </c>
      <c r="BI29" s="316" t="str">
        <f>HYPERLINK("https://clips.twitch.tv/AssiduousWildSlothSaltBae","25.31")</f>
        <v>25.31</v>
      </c>
      <c r="BJ29" s="320"/>
      <c r="BK29" s="286" t="s">
        <v>2266</v>
      </c>
      <c r="BL29" s="316" t="str">
        <f>HYPERLINK("https://clips.twitch.tv/TawdryImpartialIcecreamSoBayed","10.70")</f>
        <v>10.70</v>
      </c>
      <c r="BM29" s="320"/>
      <c r="BN29" s="316" t="str">
        <f>HYPERLINK("https://clips.twitch.tv/RealEsteemedWebMikeHogu","42.69")</f>
        <v>42.69</v>
      </c>
      <c r="BO29" s="320"/>
      <c r="BP29" s="320"/>
      <c r="BQ29" s="824"/>
      <c r="BR29" s="286"/>
      <c r="BS29" s="316" t="str">
        <f>HYPERLINK("https://clips.twitch.tv/TiredFastCrabNerfRedBlaster","50.67")</f>
        <v>50.67</v>
      </c>
      <c r="BT29" s="316" t="str">
        <f>HYPERLINK("https://www.youtube.com/watch?v=LJaWbr3En_A","32.92")</f>
        <v>32.92</v>
      </c>
      <c r="BU29" s="316" t="str">
        <f>HYPERLINK("https://clips.twitch.tv/MistyImpartialSoybeanKappaPride","22.40")</f>
        <v>22.40</v>
      </c>
      <c r="BV29" s="286" t="s">
        <v>7054</v>
      </c>
      <c r="BW29" s="286" t="s">
        <v>545</v>
      </c>
      <c r="BX29" s="320"/>
      <c r="BY29" s="286" t="s">
        <v>8746</v>
      </c>
      <c r="BZ29" s="265" t="str">
        <f>HYPERLINK("https://twitter.com/SuperWeegeeX/status/1256359279289864193","2:29.90")</f>
        <v>2:29.90</v>
      </c>
      <c r="CA29" s="316" t="str">
        <f>HYPERLINK("https://clips.twitch.tv/EndearingSneakyFennelCharlietheUnicorn","21.95")</f>
        <v>21.95</v>
      </c>
      <c r="CB29" s="320"/>
      <c r="CC29" s="718"/>
      <c r="CD29" s="320"/>
      <c r="CE29" s="286"/>
      <c r="CF29" s="824"/>
      <c r="CG29" s="316" t="str">
        <f>HYPERLINK("https://clips.twitch.tv/HorribleLovelyBatWholeWheat","53.53")</f>
        <v>53.53</v>
      </c>
      <c r="CH29" s="316" t="str">
        <f>HYPERLINK("https://clips.twitch.tv/ShortOriginalPangolinAMPEnergyCherry","27.32")</f>
        <v>27.32</v>
      </c>
      <c r="CI29" s="286" t="s">
        <v>4733</v>
      </c>
      <c r="CJ29" s="320"/>
      <c r="CK29" s="320"/>
      <c r="CL29" s="1483" t="str">
        <f>HYPERLINK("https://clips.twitch.tv/AltruisticSassyPigHeyGirl","11.64")</f>
        <v>11.64</v>
      </c>
      <c r="CM29" s="278" t="s">
        <v>8749</v>
      </c>
      <c r="CN29" s="330" t="s">
        <v>1264</v>
      </c>
      <c r="CO29" s="286" t="s">
        <v>4505</v>
      </c>
      <c r="CP29" s="320"/>
      <c r="CQ29" s="320"/>
      <c r="CR29" s="286"/>
      <c r="CS29" s="286"/>
      <c r="CT29" s="320"/>
      <c r="CU29" s="106"/>
      <c r="CV29" s="320"/>
      <c r="CW29" s="316" t="str">
        <f>HYPERLINK("https://clips.twitch.tv/SpineyNeighborlyCockroachNerfBlueBlaster","12.44")</f>
        <v>12.44</v>
      </c>
      <c r="CX29" s="316" t="str">
        <f>HYPERLINK("https://clips.twitch.tv/NastyAnimatedHamOpieOP","29.08")</f>
        <v>29.08</v>
      </c>
      <c r="CY29" s="320"/>
      <c r="CZ29" s="320"/>
      <c r="DA29" s="286" t="s">
        <v>1697</v>
      </c>
      <c r="DB29" s="257" t="s">
        <v>8752</v>
      </c>
      <c r="DC29" s="316" t="str">
        <f>HYPERLINK("https://clips.twitch.tv/PhilanthropicBlushingMoonRuleFive","17.64")</f>
        <v>17.64</v>
      </c>
      <c r="DD29" s="320"/>
      <c r="DE29" s="320"/>
      <c r="DF29" s="320"/>
      <c r="DG29" s="286" t="s">
        <v>442</v>
      </c>
      <c r="DH29" s="286"/>
      <c r="DI29" s="316" t="s">
        <v>535</v>
      </c>
      <c r="DJ29" s="316" t="str">
        <f>HYPERLINK("https://clips.twitch.tv/TemperedWittyShieldYouWHY","1:33.41")</f>
        <v>1:33.41</v>
      </c>
      <c r="DK29" s="320"/>
      <c r="DL29" s="288"/>
      <c r="DM29" s="330" t="s">
        <v>516</v>
      </c>
      <c r="DN29" s="316" t="s">
        <v>8754</v>
      </c>
      <c r="DO29" s="316" t="str">
        <f>HYPERLINK("https://clips.twitch.tv/EndearingWildHerringWow","23.16")</f>
        <v>23.16</v>
      </c>
      <c r="DP29" s="316" t="str">
        <f>HYPERLINK("https://clips.twitch.tv/AmorphousHonorableKoupreyPRChase","21.10")</f>
        <v>21.10</v>
      </c>
      <c r="DQ29" s="316" t="s">
        <v>8755</v>
      </c>
      <c r="DR29" s="316" t="str">
        <f>HYPERLINK("https://clips.twitch.tv/LongSwissTildeTF2John","1:18.83")</f>
        <v>1:18.83</v>
      </c>
      <c r="DS29" s="288"/>
      <c r="DT29" s="316" t="str">
        <f>HYPERLINK("https://clips.twitch.tv/ShinyImpossibleZebraSMOrc","10.73")</f>
        <v>10.73</v>
      </c>
      <c r="DU29" s="320"/>
      <c r="DV29" s="320"/>
      <c r="DW29" s="289" t="str">
        <f>HYPERLINK("https://www.youtube.com/watch?v=-NmQ0I6TGrw","22.63")</f>
        <v>22.63</v>
      </c>
      <c r="DX29" s="320"/>
      <c r="DY29" s="316" t="str">
        <f>HYPERLINK("https://www.youtube.com/watch?v=Uqlgd5_GgCU","25.31")</f>
        <v>25.31</v>
      </c>
      <c r="DZ29" s="320"/>
      <c r="EA29" s="320"/>
      <c r="EB29" s="316" t="str">
        <f>HYPERLINK("https://clips.twitch.tv/ShakingLuckyPoultryTakeNRG","19.77")</f>
        <v>19.77</v>
      </c>
      <c r="EC29" s="320"/>
      <c r="ED29" s="316" t="str">
        <f>HYPERLINK("https://clips.twitch.tv/GentleSecretiveKoalaTwitchRaid","6.36")</f>
        <v>6.36</v>
      </c>
    </row>
    <row r="30">
      <c r="A30" s="1484" t="s">
        <v>5797</v>
      </c>
      <c r="B30" s="378" t="s">
        <v>8761</v>
      </c>
      <c r="C30" s="379" t="s">
        <v>271</v>
      </c>
      <c r="D30" s="380" t="s">
        <v>274</v>
      </c>
      <c r="E30" s="381" t="s">
        <v>271</v>
      </c>
      <c r="F30" s="382" t="s">
        <v>1519</v>
      </c>
      <c r="G30" s="378" t="s">
        <v>3933</v>
      </c>
      <c r="H30" s="1485" t="s">
        <v>6131</v>
      </c>
      <c r="I30" s="1322" t="s">
        <v>8763</v>
      </c>
      <c r="J30" s="1322" t="s">
        <v>642</v>
      </c>
      <c r="K30" s="1322" t="s">
        <v>8764</v>
      </c>
      <c r="L30" s="1322" t="s">
        <v>4440</v>
      </c>
      <c r="M30" s="1322" t="s">
        <v>8765</v>
      </c>
      <c r="N30" s="1487" t="s">
        <v>8768</v>
      </c>
      <c r="O30" s="1322" t="s">
        <v>615</v>
      </c>
      <c r="P30" s="1322" t="s">
        <v>1035</v>
      </c>
      <c r="Q30" s="1488" t="s">
        <v>7733</v>
      </c>
      <c r="R30" s="1339"/>
      <c r="S30" s="1488" t="s">
        <v>3913</v>
      </c>
      <c r="T30" s="1339"/>
      <c r="U30" s="1488" t="s">
        <v>572</v>
      </c>
      <c r="V30" s="541" t="s">
        <v>8770</v>
      </c>
      <c r="W30" s="494"/>
      <c r="X30" s="1362" t="s">
        <v>572</v>
      </c>
      <c r="Y30" s="1489"/>
      <c r="Z30" s="1489" t="s">
        <v>6191</v>
      </c>
      <c r="AA30" s="1489" t="s">
        <v>211</v>
      </c>
      <c r="AB30" s="1362" t="s">
        <v>8772</v>
      </c>
      <c r="AC30" s="1362" t="s">
        <v>8773</v>
      </c>
      <c r="AD30" s="1362" t="s">
        <v>3248</v>
      </c>
      <c r="AE30" s="1356" t="s">
        <v>8774</v>
      </c>
      <c r="AF30" s="1362" t="s">
        <v>3060</v>
      </c>
      <c r="AG30" s="1362" t="s">
        <v>444</v>
      </c>
      <c r="AH30" s="1490" t="s">
        <v>8773</v>
      </c>
      <c r="AI30" s="1357"/>
      <c r="AJ30" s="1357"/>
      <c r="AK30" s="1357"/>
      <c r="AL30" s="501"/>
      <c r="AM30" s="1387" t="s">
        <v>4470</v>
      </c>
      <c r="AN30" s="1387" t="s">
        <v>3575</v>
      </c>
      <c r="AO30" s="1388"/>
      <c r="AP30" s="1388"/>
      <c r="AQ30" s="1388"/>
      <c r="AR30" s="1388"/>
      <c r="AS30" s="1387" t="s">
        <v>3214</v>
      </c>
      <c r="AT30" s="1388"/>
      <c r="AU30" s="1387" t="s">
        <v>2660</v>
      </c>
      <c r="AV30" s="1387" t="s">
        <v>8782</v>
      </c>
      <c r="AW30" s="756" t="s">
        <v>1447</v>
      </c>
      <c r="AX30" s="1388"/>
      <c r="AY30" s="1387" t="s">
        <v>8785</v>
      </c>
      <c r="AZ30" s="1388"/>
      <c r="BA30" s="1388"/>
      <c r="BB30" s="1408" t="s">
        <v>323</v>
      </c>
      <c r="BC30" s="1408" t="s">
        <v>8743</v>
      </c>
      <c r="BD30" s="1408" t="s">
        <v>469</v>
      </c>
      <c r="BE30" s="1408" t="s">
        <v>4363</v>
      </c>
      <c r="BF30" s="1408" t="s">
        <v>2134</v>
      </c>
      <c r="BG30" s="1491" t="s">
        <v>3983</v>
      </c>
      <c r="BH30" s="1410"/>
      <c r="BI30" s="1408" t="s">
        <v>8790</v>
      </c>
      <c r="BJ30" s="1492"/>
      <c r="BK30" s="1491" t="s">
        <v>8791</v>
      </c>
      <c r="BL30" s="1408" t="s">
        <v>8792</v>
      </c>
      <c r="BM30" s="1410"/>
      <c r="BN30" s="1410"/>
      <c r="BO30" s="1410"/>
      <c r="BP30" s="1410"/>
      <c r="BQ30" s="1493"/>
      <c r="BR30" s="1494" t="s">
        <v>8215</v>
      </c>
      <c r="BS30" s="1494" t="s">
        <v>1451</v>
      </c>
      <c r="BT30" s="1419" t="s">
        <v>2303</v>
      </c>
      <c r="BU30" s="1419" t="s">
        <v>771</v>
      </c>
      <c r="BV30" s="1419" t="s">
        <v>8410</v>
      </c>
      <c r="BW30" s="1494" t="s">
        <v>4590</v>
      </c>
      <c r="BX30" s="1419" t="s">
        <v>1044</v>
      </c>
      <c r="BY30" s="1495" t="s">
        <v>8796</v>
      </c>
      <c r="BZ30" s="1494" t="s">
        <v>8798</v>
      </c>
      <c r="CA30" s="1496" t="s">
        <v>3485</v>
      </c>
      <c r="CB30" s="1414"/>
      <c r="CC30" s="1414"/>
      <c r="CD30" s="1414"/>
      <c r="CE30" s="1414"/>
      <c r="CF30" s="1497"/>
      <c r="CG30" s="1425" t="s">
        <v>8799</v>
      </c>
      <c r="CH30" s="1498" t="s">
        <v>4913</v>
      </c>
      <c r="CI30" s="1425" t="s">
        <v>4277</v>
      </c>
      <c r="CJ30" s="1498" t="s">
        <v>8800</v>
      </c>
      <c r="CK30" s="1498"/>
      <c r="CL30" s="1499" t="s">
        <v>512</v>
      </c>
      <c r="CM30" s="1498" t="s">
        <v>1787</v>
      </c>
      <c r="CN30" s="1498" t="s">
        <v>2101</v>
      </c>
      <c r="CO30" s="1425" t="s">
        <v>8804</v>
      </c>
      <c r="CP30" s="1435"/>
      <c r="CQ30" s="1498" t="s">
        <v>1077</v>
      </c>
      <c r="CR30" s="1435"/>
      <c r="CS30" s="1435"/>
      <c r="CT30" s="1435"/>
      <c r="CU30" s="494"/>
      <c r="CV30" s="1438" t="s">
        <v>3588</v>
      </c>
      <c r="CW30" s="1438" t="s">
        <v>8807</v>
      </c>
      <c r="CX30" s="1438" t="s">
        <v>524</v>
      </c>
      <c r="CY30" s="1438" t="s">
        <v>2751</v>
      </c>
      <c r="CZ30" s="1438" t="s">
        <v>5230</v>
      </c>
      <c r="DA30" s="1500" t="s">
        <v>5396</v>
      </c>
      <c r="DB30" s="1501" t="s">
        <v>528</v>
      </c>
      <c r="DC30" s="1504" t="s">
        <v>901</v>
      </c>
      <c r="DD30" s="1440"/>
      <c r="DE30" s="1440"/>
      <c r="DF30" s="1440"/>
      <c r="DG30" s="1440"/>
      <c r="DH30" s="1440"/>
      <c r="DI30" s="1505" t="s">
        <v>889</v>
      </c>
      <c r="DJ30" s="1448"/>
      <c r="DK30" s="1448"/>
      <c r="DL30" s="1448"/>
      <c r="DM30" s="1453" t="s">
        <v>1768</v>
      </c>
      <c r="DN30" s="1453" t="s">
        <v>767</v>
      </c>
      <c r="DO30" s="1453" t="s">
        <v>2313</v>
      </c>
      <c r="DP30" s="1453" t="s">
        <v>1863</v>
      </c>
      <c r="DQ30" s="1448"/>
      <c r="DR30" s="1505" t="s">
        <v>1935</v>
      </c>
      <c r="DS30" s="1453" t="s">
        <v>8814</v>
      </c>
      <c r="DT30" s="1448"/>
      <c r="DU30" s="1453" t="s">
        <v>4244</v>
      </c>
      <c r="DV30" s="1448"/>
      <c r="DW30" s="1453" t="s">
        <v>2361</v>
      </c>
      <c r="DX30" s="1448"/>
      <c r="DY30" s="1448"/>
      <c r="DZ30" s="1448"/>
      <c r="EA30" s="1448"/>
      <c r="EB30" s="1448"/>
      <c r="EC30" s="1448"/>
      <c r="ED30" s="1506" t="s">
        <v>8817</v>
      </c>
    </row>
    <row r="31">
      <c r="A31" s="1507" t="s">
        <v>5447</v>
      </c>
      <c r="B31" s="245" t="s">
        <v>8818</v>
      </c>
      <c r="C31" s="246" t="s">
        <v>271</v>
      </c>
      <c r="D31" s="247" t="s">
        <v>233</v>
      </c>
      <c r="E31" s="248" t="s">
        <v>274</v>
      </c>
      <c r="F31" s="249" t="s">
        <v>1904</v>
      </c>
      <c r="G31" s="245" t="s">
        <v>2784</v>
      </c>
      <c r="H31" s="257" t="s">
        <v>8820</v>
      </c>
      <c r="I31" s="257" t="s">
        <v>8821</v>
      </c>
      <c r="J31" s="257" t="s">
        <v>8825</v>
      </c>
      <c r="K31" s="257" t="s">
        <v>3830</v>
      </c>
      <c r="L31" s="257" t="s">
        <v>8826</v>
      </c>
      <c r="M31" s="257" t="s">
        <v>5695</v>
      </c>
      <c r="N31" s="257" t="s">
        <v>8827</v>
      </c>
      <c r="O31" s="257" t="s">
        <v>8830</v>
      </c>
      <c r="P31" s="257" t="s">
        <v>2537</v>
      </c>
      <c r="Q31" s="320"/>
      <c r="R31" s="320"/>
      <c r="S31" s="320"/>
      <c r="T31" s="320"/>
      <c r="U31" s="320"/>
      <c r="V31" s="320"/>
      <c r="W31" s="106"/>
      <c r="X31" s="257" t="s">
        <v>6719</v>
      </c>
      <c r="Y31" s="278"/>
      <c r="Z31" s="257" t="s">
        <v>4334</v>
      </c>
      <c r="AA31" s="257" t="s">
        <v>8834</v>
      </c>
      <c r="AB31" s="257" t="s">
        <v>2786</v>
      </c>
      <c r="AC31" s="257" t="s">
        <v>544</v>
      </c>
      <c r="AD31" s="257" t="s">
        <v>8835</v>
      </c>
      <c r="AE31" s="286"/>
      <c r="AF31" s="257" t="s">
        <v>1085</v>
      </c>
      <c r="AG31" s="257" t="s">
        <v>402</v>
      </c>
      <c r="AH31" s="320"/>
      <c r="AI31" s="320"/>
      <c r="AJ31" s="320"/>
      <c r="AK31" s="320"/>
      <c r="AL31" s="105"/>
      <c r="AM31" s="320"/>
      <c r="AN31" s="286"/>
      <c r="AO31" s="320"/>
      <c r="AP31" s="320"/>
      <c r="AQ31" s="320"/>
      <c r="AR31" s="320"/>
      <c r="AS31" s="320"/>
      <c r="AT31" s="320"/>
      <c r="AU31" s="257" t="s">
        <v>1602</v>
      </c>
      <c r="AV31" s="257" t="s">
        <v>8840</v>
      </c>
      <c r="AW31" s="320"/>
      <c r="AX31" s="320"/>
      <c r="AY31" s="320"/>
      <c r="AZ31" s="320"/>
      <c r="BA31" s="320"/>
      <c r="BB31" s="257" t="s">
        <v>7209</v>
      </c>
      <c r="BC31" s="257" t="s">
        <v>2729</v>
      </c>
      <c r="BD31" s="257" t="s">
        <v>4605</v>
      </c>
      <c r="BE31" s="263" t="s">
        <v>1078</v>
      </c>
      <c r="BF31" s="257" t="s">
        <v>4711</v>
      </c>
      <c r="BG31" s="320"/>
      <c r="BH31" s="320"/>
      <c r="BI31" s="257" t="s">
        <v>4758</v>
      </c>
      <c r="BJ31" s="257" t="s">
        <v>8846</v>
      </c>
      <c r="BK31" s="286"/>
      <c r="BL31" s="257" t="s">
        <v>4541</v>
      </c>
      <c r="BM31" s="320"/>
      <c r="BN31" s="320"/>
      <c r="BO31" s="320"/>
      <c r="BP31" s="320"/>
      <c r="BQ31" s="824"/>
      <c r="BR31" s="261" t="s">
        <v>281</v>
      </c>
      <c r="BS31" s="263" t="s">
        <v>7689</v>
      </c>
      <c r="BT31" s="257" t="s">
        <v>5305</v>
      </c>
      <c r="BU31" s="257" t="s">
        <v>3950</v>
      </c>
      <c r="BV31" s="257" t="s">
        <v>1580</v>
      </c>
      <c r="BW31" s="257" t="s">
        <v>2138</v>
      </c>
      <c r="BX31" s="257" t="s">
        <v>8849</v>
      </c>
      <c r="BY31" s="261" t="s">
        <v>8850</v>
      </c>
      <c r="BZ31" s="320"/>
      <c r="CA31" s="257" t="s">
        <v>4753</v>
      </c>
      <c r="CB31" s="320"/>
      <c r="CC31" s="320"/>
      <c r="CD31" s="320"/>
      <c r="CE31" s="320"/>
      <c r="CF31" s="824"/>
      <c r="CG31" s="257" t="s">
        <v>756</v>
      </c>
      <c r="CH31" s="257" t="s">
        <v>530</v>
      </c>
      <c r="CI31" s="257" t="s">
        <v>8855</v>
      </c>
      <c r="CJ31" s="257" t="s">
        <v>8857</v>
      </c>
      <c r="CK31" s="261" t="s">
        <v>511</v>
      </c>
      <c r="CL31" s="257" t="s">
        <v>8859</v>
      </c>
      <c r="CM31" s="257" t="s">
        <v>8860</v>
      </c>
      <c r="CN31" s="257" t="s">
        <v>3715</v>
      </c>
      <c r="CO31" s="257" t="s">
        <v>8865</v>
      </c>
      <c r="CP31" s="320"/>
      <c r="CQ31" s="320"/>
      <c r="CR31" s="320"/>
      <c r="CS31" s="320"/>
      <c r="CT31" s="320"/>
      <c r="CU31" s="106"/>
      <c r="CV31" s="257" t="s">
        <v>1248</v>
      </c>
      <c r="CW31" s="286" t="s">
        <v>8871</v>
      </c>
      <c r="CX31" s="257" t="s">
        <v>8875</v>
      </c>
      <c r="CY31" s="257" t="s">
        <v>881</v>
      </c>
      <c r="CZ31" s="257" t="s">
        <v>4071</v>
      </c>
      <c r="DA31" s="257" t="s">
        <v>8883</v>
      </c>
      <c r="DB31" s="257" t="s">
        <v>8885</v>
      </c>
      <c r="DC31" s="257" t="s">
        <v>8887</v>
      </c>
      <c r="DD31" s="320"/>
      <c r="DE31" s="286"/>
      <c r="DF31" s="320"/>
      <c r="DG31" s="320"/>
      <c r="DH31" s="320"/>
      <c r="DI31" s="257" t="s">
        <v>8890</v>
      </c>
      <c r="DJ31" s="320"/>
      <c r="DK31" s="320"/>
      <c r="DL31" s="286"/>
      <c r="DM31" s="286"/>
      <c r="DN31" s="286"/>
      <c r="DO31" s="320"/>
      <c r="DP31" s="320"/>
      <c r="DQ31" s="320"/>
      <c r="DR31" s="257" t="s">
        <v>8894</v>
      </c>
      <c r="DS31" s="257" t="s">
        <v>6668</v>
      </c>
      <c r="DT31" s="320"/>
      <c r="DU31" s="320"/>
      <c r="DV31" s="320"/>
      <c r="DW31" s="320"/>
      <c r="DX31" s="320"/>
      <c r="DY31" s="320"/>
      <c r="DZ31" s="320"/>
      <c r="EA31" s="320"/>
      <c r="EB31" s="320"/>
      <c r="EC31" s="320"/>
      <c r="ED31" s="862"/>
    </row>
    <row r="32">
      <c r="A32" s="1534" t="s">
        <v>3164</v>
      </c>
      <c r="B32" s="378" t="s">
        <v>8905</v>
      </c>
      <c r="C32" s="379" t="s">
        <v>271</v>
      </c>
      <c r="D32" s="380" t="s">
        <v>271</v>
      </c>
      <c r="E32" s="381" t="s">
        <v>271</v>
      </c>
      <c r="F32" s="382" t="s">
        <v>8906</v>
      </c>
      <c r="G32" s="378" t="s">
        <v>1485</v>
      </c>
      <c r="H32" s="390" t="s">
        <v>3929</v>
      </c>
      <c r="I32" s="832" t="s">
        <v>8907</v>
      </c>
      <c r="J32" s="390" t="s">
        <v>633</v>
      </c>
      <c r="K32" s="390" t="s">
        <v>714</v>
      </c>
      <c r="L32" s="387" t="s">
        <v>6209</v>
      </c>
      <c r="M32" s="390" t="s">
        <v>419</v>
      </c>
      <c r="N32" s="390" t="s">
        <v>8909</v>
      </c>
      <c r="O32" s="390" t="s">
        <v>8910</v>
      </c>
      <c r="P32" s="387" t="s">
        <v>422</v>
      </c>
      <c r="Q32" s="390" t="s">
        <v>5077</v>
      </c>
      <c r="R32" s="1538" t="s">
        <v>8911</v>
      </c>
      <c r="S32" s="541" t="s">
        <v>8912</v>
      </c>
      <c r="T32" s="541" t="s">
        <v>2380</v>
      </c>
      <c r="U32" s="541" t="s">
        <v>4462</v>
      </c>
      <c r="V32" s="390" t="s">
        <v>3338</v>
      </c>
      <c r="W32" s="394"/>
      <c r="X32" s="399" t="s">
        <v>1995</v>
      </c>
      <c r="Y32" s="402"/>
      <c r="Z32" s="399" t="s">
        <v>8919</v>
      </c>
      <c r="AA32" s="399" t="s">
        <v>2727</v>
      </c>
      <c r="AB32" s="1133" t="s">
        <v>6199</v>
      </c>
      <c r="AC32" s="669" t="s">
        <v>2301</v>
      </c>
      <c r="AD32" s="399" t="s">
        <v>8940</v>
      </c>
      <c r="AE32" s="670" t="s">
        <v>7834</v>
      </c>
      <c r="AF32" s="399" t="s">
        <v>8944</v>
      </c>
      <c r="AG32" s="399" t="s">
        <v>1908</v>
      </c>
      <c r="AH32" s="399" t="s">
        <v>8947</v>
      </c>
      <c r="AI32" s="670" t="s">
        <v>2925</v>
      </c>
      <c r="AJ32" s="399" t="s">
        <v>8955</v>
      </c>
      <c r="AK32" s="399" t="s">
        <v>8964</v>
      </c>
      <c r="AL32" s="105"/>
      <c r="AM32" s="406" t="s">
        <v>8978</v>
      </c>
      <c r="AN32" s="570" t="s">
        <v>283</v>
      </c>
      <c r="AO32" s="671" t="s">
        <v>9008</v>
      </c>
      <c r="AP32" s="407" t="s">
        <v>454</v>
      </c>
      <c r="AQ32" s="407" t="s">
        <v>5206</v>
      </c>
      <c r="AR32" s="407" t="s">
        <v>5315</v>
      </c>
      <c r="AS32" s="570" t="s">
        <v>1222</v>
      </c>
      <c r="AT32" s="407" t="s">
        <v>6465</v>
      </c>
      <c r="AU32" s="407" t="s">
        <v>2258</v>
      </c>
      <c r="AV32" s="407" t="s">
        <v>704</v>
      </c>
      <c r="AW32" s="407" t="s">
        <v>9086</v>
      </c>
      <c r="AX32" s="570" t="s">
        <v>3375</v>
      </c>
      <c r="AY32" s="570" t="s">
        <v>9097</v>
      </c>
      <c r="AZ32" s="671" t="s">
        <v>4886</v>
      </c>
      <c r="BA32" s="1560"/>
      <c r="BB32" s="581" t="s">
        <v>1456</v>
      </c>
      <c r="BC32" s="417" t="s">
        <v>7817</v>
      </c>
      <c r="BD32" s="417" t="s">
        <v>9121</v>
      </c>
      <c r="BE32" s="417" t="s">
        <v>4193</v>
      </c>
      <c r="BF32" s="417" t="s">
        <v>4873</v>
      </c>
      <c r="BG32" s="581" t="s">
        <v>6163</v>
      </c>
      <c r="BH32" s="417" t="s">
        <v>5510</v>
      </c>
      <c r="BI32" s="417" t="s">
        <v>8116</v>
      </c>
      <c r="BJ32" s="417" t="s">
        <v>5557</v>
      </c>
      <c r="BK32" s="581"/>
      <c r="BL32" s="417" t="s">
        <v>2852</v>
      </c>
      <c r="BM32" s="581" t="s">
        <v>9139</v>
      </c>
      <c r="BN32" s="417" t="s">
        <v>3938</v>
      </c>
      <c r="BO32" s="581" t="s">
        <v>4511</v>
      </c>
      <c r="BP32" s="581" t="s">
        <v>6036</v>
      </c>
      <c r="BQ32" s="1583"/>
      <c r="BR32" s="422" t="s">
        <v>5436</v>
      </c>
      <c r="BS32" s="422" t="s">
        <v>631</v>
      </c>
      <c r="BT32" s="422" t="s">
        <v>3726</v>
      </c>
      <c r="BU32" s="422" t="s">
        <v>4638</v>
      </c>
      <c r="BV32" s="589" t="s">
        <v>1119</v>
      </c>
      <c r="BW32" s="422" t="s">
        <v>9152</v>
      </c>
      <c r="BX32" s="589" t="s">
        <v>9157</v>
      </c>
      <c r="BY32" s="422" t="s">
        <v>9159</v>
      </c>
      <c r="BZ32" s="589"/>
      <c r="CA32" s="589" t="s">
        <v>4804</v>
      </c>
      <c r="CB32" s="422" t="s">
        <v>9162</v>
      </c>
      <c r="CC32" s="422" t="s">
        <v>9165</v>
      </c>
      <c r="CD32" s="422" t="s">
        <v>728</v>
      </c>
      <c r="CE32" s="422" t="s">
        <v>7467</v>
      </c>
      <c r="CF32" s="1592"/>
      <c r="CG32" s="869" t="s">
        <v>9175</v>
      </c>
      <c r="CH32" s="433" t="s">
        <v>9176</v>
      </c>
      <c r="CI32" s="433" t="s">
        <v>9180</v>
      </c>
      <c r="CJ32" s="433" t="s">
        <v>9181</v>
      </c>
      <c r="CK32" s="869"/>
      <c r="CL32" s="869" t="s">
        <v>417</v>
      </c>
      <c r="CM32" s="433" t="s">
        <v>9184</v>
      </c>
      <c r="CN32" s="433" t="s">
        <v>3439</v>
      </c>
      <c r="CO32" s="433" t="s">
        <v>5696</v>
      </c>
      <c r="CP32" s="593" t="s">
        <v>6333</v>
      </c>
      <c r="CQ32" s="433" t="s">
        <v>3897</v>
      </c>
      <c r="CR32" s="593" t="s">
        <v>9189</v>
      </c>
      <c r="CS32" s="593" t="s">
        <v>1221</v>
      </c>
      <c r="CT32" s="433" t="s">
        <v>6495</v>
      </c>
      <c r="CU32" s="125"/>
      <c r="CV32" s="458" t="s">
        <v>1091</v>
      </c>
      <c r="CW32" s="683" t="s">
        <v>9193</v>
      </c>
      <c r="CX32" s="458" t="s">
        <v>1707</v>
      </c>
      <c r="CY32" s="458" t="s">
        <v>3614</v>
      </c>
      <c r="CZ32" s="1606" t="s">
        <v>9196</v>
      </c>
      <c r="DA32" s="458" t="s">
        <v>3209</v>
      </c>
      <c r="DB32" s="1606" t="s">
        <v>9198</v>
      </c>
      <c r="DC32" s="1606" t="s">
        <v>9199</v>
      </c>
      <c r="DD32" s="458" t="s">
        <v>8109</v>
      </c>
      <c r="DE32" s="683" t="s">
        <v>3847</v>
      </c>
      <c r="DF32" s="458" t="s">
        <v>8825</v>
      </c>
      <c r="DG32" s="458" t="s">
        <v>1242</v>
      </c>
      <c r="DH32" s="467"/>
      <c r="DI32" s="481" t="s">
        <v>889</v>
      </c>
      <c r="DJ32" s="685" t="s">
        <v>9202</v>
      </c>
      <c r="DK32" s="685" t="s">
        <v>6795</v>
      </c>
      <c r="DL32" s="481" t="s">
        <v>2869</v>
      </c>
      <c r="DM32" s="481" t="s">
        <v>1768</v>
      </c>
      <c r="DN32" s="481" t="s">
        <v>3647</v>
      </c>
      <c r="DO32" s="685" t="s">
        <v>792</v>
      </c>
      <c r="DP32" s="685" t="s">
        <v>5135</v>
      </c>
      <c r="DQ32" s="685" t="s">
        <v>3000</v>
      </c>
      <c r="DR32" s="481" t="s">
        <v>1604</v>
      </c>
      <c r="DS32" s="481" t="s">
        <v>2870</v>
      </c>
      <c r="DT32" s="1612" t="s">
        <v>523</v>
      </c>
      <c r="DU32" s="685" t="s">
        <v>9209</v>
      </c>
      <c r="DV32" s="481" t="s">
        <v>2021</v>
      </c>
      <c r="DW32" s="481" t="s">
        <v>4804</v>
      </c>
      <c r="DX32" s="685" t="s">
        <v>4605</v>
      </c>
      <c r="DY32" s="685" t="s">
        <v>3746</v>
      </c>
      <c r="DZ32" s="481" t="s">
        <v>4695</v>
      </c>
      <c r="EA32" s="481" t="s">
        <v>9214</v>
      </c>
      <c r="EB32" s="685" t="s">
        <v>188</v>
      </c>
      <c r="EC32" s="685" t="s">
        <v>461</v>
      </c>
      <c r="ED32" s="1039" t="s">
        <v>9215</v>
      </c>
    </row>
    <row r="33">
      <c r="A33" s="1614" t="s">
        <v>9216</v>
      </c>
      <c r="B33" s="245" t="s">
        <v>9217</v>
      </c>
      <c r="C33" s="246" t="s">
        <v>171</v>
      </c>
      <c r="D33" s="247" t="s">
        <v>271</v>
      </c>
      <c r="E33" s="248" t="s">
        <v>271</v>
      </c>
      <c r="F33" s="249" t="s">
        <v>9219</v>
      </c>
      <c r="G33" s="245" t="s">
        <v>3952</v>
      </c>
      <c r="H33" s="257" t="s">
        <v>7635</v>
      </c>
      <c r="I33" s="257" t="s">
        <v>9221</v>
      </c>
      <c r="J33" s="257" t="s">
        <v>4168</v>
      </c>
      <c r="K33" s="257" t="s">
        <v>718</v>
      </c>
      <c r="L33" s="257" t="s">
        <v>5025</v>
      </c>
      <c r="M33" s="257" t="s">
        <v>3762</v>
      </c>
      <c r="N33" s="257" t="s">
        <v>9228</v>
      </c>
      <c r="O33" s="257" t="s">
        <v>1512</v>
      </c>
      <c r="P33" s="257" t="s">
        <v>422</v>
      </c>
      <c r="Q33" s="286"/>
      <c r="R33" s="320"/>
      <c r="S33" s="286" t="s">
        <v>1538</v>
      </c>
      <c r="T33" s="320"/>
      <c r="U33" s="257" t="s">
        <v>1785</v>
      </c>
      <c r="V33" s="320"/>
      <c r="W33" s="106"/>
      <c r="X33" s="257" t="s">
        <v>9234</v>
      </c>
      <c r="Y33" s="288"/>
      <c r="Z33" s="316" t="s">
        <v>4334</v>
      </c>
      <c r="AA33" s="257" t="s">
        <v>1885</v>
      </c>
      <c r="AB33" s="257" t="s">
        <v>9239</v>
      </c>
      <c r="AC33" s="257" t="s">
        <v>8012</v>
      </c>
      <c r="AD33" s="257" t="s">
        <v>9244</v>
      </c>
      <c r="AE33" s="257" t="s">
        <v>9246</v>
      </c>
      <c r="AF33" s="257" t="s">
        <v>442</v>
      </c>
      <c r="AG33" s="257" t="s">
        <v>3353</v>
      </c>
      <c r="AH33" s="320"/>
      <c r="AI33" s="320"/>
      <c r="AJ33" s="320"/>
      <c r="AK33" s="320"/>
      <c r="AL33" s="105"/>
      <c r="AM33" s="257" t="s">
        <v>3519</v>
      </c>
      <c r="AN33" s="257" t="s">
        <v>452</v>
      </c>
      <c r="AO33" s="320"/>
      <c r="AP33" s="286"/>
      <c r="AQ33" s="320"/>
      <c r="AR33" s="320"/>
      <c r="AS33" s="320"/>
      <c r="AT33" s="320"/>
      <c r="AU33" s="257" t="s">
        <v>2660</v>
      </c>
      <c r="AV33" s="257" t="s">
        <v>6607</v>
      </c>
      <c r="AW33" s="286"/>
      <c r="AX33" s="320"/>
      <c r="AY33" s="320"/>
      <c r="AZ33" s="320"/>
      <c r="BA33" s="286"/>
      <c r="BB33" s="257" t="s">
        <v>9255</v>
      </c>
      <c r="BC33" s="257" t="s">
        <v>2729</v>
      </c>
      <c r="BD33" s="257" t="s">
        <v>469</v>
      </c>
      <c r="BE33" s="257" t="s">
        <v>9257</v>
      </c>
      <c r="BF33" s="257" t="s">
        <v>4245</v>
      </c>
      <c r="BG33" s="320"/>
      <c r="BH33" s="320"/>
      <c r="BI33" s="257" t="s">
        <v>928</v>
      </c>
      <c r="BJ33" s="320"/>
      <c r="BK33" s="286" t="s">
        <v>9258</v>
      </c>
      <c r="BL33" s="257" t="s">
        <v>4467</v>
      </c>
      <c r="BM33" s="320"/>
      <c r="BN33" s="320"/>
      <c r="BO33" s="320"/>
      <c r="BP33" s="320"/>
      <c r="BQ33" s="824"/>
      <c r="BR33" s="257" t="s">
        <v>9259</v>
      </c>
      <c r="BS33" s="257" t="s">
        <v>2773</v>
      </c>
      <c r="BT33" s="257" t="s">
        <v>4733</v>
      </c>
      <c r="BU33" s="257" t="s">
        <v>9260</v>
      </c>
      <c r="BV33" s="257" t="s">
        <v>5108</v>
      </c>
      <c r="BW33" s="257" t="s">
        <v>9261</v>
      </c>
      <c r="BX33" s="257" t="s">
        <v>9262</v>
      </c>
      <c r="BY33" s="286" t="s">
        <v>9263</v>
      </c>
      <c r="BZ33" s="257" t="s">
        <v>9264</v>
      </c>
      <c r="CA33" s="257" t="s">
        <v>4752</v>
      </c>
      <c r="CB33" s="320"/>
      <c r="CC33" s="320"/>
      <c r="CD33" s="320"/>
      <c r="CE33" s="320"/>
      <c r="CF33" s="824"/>
      <c r="CG33" s="257" t="s">
        <v>3786</v>
      </c>
      <c r="CH33" s="257" t="s">
        <v>7670</v>
      </c>
      <c r="CI33" s="251" t="s">
        <v>9265</v>
      </c>
      <c r="CJ33" s="257" t="s">
        <v>9266</v>
      </c>
      <c r="CK33" s="286"/>
      <c r="CL33" s="257" t="s">
        <v>3440</v>
      </c>
      <c r="CM33" s="257" t="s">
        <v>5250</v>
      </c>
      <c r="CN33" s="257" t="s">
        <v>9267</v>
      </c>
      <c r="CO33" s="257" t="s">
        <v>5120</v>
      </c>
      <c r="CP33" s="320"/>
      <c r="CQ33" s="320"/>
      <c r="CR33" s="320"/>
      <c r="CS33" s="320"/>
      <c r="CT33" s="320"/>
      <c r="CU33" s="106"/>
      <c r="CV33" s="257" t="s">
        <v>1198</v>
      </c>
      <c r="CW33" s="257" t="s">
        <v>9268</v>
      </c>
      <c r="CX33" s="257" t="s">
        <v>3753</v>
      </c>
      <c r="CY33" s="257" t="s">
        <v>995</v>
      </c>
      <c r="CZ33" s="257" t="s">
        <v>4071</v>
      </c>
      <c r="DA33" s="257" t="s">
        <v>9269</v>
      </c>
      <c r="DB33" s="257" t="s">
        <v>9270</v>
      </c>
      <c r="DC33" s="257" t="s">
        <v>9271</v>
      </c>
      <c r="DD33" s="320"/>
      <c r="DE33" s="320"/>
      <c r="DF33" s="320"/>
      <c r="DG33" s="320"/>
      <c r="DH33" s="320"/>
      <c r="DI33" s="257" t="s">
        <v>877</v>
      </c>
      <c r="DJ33" s="320"/>
      <c r="DK33" s="718"/>
      <c r="DL33" s="320"/>
      <c r="DM33" s="320"/>
      <c r="DN33" s="320"/>
      <c r="DO33" s="320"/>
      <c r="DP33" s="320"/>
      <c r="DQ33" s="320"/>
      <c r="DR33" s="257" t="s">
        <v>1186</v>
      </c>
      <c r="DS33" s="257" t="s">
        <v>9272</v>
      </c>
      <c r="DT33" s="320"/>
      <c r="DU33" s="320"/>
      <c r="DV33" s="320"/>
      <c r="DW33" s="257" t="s">
        <v>973</v>
      </c>
      <c r="DX33" s="320"/>
      <c r="DY33" s="320"/>
      <c r="DZ33" s="320"/>
      <c r="EA33" s="320"/>
      <c r="EB33" s="320"/>
      <c r="EC33" s="320"/>
      <c r="ED33" s="862"/>
    </row>
    <row r="34">
      <c r="A34" s="1626" t="s">
        <v>5830</v>
      </c>
      <c r="B34" s="378" t="s">
        <v>9273</v>
      </c>
      <c r="C34" s="379" t="s">
        <v>271</v>
      </c>
      <c r="D34" s="380" t="s">
        <v>233</v>
      </c>
      <c r="E34" s="381" t="s">
        <v>271</v>
      </c>
      <c r="F34" s="382" t="s">
        <v>394</v>
      </c>
      <c r="G34" s="378" t="s">
        <v>9274</v>
      </c>
      <c r="H34" s="541" t="s">
        <v>1537</v>
      </c>
      <c r="I34" s="541" t="s">
        <v>5058</v>
      </c>
      <c r="J34" s="541" t="s">
        <v>1552</v>
      </c>
      <c r="K34" s="541" t="s">
        <v>760</v>
      </c>
      <c r="L34" s="541" t="s">
        <v>1614</v>
      </c>
      <c r="M34" s="541" t="s">
        <v>7500</v>
      </c>
      <c r="N34" s="541" t="s">
        <v>9275</v>
      </c>
      <c r="O34" s="541" t="s">
        <v>1183</v>
      </c>
      <c r="P34" s="541" t="s">
        <v>1464</v>
      </c>
      <c r="Q34" s="541" t="s">
        <v>1647</v>
      </c>
      <c r="R34" s="835"/>
      <c r="S34" s="541" t="s">
        <v>9276</v>
      </c>
      <c r="T34" s="541" t="s">
        <v>1636</v>
      </c>
      <c r="U34" s="541" t="s">
        <v>572</v>
      </c>
      <c r="V34" s="541" t="s">
        <v>9277</v>
      </c>
      <c r="W34" s="106"/>
      <c r="X34" s="670" t="s">
        <v>9234</v>
      </c>
      <c r="Y34" s="670"/>
      <c r="Z34" s="670" t="s">
        <v>9278</v>
      </c>
      <c r="AA34" s="1287" t="s">
        <v>684</v>
      </c>
      <c r="AB34" s="670" t="s">
        <v>834</v>
      </c>
      <c r="AC34" s="670" t="s">
        <v>5315</v>
      </c>
      <c r="AD34" s="670" t="s">
        <v>2899</v>
      </c>
      <c r="AE34" s="670" t="s">
        <v>9279</v>
      </c>
      <c r="AF34" s="670" t="s">
        <v>9280</v>
      </c>
      <c r="AG34" s="670" t="s">
        <v>9281</v>
      </c>
      <c r="AH34" s="670" t="s">
        <v>7843</v>
      </c>
      <c r="AI34" s="670"/>
      <c r="AJ34" s="670" t="s">
        <v>6128</v>
      </c>
      <c r="AK34" s="670" t="s">
        <v>9282</v>
      </c>
      <c r="AL34" s="105"/>
      <c r="AM34" s="570" t="s">
        <v>9283</v>
      </c>
      <c r="AN34" s="570" t="s">
        <v>9284</v>
      </c>
      <c r="AO34" s="570" t="s">
        <v>5868</v>
      </c>
      <c r="AP34" s="570" t="s">
        <v>3461</v>
      </c>
      <c r="AQ34" s="570" t="s">
        <v>6332</v>
      </c>
      <c r="AR34" s="570" t="s">
        <v>9285</v>
      </c>
      <c r="AS34" s="570" t="s">
        <v>9286</v>
      </c>
      <c r="AT34" s="839"/>
      <c r="AU34" s="570" t="s">
        <v>9287</v>
      </c>
      <c r="AV34" s="570" t="s">
        <v>9288</v>
      </c>
      <c r="AW34" s="570" t="s">
        <v>9289</v>
      </c>
      <c r="AX34" s="839"/>
      <c r="AY34" s="570" t="s">
        <v>9290</v>
      </c>
      <c r="AZ34" s="570" t="s">
        <v>9291</v>
      </c>
      <c r="BA34" s="839"/>
      <c r="BB34" s="581" t="s">
        <v>1809</v>
      </c>
      <c r="BC34" s="581" t="s">
        <v>1089</v>
      </c>
      <c r="BD34" s="581" t="s">
        <v>4131</v>
      </c>
      <c r="BE34" s="581" t="s">
        <v>2873</v>
      </c>
      <c r="BF34" s="581" t="s">
        <v>3058</v>
      </c>
      <c r="BG34" s="581" t="s">
        <v>9292</v>
      </c>
      <c r="BH34" s="581" t="s">
        <v>9293</v>
      </c>
      <c r="BI34" s="417" t="s">
        <v>5185</v>
      </c>
      <c r="BJ34" s="580"/>
      <c r="BK34" s="417" t="s">
        <v>9294</v>
      </c>
      <c r="BL34" s="581" t="s">
        <v>2852</v>
      </c>
      <c r="BM34" s="580"/>
      <c r="BN34" s="581" t="s">
        <v>4118</v>
      </c>
      <c r="BO34" s="581" t="s">
        <v>6185</v>
      </c>
      <c r="BP34" s="581" t="s">
        <v>9295</v>
      </c>
      <c r="BQ34" s="845"/>
      <c r="BR34" s="589" t="s">
        <v>6621</v>
      </c>
      <c r="BS34" s="589" t="s">
        <v>3742</v>
      </c>
      <c r="BT34" s="589" t="s">
        <v>9296</v>
      </c>
      <c r="BU34" s="589" t="s">
        <v>9297</v>
      </c>
      <c r="BV34" s="589" t="s">
        <v>2894</v>
      </c>
      <c r="BW34" s="589" t="s">
        <v>9298</v>
      </c>
      <c r="BX34" s="589" t="s">
        <v>9299</v>
      </c>
      <c r="BY34" s="849"/>
      <c r="BZ34" s="422" t="s">
        <v>9300</v>
      </c>
      <c r="CA34" s="589" t="s">
        <v>4646</v>
      </c>
      <c r="CB34" s="589" t="s">
        <v>9301</v>
      </c>
      <c r="CC34" s="589" t="s">
        <v>9302</v>
      </c>
      <c r="CD34" s="589" t="s">
        <v>762</v>
      </c>
      <c r="CE34" s="589" t="s">
        <v>9303</v>
      </c>
      <c r="CF34" s="851"/>
      <c r="CG34" s="593" t="s">
        <v>1745</v>
      </c>
      <c r="CH34" s="593" t="s">
        <v>2488</v>
      </c>
      <c r="CI34" s="593" t="s">
        <v>9304</v>
      </c>
      <c r="CJ34" s="433" t="s">
        <v>9305</v>
      </c>
      <c r="CK34" s="869"/>
      <c r="CL34" s="869" t="s">
        <v>5633</v>
      </c>
      <c r="CM34" s="593" t="s">
        <v>3742</v>
      </c>
      <c r="CN34" s="593" t="s">
        <v>6583</v>
      </c>
      <c r="CO34" s="428" t="str">
        <f>HYPERLINK("https://youtu.be/eT1ltwCFNY0","15.59")</f>
        <v>15.59</v>
      </c>
      <c r="CP34" s="852"/>
      <c r="CQ34" s="593" t="s">
        <v>3906</v>
      </c>
      <c r="CR34" s="428" t="s">
        <v>519</v>
      </c>
      <c r="CS34" s="1627" t="s">
        <v>8298</v>
      </c>
      <c r="CT34" s="593" t="s">
        <v>6368</v>
      </c>
      <c r="CU34" s="106"/>
      <c r="CV34" s="683" t="s">
        <v>2527</v>
      </c>
      <c r="CW34" s="683" t="s">
        <v>5280</v>
      </c>
      <c r="CX34" s="683" t="s">
        <v>413</v>
      </c>
      <c r="CY34" s="683" t="s">
        <v>1912</v>
      </c>
      <c r="CZ34" s="683" t="s">
        <v>876</v>
      </c>
      <c r="DA34" s="683" t="s">
        <v>2374</v>
      </c>
      <c r="DB34" s="458" t="s">
        <v>1300</v>
      </c>
      <c r="DC34" s="683" t="s">
        <v>9306</v>
      </c>
      <c r="DD34" s="683" t="s">
        <v>9307</v>
      </c>
      <c r="DE34" s="683" t="s">
        <v>2005</v>
      </c>
      <c r="DF34" s="683" t="s">
        <v>1106</v>
      </c>
      <c r="DG34" s="683" t="s">
        <v>8344</v>
      </c>
      <c r="DH34" s="853"/>
      <c r="DI34" s="685" t="s">
        <v>463</v>
      </c>
      <c r="DJ34" s="855"/>
      <c r="DK34" s="685" t="s">
        <v>5880</v>
      </c>
      <c r="DL34" s="855"/>
      <c r="DM34" s="685" t="s">
        <v>1768</v>
      </c>
      <c r="DN34" s="685" t="s">
        <v>9308</v>
      </c>
      <c r="DO34" s="685" t="s">
        <v>9309</v>
      </c>
      <c r="DP34" s="599" t="s">
        <v>4518</v>
      </c>
      <c r="DQ34" s="599" t="s">
        <v>4410</v>
      </c>
      <c r="DR34" s="685" t="s">
        <v>5719</v>
      </c>
      <c r="DS34" s="685" t="s">
        <v>8741</v>
      </c>
      <c r="DT34" s="685" t="s">
        <v>9310</v>
      </c>
      <c r="DU34" s="685" t="s">
        <v>2732</v>
      </c>
      <c r="DV34" s="855"/>
      <c r="DW34" s="685" t="s">
        <v>5683</v>
      </c>
      <c r="DX34" s="685" t="s">
        <v>9311</v>
      </c>
      <c r="DY34" s="685" t="s">
        <v>9312</v>
      </c>
      <c r="DZ34" s="685" t="s">
        <v>7900</v>
      </c>
      <c r="EA34" s="685" t="s">
        <v>4390</v>
      </c>
      <c r="EB34" s="685" t="s">
        <v>9313</v>
      </c>
      <c r="EC34" s="685" t="s">
        <v>9314</v>
      </c>
      <c r="ED34" s="1039" t="s">
        <v>9315</v>
      </c>
    </row>
    <row r="35">
      <c r="A35" s="1628" t="s">
        <v>3391</v>
      </c>
      <c r="B35" s="245" t="s">
        <v>9316</v>
      </c>
      <c r="C35" s="246" t="s">
        <v>171</v>
      </c>
      <c r="D35" s="247" t="s">
        <v>271</v>
      </c>
      <c r="E35" s="248" t="s">
        <v>171</v>
      </c>
      <c r="F35" s="249" t="s">
        <v>3952</v>
      </c>
      <c r="G35" s="245" t="s">
        <v>3952</v>
      </c>
      <c r="H35" s="286"/>
      <c r="I35" s="257" t="s">
        <v>9317</v>
      </c>
      <c r="J35" s="257" t="s">
        <v>578</v>
      </c>
      <c r="K35" s="257" t="s">
        <v>750</v>
      </c>
      <c r="L35" s="257" t="s">
        <v>4774</v>
      </c>
      <c r="M35" s="257" t="s">
        <v>9318</v>
      </c>
      <c r="N35" s="257" t="s">
        <v>1206</v>
      </c>
      <c r="O35" s="257" t="s">
        <v>3555</v>
      </c>
      <c r="P35" s="257" t="s">
        <v>422</v>
      </c>
      <c r="Q35" s="257" t="s">
        <v>9319</v>
      </c>
      <c r="R35" s="320"/>
      <c r="S35" s="257" t="s">
        <v>3913</v>
      </c>
      <c r="T35" s="320"/>
      <c r="U35" s="320"/>
      <c r="V35" s="320"/>
      <c r="W35" s="106"/>
      <c r="X35" s="257" t="s">
        <v>7976</v>
      </c>
      <c r="Y35" s="278"/>
      <c r="Z35" s="257" t="s">
        <v>1882</v>
      </c>
      <c r="AA35" s="257" t="s">
        <v>4447</v>
      </c>
      <c r="AB35" s="257" t="s">
        <v>1889</v>
      </c>
      <c r="AC35" s="257" t="s">
        <v>8012</v>
      </c>
      <c r="AD35" s="257" t="s">
        <v>1262</v>
      </c>
      <c r="AE35" s="320"/>
      <c r="AF35" s="257" t="s">
        <v>3060</v>
      </c>
      <c r="AG35" s="257" t="s">
        <v>3353</v>
      </c>
      <c r="AH35" s="320"/>
      <c r="AI35" s="320"/>
      <c r="AJ35" s="320"/>
      <c r="AK35" s="320"/>
      <c r="AL35" s="105"/>
      <c r="AM35" s="320"/>
      <c r="AN35" s="257" t="s">
        <v>2170</v>
      </c>
      <c r="AO35" s="320"/>
      <c r="AP35" s="320"/>
      <c r="AQ35" s="320"/>
      <c r="AR35" s="320"/>
      <c r="AS35" s="320"/>
      <c r="AT35" s="320"/>
      <c r="AU35" s="257" t="s">
        <v>2660</v>
      </c>
      <c r="AV35" s="257" t="s">
        <v>4124</v>
      </c>
      <c r="AW35" s="320"/>
      <c r="AX35" s="320"/>
      <c r="AY35" s="257" t="s">
        <v>9320</v>
      </c>
      <c r="AZ35" s="320"/>
      <c r="BA35" s="320"/>
      <c r="BB35" s="257" t="s">
        <v>5126</v>
      </c>
      <c r="BC35" s="257" t="s">
        <v>2729</v>
      </c>
      <c r="BD35" s="257" t="s">
        <v>4978</v>
      </c>
      <c r="BE35" s="261" t="s">
        <v>5295</v>
      </c>
      <c r="BF35" s="257" t="s">
        <v>1921</v>
      </c>
      <c r="BG35" s="320"/>
      <c r="BH35" s="320"/>
      <c r="BI35" s="257" t="s">
        <v>1212</v>
      </c>
      <c r="BJ35" s="278"/>
      <c r="BK35" s="257" t="s">
        <v>9321</v>
      </c>
      <c r="BL35" s="257" t="s">
        <v>4471</v>
      </c>
      <c r="BM35" s="320"/>
      <c r="BN35" s="257" t="s">
        <v>481</v>
      </c>
      <c r="BO35" s="257" t="s">
        <v>6338</v>
      </c>
      <c r="BP35" s="320"/>
      <c r="BQ35" s="824"/>
      <c r="BR35" s="257" t="s">
        <v>9322</v>
      </c>
      <c r="BS35" s="257" t="s">
        <v>5510</v>
      </c>
      <c r="BT35" s="257" t="s">
        <v>7900</v>
      </c>
      <c r="BU35" s="257" t="s">
        <v>1032</v>
      </c>
      <c r="BV35" s="257" t="s">
        <v>6918</v>
      </c>
      <c r="BW35" s="257" t="s">
        <v>9323</v>
      </c>
      <c r="BX35" s="320"/>
      <c r="BY35" s="320"/>
      <c r="BZ35" s="257" t="s">
        <v>9324</v>
      </c>
      <c r="CA35" s="257" t="s">
        <v>5575</v>
      </c>
      <c r="CB35" s="257" t="s">
        <v>9325</v>
      </c>
      <c r="CC35" s="320"/>
      <c r="CD35" s="320"/>
      <c r="CE35" s="320"/>
      <c r="CF35" s="824"/>
      <c r="CG35" s="251" t="s">
        <v>6258</v>
      </c>
      <c r="CH35" s="257" t="s">
        <v>3968</v>
      </c>
      <c r="CI35" s="257" t="s">
        <v>9326</v>
      </c>
      <c r="CJ35" s="257" t="s">
        <v>9327</v>
      </c>
      <c r="CK35" s="278"/>
      <c r="CL35" s="278"/>
      <c r="CM35" s="257" t="s">
        <v>4281</v>
      </c>
      <c r="CN35" s="257" t="s">
        <v>4131</v>
      </c>
      <c r="CO35" s="257" t="s">
        <v>516</v>
      </c>
      <c r="CP35" s="257" t="s">
        <v>9328</v>
      </c>
      <c r="CQ35" s="320"/>
      <c r="CR35" s="320"/>
      <c r="CS35" s="320"/>
      <c r="CT35" s="320"/>
      <c r="CU35" s="106"/>
      <c r="CV35" s="257" t="s">
        <v>7384</v>
      </c>
      <c r="CW35" s="320"/>
      <c r="CX35" s="257" t="s">
        <v>524</v>
      </c>
      <c r="CY35" s="257" t="s">
        <v>7931</v>
      </c>
      <c r="CZ35" s="257" t="s">
        <v>390</v>
      </c>
      <c r="DA35" s="257" t="s">
        <v>2541</v>
      </c>
      <c r="DB35" s="257" t="s">
        <v>9329</v>
      </c>
      <c r="DC35" s="257" t="s">
        <v>4232</v>
      </c>
      <c r="DD35" s="320"/>
      <c r="DE35" s="320"/>
      <c r="DF35" s="320"/>
      <c r="DG35" s="320"/>
      <c r="DH35" s="320"/>
      <c r="DI35" s="320"/>
      <c r="DJ35" s="320"/>
      <c r="DK35" s="320"/>
      <c r="DL35" s="320"/>
      <c r="DM35" s="320"/>
      <c r="DN35" s="320"/>
      <c r="DO35" s="320"/>
      <c r="DP35" s="320"/>
      <c r="DQ35" s="320"/>
      <c r="DR35" s="257" t="s">
        <v>2164</v>
      </c>
      <c r="DS35" s="257" t="s">
        <v>9330</v>
      </c>
      <c r="DT35" s="320"/>
      <c r="DU35" s="257" t="s">
        <v>8421</v>
      </c>
      <c r="DV35" s="257" t="s">
        <v>9331</v>
      </c>
      <c r="DW35" s="320"/>
      <c r="DX35" s="320"/>
      <c r="DY35" s="320"/>
      <c r="DZ35" s="257" t="s">
        <v>5362</v>
      </c>
      <c r="EA35" s="257" t="s">
        <v>7562</v>
      </c>
      <c r="EB35" s="320"/>
      <c r="EC35" s="320"/>
      <c r="ED35" s="1629"/>
    </row>
    <row r="36">
      <c r="A36" s="540" t="s">
        <v>1514</v>
      </c>
      <c r="B36" s="378" t="s">
        <v>9332</v>
      </c>
      <c r="C36" s="379" t="s">
        <v>271</v>
      </c>
      <c r="D36" s="380" t="s">
        <v>233</v>
      </c>
      <c r="E36" s="381" t="s">
        <v>271</v>
      </c>
      <c r="F36" s="382" t="s">
        <v>716</v>
      </c>
      <c r="G36" s="378" t="s">
        <v>3490</v>
      </c>
      <c r="H36" s="541" t="s">
        <v>9333</v>
      </c>
      <c r="I36" s="541" t="s">
        <v>7594</v>
      </c>
      <c r="J36" s="390" t="s">
        <v>9334</v>
      </c>
      <c r="K36" s="390" t="s">
        <v>739</v>
      </c>
      <c r="L36" s="390" t="s">
        <v>502</v>
      </c>
      <c r="M36" s="390" t="s">
        <v>9335</v>
      </c>
      <c r="N36" s="541" t="s">
        <v>9336</v>
      </c>
      <c r="O36" s="541" t="s">
        <v>3555</v>
      </c>
      <c r="P36" s="390" t="s">
        <v>2537</v>
      </c>
      <c r="Q36" s="835"/>
      <c r="R36" s="835"/>
      <c r="S36" s="390" t="s">
        <v>4437</v>
      </c>
      <c r="T36" s="390" t="s">
        <v>8187</v>
      </c>
      <c r="U36" s="541" t="s">
        <v>7201</v>
      </c>
      <c r="V36" s="835"/>
      <c r="W36" s="106"/>
      <c r="X36" s="399" t="s">
        <v>9337</v>
      </c>
      <c r="Y36" s="908"/>
      <c r="Z36" s="399" t="s">
        <v>9338</v>
      </c>
      <c r="AA36" s="399" t="s">
        <v>9339</v>
      </c>
      <c r="AB36" s="670" t="s">
        <v>895</v>
      </c>
      <c r="AC36" s="399" t="s">
        <v>8012</v>
      </c>
      <c r="AD36" s="399" t="s">
        <v>9340</v>
      </c>
      <c r="AE36" s="837"/>
      <c r="AF36" s="399" t="s">
        <v>3114</v>
      </c>
      <c r="AG36" s="399" t="s">
        <v>1908</v>
      </c>
      <c r="AH36" s="837"/>
      <c r="AI36" s="780" t="s">
        <v>9341</v>
      </c>
      <c r="AJ36" s="399" t="s">
        <v>2444</v>
      </c>
      <c r="AK36" s="837"/>
      <c r="AL36" s="105"/>
      <c r="AM36" s="570" t="s">
        <v>1132</v>
      </c>
      <c r="AN36" s="407" t="s">
        <v>9342</v>
      </c>
      <c r="AO36" s="570" t="s">
        <v>9343</v>
      </c>
      <c r="AP36" s="839"/>
      <c r="AQ36" s="839"/>
      <c r="AR36" s="839"/>
      <c r="AS36" s="407" t="s">
        <v>9344</v>
      </c>
      <c r="AT36" s="839"/>
      <c r="AU36" s="1019" t="s">
        <v>1834</v>
      </c>
      <c r="AV36" s="1019" t="s">
        <v>4131</v>
      </c>
      <c r="AW36" s="570" t="s">
        <v>4100</v>
      </c>
      <c r="AX36" s="839"/>
      <c r="AY36" s="839"/>
      <c r="AZ36" s="839"/>
      <c r="BA36" s="839"/>
      <c r="BB36" s="417" t="s">
        <v>9345</v>
      </c>
      <c r="BC36" s="581" t="s">
        <v>9346</v>
      </c>
      <c r="BD36" s="417" t="s">
        <v>2374</v>
      </c>
      <c r="BE36" s="581" t="s">
        <v>4585</v>
      </c>
      <c r="BF36" s="581" t="s">
        <v>660</v>
      </c>
      <c r="BG36" s="581" t="s">
        <v>4625</v>
      </c>
      <c r="BH36" s="580"/>
      <c r="BI36" s="581" t="s">
        <v>9347</v>
      </c>
      <c r="BJ36" s="581" t="s">
        <v>6659</v>
      </c>
      <c r="BK36" s="581"/>
      <c r="BL36" s="581" t="s">
        <v>2780</v>
      </c>
      <c r="BM36" s="581" t="s">
        <v>2341</v>
      </c>
      <c r="BN36" s="417" t="s">
        <v>1518</v>
      </c>
      <c r="BO36" s="581" t="s">
        <v>368</v>
      </c>
      <c r="BP36" s="581" t="s">
        <v>3565</v>
      </c>
      <c r="BQ36" s="845"/>
      <c r="BR36" s="589" t="s">
        <v>9348</v>
      </c>
      <c r="BS36" s="589" t="s">
        <v>9349</v>
      </c>
      <c r="BT36" s="422" t="s">
        <v>2303</v>
      </c>
      <c r="BU36" s="422" t="s">
        <v>556</v>
      </c>
      <c r="BV36" s="422" t="s">
        <v>9350</v>
      </c>
      <c r="BW36" s="422" t="s">
        <v>4594</v>
      </c>
      <c r="BX36" s="589" t="s">
        <v>9351</v>
      </c>
      <c r="BY36" s="589" t="s">
        <v>9352</v>
      </c>
      <c r="BZ36" s="589" t="s">
        <v>9353</v>
      </c>
      <c r="CA36" s="422" t="s">
        <v>6331</v>
      </c>
      <c r="CB36" s="589" t="s">
        <v>9354</v>
      </c>
      <c r="CC36" s="589" t="s">
        <v>9355</v>
      </c>
      <c r="CD36" s="422" t="s">
        <v>4841</v>
      </c>
      <c r="CE36" s="849"/>
      <c r="CF36" s="851"/>
      <c r="CG36" s="593" t="s">
        <v>2180</v>
      </c>
      <c r="CH36" s="593" t="s">
        <v>2488</v>
      </c>
      <c r="CI36" s="433" t="s">
        <v>4501</v>
      </c>
      <c r="CJ36" s="433" t="s">
        <v>7487</v>
      </c>
      <c r="CK36" s="869"/>
      <c r="CL36" s="869"/>
      <c r="CM36" s="433" t="s">
        <v>459</v>
      </c>
      <c r="CN36" s="433" t="s">
        <v>5317</v>
      </c>
      <c r="CO36" s="433" t="s">
        <v>5696</v>
      </c>
      <c r="CP36" s="852"/>
      <c r="CQ36" s="433" t="s">
        <v>443</v>
      </c>
      <c r="CR36" s="852"/>
      <c r="CS36" s="852"/>
      <c r="CT36" s="852"/>
      <c r="CU36" s="106"/>
      <c r="CV36" s="458" t="s">
        <v>1526</v>
      </c>
      <c r="CW36" s="683" t="s">
        <v>5280</v>
      </c>
      <c r="CX36" s="853"/>
      <c r="CY36" s="683" t="s">
        <v>9356</v>
      </c>
      <c r="CZ36" s="683" t="s">
        <v>5334</v>
      </c>
      <c r="DA36" s="458" t="s">
        <v>9357</v>
      </c>
      <c r="DB36" s="683" t="s">
        <v>9358</v>
      </c>
      <c r="DC36" s="683" t="s">
        <v>1268</v>
      </c>
      <c r="DD36" s="853"/>
      <c r="DE36" s="458" t="s">
        <v>2238</v>
      </c>
      <c r="DF36" s="683" t="s">
        <v>9359</v>
      </c>
      <c r="DG36" s="853"/>
      <c r="DH36" s="853"/>
      <c r="DI36" s="481" t="s">
        <v>9360</v>
      </c>
      <c r="DJ36" s="855"/>
      <c r="DK36" s="685" t="s">
        <v>9361</v>
      </c>
      <c r="DL36" s="855"/>
      <c r="DM36" s="599" t="s">
        <v>516</v>
      </c>
      <c r="DN36" s="855"/>
      <c r="DO36" s="685" t="s">
        <v>786</v>
      </c>
      <c r="DP36" s="855"/>
      <c r="DQ36" s="855"/>
      <c r="DR36" s="473" t="s">
        <v>9362</v>
      </c>
      <c r="DS36" s="481" t="s">
        <v>5315</v>
      </c>
      <c r="DT36" s="481" t="s">
        <v>4872</v>
      </c>
      <c r="DU36" s="481" t="s">
        <v>9363</v>
      </c>
      <c r="DV36" s="481" t="s">
        <v>9364</v>
      </c>
      <c r="DW36" s="481" t="s">
        <v>4656</v>
      </c>
      <c r="DX36" s="855"/>
      <c r="DY36" s="855"/>
      <c r="DZ36" s="481" t="s">
        <v>4244</v>
      </c>
      <c r="EA36" s="685" t="s">
        <v>3944</v>
      </c>
      <c r="EB36" s="481" t="s">
        <v>9365</v>
      </c>
      <c r="EC36" s="481" t="s">
        <v>9366</v>
      </c>
      <c r="ED36" s="473" t="s">
        <v>5689</v>
      </c>
    </row>
    <row r="37">
      <c r="A37" s="244" t="s">
        <v>303</v>
      </c>
      <c r="B37" s="245" t="s">
        <v>9367</v>
      </c>
      <c r="C37" s="246" t="s">
        <v>271</v>
      </c>
      <c r="D37" s="247" t="s">
        <v>271</v>
      </c>
      <c r="E37" s="248" t="s">
        <v>271</v>
      </c>
      <c r="F37" s="249" t="s">
        <v>3952</v>
      </c>
      <c r="G37" s="245" t="s">
        <v>3052</v>
      </c>
      <c r="H37" s="257" t="s">
        <v>3625</v>
      </c>
      <c r="I37" s="278" t="s">
        <v>9368</v>
      </c>
      <c r="J37" s="257" t="s">
        <v>9369</v>
      </c>
      <c r="K37" s="257" t="s">
        <v>727</v>
      </c>
      <c r="L37" s="257" t="s">
        <v>9292</v>
      </c>
      <c r="M37" s="257" t="s">
        <v>6982</v>
      </c>
      <c r="N37" s="257" t="s">
        <v>9370</v>
      </c>
      <c r="O37" s="316" t="s">
        <v>8830</v>
      </c>
      <c r="P37" s="511" t="s">
        <v>1464</v>
      </c>
      <c r="Q37" s="916" t="s">
        <v>996</v>
      </c>
      <c r="R37" s="257" t="s">
        <v>1637</v>
      </c>
      <c r="S37" s="916" t="s">
        <v>4194</v>
      </c>
      <c r="T37" s="257" t="s">
        <v>9371</v>
      </c>
      <c r="U37" s="316" t="s">
        <v>9372</v>
      </c>
      <c r="V37" s="278" t="s">
        <v>9373</v>
      </c>
      <c r="W37" s="777"/>
      <c r="X37" s="278" t="s">
        <v>1787</v>
      </c>
      <c r="Y37" s="288"/>
      <c r="Z37" s="316" t="s">
        <v>5165</v>
      </c>
      <c r="AA37" s="511" t="s">
        <v>9374</v>
      </c>
      <c r="AB37" s="257" t="s">
        <v>3403</v>
      </c>
      <c r="AC37" s="257" t="s">
        <v>5327</v>
      </c>
      <c r="AD37" s="257" t="s">
        <v>6083</v>
      </c>
      <c r="AE37" s="257" t="s">
        <v>3066</v>
      </c>
      <c r="AF37" s="286" t="s">
        <v>9307</v>
      </c>
      <c r="AG37" s="257" t="s">
        <v>2749</v>
      </c>
      <c r="AH37" s="916" t="s">
        <v>9375</v>
      </c>
      <c r="AI37" s="316" t="s">
        <v>1640</v>
      </c>
      <c r="AJ37" s="916" t="s">
        <v>6429</v>
      </c>
      <c r="AK37" s="278" t="s">
        <v>9376</v>
      </c>
      <c r="AL37" s="105"/>
      <c r="AM37" s="286" t="s">
        <v>9377</v>
      </c>
      <c r="AN37" s="286" t="s">
        <v>9378</v>
      </c>
      <c r="AO37" s="316" t="s">
        <v>9379</v>
      </c>
      <c r="AP37" s="257" t="s">
        <v>8058</v>
      </c>
      <c r="AQ37" s="286" t="s">
        <v>9380</v>
      </c>
      <c r="AR37" s="286" t="s">
        <v>4578</v>
      </c>
      <c r="AS37" s="257" t="s">
        <v>9381</v>
      </c>
      <c r="AT37" s="286" t="s">
        <v>9382</v>
      </c>
      <c r="AU37" s="257" t="s">
        <v>452</v>
      </c>
      <c r="AV37" s="286" t="s">
        <v>9383</v>
      </c>
      <c r="AW37" s="916" t="s">
        <v>9384</v>
      </c>
      <c r="AX37" s="257" t="s">
        <v>1237</v>
      </c>
      <c r="AY37" s="257" t="s">
        <v>1237</v>
      </c>
      <c r="AZ37" s="286" t="s">
        <v>9385</v>
      </c>
      <c r="BA37" s="286"/>
      <c r="BB37" s="316" t="str">
        <f>HYPERLINK("https://youtu.be/ym6Xxd7Pwws","50.26")</f>
        <v>50.26</v>
      </c>
      <c r="BC37" s="257" t="s">
        <v>9386</v>
      </c>
      <c r="BD37" s="286" t="s">
        <v>4755</v>
      </c>
      <c r="BE37" s="286" t="s">
        <v>9387</v>
      </c>
      <c r="BF37" s="286" t="s">
        <v>9388</v>
      </c>
      <c r="BG37" s="257" t="s">
        <v>9389</v>
      </c>
      <c r="BH37" s="286" t="s">
        <v>9390</v>
      </c>
      <c r="BI37" s="316" t="s">
        <v>9391</v>
      </c>
      <c r="BJ37" s="320" t="s">
        <v>5318</v>
      </c>
      <c r="BK37" s="286" t="s">
        <v>9392</v>
      </c>
      <c r="BL37" s="286" t="s">
        <v>9393</v>
      </c>
      <c r="BM37" s="286" t="s">
        <v>5013</v>
      </c>
      <c r="BN37" s="257" t="s">
        <v>6184</v>
      </c>
      <c r="BO37" s="286" t="s">
        <v>6774</v>
      </c>
      <c r="BP37" s="286" t="s">
        <v>9394</v>
      </c>
      <c r="BQ37" s="324"/>
      <c r="BR37" s="316" t="s">
        <v>9395</v>
      </c>
      <c r="BS37" s="286" t="s">
        <v>471</v>
      </c>
      <c r="BT37" s="257" t="s">
        <v>9396</v>
      </c>
      <c r="BU37" s="286" t="s">
        <v>9397</v>
      </c>
      <c r="BV37" s="278" t="s">
        <v>756</v>
      </c>
      <c r="BW37" s="257" t="s">
        <v>3840</v>
      </c>
      <c r="BX37" s="316" t="s">
        <v>9398</v>
      </c>
      <c r="BY37" s="286" t="s">
        <v>9399</v>
      </c>
      <c r="BZ37" s="1630" t="str">
        <f>HYPERLINK("https://clips.twitch.tv/RamshackleBlindingCaribouPupper", "2:21.41")</f>
        <v>2:21.41</v>
      </c>
      <c r="CA37" s="278" t="s">
        <v>9400</v>
      </c>
      <c r="CB37" s="286" t="s">
        <v>3962</v>
      </c>
      <c r="CC37" s="862" t="s">
        <v>2952</v>
      </c>
      <c r="CD37" s="511" t="s">
        <v>535</v>
      </c>
      <c r="CE37" s="286" t="s">
        <v>9401</v>
      </c>
      <c r="CF37" s="324"/>
      <c r="CG37" s="257" t="s">
        <v>5973</v>
      </c>
      <c r="CH37" s="278" t="s">
        <v>9402</v>
      </c>
      <c r="CI37" s="916" t="s">
        <v>9403</v>
      </c>
      <c r="CJ37" s="916" t="s">
        <v>9404</v>
      </c>
      <c r="CK37" s="916"/>
      <c r="CL37" s="916" t="s">
        <v>8505</v>
      </c>
      <c r="CM37" s="257" t="s">
        <v>9405</v>
      </c>
      <c r="CN37" s="257" t="s">
        <v>9406</v>
      </c>
      <c r="CO37" s="257" t="s">
        <v>4609</v>
      </c>
      <c r="CP37" s="916" t="s">
        <v>5931</v>
      </c>
      <c r="CQ37" s="316" t="s">
        <v>4308</v>
      </c>
      <c r="CR37" s="257" t="s">
        <v>1662</v>
      </c>
      <c r="CS37" s="257" t="s">
        <v>9407</v>
      </c>
      <c r="CT37" s="286" t="s">
        <v>9408</v>
      </c>
      <c r="CU37" s="106"/>
      <c r="CV37" s="278" t="s">
        <v>2022</v>
      </c>
      <c r="CW37" s="286" t="s">
        <v>8505</v>
      </c>
      <c r="CX37" s="316" t="s">
        <v>5371</v>
      </c>
      <c r="CY37" s="278" t="s">
        <v>6701</v>
      </c>
      <c r="CZ37" s="278" t="s">
        <v>6787</v>
      </c>
      <c r="DA37" s="257" t="s">
        <v>3931</v>
      </c>
      <c r="DB37" s="278" t="s">
        <v>3279</v>
      </c>
      <c r="DC37" s="316" t="s">
        <v>758</v>
      </c>
      <c r="DD37" s="862" t="s">
        <v>9409</v>
      </c>
      <c r="DE37" s="881" t="s">
        <v>9410</v>
      </c>
      <c r="DF37" s="316" t="s">
        <v>9411</v>
      </c>
      <c r="DG37" s="316" t="str">
        <f>HYPERLINK("https://www.twitch.tv/videos/445329616","1:59.77")</f>
        <v>1:59.77</v>
      </c>
      <c r="DH37" s="288"/>
      <c r="DI37" s="286" t="s">
        <v>574</v>
      </c>
      <c r="DJ37" s="257" t="s">
        <v>5854</v>
      </c>
      <c r="DK37" s="286" t="s">
        <v>5502</v>
      </c>
      <c r="DL37" s="257" t="s">
        <v>9412</v>
      </c>
      <c r="DM37" s="257" t="s">
        <v>409</v>
      </c>
      <c r="DN37" s="511" t="s">
        <v>4749</v>
      </c>
      <c r="DO37" s="511" t="s">
        <v>1663</v>
      </c>
      <c r="DP37" s="257" t="s">
        <v>9413</v>
      </c>
      <c r="DQ37" s="257" t="s">
        <v>4518</v>
      </c>
      <c r="DR37" s="286" t="s">
        <v>478</v>
      </c>
      <c r="DS37" s="257" t="s">
        <v>9414</v>
      </c>
      <c r="DT37" s="257" t="s">
        <v>2778</v>
      </c>
      <c r="DU37" s="257" t="s">
        <v>9415</v>
      </c>
      <c r="DV37" s="257" t="s">
        <v>9416</v>
      </c>
      <c r="DW37" s="257" t="s">
        <v>5683</v>
      </c>
      <c r="DX37" s="257" t="s">
        <v>489</v>
      </c>
      <c r="DY37" s="257" t="s">
        <v>1356</v>
      </c>
      <c r="DZ37" s="257" t="s">
        <v>2037</v>
      </c>
      <c r="EA37" s="257" t="s">
        <v>9417</v>
      </c>
      <c r="EB37" s="257" t="s">
        <v>554</v>
      </c>
      <c r="EC37" s="257" t="s">
        <v>1774</v>
      </c>
      <c r="ED37" s="316" t="s">
        <v>9418</v>
      </c>
    </row>
    <row r="38">
      <c r="A38" s="1631" t="s">
        <v>731</v>
      </c>
      <c r="B38" s="378" t="s">
        <v>9419</v>
      </c>
      <c r="C38" s="379" t="s">
        <v>274</v>
      </c>
      <c r="D38" s="380" t="s">
        <v>233</v>
      </c>
      <c r="E38" s="381" t="s">
        <v>271</v>
      </c>
      <c r="F38" s="382" t="s">
        <v>4037</v>
      </c>
      <c r="G38" s="378" t="s">
        <v>4320</v>
      </c>
      <c r="H38" s="390" t="s">
        <v>221</v>
      </c>
      <c r="I38" s="387" t="s">
        <v>258</v>
      </c>
      <c r="J38" s="390" t="s">
        <v>623</v>
      </c>
      <c r="K38" s="387" t="s">
        <v>710</v>
      </c>
      <c r="L38" s="390" t="s">
        <v>5055</v>
      </c>
      <c r="M38" s="387" t="s">
        <v>9420</v>
      </c>
      <c r="N38" s="390" t="s">
        <v>1040</v>
      </c>
      <c r="O38" s="390" t="s">
        <v>9421</v>
      </c>
      <c r="P38" s="390" t="s">
        <v>1425</v>
      </c>
      <c r="Q38" s="387" t="str">
        <f>HYPERLINK("https://twitter.com/Qbe_Root/status/1254604046691860480","1:09.56")</f>
        <v>1:09.56</v>
      </c>
      <c r="R38" s="541"/>
      <c r="S38" s="390" t="s">
        <v>9422</v>
      </c>
      <c r="T38" s="835"/>
      <c r="U38" s="390" t="s">
        <v>1224</v>
      </c>
      <c r="V38" s="541" t="s">
        <v>9423</v>
      </c>
      <c r="W38" s="394"/>
      <c r="X38" s="395" t="s">
        <v>9424</v>
      </c>
      <c r="Y38" s="397"/>
      <c r="Z38" s="395" t="s">
        <v>4818</v>
      </c>
      <c r="AA38" s="399" t="s">
        <v>5696</v>
      </c>
      <c r="AB38" s="399" t="s">
        <v>9425</v>
      </c>
      <c r="AC38" s="399" t="s">
        <v>549</v>
      </c>
      <c r="AD38" s="399" t="s">
        <v>7045</v>
      </c>
      <c r="AE38" s="1632" t="s">
        <v>9426</v>
      </c>
      <c r="AF38" s="395" t="s">
        <v>1085</v>
      </c>
      <c r="AG38" s="399" t="s">
        <v>9427</v>
      </c>
      <c r="AH38" s="395" t="s">
        <v>9428</v>
      </c>
      <c r="AI38" s="402"/>
      <c r="AJ38" s="1133" t="s">
        <v>1654</v>
      </c>
      <c r="AK38" s="837"/>
      <c r="AL38" s="105"/>
      <c r="AM38" s="573" t="s">
        <v>9429</v>
      </c>
      <c r="AN38" s="406" t="s">
        <v>3090</v>
      </c>
      <c r="AO38" s="570" t="s">
        <v>9430</v>
      </c>
      <c r="AP38" s="570" t="s">
        <v>976</v>
      </c>
      <c r="AQ38" s="570" t="s">
        <v>9431</v>
      </c>
      <c r="AR38" s="570"/>
      <c r="AS38" s="406" t="str">
        <f>HYPERLINK("https://twitter.com/Qbe_Root/status/1252284526044368897","8.94")</f>
        <v>8.94</v>
      </c>
      <c r="AT38" s="570" t="s">
        <v>9432</v>
      </c>
      <c r="AU38" s="570" t="s">
        <v>3833</v>
      </c>
      <c r="AV38" s="406" t="s">
        <v>2482</v>
      </c>
      <c r="AW38" s="407" t="s">
        <v>1434</v>
      </c>
      <c r="AX38" s="839"/>
      <c r="AY38" s="407" t="s">
        <v>4171</v>
      </c>
      <c r="AZ38" s="839"/>
      <c r="BA38" s="839"/>
      <c r="BB38" s="417" t="s">
        <v>4094</v>
      </c>
      <c r="BC38" s="417" t="s">
        <v>9433</v>
      </c>
      <c r="BD38" s="417" t="s">
        <v>1408</v>
      </c>
      <c r="BE38" s="417" t="s">
        <v>9434</v>
      </c>
      <c r="BF38" s="417" t="s">
        <v>1893</v>
      </c>
      <c r="BG38" s="417" t="s">
        <v>9435</v>
      </c>
      <c r="BH38" s="581" t="s">
        <v>3176</v>
      </c>
      <c r="BI38" s="417" t="s">
        <v>985</v>
      </c>
      <c r="BJ38" s="843" t="s">
        <v>9436</v>
      </c>
      <c r="BK38" s="1633"/>
      <c r="BL38" s="417" t="s">
        <v>4451</v>
      </c>
      <c r="BM38" s="417" t="s">
        <v>6089</v>
      </c>
      <c r="BN38" s="581" t="s">
        <v>9437</v>
      </c>
      <c r="BO38" s="417" t="s">
        <v>3554</v>
      </c>
      <c r="BP38" s="581" t="s">
        <v>7851</v>
      </c>
      <c r="BQ38" s="581"/>
      <c r="BR38" s="421" t="s">
        <v>5872</v>
      </c>
      <c r="BS38" s="421" t="s">
        <v>2735</v>
      </c>
      <c r="BT38" s="422" t="s">
        <v>9438</v>
      </c>
      <c r="BU38" s="421" t="s">
        <v>4631</v>
      </c>
      <c r="BV38" s="421" t="s">
        <v>201</v>
      </c>
      <c r="BW38" s="421" t="s">
        <v>2138</v>
      </c>
      <c r="BX38" s="847" t="s">
        <v>9439</v>
      </c>
      <c r="BY38" s="421" t="s">
        <v>9440</v>
      </c>
      <c r="BZ38" s="849"/>
      <c r="CA38" s="421" t="str">
        <f>HYPERLINK("https://twitter.com/Qbe_Root/status/1242199278610788353","23.10")</f>
        <v>23.10</v>
      </c>
      <c r="CB38" s="1024" t="s">
        <v>9441</v>
      </c>
      <c r="CC38" s="422" t="s">
        <v>994</v>
      </c>
      <c r="CD38" s="422" t="s">
        <v>9442</v>
      </c>
      <c r="CE38" s="849"/>
      <c r="CF38" s="851"/>
      <c r="CG38" s="433" t="s">
        <v>3663</v>
      </c>
      <c r="CH38" s="433" t="s">
        <v>6238</v>
      </c>
      <c r="CI38" s="593" t="s">
        <v>9443</v>
      </c>
      <c r="CJ38" s="433" t="s">
        <v>9444</v>
      </c>
      <c r="CK38" s="434"/>
      <c r="CL38" s="433" t="s">
        <v>744</v>
      </c>
      <c r="CM38" s="433" t="s">
        <v>3248</v>
      </c>
      <c r="CN38" s="433" t="s">
        <v>456</v>
      </c>
      <c r="CO38" s="433" t="s">
        <v>7836</v>
      </c>
      <c r="CP38" s="789" t="s">
        <v>9445</v>
      </c>
      <c r="CQ38" s="593" t="s">
        <v>9446</v>
      </c>
      <c r="CR38" s="593"/>
      <c r="CS38" s="433" t="s">
        <v>2766</v>
      </c>
      <c r="CT38" s="852"/>
      <c r="CU38" s="106"/>
      <c r="CV38" s="458" t="s">
        <v>4394</v>
      </c>
      <c r="CW38" s="444" t="s">
        <v>710</v>
      </c>
      <c r="CX38" s="444" t="s">
        <v>438</v>
      </c>
      <c r="CY38" s="458" t="s">
        <v>1448</v>
      </c>
      <c r="CZ38" s="458" t="s">
        <v>5914</v>
      </c>
      <c r="DA38" s="458" t="s">
        <v>4978</v>
      </c>
      <c r="DB38" s="444" t="s">
        <v>9447</v>
      </c>
      <c r="DC38" s="683" t="s">
        <v>7361</v>
      </c>
      <c r="DD38" s="1634" t="str">
        <f>HYPERLINK("https://twitter.com/Qbe_Root/status/1400138849058275330", "1:53.21")</f>
        <v>1:53.21</v>
      </c>
      <c r="DE38" s="458" t="s">
        <v>1597</v>
      </c>
      <c r="DF38" s="458" t="s">
        <v>7406</v>
      </c>
      <c r="DG38" s="683" t="s">
        <v>2975</v>
      </c>
      <c r="DH38" s="683"/>
      <c r="DI38" s="473" t="s">
        <v>4639</v>
      </c>
      <c r="DJ38" s="599" t="s">
        <v>7990</v>
      </c>
      <c r="DK38" s="855"/>
      <c r="DL38" s="481" t="s">
        <v>6030</v>
      </c>
      <c r="DM38" s="473" t="s">
        <v>9448</v>
      </c>
      <c r="DN38" s="685" t="s">
        <v>1421</v>
      </c>
      <c r="DO38" s="855"/>
      <c r="DP38" s="855"/>
      <c r="DQ38" s="855"/>
      <c r="DR38" s="481" t="s">
        <v>6534</v>
      </c>
      <c r="DS38" s="1039" t="s">
        <v>5682</v>
      </c>
      <c r="DT38" s="1635" t="str">
        <f>HYPERLINK("https://twitter.com/Qbe_Root/status/1241798344797798402","11.27")</f>
        <v>11.27</v>
      </c>
      <c r="DU38" s="685" t="s">
        <v>9449</v>
      </c>
      <c r="DV38" s="481" t="s">
        <v>9450</v>
      </c>
      <c r="DW38" s="855"/>
      <c r="DX38" s="481" t="s">
        <v>1032</v>
      </c>
      <c r="DY38" s="685" t="s">
        <v>7670</v>
      </c>
      <c r="DZ38" s="481" t="s">
        <v>8354</v>
      </c>
      <c r="EA38" s="481" t="s">
        <v>9451</v>
      </c>
      <c r="EB38" s="685" t="s">
        <v>1157</v>
      </c>
      <c r="EC38" s="685" t="s">
        <v>4294</v>
      </c>
      <c r="ED38" s="1039" t="s">
        <v>9452</v>
      </c>
    </row>
    <row r="39">
      <c r="A39" s="1636" t="s">
        <v>52</v>
      </c>
      <c r="B39" s="1637" t="s">
        <v>9453</v>
      </c>
      <c r="C39" s="246" t="s">
        <v>271</v>
      </c>
      <c r="D39" s="247" t="s">
        <v>271</v>
      </c>
      <c r="E39" s="248" t="s">
        <v>271</v>
      </c>
      <c r="F39" s="249" t="s">
        <v>9454</v>
      </c>
      <c r="G39" s="245" t="s">
        <v>9454</v>
      </c>
      <c r="H39" s="1638" t="s">
        <v>411</v>
      </c>
      <c r="I39" s="1638" t="s">
        <v>6532</v>
      </c>
      <c r="J39" s="1638" t="s">
        <v>601</v>
      </c>
      <c r="K39" s="1638" t="s">
        <v>9455</v>
      </c>
      <c r="L39" s="1638" t="s">
        <v>1074</v>
      </c>
      <c r="M39" s="1638" t="s">
        <v>9456</v>
      </c>
      <c r="N39" s="1638" t="s">
        <v>9457</v>
      </c>
      <c r="O39" s="1638" t="s">
        <v>1194</v>
      </c>
      <c r="P39" s="1638" t="s">
        <v>1140</v>
      </c>
      <c r="Q39" s="1638" t="s">
        <v>1029</v>
      </c>
      <c r="R39" s="1639"/>
      <c r="S39" s="1638" t="s">
        <v>9458</v>
      </c>
      <c r="T39" s="1639"/>
      <c r="U39" s="1639"/>
      <c r="V39" s="1638" t="s">
        <v>9459</v>
      </c>
      <c r="W39" s="620"/>
      <c r="X39" s="1638" t="s">
        <v>1468</v>
      </c>
      <c r="Y39" s="1638" t="s">
        <v>3683</v>
      </c>
      <c r="Z39" s="1638" t="s">
        <v>9460</v>
      </c>
      <c r="AA39" s="1638" t="s">
        <v>402</v>
      </c>
      <c r="AB39" s="1638" t="s">
        <v>6409</v>
      </c>
      <c r="AC39" s="1638" t="s">
        <v>5317</v>
      </c>
      <c r="AD39" s="1638" t="s">
        <v>9461</v>
      </c>
      <c r="AE39" s="257" t="s">
        <v>5294</v>
      </c>
      <c r="AF39" s="1638" t="s">
        <v>7864</v>
      </c>
      <c r="AG39" s="1640" t="s">
        <v>2285</v>
      </c>
      <c r="AH39" s="1639"/>
      <c r="AI39" s="1639"/>
      <c r="AJ39" s="257" t="s">
        <v>3456</v>
      </c>
      <c r="AK39" s="257" t="s">
        <v>9462</v>
      </c>
      <c r="AL39" s="627"/>
      <c r="AM39" s="257" t="s">
        <v>9463</v>
      </c>
      <c r="AN39" s="257" t="s">
        <v>7548</v>
      </c>
      <c r="AO39" s="257" t="s">
        <v>7484</v>
      </c>
      <c r="AP39" s="257" t="s">
        <v>9464</v>
      </c>
      <c r="AQ39" s="257" t="s">
        <v>9465</v>
      </c>
      <c r="AR39" s="257" t="s">
        <v>9466</v>
      </c>
      <c r="AS39" s="257" t="s">
        <v>4458</v>
      </c>
      <c r="AT39" s="257" t="s">
        <v>9467</v>
      </c>
      <c r="AU39" s="1638" t="s">
        <v>9468</v>
      </c>
      <c r="AV39" s="1638" t="s">
        <v>4755</v>
      </c>
      <c r="AW39" s="1640" t="s">
        <v>1228</v>
      </c>
      <c r="AX39" s="1639"/>
      <c r="AY39" s="1639"/>
      <c r="AZ39" s="257" t="s">
        <v>9469</v>
      </c>
      <c r="BA39" s="637"/>
      <c r="BB39" s="1638" t="s">
        <v>9470</v>
      </c>
      <c r="BC39" s="1638" t="s">
        <v>535</v>
      </c>
      <c r="BD39" s="1638" t="s">
        <v>9471</v>
      </c>
      <c r="BE39" s="1638" t="s">
        <v>846</v>
      </c>
      <c r="BF39" s="1638" t="s">
        <v>8835</v>
      </c>
      <c r="BG39" s="1639"/>
      <c r="BH39" s="1639"/>
      <c r="BI39" s="1638" t="s">
        <v>1463</v>
      </c>
      <c r="BJ39" s="1639"/>
      <c r="BK39" s="1638" t="s">
        <v>9472</v>
      </c>
      <c r="BL39" s="1640" t="s">
        <v>2770</v>
      </c>
      <c r="BM39" s="257" t="s">
        <v>2390</v>
      </c>
      <c r="BN39" s="1638" t="s">
        <v>1237</v>
      </c>
      <c r="BO39" s="257" t="s">
        <v>4515</v>
      </c>
      <c r="BP39" s="257" t="s">
        <v>9473</v>
      </c>
      <c r="BQ39" s="641"/>
      <c r="BR39" s="1638" t="s">
        <v>9474</v>
      </c>
      <c r="BS39" s="1638" t="s">
        <v>459</v>
      </c>
      <c r="BT39" s="1638" t="s">
        <v>9475</v>
      </c>
      <c r="BU39" s="1638" t="s">
        <v>2156</v>
      </c>
      <c r="BV39" s="1638" t="s">
        <v>9476</v>
      </c>
      <c r="BW39" s="1638" t="s">
        <v>5466</v>
      </c>
      <c r="BX39" s="1638" t="s">
        <v>1131</v>
      </c>
      <c r="BY39" s="637"/>
      <c r="BZ39" s="1638" t="s">
        <v>9477</v>
      </c>
      <c r="CA39" s="1638" t="s">
        <v>4518</v>
      </c>
      <c r="CB39" s="257" t="s">
        <v>9478</v>
      </c>
      <c r="CC39" s="257" t="s">
        <v>3860</v>
      </c>
      <c r="CD39" s="257" t="s">
        <v>468</v>
      </c>
      <c r="CE39" s="257" t="s">
        <v>9479</v>
      </c>
      <c r="CF39" s="641"/>
      <c r="CG39" s="1638" t="s">
        <v>9480</v>
      </c>
      <c r="CH39" s="1638" t="s">
        <v>1378</v>
      </c>
      <c r="CI39" s="1638" t="s">
        <v>4578</v>
      </c>
      <c r="CJ39" s="1638" t="s">
        <v>7893</v>
      </c>
      <c r="CK39" s="1638" t="s">
        <v>9481</v>
      </c>
      <c r="CL39" s="1638" t="s">
        <v>9482</v>
      </c>
      <c r="CM39" s="1638" t="s">
        <v>3360</v>
      </c>
      <c r="CN39" s="1638" t="s">
        <v>2110</v>
      </c>
      <c r="CO39" s="1638" t="s">
        <v>4446</v>
      </c>
      <c r="CP39" s="1639"/>
      <c r="CQ39" s="1639"/>
      <c r="CR39" s="1639"/>
      <c r="CS39" s="257" t="s">
        <v>9483</v>
      </c>
      <c r="CT39" s="257" t="s">
        <v>9484</v>
      </c>
      <c r="CU39" s="620"/>
      <c r="CV39" s="1638" t="s">
        <v>2502</v>
      </c>
      <c r="CW39" s="1638" t="s">
        <v>8871</v>
      </c>
      <c r="CX39" s="1638" t="s">
        <v>4309</v>
      </c>
      <c r="CY39" s="1638" t="s">
        <v>3564</v>
      </c>
      <c r="CZ39" s="1638" t="s">
        <v>4209</v>
      </c>
      <c r="DA39" s="1638" t="s">
        <v>9485</v>
      </c>
      <c r="DB39" s="1638" t="s">
        <v>9486</v>
      </c>
      <c r="DC39" s="1638" t="s">
        <v>7363</v>
      </c>
      <c r="DD39" s="257" t="s">
        <v>2074</v>
      </c>
      <c r="DE39" s="257" t="s">
        <v>6399</v>
      </c>
      <c r="DF39" s="1641"/>
      <c r="DG39" s="257" t="s">
        <v>5167</v>
      </c>
      <c r="DH39" s="637"/>
      <c r="DI39" s="1638" t="s">
        <v>1568</v>
      </c>
      <c r="DJ39" s="1639"/>
      <c r="DK39" s="1639"/>
      <c r="DL39" s="1639"/>
      <c r="DM39" s="1640" t="s">
        <v>1768</v>
      </c>
      <c r="DN39" s="257" t="s">
        <v>9487</v>
      </c>
      <c r="DO39" s="257" t="s">
        <v>4822</v>
      </c>
      <c r="DP39" s="1639"/>
      <c r="DQ39" s="1639"/>
      <c r="DR39" s="1638" t="s">
        <v>9488</v>
      </c>
      <c r="DS39" s="257" t="s">
        <v>9489</v>
      </c>
      <c r="DT39" s="257" t="s">
        <v>9490</v>
      </c>
      <c r="DU39" s="257" t="s">
        <v>3007</v>
      </c>
      <c r="DV39" s="257" t="s">
        <v>9491</v>
      </c>
      <c r="DW39" s="257" t="s">
        <v>5361</v>
      </c>
      <c r="DX39" s="1639"/>
      <c r="DY39" s="1639"/>
      <c r="DZ39" s="1639"/>
      <c r="EA39" s="1638" t="s">
        <v>4934</v>
      </c>
      <c r="EB39" s="257" t="s">
        <v>9365</v>
      </c>
      <c r="EC39" s="257" t="s">
        <v>4174</v>
      </c>
      <c r="ED39" s="257" t="s">
        <v>322</v>
      </c>
    </row>
    <row r="40">
      <c r="A40" s="1642" t="s">
        <v>5666</v>
      </c>
      <c r="B40" s="1643" t="s">
        <v>9492</v>
      </c>
      <c r="C40" s="379" t="s">
        <v>271</v>
      </c>
      <c r="D40" s="380" t="s">
        <v>271</v>
      </c>
      <c r="E40" s="381" t="s">
        <v>271</v>
      </c>
      <c r="F40" s="382" t="s">
        <v>207</v>
      </c>
      <c r="G40" s="378" t="s">
        <v>3258</v>
      </c>
      <c r="H40" s="1644"/>
      <c r="I40" s="1644" t="s">
        <v>4430</v>
      </c>
      <c r="J40" s="1645" t="s">
        <v>9493</v>
      </c>
      <c r="K40" s="1644" t="s">
        <v>750</v>
      </c>
      <c r="L40" s="1645" t="s">
        <v>889</v>
      </c>
      <c r="M40" s="1645" t="s">
        <v>9494</v>
      </c>
      <c r="N40" s="1645" t="s">
        <v>9495</v>
      </c>
      <c r="O40" s="1645" t="s">
        <v>9496</v>
      </c>
      <c r="P40" s="1644" t="s">
        <v>1140</v>
      </c>
      <c r="Q40" s="1644"/>
      <c r="R40" s="1646"/>
      <c r="S40" s="1644"/>
      <c r="T40" s="1646"/>
      <c r="U40" s="1646"/>
      <c r="V40" s="1644"/>
      <c r="W40" s="620"/>
      <c r="X40" s="1647" t="s">
        <v>5967</v>
      </c>
      <c r="Y40" s="1648"/>
      <c r="Z40" s="1648" t="s">
        <v>1436</v>
      </c>
      <c r="AA40" s="1647" t="s">
        <v>9497</v>
      </c>
      <c r="AB40" s="1647" t="s">
        <v>2527</v>
      </c>
      <c r="AC40" s="1647" t="s">
        <v>4508</v>
      </c>
      <c r="AD40" s="1647" t="s">
        <v>9480</v>
      </c>
      <c r="AE40" s="908"/>
      <c r="AF40" s="1647" t="s">
        <v>442</v>
      </c>
      <c r="AG40" s="1649" t="s">
        <v>402</v>
      </c>
      <c r="AH40" s="1650"/>
      <c r="AI40" s="1650"/>
      <c r="AJ40" s="908"/>
      <c r="AK40" s="908"/>
      <c r="AL40" s="627"/>
      <c r="AM40" s="573"/>
      <c r="AN40" s="573"/>
      <c r="AO40" s="573"/>
      <c r="AP40" s="573"/>
      <c r="AQ40" s="573"/>
      <c r="AR40" s="573"/>
      <c r="AS40" s="573"/>
      <c r="AT40" s="573"/>
      <c r="AU40" s="1651" t="s">
        <v>1896</v>
      </c>
      <c r="AV40" s="1651" t="s">
        <v>857</v>
      </c>
      <c r="AW40" s="1652"/>
      <c r="AX40" s="1653"/>
      <c r="AY40" s="1653"/>
      <c r="AZ40" s="573"/>
      <c r="BA40" s="1654"/>
      <c r="BB40" s="1655" t="s">
        <v>9498</v>
      </c>
      <c r="BC40" s="1655" t="s">
        <v>9499</v>
      </c>
      <c r="BD40" s="1655" t="s">
        <v>469</v>
      </c>
      <c r="BE40" s="1655" t="s">
        <v>9500</v>
      </c>
      <c r="BF40" s="1655" t="s">
        <v>2561</v>
      </c>
      <c r="BG40" s="1656"/>
      <c r="BH40" s="1656"/>
      <c r="BI40" s="1655" t="s">
        <v>5688</v>
      </c>
      <c r="BJ40" s="1656" t="s">
        <v>701</v>
      </c>
      <c r="BK40" s="1657"/>
      <c r="BL40" s="1658" t="s">
        <v>9501</v>
      </c>
      <c r="BM40" s="1289"/>
      <c r="BN40" s="1657"/>
      <c r="BO40" s="1289"/>
      <c r="BP40" s="1289"/>
      <c r="BQ40" s="1659"/>
      <c r="BR40" s="1660" t="s">
        <v>5781</v>
      </c>
      <c r="BS40" s="1660" t="s">
        <v>9502</v>
      </c>
      <c r="BT40" s="1661" t="s">
        <v>9503</v>
      </c>
      <c r="BU40" s="1660" t="s">
        <v>1032</v>
      </c>
      <c r="BV40" s="1662" t="s">
        <v>2782</v>
      </c>
      <c r="BW40" s="1662" t="s">
        <v>799</v>
      </c>
      <c r="BX40" s="1660" t="s">
        <v>9504</v>
      </c>
      <c r="BY40" s="1663" t="s">
        <v>9505</v>
      </c>
      <c r="BZ40" s="1661"/>
      <c r="CA40" s="1662" t="s">
        <v>765</v>
      </c>
      <c r="CB40" s="590"/>
      <c r="CC40" s="590"/>
      <c r="CD40" s="590"/>
      <c r="CE40" s="590"/>
      <c r="CF40" s="1664"/>
      <c r="CG40" s="1665" t="s">
        <v>9506</v>
      </c>
      <c r="CH40" s="1666" t="s">
        <v>1402</v>
      </c>
      <c r="CI40" s="1665" t="s">
        <v>4189</v>
      </c>
      <c r="CJ40" s="1665" t="s">
        <v>9507</v>
      </c>
      <c r="CK40" s="1666"/>
      <c r="CL40" s="1666"/>
      <c r="CM40" s="1665" t="s">
        <v>1451</v>
      </c>
      <c r="CN40" s="1665" t="s">
        <v>1805</v>
      </c>
      <c r="CO40" s="1667" t="s">
        <v>9508</v>
      </c>
      <c r="CP40" s="1668"/>
      <c r="CQ40" s="1668"/>
      <c r="CR40" s="1668"/>
      <c r="CS40" s="1669"/>
      <c r="CT40" s="869"/>
      <c r="CU40" s="620"/>
      <c r="CV40" s="1670" t="s">
        <v>885</v>
      </c>
      <c r="CW40" s="1671"/>
      <c r="CX40" s="1670" t="s">
        <v>329</v>
      </c>
      <c r="CY40" s="1670" t="s">
        <v>2527</v>
      </c>
      <c r="CZ40" s="1670" t="s">
        <v>406</v>
      </c>
      <c r="DA40" s="1671" t="s">
        <v>4716</v>
      </c>
      <c r="DB40" s="1670" t="s">
        <v>7262</v>
      </c>
      <c r="DC40" s="1671" t="s">
        <v>2983</v>
      </c>
      <c r="DD40" s="793"/>
      <c r="DE40" s="793"/>
      <c r="DF40" s="1672"/>
      <c r="DG40" s="793"/>
      <c r="DH40" s="1673"/>
      <c r="DI40" s="1674" t="s">
        <v>3983</v>
      </c>
      <c r="DJ40" s="1675"/>
      <c r="DK40" s="1675"/>
      <c r="DL40" s="1675"/>
      <c r="DM40" s="1676"/>
      <c r="DN40" s="1677"/>
      <c r="DO40" s="1677"/>
      <c r="DP40" s="1675"/>
      <c r="DQ40" s="1675"/>
      <c r="DR40" s="1678" t="s">
        <v>9509</v>
      </c>
      <c r="DS40" s="1677" t="s">
        <v>9510</v>
      </c>
      <c r="DT40" s="1677"/>
      <c r="DU40" s="1677"/>
      <c r="DV40" s="1612"/>
      <c r="DW40" s="1612"/>
      <c r="DX40" s="1675"/>
      <c r="DY40" s="1675"/>
      <c r="DZ40" s="1675"/>
      <c r="EA40" s="1679"/>
      <c r="EB40" s="1677"/>
      <c r="EC40" s="1677"/>
      <c r="ED40" s="1677"/>
    </row>
    <row r="41">
      <c r="A41" s="244" t="s">
        <v>5920</v>
      </c>
      <c r="B41" s="245" t="s">
        <v>9511</v>
      </c>
      <c r="C41" s="246" t="s">
        <v>271</v>
      </c>
      <c r="D41" s="247" t="s">
        <v>271</v>
      </c>
      <c r="E41" s="248" t="s">
        <v>271</v>
      </c>
      <c r="F41" s="249" t="s">
        <v>4181</v>
      </c>
      <c r="G41" s="245" t="s">
        <v>9512</v>
      </c>
      <c r="H41" s="286" t="s">
        <v>1058</v>
      </c>
      <c r="I41" s="257" t="s">
        <v>6463</v>
      </c>
      <c r="J41" s="286" t="s">
        <v>365</v>
      </c>
      <c r="K41" s="286" t="s">
        <v>714</v>
      </c>
      <c r="L41" s="286" t="s">
        <v>2436</v>
      </c>
      <c r="M41" s="257" t="s">
        <v>9513</v>
      </c>
      <c r="N41" s="286" t="s">
        <v>9514</v>
      </c>
      <c r="O41" s="286" t="s">
        <v>9515</v>
      </c>
      <c r="P41" s="257" t="s">
        <v>422</v>
      </c>
      <c r="Q41" s="320"/>
      <c r="R41" s="320"/>
      <c r="S41" s="320"/>
      <c r="T41" s="320"/>
      <c r="U41" s="320"/>
      <c r="V41" s="320"/>
      <c r="W41" s="106"/>
      <c r="X41" s="286" t="s">
        <v>9516</v>
      </c>
      <c r="Y41" s="286"/>
      <c r="Z41" s="286" t="s">
        <v>9338</v>
      </c>
      <c r="AA41" s="257" t="s">
        <v>3152</v>
      </c>
      <c r="AB41" s="286" t="s">
        <v>698</v>
      </c>
      <c r="AC41" s="286" t="s">
        <v>9311</v>
      </c>
      <c r="AD41" s="257" t="s">
        <v>2877</v>
      </c>
      <c r="AE41" s="286" t="s">
        <v>9517</v>
      </c>
      <c r="AF41" s="286" t="s">
        <v>3060</v>
      </c>
      <c r="AG41" s="286" t="s">
        <v>1908</v>
      </c>
      <c r="AH41" s="286" t="s">
        <v>9518</v>
      </c>
      <c r="AI41" s="320"/>
      <c r="AJ41" s="286" t="s">
        <v>9519</v>
      </c>
      <c r="AK41" s="286" t="s">
        <v>9520</v>
      </c>
      <c r="AL41" s="105"/>
      <c r="AM41" s="320"/>
      <c r="AN41" s="320"/>
      <c r="AO41" s="320"/>
      <c r="AP41" s="320"/>
      <c r="AQ41" s="320"/>
      <c r="AR41" s="320"/>
      <c r="AS41" s="320"/>
      <c r="AT41" s="320"/>
      <c r="AU41" s="286" t="s">
        <v>460</v>
      </c>
      <c r="AV41" s="286" t="s">
        <v>9521</v>
      </c>
      <c r="AW41" s="320"/>
      <c r="AX41" s="320"/>
      <c r="AY41" s="320"/>
      <c r="AZ41" s="320"/>
      <c r="BA41" s="320"/>
      <c r="BB41" s="257" t="s">
        <v>743</v>
      </c>
      <c r="BC41" s="286" t="s">
        <v>9499</v>
      </c>
      <c r="BD41" s="286" t="s">
        <v>9176</v>
      </c>
      <c r="BE41" s="286" t="s">
        <v>9522</v>
      </c>
      <c r="BF41" s="257" t="s">
        <v>2561</v>
      </c>
      <c r="BG41" s="320"/>
      <c r="BH41" s="320"/>
      <c r="BI41" s="286" t="s">
        <v>2235</v>
      </c>
      <c r="BJ41" s="257" t="s">
        <v>476</v>
      </c>
      <c r="BK41" s="286" t="s">
        <v>2264</v>
      </c>
      <c r="BL41" s="286" t="s">
        <v>4867</v>
      </c>
      <c r="BM41" s="320"/>
      <c r="BN41" s="320"/>
      <c r="BO41" s="320"/>
      <c r="BP41" s="320"/>
      <c r="BQ41" s="824"/>
      <c r="BR41" s="257" t="s">
        <v>3023</v>
      </c>
      <c r="BS41" s="286" t="s">
        <v>5206</v>
      </c>
      <c r="BT41" s="286" t="s">
        <v>9523</v>
      </c>
      <c r="BU41" s="286" t="s">
        <v>1727</v>
      </c>
      <c r="BV41" s="286" t="s">
        <v>1541</v>
      </c>
      <c r="BW41" s="257" t="s">
        <v>4378</v>
      </c>
      <c r="BX41" s="257" t="s">
        <v>9524</v>
      </c>
      <c r="BY41" s="286" t="s">
        <v>9525</v>
      </c>
      <c r="BZ41" s="320"/>
      <c r="CA41" s="286" t="s">
        <v>9526</v>
      </c>
      <c r="CB41" s="320"/>
      <c r="CC41" s="320"/>
      <c r="CD41" s="320"/>
      <c r="CE41" s="320"/>
      <c r="CF41" s="824"/>
      <c r="CG41" s="286" t="s">
        <v>9388</v>
      </c>
      <c r="CH41" s="286" t="s">
        <v>9527</v>
      </c>
      <c r="CI41" s="286" t="s">
        <v>9528</v>
      </c>
      <c r="CJ41" s="257" t="s">
        <v>6167</v>
      </c>
      <c r="CK41" s="351"/>
      <c r="CL41" s="351" t="s">
        <v>7722</v>
      </c>
      <c r="CM41" s="286" t="s">
        <v>3927</v>
      </c>
      <c r="CN41" s="286" t="s">
        <v>413</v>
      </c>
      <c r="CO41" s="286" t="s">
        <v>4609</v>
      </c>
      <c r="CP41" s="320"/>
      <c r="CQ41" s="320"/>
      <c r="CR41" s="320"/>
      <c r="CS41" s="320"/>
      <c r="CT41" s="320"/>
      <c r="CU41" s="106"/>
      <c r="CV41" s="257" t="s">
        <v>522</v>
      </c>
      <c r="CW41" s="286" t="s">
        <v>5158</v>
      </c>
      <c r="CX41" s="286" t="s">
        <v>656</v>
      </c>
      <c r="CY41" s="286" t="s">
        <v>6222</v>
      </c>
      <c r="CZ41" s="286" t="s">
        <v>1723</v>
      </c>
      <c r="DA41" s="286" t="s">
        <v>8397</v>
      </c>
      <c r="DB41" s="257" t="s">
        <v>9529</v>
      </c>
      <c r="DC41" s="286" t="s">
        <v>685</v>
      </c>
      <c r="DD41" s="320"/>
      <c r="DE41" s="320"/>
      <c r="DF41" s="320"/>
      <c r="DG41" s="320"/>
      <c r="DH41" s="320"/>
      <c r="DI41" s="286" t="s">
        <v>3633</v>
      </c>
      <c r="DJ41" s="320"/>
      <c r="DK41" s="320"/>
      <c r="DL41" s="320"/>
      <c r="DM41" s="320"/>
      <c r="DN41" s="320"/>
      <c r="DO41" s="320"/>
      <c r="DP41" s="320"/>
      <c r="DQ41" s="320"/>
      <c r="DR41" s="257" t="s">
        <v>6266</v>
      </c>
      <c r="DS41" s="286" t="s">
        <v>443</v>
      </c>
      <c r="DT41" s="320"/>
      <c r="DU41" s="320"/>
      <c r="DV41" s="320"/>
      <c r="DW41" s="320"/>
      <c r="DX41" s="320"/>
      <c r="DY41" s="320"/>
      <c r="DZ41" s="320"/>
      <c r="EA41" s="286" t="s">
        <v>1506</v>
      </c>
      <c r="EB41" s="320"/>
      <c r="EC41" s="320"/>
      <c r="ED41" s="862"/>
    </row>
    <row r="42">
      <c r="A42" s="1680" t="s">
        <v>9530</v>
      </c>
      <c r="B42" s="378" t="s">
        <v>9531</v>
      </c>
      <c r="C42" s="379" t="s">
        <v>271</v>
      </c>
      <c r="D42" s="380" t="s">
        <v>271</v>
      </c>
      <c r="E42" s="381" t="s">
        <v>271</v>
      </c>
      <c r="F42" s="382" t="s">
        <v>4181</v>
      </c>
      <c r="G42" s="378" t="s">
        <v>3933</v>
      </c>
      <c r="H42" s="541" t="s">
        <v>9532</v>
      </c>
      <c r="I42" s="390" t="s">
        <v>9533</v>
      </c>
      <c r="J42" s="541" t="s">
        <v>9534</v>
      </c>
      <c r="K42" s="541" t="s">
        <v>755</v>
      </c>
      <c r="L42" s="390" t="s">
        <v>1568</v>
      </c>
      <c r="M42" s="541" t="s">
        <v>9535</v>
      </c>
      <c r="N42" s="541" t="s">
        <v>9536</v>
      </c>
      <c r="O42" s="390" t="s">
        <v>1101</v>
      </c>
      <c r="P42" s="541" t="s">
        <v>1472</v>
      </c>
      <c r="Q42" s="835"/>
      <c r="R42" s="835"/>
      <c r="S42" s="541" t="s">
        <v>1764</v>
      </c>
      <c r="T42" s="541" t="s">
        <v>1654</v>
      </c>
      <c r="U42" s="835"/>
      <c r="V42" s="835"/>
      <c r="W42" s="106"/>
      <c r="X42" s="669" t="s">
        <v>4429</v>
      </c>
      <c r="Y42" s="670"/>
      <c r="Z42" s="670" t="s">
        <v>9537</v>
      </c>
      <c r="AA42" s="670" t="s">
        <v>2727</v>
      </c>
      <c r="AB42" s="670" t="s">
        <v>2916</v>
      </c>
      <c r="AC42" s="670" t="s">
        <v>1548</v>
      </c>
      <c r="AD42" s="399" t="s">
        <v>1751</v>
      </c>
      <c r="AE42" s="837"/>
      <c r="AF42" s="399" t="s">
        <v>9538</v>
      </c>
      <c r="AG42" s="670" t="s">
        <v>9281</v>
      </c>
      <c r="AH42" s="670" t="s">
        <v>4081</v>
      </c>
      <c r="AI42" s="670"/>
      <c r="AJ42" s="670"/>
      <c r="AK42" s="670" t="s">
        <v>9539</v>
      </c>
      <c r="AL42" s="105"/>
      <c r="AM42" s="839"/>
      <c r="AN42" s="570" t="s">
        <v>9540</v>
      </c>
      <c r="AO42" s="839"/>
      <c r="AP42" s="570" t="s">
        <v>6015</v>
      </c>
      <c r="AQ42" s="406" t="str">
        <f>HYPERLINK("https://twitter.com/SSBReed/status/1212701917551497216?s=20","47.36")</f>
        <v>47.36</v>
      </c>
      <c r="AR42" s="406" t="s">
        <v>9541</v>
      </c>
      <c r="AS42" s="839"/>
      <c r="AT42" s="839"/>
      <c r="AU42" s="570" t="s">
        <v>9542</v>
      </c>
      <c r="AV42" s="406" t="s">
        <v>9543</v>
      </c>
      <c r="AW42" s="839"/>
      <c r="AX42" s="839"/>
      <c r="AY42" s="570" t="s">
        <v>9387</v>
      </c>
      <c r="AZ42" s="570" t="s">
        <v>9544</v>
      </c>
      <c r="BA42" s="570"/>
      <c r="BB42" s="580"/>
      <c r="BC42" s="581"/>
      <c r="BD42" s="581" t="s">
        <v>9545</v>
      </c>
      <c r="BE42" s="417" t="s">
        <v>9546</v>
      </c>
      <c r="BF42" s="581" t="s">
        <v>9547</v>
      </c>
      <c r="BG42" s="581" t="s">
        <v>9548</v>
      </c>
      <c r="BH42" s="581"/>
      <c r="BI42" s="581" t="s">
        <v>6274</v>
      </c>
      <c r="BJ42" s="580"/>
      <c r="BK42" s="417" t="s">
        <v>9549</v>
      </c>
      <c r="BL42" s="581" t="s">
        <v>3380</v>
      </c>
      <c r="BM42" s="581" t="s">
        <v>6795</v>
      </c>
      <c r="BN42" s="581" t="s">
        <v>9550</v>
      </c>
      <c r="BO42" s="581" t="s">
        <v>9551</v>
      </c>
      <c r="BP42" s="581" t="s">
        <v>9552</v>
      </c>
      <c r="BQ42" s="1145"/>
      <c r="BR42" s="589" t="s">
        <v>9553</v>
      </c>
      <c r="BS42" s="589" t="s">
        <v>5206</v>
      </c>
      <c r="BT42" s="589" t="s">
        <v>9554</v>
      </c>
      <c r="BU42" s="422" t="s">
        <v>491</v>
      </c>
      <c r="BV42" s="849"/>
      <c r="BW42" s="589" t="s">
        <v>9555</v>
      </c>
      <c r="BX42" s="849"/>
      <c r="BY42" s="589" t="s">
        <v>5069</v>
      </c>
      <c r="BZ42" s="589" t="s">
        <v>497</v>
      </c>
      <c r="CA42" s="589" t="s">
        <v>1421</v>
      </c>
      <c r="CB42" s="849"/>
      <c r="CC42" s="589" t="s">
        <v>9556</v>
      </c>
      <c r="CD42" s="589" t="s">
        <v>1171</v>
      </c>
      <c r="CE42" s="590" t="s">
        <v>5960</v>
      </c>
      <c r="CF42" s="1681"/>
      <c r="CG42" s="433" t="s">
        <v>876</v>
      </c>
      <c r="CH42" s="593" t="s">
        <v>724</v>
      </c>
      <c r="CI42" s="593" t="s">
        <v>9557</v>
      </c>
      <c r="CJ42" s="593" t="s">
        <v>7788</v>
      </c>
      <c r="CK42" s="593"/>
      <c r="CL42" s="593"/>
      <c r="CM42" s="593" t="s">
        <v>5249</v>
      </c>
      <c r="CN42" s="1154" t="s">
        <v>7939</v>
      </c>
      <c r="CO42" s="428" t="str">
        <f>HYPERLINK("https://www.youtube.com/watch?v=X66lFoaVyLY","15.60")</f>
        <v>15.60</v>
      </c>
      <c r="CP42" s="852"/>
      <c r="CQ42" s="852"/>
      <c r="CR42" s="852"/>
      <c r="CS42" s="852"/>
      <c r="CT42" s="593" t="s">
        <v>9558</v>
      </c>
      <c r="CU42" s="106"/>
      <c r="CV42" s="458" t="s">
        <v>936</v>
      </c>
      <c r="CW42" s="683" t="s">
        <v>5633</v>
      </c>
      <c r="CX42" s="683" t="s">
        <v>961</v>
      </c>
      <c r="CY42" s="683"/>
      <c r="CZ42" s="853"/>
      <c r="DA42" s="683" t="s">
        <v>9559</v>
      </c>
      <c r="DB42" s="458" t="s">
        <v>7965</v>
      </c>
      <c r="DC42" s="683" t="s">
        <v>9560</v>
      </c>
      <c r="DD42" s="683" t="s">
        <v>9561</v>
      </c>
      <c r="DE42" s="853"/>
      <c r="DF42" s="853"/>
      <c r="DG42" s="683" t="s">
        <v>8230</v>
      </c>
      <c r="DH42" s="683"/>
      <c r="DI42" s="685" t="s">
        <v>889</v>
      </c>
      <c r="DJ42" s="855"/>
      <c r="DK42" s="855"/>
      <c r="DL42" s="855"/>
      <c r="DM42" s="685" t="s">
        <v>1462</v>
      </c>
      <c r="DN42" s="855"/>
      <c r="DO42" s="685" t="s">
        <v>9562</v>
      </c>
      <c r="DP42" s="685" t="s">
        <v>4331</v>
      </c>
      <c r="DQ42" s="855"/>
      <c r="DR42" s="685" t="s">
        <v>1211</v>
      </c>
      <c r="DS42" s="685" t="s">
        <v>2372</v>
      </c>
      <c r="DT42" s="855"/>
      <c r="DU42" s="855"/>
      <c r="DV42" s="855"/>
      <c r="DW42" s="855"/>
      <c r="DX42" s="685" t="s">
        <v>9546</v>
      </c>
      <c r="DY42" s="855"/>
      <c r="DZ42" s="685" t="s">
        <v>9563</v>
      </c>
      <c r="EA42" s="855"/>
      <c r="EB42" s="855"/>
      <c r="EC42" s="685" t="s">
        <v>9564</v>
      </c>
      <c r="ED42" s="1039"/>
    </row>
    <row r="43">
      <c r="A43" s="1682" t="s">
        <v>9565</v>
      </c>
      <c r="B43" s="245" t="s">
        <v>9566</v>
      </c>
      <c r="C43" s="246" t="s">
        <v>271</v>
      </c>
      <c r="D43" s="247" t="s">
        <v>271</v>
      </c>
      <c r="E43" s="248" t="s">
        <v>271</v>
      </c>
      <c r="F43" s="249" t="s">
        <v>169</v>
      </c>
      <c r="G43" s="245" t="s">
        <v>3257</v>
      </c>
      <c r="H43" s="286" t="s">
        <v>9491</v>
      </c>
      <c r="I43" s="521" t="s">
        <v>9567</v>
      </c>
      <c r="J43" s="493" t="s">
        <v>3334</v>
      </c>
      <c r="K43" s="521" t="s">
        <v>9568</v>
      </c>
      <c r="L43" s="521" t="s">
        <v>9569</v>
      </c>
      <c r="M43" s="286" t="s">
        <v>9570</v>
      </c>
      <c r="N43" s="521" t="s">
        <v>5832</v>
      </c>
      <c r="O43" s="493" t="s">
        <v>1126</v>
      </c>
      <c r="P43" s="1683" t="str">
        <f>HYPERLINK("https://clips.twitch.tv/BetterEnticingWatercressDancingBaby","16.08")</f>
        <v>16.08</v>
      </c>
      <c r="Q43" s="497" t="s">
        <v>7471</v>
      </c>
      <c r="R43" s="1168"/>
      <c r="S43" s="497" t="s">
        <v>1528</v>
      </c>
      <c r="T43" s="286" t="s">
        <v>6340</v>
      </c>
      <c r="U43" s="1683" t="str">
        <f>HYPERLINK("https://youtu.be/HHFrEbWlPX4","50.03")</f>
        <v>50.03</v>
      </c>
      <c r="V43" s="488" t="s">
        <v>9571</v>
      </c>
      <c r="W43" s="494"/>
      <c r="X43" s="521" t="s">
        <v>9572</v>
      </c>
      <c r="Y43" s="521"/>
      <c r="Z43" s="521" t="s">
        <v>9573</v>
      </c>
      <c r="AA43" s="521" t="s">
        <v>9574</v>
      </c>
      <c r="AB43" s="521" t="s">
        <v>9575</v>
      </c>
      <c r="AC43" s="521" t="s">
        <v>456</v>
      </c>
      <c r="AD43" s="521" t="s">
        <v>6169</v>
      </c>
      <c r="AE43" s="1168"/>
      <c r="AF43" s="497" t="s">
        <v>3071</v>
      </c>
      <c r="AG43" s="497" t="s">
        <v>2285</v>
      </c>
      <c r="AH43" s="1683" t="str">
        <f>HYPERLINK("https://youtu.be/N6tkTf4Wb68","53.04")</f>
        <v>53.04</v>
      </c>
      <c r="AI43" s="497"/>
      <c r="AJ43" s="497" t="s">
        <v>4479</v>
      </c>
      <c r="AK43" s="488" t="s">
        <v>9576</v>
      </c>
      <c r="AL43" s="501"/>
      <c r="AM43" s="286" t="s">
        <v>9577</v>
      </c>
      <c r="AN43" s="521" t="s">
        <v>9578</v>
      </c>
      <c r="AO43" s="286" t="s">
        <v>9579</v>
      </c>
      <c r="AP43" s="493" t="s">
        <v>9580</v>
      </c>
      <c r="AQ43" s="1168"/>
      <c r="AR43" s="1168"/>
      <c r="AS43" s="493" t="s">
        <v>4227</v>
      </c>
      <c r="AT43" s="521" t="s">
        <v>3128</v>
      </c>
      <c r="AU43" s="286" t="s">
        <v>882</v>
      </c>
      <c r="AV43" s="1684" t="str">
        <f>HYPERLINK("https://www.youtube.com/watch?v=I53jRzHVHbs","25.78")</f>
        <v>25.78</v>
      </c>
      <c r="AW43" s="493" t="s">
        <v>3796</v>
      </c>
      <c r="AX43" s="1168"/>
      <c r="AY43" s="493" t="s">
        <v>607</v>
      </c>
      <c r="AZ43" s="488" t="s">
        <v>465</v>
      </c>
      <c r="BA43" s="531"/>
      <c r="BB43" s="286" t="s">
        <v>9581</v>
      </c>
      <c r="BC43" s="521" t="s">
        <v>9582</v>
      </c>
      <c r="BD43" s="521" t="s">
        <v>2722</v>
      </c>
      <c r="BE43" s="493" t="s">
        <v>9415</v>
      </c>
      <c r="BF43" s="535" t="s">
        <v>9583</v>
      </c>
      <c r="BG43" s="521" t="s">
        <v>813</v>
      </c>
      <c r="BH43" s="286" t="s">
        <v>9584</v>
      </c>
      <c r="BI43" s="521" t="s">
        <v>1264</v>
      </c>
      <c r="BJ43" s="320"/>
      <c r="BK43" s="493" t="s">
        <v>1832</v>
      </c>
      <c r="BL43" s="521" t="s">
        <v>2770</v>
      </c>
      <c r="BM43" s="257" t="s">
        <v>7922</v>
      </c>
      <c r="BN43" s="1683" t="str">
        <f>HYPERLINK("https://youtu.be/PNHoaVHANBk","42.06")</f>
        <v>42.06</v>
      </c>
      <c r="BO43" s="521" t="s">
        <v>3771</v>
      </c>
      <c r="BP43" s="490" t="s">
        <v>5348</v>
      </c>
      <c r="BQ43" s="490"/>
      <c r="BR43" s="535"/>
      <c r="BS43" s="521" t="s">
        <v>9585</v>
      </c>
      <c r="BT43" s="521" t="s">
        <v>9586</v>
      </c>
      <c r="BU43" s="493" t="s">
        <v>9587</v>
      </c>
      <c r="BV43" s="286" t="s">
        <v>1224</v>
      </c>
      <c r="BW43" s="493" t="s">
        <v>9588</v>
      </c>
      <c r="BX43" s="286"/>
      <c r="BY43" s="286"/>
      <c r="BZ43" s="493" t="s">
        <v>9589</v>
      </c>
      <c r="CA43" s="521" t="s">
        <v>9590</v>
      </c>
      <c r="CB43" s="493" t="s">
        <v>9591</v>
      </c>
      <c r="CC43" s="497" t="s">
        <v>1804</v>
      </c>
      <c r="CD43" s="1685" t="s">
        <v>1269</v>
      </c>
      <c r="CE43" s="488" t="s">
        <v>9592</v>
      </c>
      <c r="CF43" s="531"/>
      <c r="CG43" s="493" t="s">
        <v>2398</v>
      </c>
      <c r="CH43" s="521" t="s">
        <v>9593</v>
      </c>
      <c r="CI43" s="1683" t="str">
        <f>HYPERLINK("https://www.twitch.tv/videos/374407941","34.88")</f>
        <v>34.88</v>
      </c>
      <c r="CJ43" s="493" t="s">
        <v>9594</v>
      </c>
      <c r="CK43" s="493"/>
      <c r="CL43" s="493" t="s">
        <v>9595</v>
      </c>
      <c r="CM43" s="493" t="s">
        <v>4065</v>
      </c>
      <c r="CN43" s="521" t="s">
        <v>9596</v>
      </c>
      <c r="CO43" s="521" t="s">
        <v>3580</v>
      </c>
      <c r="CP43" s="286" t="s">
        <v>9597</v>
      </c>
      <c r="CQ43" s="1683" t="str">
        <f>HYPERLINK("https://youtu.be/ZVAfoGn-JTw","30.96")</f>
        <v>30.96</v>
      </c>
      <c r="CR43" s="1686"/>
      <c r="CS43" s="1683" t="str">
        <f>HYPERLINK("https://youtu.be/AxEHpGTONpA","1:09.12")</f>
        <v>1:09.12</v>
      </c>
      <c r="CT43" s="490" t="s">
        <v>9598</v>
      </c>
      <c r="CU43" s="494"/>
      <c r="CV43" s="1683" t="str">
        <f>HYPERLINK("https://clips.twitch.tv/BillowingGiftedGullMcaT","46.17")</f>
        <v>46.17</v>
      </c>
      <c r="CW43" s="286" t="s">
        <v>8871</v>
      </c>
      <c r="CX43" s="1683" t="str">
        <f>HYPERLINK("https://clips.twitch.tv/TsundereNastyAntFailFish","30.86")</f>
        <v>30.86</v>
      </c>
      <c r="CY43" s="286" t="s">
        <v>9599</v>
      </c>
      <c r="CZ43" s="286" t="s">
        <v>4054</v>
      </c>
      <c r="DA43" s="286" t="s">
        <v>3932</v>
      </c>
      <c r="DB43" s="535" t="s">
        <v>9600</v>
      </c>
      <c r="DC43" s="521" t="s">
        <v>7357</v>
      </c>
      <c r="DD43" s="493" t="s">
        <v>9601</v>
      </c>
      <c r="DE43" s="521" t="s">
        <v>9602</v>
      </c>
      <c r="DF43" s="521" t="s">
        <v>6190</v>
      </c>
      <c r="DG43" s="488" t="s">
        <v>2557</v>
      </c>
      <c r="DH43" s="531"/>
      <c r="DI43" s="1168"/>
      <c r="DJ43" s="286"/>
      <c r="DK43" s="316" t="str">
        <f>HYPERLINK("https://youtu.be/l69gUy8HYfU","1:30.11")</f>
        <v>1:30.11</v>
      </c>
      <c r="DL43" s="521"/>
      <c r="DM43" s="521" t="s">
        <v>1490</v>
      </c>
      <c r="DN43" s="521" t="s">
        <v>4647</v>
      </c>
      <c r="DO43" s="1168"/>
      <c r="DP43" s="1168"/>
      <c r="DQ43" s="1168"/>
      <c r="DR43" s="493" t="s">
        <v>9603</v>
      </c>
      <c r="DS43" s="493"/>
      <c r="DT43" s="493" t="s">
        <v>8218</v>
      </c>
      <c r="DU43" s="521" t="s">
        <v>9604</v>
      </c>
      <c r="DV43" s="493" t="s">
        <v>1793</v>
      </c>
      <c r="DW43" s="493" t="s">
        <v>4734</v>
      </c>
      <c r="DX43" s="1168"/>
      <c r="DY43" s="521" t="s">
        <v>4970</v>
      </c>
      <c r="DZ43" s="521" t="s">
        <v>9605</v>
      </c>
      <c r="EA43" s="521" t="s">
        <v>1536</v>
      </c>
      <c r="EB43" s="521" t="s">
        <v>7800</v>
      </c>
      <c r="EC43" s="521" t="s">
        <v>4898</v>
      </c>
      <c r="ED43" s="862" t="s">
        <v>9606</v>
      </c>
    </row>
    <row r="44">
      <c r="A44" s="1687" t="s">
        <v>6549</v>
      </c>
      <c r="B44" s="378" t="s">
        <v>9607</v>
      </c>
      <c r="C44" s="379" t="s">
        <v>271</v>
      </c>
      <c r="D44" s="380" t="s">
        <v>271</v>
      </c>
      <c r="E44" s="381" t="s">
        <v>271</v>
      </c>
      <c r="F44" s="382" t="s">
        <v>8906</v>
      </c>
      <c r="G44" s="378" t="s">
        <v>9608</v>
      </c>
      <c r="H44" s="835"/>
      <c r="I44" s="390" t="s">
        <v>9609</v>
      </c>
      <c r="J44" s="390" t="s">
        <v>581</v>
      </c>
      <c r="K44" s="390" t="s">
        <v>714</v>
      </c>
      <c r="L44" s="390" t="s">
        <v>887</v>
      </c>
      <c r="M44" s="390" t="s">
        <v>7230</v>
      </c>
      <c r="N44" s="390" t="s">
        <v>1006</v>
      </c>
      <c r="O44" s="390" t="s">
        <v>9610</v>
      </c>
      <c r="P44" s="390" t="s">
        <v>1140</v>
      </c>
      <c r="Q44" s="835"/>
      <c r="R44" s="390" t="s">
        <v>3702</v>
      </c>
      <c r="S44" s="390" t="s">
        <v>4701</v>
      </c>
      <c r="T44" s="835"/>
      <c r="U44" s="835"/>
      <c r="V44" s="390" t="s">
        <v>9611</v>
      </c>
      <c r="W44" s="106"/>
      <c r="X44" s="399" t="s">
        <v>9612</v>
      </c>
      <c r="Y44" s="908"/>
      <c r="Z44" s="399" t="s">
        <v>9613</v>
      </c>
      <c r="AA44" s="399" t="s">
        <v>9614</v>
      </c>
      <c r="AB44" s="399" t="s">
        <v>7805</v>
      </c>
      <c r="AC44" s="399" t="s">
        <v>489</v>
      </c>
      <c r="AD44" s="399" t="s">
        <v>2180</v>
      </c>
      <c r="AE44" s="837"/>
      <c r="AF44" s="669" t="s">
        <v>4406</v>
      </c>
      <c r="AG44" s="399" t="s">
        <v>2285</v>
      </c>
      <c r="AH44" s="837"/>
      <c r="AI44" s="837"/>
      <c r="AJ44" s="670" t="s">
        <v>3437</v>
      </c>
      <c r="AK44" s="399" t="s">
        <v>9615</v>
      </c>
      <c r="AL44" s="105"/>
      <c r="AM44" s="839"/>
      <c r="AN44" s="407" t="s">
        <v>2197</v>
      </c>
      <c r="AO44" s="839"/>
      <c r="AP44" s="839"/>
      <c r="AQ44" s="839"/>
      <c r="AR44" s="839"/>
      <c r="AS44" s="839"/>
      <c r="AT44" s="839"/>
      <c r="AU44" s="407" t="s">
        <v>1105</v>
      </c>
      <c r="AV44" s="407" t="s">
        <v>9616</v>
      </c>
      <c r="AW44" s="407" t="s">
        <v>1447</v>
      </c>
      <c r="AX44" s="839"/>
      <c r="AY44" s="407" t="s">
        <v>1114</v>
      </c>
      <c r="AZ44" s="839"/>
      <c r="BA44" s="839"/>
      <c r="BB44" s="417" t="s">
        <v>1572</v>
      </c>
      <c r="BC44" s="417" t="s">
        <v>9346</v>
      </c>
      <c r="BD44" s="417" t="s">
        <v>9471</v>
      </c>
      <c r="BE44" s="417" t="s">
        <v>4375</v>
      </c>
      <c r="BF44" s="417" t="s">
        <v>9617</v>
      </c>
      <c r="BG44" s="417" t="s">
        <v>728</v>
      </c>
      <c r="BH44" s="580"/>
      <c r="BI44" s="581" t="s">
        <v>6274</v>
      </c>
      <c r="BJ44" s="581" t="s">
        <v>734</v>
      </c>
      <c r="BK44" s="581"/>
      <c r="BL44" s="417" t="s">
        <v>9618</v>
      </c>
      <c r="BM44" s="580"/>
      <c r="BN44" s="580"/>
      <c r="BO44" s="580"/>
      <c r="BP44" s="417" t="s">
        <v>1910</v>
      </c>
      <c r="BQ44" s="845"/>
      <c r="BR44" s="422" t="s">
        <v>9619</v>
      </c>
      <c r="BS44" s="422" t="s">
        <v>3239</v>
      </c>
      <c r="BT44" s="422" t="s">
        <v>9620</v>
      </c>
      <c r="BU44" s="422" t="s">
        <v>9621</v>
      </c>
      <c r="BV44" s="422" t="s">
        <v>9622</v>
      </c>
      <c r="BW44" s="422" t="s">
        <v>9623</v>
      </c>
      <c r="BX44" s="849"/>
      <c r="BY44" s="589" t="s">
        <v>9624</v>
      </c>
      <c r="BZ44" s="422" t="s">
        <v>9625</v>
      </c>
      <c r="CA44" s="422" t="s">
        <v>3301</v>
      </c>
      <c r="CB44" s="422" t="s">
        <v>9626</v>
      </c>
      <c r="CC44" s="422" t="s">
        <v>2365</v>
      </c>
      <c r="CD44" s="422" t="s">
        <v>1051</v>
      </c>
      <c r="CE44" s="849"/>
      <c r="CF44" s="851"/>
      <c r="CG44" s="433" t="s">
        <v>2777</v>
      </c>
      <c r="CH44" s="433" t="s">
        <v>9312</v>
      </c>
      <c r="CI44" s="433" t="s">
        <v>9522</v>
      </c>
      <c r="CJ44" s="433" t="s">
        <v>9627</v>
      </c>
      <c r="CK44" s="434"/>
      <c r="CL44" s="433" t="s">
        <v>4455</v>
      </c>
      <c r="CM44" s="433" t="s">
        <v>7290</v>
      </c>
      <c r="CN44" s="433" t="s">
        <v>9628</v>
      </c>
      <c r="CO44" s="433" t="s">
        <v>4601</v>
      </c>
      <c r="CP44" s="852"/>
      <c r="CQ44" s="433" t="s">
        <v>9272</v>
      </c>
      <c r="CR44" s="852"/>
      <c r="CS44" s="433" t="s">
        <v>9629</v>
      </c>
      <c r="CT44" s="433" t="s">
        <v>9630</v>
      </c>
      <c r="CU44" s="106"/>
      <c r="CV44" s="458" t="s">
        <v>844</v>
      </c>
      <c r="CW44" s="458" t="s">
        <v>523</v>
      </c>
      <c r="CX44" s="1029" t="s">
        <v>1162</v>
      </c>
      <c r="CY44" s="458" t="s">
        <v>4620</v>
      </c>
      <c r="CZ44" s="458" t="s">
        <v>8749</v>
      </c>
      <c r="DA44" s="458" t="s">
        <v>9312</v>
      </c>
      <c r="DB44" s="458" t="s">
        <v>9631</v>
      </c>
      <c r="DC44" s="458" t="s">
        <v>882</v>
      </c>
      <c r="DD44" s="853"/>
      <c r="DE44" s="853"/>
      <c r="DF44" s="458" t="s">
        <v>9632</v>
      </c>
      <c r="DG44" s="458" t="s">
        <v>9633</v>
      </c>
      <c r="DH44" s="853"/>
      <c r="DI44" s="481" t="s">
        <v>3907</v>
      </c>
      <c r="DJ44" s="855"/>
      <c r="DK44" s="855"/>
      <c r="DL44" s="855"/>
      <c r="DM44" s="855"/>
      <c r="DN44" s="855"/>
      <c r="DO44" s="481" t="s">
        <v>9634</v>
      </c>
      <c r="DP44" s="481" t="s">
        <v>9635</v>
      </c>
      <c r="DQ44" s="855"/>
      <c r="DR44" s="481" t="s">
        <v>5895</v>
      </c>
      <c r="DS44" s="481" t="s">
        <v>966</v>
      </c>
      <c r="DT44" s="855"/>
      <c r="DU44" s="855"/>
      <c r="DV44" s="855"/>
      <c r="DW44" s="855"/>
      <c r="DX44" s="481" t="s">
        <v>9636</v>
      </c>
      <c r="DY44" s="855"/>
      <c r="DZ44" s="481" t="s">
        <v>4100</v>
      </c>
      <c r="EA44" s="855"/>
      <c r="EB44" s="855"/>
      <c r="EC44" s="481" t="s">
        <v>9314</v>
      </c>
      <c r="ED44" s="1039"/>
    </row>
    <row r="45">
      <c r="A45" s="1040" t="s">
        <v>2977</v>
      </c>
      <c r="B45" s="245" t="s">
        <v>9637</v>
      </c>
      <c r="C45" s="246" t="s">
        <v>271</v>
      </c>
      <c r="D45" s="247" t="s">
        <v>274</v>
      </c>
      <c r="E45" s="248" t="s">
        <v>176</v>
      </c>
      <c r="F45" s="249" t="s">
        <v>398</v>
      </c>
      <c r="G45" s="245" t="s">
        <v>1400</v>
      </c>
      <c r="H45" s="286" t="s">
        <v>8702</v>
      </c>
      <c r="I45" s="286" t="s">
        <v>5440</v>
      </c>
      <c r="J45" s="286" t="s">
        <v>9276</v>
      </c>
      <c r="K45" s="286" t="s">
        <v>8834</v>
      </c>
      <c r="L45" s="278" t="s">
        <v>6210</v>
      </c>
      <c r="M45" s="320"/>
      <c r="N45" s="320"/>
      <c r="O45" s="278" t="s">
        <v>9638</v>
      </c>
      <c r="P45" s="286" t="s">
        <v>4556</v>
      </c>
      <c r="Q45" s="261" t="s">
        <v>2877</v>
      </c>
      <c r="R45" s="286"/>
      <c r="S45" s="286" t="s">
        <v>4194</v>
      </c>
      <c r="T45" s="278"/>
      <c r="U45" s="278" t="s">
        <v>9639</v>
      </c>
      <c r="V45" s="263" t="s">
        <v>9640</v>
      </c>
      <c r="W45" s="777"/>
      <c r="X45" s="286" t="s">
        <v>9641</v>
      </c>
      <c r="Y45" s="286"/>
      <c r="Z45" s="286" t="s">
        <v>9642</v>
      </c>
      <c r="AA45" s="286" t="s">
        <v>8368</v>
      </c>
      <c r="AB45" s="286" t="s">
        <v>9643</v>
      </c>
      <c r="AC45" s="286" t="s">
        <v>4300</v>
      </c>
      <c r="AD45" s="286" t="s">
        <v>2944</v>
      </c>
      <c r="AE45" s="286"/>
      <c r="AF45" s="286" t="s">
        <v>3412</v>
      </c>
      <c r="AG45" s="286" t="s">
        <v>4557</v>
      </c>
      <c r="AH45" s="286" t="s">
        <v>9644</v>
      </c>
      <c r="AI45" s="286"/>
      <c r="AJ45" s="286" t="s">
        <v>8955</v>
      </c>
      <c r="AK45" s="265" t="s">
        <v>9645</v>
      </c>
      <c r="AL45" s="105"/>
      <c r="AM45" s="286" t="s">
        <v>749</v>
      </c>
      <c r="AN45" s="286" t="s">
        <v>7106</v>
      </c>
      <c r="AO45" s="316" t="str">
        <f>HYPERLINK("https://youtu.be/LAskX_epfLA","1:44.25")</f>
        <v>1:44.25</v>
      </c>
      <c r="AP45" s="286" t="s">
        <v>9646</v>
      </c>
      <c r="AQ45" s="257" t="s">
        <v>371</v>
      </c>
      <c r="AR45" s="257" t="s">
        <v>9647</v>
      </c>
      <c r="AS45" s="320"/>
      <c r="AT45" s="330" t="s">
        <v>9648</v>
      </c>
      <c r="AU45" s="278" t="s">
        <v>7836</v>
      </c>
      <c r="AV45" s="286" t="s">
        <v>3715</v>
      </c>
      <c r="AW45" s="286" t="s">
        <v>5278</v>
      </c>
      <c r="AX45" s="257" t="s">
        <v>535</v>
      </c>
      <c r="AY45" s="257" t="s">
        <v>1072</v>
      </c>
      <c r="AZ45" s="316" t="s">
        <v>4022</v>
      </c>
      <c r="BA45" s="288"/>
      <c r="BB45" s="286" t="s">
        <v>6639</v>
      </c>
      <c r="BC45" s="320"/>
      <c r="BD45" s="286" t="s">
        <v>4755</v>
      </c>
      <c r="BE45" s="286" t="s">
        <v>9649</v>
      </c>
      <c r="BF45" s="286" t="s">
        <v>6346</v>
      </c>
      <c r="BG45" s="316" t="str">
        <f>HYPERLINK("https://youtu.be/V-kufjH1djY","41.22")</f>
        <v>41.22</v>
      </c>
      <c r="BH45" s="320"/>
      <c r="BI45" s="286" t="s">
        <v>438</v>
      </c>
      <c r="BJ45" s="320"/>
      <c r="BK45" s="286" t="s">
        <v>9650</v>
      </c>
      <c r="BL45" s="320"/>
      <c r="BM45" s="286" t="s">
        <v>9651</v>
      </c>
      <c r="BN45" s="278" t="s">
        <v>1066</v>
      </c>
      <c r="BO45" s="286" t="s">
        <v>9652</v>
      </c>
      <c r="BP45" s="257" t="s">
        <v>5821</v>
      </c>
      <c r="BQ45" s="324"/>
      <c r="BR45" s="320"/>
      <c r="BS45" s="278" t="s">
        <v>9653</v>
      </c>
      <c r="BT45" s="286" t="s">
        <v>9654</v>
      </c>
      <c r="BU45" s="257" t="s">
        <v>9655</v>
      </c>
      <c r="BV45" s="320"/>
      <c r="BW45" s="286" t="s">
        <v>9587</v>
      </c>
      <c r="BX45" s="286" t="s">
        <v>9570</v>
      </c>
      <c r="BY45" s="286" t="s">
        <v>9656</v>
      </c>
      <c r="BZ45" s="286" t="s">
        <v>9657</v>
      </c>
      <c r="CA45" s="257" t="s">
        <v>9658</v>
      </c>
      <c r="CB45" s="286" t="s">
        <v>9659</v>
      </c>
      <c r="CC45" s="286" t="s">
        <v>7256</v>
      </c>
      <c r="CD45" s="286" t="s">
        <v>2893</v>
      </c>
      <c r="CE45" s="263" t="s">
        <v>9660</v>
      </c>
      <c r="CF45" s="351"/>
      <c r="CG45" s="286" t="s">
        <v>9661</v>
      </c>
      <c r="CH45" s="511" t="s">
        <v>507</v>
      </c>
      <c r="CI45" s="316" t="str">
        <f>HYPERLINK("https://youtu.be/Mwnid1_a4L4","31.97")</f>
        <v>31.97</v>
      </c>
      <c r="CJ45" s="286" t="s">
        <v>9662</v>
      </c>
      <c r="CK45" s="286"/>
      <c r="CL45" s="286" t="s">
        <v>4453</v>
      </c>
      <c r="CM45" s="881" t="s">
        <v>8257</v>
      </c>
      <c r="CN45" s="286" t="s">
        <v>1783</v>
      </c>
      <c r="CO45" s="278" t="s">
        <v>9663</v>
      </c>
      <c r="CP45" s="316" t="str">
        <f>HYPERLINK("https://youtu.be/9t40-1JdpMg","1:12.35")</f>
        <v>1:12.35</v>
      </c>
      <c r="CQ45" s="316" t="s">
        <v>4035</v>
      </c>
      <c r="CR45" s="351"/>
      <c r="CS45" s="261" t="s">
        <v>879</v>
      </c>
      <c r="CT45" s="316" t="s">
        <v>7303</v>
      </c>
      <c r="CU45" s="106"/>
      <c r="CV45" s="320"/>
      <c r="CW45" s="286" t="s">
        <v>9595</v>
      </c>
      <c r="CX45" s="278" t="s">
        <v>2101</v>
      </c>
      <c r="CY45" s="286" t="s">
        <v>3892</v>
      </c>
      <c r="CZ45" s="286" t="s">
        <v>9664</v>
      </c>
      <c r="DA45" s="286" t="s">
        <v>3062</v>
      </c>
      <c r="DB45" s="286" t="s">
        <v>9665</v>
      </c>
      <c r="DC45" s="286" t="s">
        <v>1834</v>
      </c>
      <c r="DD45" s="316" t="str">
        <f>HYPERLINK("https://youtu.be/BJNJgSLnXTM","1:18.10")</f>
        <v>1:18.10</v>
      </c>
      <c r="DE45" s="286" t="s">
        <v>3088</v>
      </c>
      <c r="DF45" s="278" t="s">
        <v>9604</v>
      </c>
      <c r="DG45" s="316" t="s">
        <v>8063</v>
      </c>
      <c r="DH45" s="288"/>
      <c r="DI45" s="320"/>
      <c r="DJ45" s="286" t="s">
        <v>8355</v>
      </c>
      <c r="DK45" s="320"/>
      <c r="DL45" s="261" t="s">
        <v>216</v>
      </c>
      <c r="DM45" s="286" t="s">
        <v>9448</v>
      </c>
      <c r="DN45" s="320"/>
      <c r="DO45" s="316" t="str">
        <f>HYPERLINK("https://www.youtube.com/watch?v=wvfjcRVL5Tg","22.83")</f>
        <v>22.83</v>
      </c>
      <c r="DP45" s="286" t="s">
        <v>1188</v>
      </c>
      <c r="DQ45" s="320"/>
      <c r="DR45" s="916" t="s">
        <v>9666</v>
      </c>
      <c r="DS45" s="351"/>
      <c r="DT45" s="286"/>
      <c r="DU45" s="286" t="s">
        <v>4584</v>
      </c>
      <c r="DV45" s="316" t="str">
        <f>HYPERLINK("https://youtu.be/mf09PJ8pEj4","49.38")</f>
        <v>49.38</v>
      </c>
      <c r="DW45" s="320"/>
      <c r="DX45" s="320"/>
      <c r="DY45" s="257" t="s">
        <v>9667</v>
      </c>
      <c r="DZ45" s="286" t="s">
        <v>1443</v>
      </c>
      <c r="EA45" s="257" t="s">
        <v>9668</v>
      </c>
      <c r="EB45" s="320"/>
      <c r="EC45" s="286"/>
      <c r="ED45" s="862"/>
    </row>
    <row r="46">
      <c r="A46" s="1688" t="s">
        <v>2596</v>
      </c>
      <c r="B46" s="378" t="s">
        <v>9669</v>
      </c>
      <c r="C46" s="379" t="s">
        <v>271</v>
      </c>
      <c r="D46" s="380" t="s">
        <v>271</v>
      </c>
      <c r="E46" s="381" t="s">
        <v>271</v>
      </c>
      <c r="F46" s="382" t="s">
        <v>1428</v>
      </c>
      <c r="G46" s="378" t="s">
        <v>3165</v>
      </c>
      <c r="H46" s="541" t="s">
        <v>405</v>
      </c>
      <c r="I46" s="541" t="s">
        <v>9481</v>
      </c>
      <c r="J46" s="541" t="s">
        <v>9670</v>
      </c>
      <c r="K46" s="390" t="s">
        <v>727</v>
      </c>
      <c r="L46" s="1121" t="s">
        <v>1045</v>
      </c>
      <c r="M46" s="390" t="s">
        <v>3961</v>
      </c>
      <c r="N46" s="390" t="s">
        <v>9671</v>
      </c>
      <c r="O46" s="390" t="s">
        <v>9515</v>
      </c>
      <c r="P46" s="390" t="s">
        <v>1462</v>
      </c>
      <c r="Q46" s="1689" t="s">
        <v>9672</v>
      </c>
      <c r="R46" s="1690" t="s">
        <v>1019</v>
      </c>
      <c r="S46" s="390" t="s">
        <v>426</v>
      </c>
      <c r="T46" s="1121" t="s">
        <v>3450</v>
      </c>
      <c r="U46" s="541" t="s">
        <v>4488</v>
      </c>
      <c r="V46" s="541" t="s">
        <v>9673</v>
      </c>
      <c r="W46" s="106"/>
      <c r="X46" s="399" t="s">
        <v>2076</v>
      </c>
      <c r="Y46" s="670"/>
      <c r="Z46" s="670" t="s">
        <v>2763</v>
      </c>
      <c r="AA46" s="1133" t="s">
        <v>4550</v>
      </c>
      <c r="AB46" s="1133" t="s">
        <v>2314</v>
      </c>
      <c r="AC46" s="670" t="s">
        <v>2301</v>
      </c>
      <c r="AD46" s="399" t="s">
        <v>9674</v>
      </c>
      <c r="AE46" s="670" t="s">
        <v>9675</v>
      </c>
      <c r="AF46" s="670" t="s">
        <v>9676</v>
      </c>
      <c r="AG46" s="399" t="s">
        <v>2749</v>
      </c>
      <c r="AH46" s="670" t="s">
        <v>1011</v>
      </c>
      <c r="AI46" s="670" t="s">
        <v>9677</v>
      </c>
      <c r="AJ46" s="670" t="s">
        <v>7471</v>
      </c>
      <c r="AK46" s="670" t="s">
        <v>9376</v>
      </c>
      <c r="AL46" s="105"/>
      <c r="AM46" s="570" t="s">
        <v>3588</v>
      </c>
      <c r="AN46" s="407" t="s">
        <v>3580</v>
      </c>
      <c r="AO46" s="570" t="s">
        <v>9678</v>
      </c>
      <c r="AP46" s="570" t="s">
        <v>7631</v>
      </c>
      <c r="AQ46" s="570" t="s">
        <v>7736</v>
      </c>
      <c r="AR46" s="1691" t="s">
        <v>2609</v>
      </c>
      <c r="AS46" s="570" t="s">
        <v>9679</v>
      </c>
      <c r="AT46" s="407" t="s">
        <v>2517</v>
      </c>
      <c r="AU46" s="570" t="s">
        <v>3567</v>
      </c>
      <c r="AV46" s="570" t="s">
        <v>4308</v>
      </c>
      <c r="AW46" s="570" t="s">
        <v>9680</v>
      </c>
      <c r="AX46" s="570" t="s">
        <v>3069</v>
      </c>
      <c r="AY46" s="570" t="s">
        <v>4194</v>
      </c>
      <c r="AZ46" s="1691" t="s">
        <v>2612</v>
      </c>
      <c r="BA46" s="1691"/>
      <c r="BB46" s="417" t="s">
        <v>9612</v>
      </c>
      <c r="BC46" s="581" t="s">
        <v>4877</v>
      </c>
      <c r="BD46" s="417" t="s">
        <v>9681</v>
      </c>
      <c r="BE46" s="417" t="s">
        <v>9682</v>
      </c>
      <c r="BF46" s="581" t="s">
        <v>2189</v>
      </c>
      <c r="BG46" s="581" t="s">
        <v>6600</v>
      </c>
      <c r="BH46" s="580"/>
      <c r="BI46" s="417" t="s">
        <v>1461</v>
      </c>
      <c r="BJ46" s="581"/>
      <c r="BK46" s="581" t="s">
        <v>6071</v>
      </c>
      <c r="BL46" s="417" t="s">
        <v>2833</v>
      </c>
      <c r="BM46" s="581" t="s">
        <v>5578</v>
      </c>
      <c r="BN46" s="581" t="s">
        <v>9683</v>
      </c>
      <c r="BO46" s="581" t="s">
        <v>5174</v>
      </c>
      <c r="BP46" s="581" t="s">
        <v>9684</v>
      </c>
      <c r="BQ46" s="581"/>
      <c r="BR46" s="422" t="s">
        <v>9685</v>
      </c>
      <c r="BS46" s="422" t="s">
        <v>5308</v>
      </c>
      <c r="BT46" s="422" t="s">
        <v>9396</v>
      </c>
      <c r="BU46" s="422" t="s">
        <v>3802</v>
      </c>
      <c r="BV46" s="422" t="s">
        <v>9686</v>
      </c>
      <c r="BW46" s="422" t="s">
        <v>792</v>
      </c>
      <c r="BX46" s="849"/>
      <c r="BY46" s="589" t="s">
        <v>8086</v>
      </c>
      <c r="BZ46" s="1229" t="s">
        <v>9687</v>
      </c>
      <c r="CA46" s="589" t="s">
        <v>9688</v>
      </c>
      <c r="CB46" s="422" t="s">
        <v>9689</v>
      </c>
      <c r="CC46" s="589" t="s">
        <v>9690</v>
      </c>
      <c r="CD46" s="422" t="s">
        <v>4440</v>
      </c>
      <c r="CE46" s="422" t="s">
        <v>2985</v>
      </c>
      <c r="CF46" s="589"/>
      <c r="CG46" s="1692" t="s">
        <v>9691</v>
      </c>
      <c r="CH46" s="593" t="s">
        <v>2637</v>
      </c>
      <c r="CI46" s="593" t="s">
        <v>9692</v>
      </c>
      <c r="CJ46" s="593" t="s">
        <v>9693</v>
      </c>
      <c r="CK46" s="593"/>
      <c r="CL46" s="593" t="s">
        <v>9694</v>
      </c>
      <c r="CM46" s="593" t="s">
        <v>9695</v>
      </c>
      <c r="CN46" s="433" t="s">
        <v>5349</v>
      </c>
      <c r="CO46" s="593" t="s">
        <v>5626</v>
      </c>
      <c r="CP46" s="593" t="s">
        <v>2280</v>
      </c>
      <c r="CQ46" s="433" t="s">
        <v>2504</v>
      </c>
      <c r="CR46" s="852"/>
      <c r="CS46" s="593" t="s">
        <v>9696</v>
      </c>
      <c r="CT46" s="593" t="s">
        <v>9697</v>
      </c>
      <c r="CU46" s="106"/>
      <c r="CV46" s="683" t="s">
        <v>7162</v>
      </c>
      <c r="CW46" s="683" t="s">
        <v>9193</v>
      </c>
      <c r="CX46" s="683" t="s">
        <v>2684</v>
      </c>
      <c r="CY46" s="458" t="s">
        <v>2144</v>
      </c>
      <c r="CZ46" s="683" t="s">
        <v>9698</v>
      </c>
      <c r="DA46" s="683" t="s">
        <v>4291</v>
      </c>
      <c r="DB46" s="458" t="s">
        <v>9699</v>
      </c>
      <c r="DC46" s="683" t="s">
        <v>9700</v>
      </c>
      <c r="DD46" s="683" t="s">
        <v>7328</v>
      </c>
      <c r="DE46" s="683" t="s">
        <v>6952</v>
      </c>
      <c r="DF46" s="683" t="s">
        <v>9701</v>
      </c>
      <c r="DG46" s="683" t="s">
        <v>7761</v>
      </c>
      <c r="DH46" s="683"/>
      <c r="DI46" s="685" t="s">
        <v>4205</v>
      </c>
      <c r="DJ46" s="855"/>
      <c r="DK46" s="855"/>
      <c r="DL46" s="685"/>
      <c r="DM46" s="481" t="s">
        <v>4602</v>
      </c>
      <c r="DN46" s="685" t="s">
        <v>9702</v>
      </c>
      <c r="DO46" s="685" t="s">
        <v>9703</v>
      </c>
      <c r="DP46" s="685" t="s">
        <v>9704</v>
      </c>
      <c r="DQ46" s="685" t="s">
        <v>9705</v>
      </c>
      <c r="DR46" s="685" t="s">
        <v>414</v>
      </c>
      <c r="DS46" s="481" t="s">
        <v>9706</v>
      </c>
      <c r="DT46" s="685" t="s">
        <v>9707</v>
      </c>
      <c r="DU46" s="685" t="s">
        <v>9449</v>
      </c>
      <c r="DV46" s="685" t="s">
        <v>6194</v>
      </c>
      <c r="DW46" s="685" t="s">
        <v>9708</v>
      </c>
      <c r="DX46" s="685" t="s">
        <v>9709</v>
      </c>
      <c r="DY46" s="685" t="s">
        <v>1408</v>
      </c>
      <c r="DZ46" s="481" t="s">
        <v>9710</v>
      </c>
      <c r="EA46" s="685" t="s">
        <v>2374</v>
      </c>
      <c r="EB46" s="685" t="s">
        <v>5085</v>
      </c>
      <c r="EC46" s="685" t="s">
        <v>3930</v>
      </c>
      <c r="ED46" s="1039" t="s">
        <v>9711</v>
      </c>
    </row>
    <row r="47">
      <c r="A47" s="1693" t="s">
        <v>9712</v>
      </c>
      <c r="B47" s="245" t="s">
        <v>9713</v>
      </c>
      <c r="C47" s="246" t="s">
        <v>271</v>
      </c>
      <c r="D47" s="247" t="s">
        <v>171</v>
      </c>
      <c r="E47" s="248" t="s">
        <v>171</v>
      </c>
      <c r="F47" s="249" t="s">
        <v>1010</v>
      </c>
      <c r="G47" s="245" t="s">
        <v>4799</v>
      </c>
      <c r="H47" s="1168" t="s">
        <v>411</v>
      </c>
      <c r="I47" s="1168" t="s">
        <v>9714</v>
      </c>
      <c r="J47" s="1168" t="s">
        <v>627</v>
      </c>
      <c r="K47" s="1168" t="s">
        <v>714</v>
      </c>
      <c r="L47" s="1168" t="s">
        <v>1046</v>
      </c>
      <c r="M47" s="1168" t="s">
        <v>9715</v>
      </c>
      <c r="N47" s="1168" t="s">
        <v>9716</v>
      </c>
      <c r="O47" s="1168" t="s">
        <v>4173</v>
      </c>
      <c r="P47" s="1165" t="s">
        <v>1035</v>
      </c>
      <c r="Q47" s="1168"/>
      <c r="R47" s="1168"/>
      <c r="S47" s="1168"/>
      <c r="T47" s="1168"/>
      <c r="U47" s="1168"/>
      <c r="V47" s="1168"/>
      <c r="W47" s="494"/>
      <c r="X47" s="1168" t="s">
        <v>9717</v>
      </c>
      <c r="Y47" s="1694"/>
      <c r="Z47" s="1165" t="s">
        <v>6191</v>
      </c>
      <c r="AA47" s="1165" t="s">
        <v>1885</v>
      </c>
      <c r="AB47" s="1168" t="s">
        <v>9718</v>
      </c>
      <c r="AC47" s="1168" t="s">
        <v>9719</v>
      </c>
      <c r="AD47" s="1168" t="s">
        <v>9720</v>
      </c>
      <c r="AE47" s="1168"/>
      <c r="AF47" s="1168" t="s">
        <v>9721</v>
      </c>
      <c r="AG47" s="1168" t="s">
        <v>3353</v>
      </c>
      <c r="AH47" s="1168"/>
      <c r="AI47" s="1168"/>
      <c r="AJ47" s="1168"/>
      <c r="AK47" s="1168"/>
      <c r="AL47" s="1385"/>
      <c r="AM47" s="1168" t="s">
        <v>9722</v>
      </c>
      <c r="AN47" s="1168" t="s">
        <v>5591</v>
      </c>
      <c r="AO47" s="1168"/>
      <c r="AP47" s="1168"/>
      <c r="AQ47" s="1168"/>
      <c r="AR47" s="1168"/>
      <c r="AS47" s="1168"/>
      <c r="AT47" s="1168"/>
      <c r="AU47" s="1168" t="s">
        <v>1955</v>
      </c>
      <c r="AV47" s="1165" t="s">
        <v>724</v>
      </c>
      <c r="AW47" s="1168"/>
      <c r="AX47" s="1168"/>
      <c r="AY47" s="1168" t="s">
        <v>9723</v>
      </c>
      <c r="AZ47" s="1168"/>
      <c r="BA47" s="1168"/>
      <c r="BB47" s="1168" t="s">
        <v>4418</v>
      </c>
      <c r="BC47" s="1168" t="s">
        <v>9724</v>
      </c>
      <c r="BD47" s="1165" t="s">
        <v>469</v>
      </c>
      <c r="BE47" s="1165" t="s">
        <v>3991</v>
      </c>
      <c r="BF47" s="1168" t="s">
        <v>2189</v>
      </c>
      <c r="BG47" s="1168" t="s">
        <v>6184</v>
      </c>
      <c r="BH47" s="1168"/>
      <c r="BI47" s="1168" t="s">
        <v>2235</v>
      </c>
      <c r="BJ47" s="1168"/>
      <c r="BK47" s="1168" t="s">
        <v>9725</v>
      </c>
      <c r="BL47" s="1168" t="s">
        <v>4674</v>
      </c>
      <c r="BM47" s="1168"/>
      <c r="BN47" s="881" t="s">
        <v>4121</v>
      </c>
      <c r="BO47" s="1168"/>
      <c r="BP47" s="1168"/>
      <c r="BQ47" s="1192"/>
      <c r="BR47" s="1168"/>
      <c r="BS47" s="1168" t="s">
        <v>9584</v>
      </c>
      <c r="BT47" s="1168" t="s">
        <v>9726</v>
      </c>
      <c r="BU47" s="1168" t="s">
        <v>9727</v>
      </c>
      <c r="BV47" s="1168" t="s">
        <v>8049</v>
      </c>
      <c r="BW47" s="1168" t="s">
        <v>2446</v>
      </c>
      <c r="BX47" s="1168" t="s">
        <v>9728</v>
      </c>
      <c r="BY47" s="1168" t="s">
        <v>9729</v>
      </c>
      <c r="BZ47" s="1168" t="s">
        <v>9730</v>
      </c>
      <c r="CA47" s="1168" t="s">
        <v>3950</v>
      </c>
      <c r="CB47" s="1168"/>
      <c r="CC47" s="1168"/>
      <c r="CD47" s="1168"/>
      <c r="CE47" s="1168"/>
      <c r="CF47" s="1192"/>
      <c r="CG47" s="1168" t="s">
        <v>9731</v>
      </c>
      <c r="CH47" s="1184" t="s">
        <v>461</v>
      </c>
      <c r="CI47" s="1695" t="s">
        <v>4580</v>
      </c>
      <c r="CJ47" s="1168" t="s">
        <v>9732</v>
      </c>
      <c r="CK47" s="1168"/>
      <c r="CL47" s="1168"/>
      <c r="CM47" s="1168" t="s">
        <v>1119</v>
      </c>
      <c r="CN47" s="1168" t="s">
        <v>3932</v>
      </c>
      <c r="CO47" s="1165" t="s">
        <v>9508</v>
      </c>
      <c r="CP47" s="1168"/>
      <c r="CQ47" s="1168" t="s">
        <v>6419</v>
      </c>
      <c r="CR47" s="1168"/>
      <c r="CS47" s="1168" t="s">
        <v>9733</v>
      </c>
      <c r="CT47" s="1168"/>
      <c r="CU47" s="494"/>
      <c r="CV47" s="1168" t="s">
        <v>9734</v>
      </c>
      <c r="CW47" s="1168" t="s">
        <v>3740</v>
      </c>
      <c r="CX47" s="762" t="s">
        <v>2419</v>
      </c>
      <c r="CY47" s="1168" t="s">
        <v>9599</v>
      </c>
      <c r="CZ47" s="1168"/>
      <c r="DA47" s="1168"/>
      <c r="DB47" s="1165" t="s">
        <v>9735</v>
      </c>
      <c r="DC47" s="1168" t="s">
        <v>1955</v>
      </c>
      <c r="DD47" s="1168"/>
      <c r="DE47" s="1168"/>
      <c r="DF47" s="1168"/>
      <c r="DG47" s="1168"/>
      <c r="DH47" s="1168"/>
      <c r="DI47" s="1168"/>
      <c r="DJ47" s="1168"/>
      <c r="DK47" s="1168"/>
      <c r="DL47" s="1168"/>
      <c r="DM47" s="1168" t="s">
        <v>4602</v>
      </c>
      <c r="DN47" s="1168" t="s">
        <v>4017</v>
      </c>
      <c r="DO47" s="1168" t="s">
        <v>3602</v>
      </c>
      <c r="DP47" s="1168" t="s">
        <v>9736</v>
      </c>
      <c r="DQ47" s="1168"/>
      <c r="DR47" s="1168" t="s">
        <v>9652</v>
      </c>
      <c r="DS47" s="1168"/>
      <c r="DT47" s="1168" t="s">
        <v>665</v>
      </c>
      <c r="DU47" s="1168"/>
      <c r="DV47" s="1168"/>
      <c r="DW47" s="1168" t="s">
        <v>9737</v>
      </c>
      <c r="DX47" s="1168"/>
      <c r="DY47" s="1168"/>
      <c r="DZ47" s="1165" t="s">
        <v>3930</v>
      </c>
      <c r="EA47" s="1168"/>
      <c r="EB47" s="1168"/>
      <c r="EC47" s="1168" t="s">
        <v>7068</v>
      </c>
      <c r="ED47" s="1168" t="s">
        <v>9738</v>
      </c>
    </row>
    <row r="48">
      <c r="A48" s="540" t="s">
        <v>4046</v>
      </c>
      <c r="B48" s="378" t="s">
        <v>9739</v>
      </c>
      <c r="C48" s="379" t="s">
        <v>271</v>
      </c>
      <c r="D48" s="380" t="s">
        <v>271</v>
      </c>
      <c r="E48" s="381" t="s">
        <v>271</v>
      </c>
      <c r="F48" s="382" t="s">
        <v>171</v>
      </c>
      <c r="G48" s="378" t="s">
        <v>3102</v>
      </c>
      <c r="H48" s="541" t="s">
        <v>5993</v>
      </c>
      <c r="I48" s="541" t="s">
        <v>307</v>
      </c>
      <c r="J48" s="775" t="s">
        <v>9740</v>
      </c>
      <c r="K48" s="775" t="s">
        <v>727</v>
      </c>
      <c r="L48" s="775" t="s">
        <v>9741</v>
      </c>
      <c r="M48" s="541" t="s">
        <v>9742</v>
      </c>
      <c r="N48" s="541" t="s">
        <v>9743</v>
      </c>
      <c r="O48" s="541" t="s">
        <v>1204</v>
      </c>
      <c r="P48" s="541" t="s">
        <v>1486</v>
      </c>
      <c r="Q48" s="835"/>
      <c r="R48" s="835"/>
      <c r="S48" s="541" t="s">
        <v>1539</v>
      </c>
      <c r="T48" s="541" t="s">
        <v>7415</v>
      </c>
      <c r="U48" s="835"/>
      <c r="V48" s="835"/>
      <c r="W48" s="106"/>
      <c r="X48" s="670" t="s">
        <v>5794</v>
      </c>
      <c r="Y48" s="670"/>
      <c r="Z48" s="670" t="s">
        <v>9744</v>
      </c>
      <c r="AA48" s="670" t="s">
        <v>9745</v>
      </c>
      <c r="AB48" s="908" t="s">
        <v>2818</v>
      </c>
      <c r="AC48" s="908" t="s">
        <v>9311</v>
      </c>
      <c r="AD48" s="670" t="s">
        <v>9746</v>
      </c>
      <c r="AE48" s="670" t="s">
        <v>4059</v>
      </c>
      <c r="AF48" s="670" t="s">
        <v>9747</v>
      </c>
      <c r="AG48" s="670" t="s">
        <v>9748</v>
      </c>
      <c r="AH48" s="670" t="s">
        <v>3637</v>
      </c>
      <c r="AI48" s="837"/>
      <c r="AJ48" s="837"/>
      <c r="AK48" s="837"/>
      <c r="AL48" s="105"/>
      <c r="AM48" s="570" t="s">
        <v>9749</v>
      </c>
      <c r="AN48" s="570" t="s">
        <v>9750</v>
      </c>
      <c r="AO48" s="570" t="s">
        <v>9751</v>
      </c>
      <c r="AP48" s="570" t="s">
        <v>9752</v>
      </c>
      <c r="AQ48" s="570" t="s">
        <v>9753</v>
      </c>
      <c r="AR48" s="570"/>
      <c r="AS48" s="570" t="s">
        <v>1222</v>
      </c>
      <c r="AT48" s="839"/>
      <c r="AU48" s="570" t="s">
        <v>3845</v>
      </c>
      <c r="AV48" s="573" t="s">
        <v>9754</v>
      </c>
      <c r="AW48" s="570" t="s">
        <v>9755</v>
      </c>
      <c r="AX48" s="839"/>
      <c r="AY48" s="570" t="s">
        <v>1192</v>
      </c>
      <c r="AZ48" s="839"/>
      <c r="BA48" s="839"/>
      <c r="BB48" s="581" t="s">
        <v>9756</v>
      </c>
      <c r="BC48" s="581" t="s">
        <v>4303</v>
      </c>
      <c r="BD48" s="581" t="s">
        <v>9757</v>
      </c>
      <c r="BE48" s="1289" t="s">
        <v>9438</v>
      </c>
      <c r="BF48" s="581" t="s">
        <v>2954</v>
      </c>
      <c r="BG48" s="581" t="s">
        <v>743</v>
      </c>
      <c r="BH48" s="581" t="s">
        <v>5762</v>
      </c>
      <c r="BI48" s="581" t="s">
        <v>4283</v>
      </c>
      <c r="BJ48" s="581" t="s">
        <v>9758</v>
      </c>
      <c r="BK48" s="581"/>
      <c r="BL48" s="581" t="s">
        <v>9759</v>
      </c>
      <c r="BM48" s="580"/>
      <c r="BN48" s="581" t="s">
        <v>735</v>
      </c>
      <c r="BO48" s="581" t="s">
        <v>6774</v>
      </c>
      <c r="BP48" s="580"/>
      <c r="BQ48" s="845"/>
      <c r="BR48" s="589"/>
      <c r="BS48" s="589" t="s">
        <v>7344</v>
      </c>
      <c r="BT48" s="589" t="s">
        <v>9528</v>
      </c>
      <c r="BU48" s="589" t="s">
        <v>9760</v>
      </c>
      <c r="BV48" s="589" t="s">
        <v>9761</v>
      </c>
      <c r="BW48" s="590" t="s">
        <v>4726</v>
      </c>
      <c r="BX48" s="589" t="s">
        <v>9762</v>
      </c>
      <c r="BY48" s="590" t="s">
        <v>9763</v>
      </c>
      <c r="BZ48" s="849"/>
      <c r="CA48" s="589" t="s">
        <v>3081</v>
      </c>
      <c r="CB48" s="589" t="s">
        <v>9764</v>
      </c>
      <c r="CC48" s="589" t="s">
        <v>9765</v>
      </c>
      <c r="CD48" s="589" t="s">
        <v>1146</v>
      </c>
      <c r="CE48" s="849"/>
      <c r="CF48" s="851"/>
      <c r="CG48" s="428" t="str">
        <f>HYPERLINK("https://clips.twitch.tv/KawaiiRacySwordPeoplesChamp","53.72")</f>
        <v>53.72</v>
      </c>
      <c r="CH48" s="593" t="s">
        <v>704</v>
      </c>
      <c r="CI48" s="593" t="s">
        <v>9766</v>
      </c>
      <c r="CJ48" s="593" t="s">
        <v>9767</v>
      </c>
      <c r="CK48" s="593"/>
      <c r="CL48" s="593" t="s">
        <v>9768</v>
      </c>
      <c r="CM48" s="1696" t="s">
        <v>9769</v>
      </c>
      <c r="CN48" s="869" t="s">
        <v>5327</v>
      </c>
      <c r="CO48" s="593" t="s">
        <v>1863</v>
      </c>
      <c r="CP48" s="852"/>
      <c r="CQ48" s="593" t="s">
        <v>5349</v>
      </c>
      <c r="CR48" s="593"/>
      <c r="CS48" s="593" t="s">
        <v>9770</v>
      </c>
      <c r="CT48" s="852"/>
      <c r="CU48" s="106"/>
      <c r="CV48" s="683" t="s">
        <v>9771</v>
      </c>
      <c r="CW48" s="683" t="s">
        <v>9772</v>
      </c>
      <c r="CX48" s="683" t="s">
        <v>232</v>
      </c>
      <c r="CY48" s="683" t="s">
        <v>9773</v>
      </c>
      <c r="CZ48" s="683" t="s">
        <v>9653</v>
      </c>
      <c r="DA48" s="683" t="s">
        <v>1272</v>
      </c>
      <c r="DB48" s="1030" t="s">
        <v>4004</v>
      </c>
      <c r="DC48" s="683" t="s">
        <v>3575</v>
      </c>
      <c r="DD48" s="683" t="s">
        <v>9774</v>
      </c>
      <c r="DE48" s="853"/>
      <c r="DF48" s="853"/>
      <c r="DG48" s="853"/>
      <c r="DH48" s="853"/>
      <c r="DI48" s="855"/>
      <c r="DJ48" s="855"/>
      <c r="DK48" s="855"/>
      <c r="DL48" s="685"/>
      <c r="DM48" s="685" t="s">
        <v>9775</v>
      </c>
      <c r="DN48" s="685" t="s">
        <v>9776</v>
      </c>
      <c r="DO48" s="685" t="s">
        <v>9777</v>
      </c>
      <c r="DP48" s="685" t="s">
        <v>9778</v>
      </c>
      <c r="DQ48" s="685" t="s">
        <v>9779</v>
      </c>
      <c r="DR48" s="685" t="s">
        <v>9780</v>
      </c>
      <c r="DS48" s="685"/>
      <c r="DT48" s="685" t="s">
        <v>224</v>
      </c>
      <c r="DU48" s="685" t="s">
        <v>5682</v>
      </c>
      <c r="DV48" s="685" t="s">
        <v>9781</v>
      </c>
      <c r="DW48" s="685" t="s">
        <v>5683</v>
      </c>
      <c r="DX48" s="685" t="s">
        <v>2637</v>
      </c>
      <c r="DY48" s="685" t="s">
        <v>9782</v>
      </c>
      <c r="DZ48" s="855"/>
      <c r="EA48" s="685" t="s">
        <v>9783</v>
      </c>
      <c r="EB48" s="685" t="s">
        <v>9784</v>
      </c>
      <c r="EC48" s="685" t="s">
        <v>188</v>
      </c>
      <c r="ED48" s="1039" t="s">
        <v>9785</v>
      </c>
    </row>
    <row r="49">
      <c r="A49" s="1697" t="s">
        <v>4261</v>
      </c>
      <c r="B49" s="245" t="s">
        <v>9786</v>
      </c>
      <c r="C49" s="246" t="s">
        <v>271</v>
      </c>
      <c r="D49" s="247" t="s">
        <v>171</v>
      </c>
      <c r="E49" s="248" t="s">
        <v>171</v>
      </c>
      <c r="F49" s="249" t="s">
        <v>2131</v>
      </c>
      <c r="G49" s="245" t="s">
        <v>3258</v>
      </c>
      <c r="H49" s="320"/>
      <c r="I49" s="257" t="s">
        <v>9787</v>
      </c>
      <c r="J49" s="257" t="s">
        <v>9788</v>
      </c>
      <c r="K49" s="257" t="s">
        <v>718</v>
      </c>
      <c r="L49" s="257" t="s">
        <v>9789</v>
      </c>
      <c r="M49" s="257" t="s">
        <v>9790</v>
      </c>
      <c r="N49" s="257" t="s">
        <v>9791</v>
      </c>
      <c r="O49" s="257" t="s">
        <v>9515</v>
      </c>
      <c r="P49" s="286" t="s">
        <v>1486</v>
      </c>
      <c r="Q49" s="320"/>
      <c r="R49" s="320"/>
      <c r="S49" s="320"/>
      <c r="T49" s="320"/>
      <c r="U49" s="320"/>
      <c r="V49" s="320"/>
      <c r="W49" s="106"/>
      <c r="X49" s="257" t="s">
        <v>9792</v>
      </c>
      <c r="Y49" s="286"/>
      <c r="Z49" s="286" t="s">
        <v>2329</v>
      </c>
      <c r="AA49" s="257" t="s">
        <v>4445</v>
      </c>
      <c r="AB49" s="257" t="s">
        <v>8369</v>
      </c>
      <c r="AC49" s="261" t="s">
        <v>9793</v>
      </c>
      <c r="AD49" s="278" t="s">
        <v>9794</v>
      </c>
      <c r="AE49" s="320"/>
      <c r="AF49" s="278" t="s">
        <v>3132</v>
      </c>
      <c r="AG49" s="257" t="s">
        <v>4823</v>
      </c>
      <c r="AH49" s="320"/>
      <c r="AI49" s="320"/>
      <c r="AJ49" s="320"/>
      <c r="AK49" s="320"/>
      <c r="AL49" s="105"/>
      <c r="AM49" s="320"/>
      <c r="AN49" s="257" t="s">
        <v>5670</v>
      </c>
      <c r="AO49" s="320"/>
      <c r="AP49" s="320"/>
      <c r="AQ49" s="320"/>
      <c r="AR49" s="320"/>
      <c r="AS49" s="320"/>
      <c r="AT49" s="320"/>
      <c r="AU49" s="286" t="s">
        <v>7836</v>
      </c>
      <c r="AV49" s="257" t="s">
        <v>9795</v>
      </c>
      <c r="AW49" s="320"/>
      <c r="AX49" s="320"/>
      <c r="AY49" s="320"/>
      <c r="AZ49" s="320"/>
      <c r="BA49" s="320"/>
      <c r="BB49" s="257" t="s">
        <v>6535</v>
      </c>
      <c r="BC49" s="257" t="s">
        <v>9796</v>
      </c>
      <c r="BD49" s="286" t="s">
        <v>9545</v>
      </c>
      <c r="BE49" s="257" t="s">
        <v>9797</v>
      </c>
      <c r="BF49" s="1698" t="str">
        <f>HYPERLINK("https://clips.twitch.tv/FaintElegantTermiteBabyRage-ToAgtH4F3huzSpod", "52.84")</f>
        <v>52.84</v>
      </c>
      <c r="BG49" s="320"/>
      <c r="BH49" s="286"/>
      <c r="BI49" s="257" t="s">
        <v>9798</v>
      </c>
      <c r="BJ49" s="257" t="s">
        <v>6336</v>
      </c>
      <c r="BK49" s="257" t="s">
        <v>947</v>
      </c>
      <c r="BL49" s="320"/>
      <c r="BM49" s="320"/>
      <c r="BN49" s="320"/>
      <c r="BO49" s="320"/>
      <c r="BP49" s="320"/>
      <c r="BQ49" s="824"/>
      <c r="BR49" s="257" t="s">
        <v>9799</v>
      </c>
      <c r="BS49" s="881" t="s">
        <v>6633</v>
      </c>
      <c r="BT49" s="257" t="s">
        <v>446</v>
      </c>
      <c r="BU49" s="881" t="s">
        <v>7189</v>
      </c>
      <c r="BV49" s="278" t="s">
        <v>6215</v>
      </c>
      <c r="BW49" s="257" t="s">
        <v>5469</v>
      </c>
      <c r="BX49" s="320"/>
      <c r="BY49" s="257" t="s">
        <v>5860</v>
      </c>
      <c r="BZ49" s="257" t="s">
        <v>9800</v>
      </c>
      <c r="CA49" s="257" t="s">
        <v>4805</v>
      </c>
      <c r="CB49" s="320"/>
      <c r="CC49" s="320"/>
      <c r="CD49" s="320"/>
      <c r="CE49" s="320"/>
      <c r="CF49" s="824"/>
      <c r="CG49" s="1553" t="s">
        <v>3106</v>
      </c>
      <c r="CH49" s="257" t="s">
        <v>7670</v>
      </c>
      <c r="CI49" s="257" t="s">
        <v>9801</v>
      </c>
      <c r="CJ49" s="263" t="s">
        <v>2553</v>
      </c>
      <c r="CK49" s="351"/>
      <c r="CL49" s="351"/>
      <c r="CM49" s="257" t="s">
        <v>4392</v>
      </c>
      <c r="CN49" s="257" t="s">
        <v>1272</v>
      </c>
      <c r="CO49" s="257" t="s">
        <v>3364</v>
      </c>
      <c r="CP49" s="320"/>
      <c r="CQ49" s="320"/>
      <c r="CR49" s="320"/>
      <c r="CS49" s="320"/>
      <c r="CT49" s="320"/>
      <c r="CU49" s="106"/>
      <c r="CV49" s="257" t="s">
        <v>9802</v>
      </c>
      <c r="CW49" s="320"/>
      <c r="CX49" s="257" t="s">
        <v>462</v>
      </c>
      <c r="CY49" s="257" t="s">
        <v>6242</v>
      </c>
      <c r="CZ49" s="881" t="s">
        <v>9803</v>
      </c>
      <c r="DA49" s="257" t="str">
        <f>HYPERLINK("https://clips.twitch.tv/ComfortableBadOctopusSeemsGood-tMvOD8fMvPQ1BZUe", "26.50")</f>
        <v>26.50</v>
      </c>
      <c r="DB49" s="257" t="s">
        <v>9804</v>
      </c>
      <c r="DC49" s="257" t="s">
        <v>2258</v>
      </c>
      <c r="DD49" s="320"/>
      <c r="DE49" s="320"/>
      <c r="DF49" s="320"/>
      <c r="DG49" s="320"/>
      <c r="DH49" s="320"/>
      <c r="DI49" s="320"/>
      <c r="DJ49" s="320"/>
      <c r="DK49" s="320"/>
      <c r="DL49" s="320"/>
      <c r="DM49" s="320"/>
      <c r="DN49" s="320"/>
      <c r="DO49" s="320"/>
      <c r="DP49" s="320"/>
      <c r="DQ49" s="320"/>
      <c r="DR49" s="257" t="s">
        <v>1240</v>
      </c>
      <c r="DS49" s="286" t="s">
        <v>9706</v>
      </c>
      <c r="DT49" s="320"/>
      <c r="DU49" s="320"/>
      <c r="DV49" s="320"/>
      <c r="DW49" s="320"/>
      <c r="DX49" s="320"/>
      <c r="DY49" s="320"/>
      <c r="DZ49" s="320"/>
      <c r="EA49" s="320"/>
      <c r="EB49" s="320"/>
      <c r="EC49" s="320"/>
      <c r="ED49" s="862"/>
    </row>
    <row r="50">
      <c r="A50" s="1699" t="s">
        <v>83</v>
      </c>
      <c r="B50" s="378" t="s">
        <v>9805</v>
      </c>
      <c r="C50" s="379" t="s">
        <v>271</v>
      </c>
      <c r="D50" s="380" t="s">
        <v>271</v>
      </c>
      <c r="E50" s="381" t="s">
        <v>271</v>
      </c>
      <c r="F50" s="382" t="s">
        <v>8700</v>
      </c>
      <c r="G50" s="378" t="s">
        <v>1820</v>
      </c>
      <c r="H50" s="390" t="s">
        <v>1761</v>
      </c>
      <c r="I50" s="1538" t="s">
        <v>6185</v>
      </c>
      <c r="J50" s="390" t="s">
        <v>4194</v>
      </c>
      <c r="K50" s="1121" t="s">
        <v>9568</v>
      </c>
      <c r="L50" s="1121" t="s">
        <v>574</v>
      </c>
      <c r="M50" s="390" t="s">
        <v>9806</v>
      </c>
      <c r="N50" s="1700" t="s">
        <v>555</v>
      </c>
      <c r="O50" s="1121" t="s">
        <v>9807</v>
      </c>
      <c r="P50" s="390" t="s">
        <v>9808</v>
      </c>
      <c r="Q50" s="1121" t="s">
        <v>9809</v>
      </c>
      <c r="R50" s="390" t="s">
        <v>3247</v>
      </c>
      <c r="S50" s="390" t="s">
        <v>1527</v>
      </c>
      <c r="T50" s="835"/>
      <c r="U50" s="1121" t="s">
        <v>4462</v>
      </c>
      <c r="V50" s="1121" t="s">
        <v>9810</v>
      </c>
      <c r="W50" s="106"/>
      <c r="X50" s="399" t="s">
        <v>5308</v>
      </c>
      <c r="Y50" s="908"/>
      <c r="Z50" s="399" t="s">
        <v>9811</v>
      </c>
      <c r="AA50" s="1133" t="s">
        <v>1231</v>
      </c>
      <c r="AB50" s="399" t="s">
        <v>9812</v>
      </c>
      <c r="AC50" s="399" t="s">
        <v>1434</v>
      </c>
      <c r="AD50" s="399" t="s">
        <v>9583</v>
      </c>
      <c r="AE50" s="837"/>
      <c r="AF50" s="399" t="s">
        <v>4449</v>
      </c>
      <c r="AG50" s="399" t="s">
        <v>2749</v>
      </c>
      <c r="AH50" s="837"/>
      <c r="AI50" s="837"/>
      <c r="AJ50" s="399" t="s">
        <v>6605</v>
      </c>
      <c r="AK50" s="399" t="s">
        <v>9813</v>
      </c>
      <c r="AL50" s="105"/>
      <c r="AM50" s="1019" t="s">
        <v>1102</v>
      </c>
      <c r="AN50" s="407" t="s">
        <v>9814</v>
      </c>
      <c r="AO50" s="1019" t="s">
        <v>9815</v>
      </c>
      <c r="AP50" s="407" t="s">
        <v>6263</v>
      </c>
      <c r="AQ50" s="570" t="s">
        <v>2760</v>
      </c>
      <c r="AR50" s="570" t="s">
        <v>6328</v>
      </c>
      <c r="AS50" s="570" t="s">
        <v>9816</v>
      </c>
      <c r="AT50" s="839"/>
      <c r="AU50" s="407" t="s">
        <v>3772</v>
      </c>
      <c r="AV50" s="1019" t="s">
        <v>9267</v>
      </c>
      <c r="AW50" s="1019" t="s">
        <v>2504</v>
      </c>
      <c r="AX50" s="839"/>
      <c r="AY50" s="407" t="s">
        <v>4146</v>
      </c>
      <c r="AZ50" s="407" t="s">
        <v>9817</v>
      </c>
      <c r="BA50" s="839"/>
      <c r="BB50" s="1633" t="s">
        <v>9337</v>
      </c>
      <c r="BC50" s="417" t="s">
        <v>1568</v>
      </c>
      <c r="BD50" s="1633" t="s">
        <v>1378</v>
      </c>
      <c r="BE50" s="1633" t="s">
        <v>4223</v>
      </c>
      <c r="BF50" s="417" t="s">
        <v>471</v>
      </c>
      <c r="BG50" s="1633" t="s">
        <v>6817</v>
      </c>
      <c r="BH50" s="580"/>
      <c r="BI50" s="1633" t="s">
        <v>2419</v>
      </c>
      <c r="BJ50" s="417" t="s">
        <v>796</v>
      </c>
      <c r="BK50" s="1633"/>
      <c r="BL50" s="417" t="s">
        <v>2833</v>
      </c>
      <c r="BM50" s="581" t="s">
        <v>6068</v>
      </c>
      <c r="BN50" s="581" t="s">
        <v>3726</v>
      </c>
      <c r="BO50" s="1633" t="s">
        <v>8063</v>
      </c>
      <c r="BP50" s="417" t="s">
        <v>5432</v>
      </c>
      <c r="BQ50" s="845"/>
      <c r="BR50" s="424" t="s">
        <v>2272</v>
      </c>
      <c r="BS50" s="424" t="s">
        <v>6763</v>
      </c>
      <c r="BT50" s="424" t="s">
        <v>9818</v>
      </c>
      <c r="BU50" s="422" t="s">
        <v>1157</v>
      </c>
      <c r="BV50" s="424" t="s">
        <v>4680</v>
      </c>
      <c r="BW50" s="422" t="s">
        <v>9819</v>
      </c>
      <c r="BX50" s="422" t="s">
        <v>9820</v>
      </c>
      <c r="BY50" s="422" t="s">
        <v>9821</v>
      </c>
      <c r="BZ50" s="424"/>
      <c r="CA50" s="422" t="s">
        <v>3457</v>
      </c>
      <c r="CB50" s="422" t="s">
        <v>9822</v>
      </c>
      <c r="CC50" s="422" t="s">
        <v>439</v>
      </c>
      <c r="CD50" s="422" t="s">
        <v>9823</v>
      </c>
      <c r="CE50" s="422" t="s">
        <v>6348</v>
      </c>
      <c r="CF50" s="851"/>
      <c r="CG50" s="433" t="s">
        <v>1611</v>
      </c>
      <c r="CH50" s="1692" t="s">
        <v>9824</v>
      </c>
      <c r="CI50" s="433" t="s">
        <v>9825</v>
      </c>
      <c r="CJ50" s="433" t="s">
        <v>9826</v>
      </c>
      <c r="CK50" s="869"/>
      <c r="CL50" s="434" t="s">
        <v>306</v>
      </c>
      <c r="CM50" s="433" t="s">
        <v>6913</v>
      </c>
      <c r="CN50" s="433" t="s">
        <v>5320</v>
      </c>
      <c r="CO50" s="433" t="s">
        <v>9827</v>
      </c>
      <c r="CP50" s="1692" t="s">
        <v>9828</v>
      </c>
      <c r="CQ50" s="433" t="s">
        <v>8421</v>
      </c>
      <c r="CR50" s="852"/>
      <c r="CS50" s="433" t="s">
        <v>316</v>
      </c>
      <c r="CT50" s="1692" t="s">
        <v>9829</v>
      </c>
      <c r="CU50" s="106"/>
      <c r="CV50" s="467" t="s">
        <v>9830</v>
      </c>
      <c r="CW50" s="467" t="s">
        <v>9831</v>
      </c>
      <c r="CX50" s="1159" t="s">
        <v>3743</v>
      </c>
      <c r="CY50" s="458" t="s">
        <v>9832</v>
      </c>
      <c r="CZ50" s="467" t="s">
        <v>9833</v>
      </c>
      <c r="DA50" s="1159" t="s">
        <v>1402</v>
      </c>
      <c r="DB50" s="1159" t="s">
        <v>3511</v>
      </c>
      <c r="DC50" s="458" t="s">
        <v>9560</v>
      </c>
      <c r="DD50" s="683" t="s">
        <v>7020</v>
      </c>
      <c r="DE50" s="458" t="s">
        <v>9834</v>
      </c>
      <c r="DF50" s="683" t="s">
        <v>4162</v>
      </c>
      <c r="DG50" s="458" t="s">
        <v>9835</v>
      </c>
      <c r="DH50" s="853"/>
      <c r="DI50" s="686" t="s">
        <v>9836</v>
      </c>
      <c r="DJ50" s="855"/>
      <c r="DK50" s="855"/>
      <c r="DL50" s="686"/>
      <c r="DM50" s="686" t="s">
        <v>4609</v>
      </c>
      <c r="DN50" s="686" t="s">
        <v>9837</v>
      </c>
      <c r="DO50" s="685" t="s">
        <v>5465</v>
      </c>
      <c r="DP50" s="685" t="s">
        <v>7349</v>
      </c>
      <c r="DQ50" s="855"/>
      <c r="DR50" s="481" t="s">
        <v>9838</v>
      </c>
      <c r="DS50" s="686" t="s">
        <v>9839</v>
      </c>
      <c r="DT50" s="481" t="s">
        <v>9840</v>
      </c>
      <c r="DU50" s="1701" t="s">
        <v>4695</v>
      </c>
      <c r="DV50" s="481" t="s">
        <v>7976</v>
      </c>
      <c r="DW50" s="685" t="s">
        <v>4734</v>
      </c>
      <c r="DX50" s="685" t="s">
        <v>9363</v>
      </c>
      <c r="DY50" s="685" t="s">
        <v>9841</v>
      </c>
      <c r="DZ50" s="685" t="s">
        <v>9842</v>
      </c>
      <c r="EA50" s="1701" t="s">
        <v>9843</v>
      </c>
      <c r="EB50" s="685" t="s">
        <v>4411</v>
      </c>
      <c r="EC50" s="481" t="s">
        <v>4904</v>
      </c>
      <c r="ED50" s="1039" t="s">
        <v>9844</v>
      </c>
    </row>
    <row r="51">
      <c r="A51" s="1702" t="s">
        <v>9845</v>
      </c>
      <c r="B51" s="245" t="s">
        <v>9846</v>
      </c>
      <c r="C51" s="246" t="s">
        <v>271</v>
      </c>
      <c r="D51" s="247" t="s">
        <v>271</v>
      </c>
      <c r="E51" s="248" t="s">
        <v>171</v>
      </c>
      <c r="F51" s="249" t="s">
        <v>1010</v>
      </c>
      <c r="G51" s="245" t="s">
        <v>4428</v>
      </c>
      <c r="H51" s="286" t="s">
        <v>9847</v>
      </c>
      <c r="I51" s="286" t="s">
        <v>9848</v>
      </c>
      <c r="J51" s="286" t="s">
        <v>6994</v>
      </c>
      <c r="K51" s="286" t="s">
        <v>727</v>
      </c>
      <c r="L51" s="286" t="s">
        <v>897</v>
      </c>
      <c r="M51" s="286" t="s">
        <v>9849</v>
      </c>
      <c r="N51" s="286" t="s">
        <v>5450</v>
      </c>
      <c r="O51" s="278" t="s">
        <v>1138</v>
      </c>
      <c r="P51" s="286" t="s">
        <v>4600</v>
      </c>
      <c r="Q51" s="286" t="s">
        <v>751</v>
      </c>
      <c r="R51" s="257" t="s">
        <v>1247</v>
      </c>
      <c r="S51" s="316" t="str">
        <f>HYPERLINK("https://www.youtube.com/watch?v=LyUwSuOy_jk","39.79")</f>
        <v>39.79</v>
      </c>
      <c r="T51" s="286" t="s">
        <v>9850</v>
      </c>
      <c r="U51" s="286" t="s">
        <v>6535</v>
      </c>
      <c r="V51" s="286" t="s">
        <v>9851</v>
      </c>
      <c r="W51" s="106"/>
      <c r="X51" s="286" t="s">
        <v>9852</v>
      </c>
      <c r="Y51" s="286" t="s">
        <v>433</v>
      </c>
      <c r="Z51" s="286" t="s">
        <v>9853</v>
      </c>
      <c r="AA51" s="286" t="s">
        <v>9281</v>
      </c>
      <c r="AB51" s="286" t="s">
        <v>7805</v>
      </c>
      <c r="AC51" s="257" t="s">
        <v>2475</v>
      </c>
      <c r="AD51" s="286" t="s">
        <v>1916</v>
      </c>
      <c r="AE51" s="257" t="s">
        <v>9854</v>
      </c>
      <c r="AF51" s="286" t="s">
        <v>9855</v>
      </c>
      <c r="AG51" s="286" t="s">
        <v>9856</v>
      </c>
      <c r="AH51" s="257" t="s">
        <v>3842</v>
      </c>
      <c r="AI51" s="265" t="s">
        <v>2293</v>
      </c>
      <c r="AJ51" s="316" t="str">
        <f>HYPERLINK("https://youtu.be/S7FHDfAKU7I","1:00.88")</f>
        <v>1:00.88</v>
      </c>
      <c r="AK51" s="286" t="s">
        <v>9857</v>
      </c>
      <c r="AL51" s="105"/>
      <c r="AM51" s="286" t="s">
        <v>2496</v>
      </c>
      <c r="AN51" s="257" t="s">
        <v>9858</v>
      </c>
      <c r="AO51" s="286" t="s">
        <v>6188</v>
      </c>
      <c r="AP51" s="257" t="s">
        <v>1042</v>
      </c>
      <c r="AQ51" s="286" t="s">
        <v>5934</v>
      </c>
      <c r="AR51" s="286" t="s">
        <v>3930</v>
      </c>
      <c r="AS51" s="286" t="s">
        <v>9859</v>
      </c>
      <c r="AT51" s="286" t="s">
        <v>6992</v>
      </c>
      <c r="AU51" s="278" t="s">
        <v>3845</v>
      </c>
      <c r="AV51" s="286" t="s">
        <v>1447</v>
      </c>
      <c r="AW51" s="286" t="s">
        <v>1405</v>
      </c>
      <c r="AX51" s="286" t="s">
        <v>3919</v>
      </c>
      <c r="AY51" s="286" t="s">
        <v>9638</v>
      </c>
      <c r="AZ51" s="286" t="s">
        <v>9860</v>
      </c>
      <c r="BA51" s="320"/>
      <c r="BB51" s="286" t="s">
        <v>9861</v>
      </c>
      <c r="BC51" s="286" t="s">
        <v>3377</v>
      </c>
      <c r="BD51" s="286" t="s">
        <v>4239</v>
      </c>
      <c r="BE51" s="286" t="s">
        <v>8825</v>
      </c>
      <c r="BF51" s="286" t="s">
        <v>6824</v>
      </c>
      <c r="BG51" s="286" t="s">
        <v>3473</v>
      </c>
      <c r="BH51" s="286" t="s">
        <v>3947</v>
      </c>
      <c r="BI51" s="286" t="s">
        <v>4390</v>
      </c>
      <c r="BJ51" s="320"/>
      <c r="BK51" s="286" t="s">
        <v>5751</v>
      </c>
      <c r="BL51" s="286" t="s">
        <v>9862</v>
      </c>
      <c r="BM51" s="320"/>
      <c r="BN51" s="320"/>
      <c r="BO51" s="320"/>
      <c r="BP51" s="320"/>
      <c r="BQ51" s="824"/>
      <c r="BR51" s="286" t="s">
        <v>9863</v>
      </c>
      <c r="BS51" s="286" t="s">
        <v>5250</v>
      </c>
      <c r="BT51" s="286" t="s">
        <v>9864</v>
      </c>
      <c r="BU51" s="286" t="s">
        <v>185</v>
      </c>
      <c r="BV51" s="286" t="s">
        <v>9865</v>
      </c>
      <c r="BW51" s="286" t="s">
        <v>4746</v>
      </c>
      <c r="BX51" s="286" t="s">
        <v>7243</v>
      </c>
      <c r="BY51" s="286" t="s">
        <v>9866</v>
      </c>
      <c r="BZ51" s="286" t="s">
        <v>9867</v>
      </c>
      <c r="CA51" s="286" t="s">
        <v>7189</v>
      </c>
      <c r="CB51" s="320"/>
      <c r="CC51" s="320"/>
      <c r="CD51" s="316" t="str">
        <f>HYPERLINK("https://youtu.be/toUWVFNC1VQ","44.39")</f>
        <v>44.39</v>
      </c>
      <c r="CE51" s="320"/>
      <c r="CF51" s="824"/>
      <c r="CG51" s="286" t="s">
        <v>3825</v>
      </c>
      <c r="CH51" s="278" t="s">
        <v>9868</v>
      </c>
      <c r="CI51" s="286" t="s">
        <v>1689</v>
      </c>
      <c r="CJ51" s="286" t="s">
        <v>5558</v>
      </c>
      <c r="CK51" s="286"/>
      <c r="CL51" s="286" t="s">
        <v>9869</v>
      </c>
      <c r="CM51" s="286" t="s">
        <v>9870</v>
      </c>
      <c r="CN51" s="286" t="s">
        <v>3979</v>
      </c>
      <c r="CO51" s="286" t="s">
        <v>9827</v>
      </c>
      <c r="CP51" s="320"/>
      <c r="CQ51" s="320"/>
      <c r="CR51" s="320"/>
      <c r="CS51" s="320"/>
      <c r="CT51" s="320"/>
      <c r="CU51" s="106"/>
      <c r="CV51" s="286" t="s">
        <v>9871</v>
      </c>
      <c r="CW51" s="286" t="s">
        <v>780</v>
      </c>
      <c r="CX51" s="278" t="s">
        <v>4414</v>
      </c>
      <c r="CY51" s="286" t="s">
        <v>6203</v>
      </c>
      <c r="CZ51" s="286" t="s">
        <v>3482</v>
      </c>
      <c r="DA51" s="286" t="s">
        <v>9311</v>
      </c>
      <c r="DB51" s="278" t="s">
        <v>9198</v>
      </c>
      <c r="DC51" s="286" t="s">
        <v>3570</v>
      </c>
      <c r="DD51" s="320"/>
      <c r="DE51" s="320"/>
      <c r="DF51" s="320"/>
      <c r="DG51" s="320"/>
      <c r="DH51" s="320"/>
      <c r="DI51" s="286" t="s">
        <v>2436</v>
      </c>
      <c r="DJ51" s="320"/>
      <c r="DK51" s="286"/>
      <c r="DL51" s="320"/>
      <c r="DM51" s="320"/>
      <c r="DN51" s="320"/>
      <c r="DO51" s="320"/>
      <c r="DP51" s="316" t="str">
        <f>HYPERLINK("https://youtu.be/GV1KTY3UQmI","21.01")</f>
        <v>21.01</v>
      </c>
      <c r="DQ51" s="320"/>
      <c r="DR51" s="286" t="s">
        <v>6779</v>
      </c>
      <c r="DS51" s="320"/>
      <c r="DT51" s="320"/>
      <c r="DU51" s="320"/>
      <c r="DV51" s="320"/>
      <c r="DW51" s="320"/>
      <c r="DX51" s="320"/>
      <c r="DY51" s="320"/>
      <c r="DZ51" s="320"/>
      <c r="EA51" s="320"/>
      <c r="EB51" s="320"/>
      <c r="EC51" s="320"/>
      <c r="ED51" s="862"/>
    </row>
    <row r="52">
      <c r="A52" s="1680" t="s">
        <v>9872</v>
      </c>
      <c r="B52" s="378" t="s">
        <v>9873</v>
      </c>
      <c r="C52" s="379" t="s">
        <v>271</v>
      </c>
      <c r="D52" s="380" t="s">
        <v>271</v>
      </c>
      <c r="E52" s="381" t="s">
        <v>171</v>
      </c>
      <c r="F52" s="382" t="s">
        <v>1926</v>
      </c>
      <c r="G52" s="378" t="s">
        <v>8701</v>
      </c>
      <c r="H52" s="541" t="s">
        <v>5510</v>
      </c>
      <c r="I52" s="832" t="s">
        <v>4361</v>
      </c>
      <c r="J52" s="832" t="s">
        <v>9874</v>
      </c>
      <c r="K52" s="390" t="s">
        <v>9455</v>
      </c>
      <c r="L52" s="832" t="s">
        <v>6210</v>
      </c>
      <c r="M52" s="541" t="s">
        <v>8114</v>
      </c>
      <c r="N52" s="390" t="s">
        <v>9875</v>
      </c>
      <c r="O52" s="390" t="s">
        <v>9876</v>
      </c>
      <c r="P52" s="390" t="s">
        <v>9877</v>
      </c>
      <c r="Q52" s="835"/>
      <c r="R52" s="835"/>
      <c r="S52" s="835"/>
      <c r="T52" s="835"/>
      <c r="U52" s="835"/>
      <c r="V52" s="835"/>
      <c r="W52" s="106"/>
      <c r="X52" s="1287" t="s">
        <v>5308</v>
      </c>
      <c r="Y52" s="670"/>
      <c r="Z52" s="670" t="s">
        <v>9878</v>
      </c>
      <c r="AA52" s="669" t="s">
        <v>2270</v>
      </c>
      <c r="AB52" s="670" t="s">
        <v>9879</v>
      </c>
      <c r="AC52" s="670" t="s">
        <v>5327</v>
      </c>
      <c r="AD52" s="399" t="s">
        <v>5913</v>
      </c>
      <c r="AE52" s="670" t="s">
        <v>8290</v>
      </c>
      <c r="AF52" s="1133" t="s">
        <v>9280</v>
      </c>
      <c r="AG52" s="669" t="s">
        <v>7544</v>
      </c>
      <c r="AH52" s="837"/>
      <c r="AI52" s="837"/>
      <c r="AJ52" s="837"/>
      <c r="AK52" s="837"/>
      <c r="AL52" s="105"/>
      <c r="AM52" s="839"/>
      <c r="AN52" s="570" t="s">
        <v>283</v>
      </c>
      <c r="AO52" s="839"/>
      <c r="AP52" s="839"/>
      <c r="AQ52" s="839"/>
      <c r="AR52" s="839"/>
      <c r="AS52" s="839"/>
      <c r="AT52" s="839"/>
      <c r="AU52" s="570" t="s">
        <v>882</v>
      </c>
      <c r="AV52" s="570" t="s">
        <v>438</v>
      </c>
      <c r="AW52" s="570" t="s">
        <v>5282</v>
      </c>
      <c r="AX52" s="839"/>
      <c r="AY52" s="839"/>
      <c r="AZ52" s="839"/>
      <c r="BA52" s="839"/>
      <c r="BB52" s="581" t="s">
        <v>3086</v>
      </c>
      <c r="BC52" s="581" t="s">
        <v>4713</v>
      </c>
      <c r="BD52" s="581" t="s">
        <v>2722</v>
      </c>
      <c r="BE52" s="579" t="s">
        <v>9880</v>
      </c>
      <c r="BF52" s="581" t="s">
        <v>9881</v>
      </c>
      <c r="BG52" s="581" t="s">
        <v>472</v>
      </c>
      <c r="BH52" s="580"/>
      <c r="BI52" s="414" t="s">
        <v>4323</v>
      </c>
      <c r="BJ52" s="581" t="s">
        <v>4981</v>
      </c>
      <c r="BK52" s="581" t="s">
        <v>4404</v>
      </c>
      <c r="BL52" s="581" t="s">
        <v>9393</v>
      </c>
      <c r="BM52" s="580"/>
      <c r="BN52" s="580"/>
      <c r="BO52" s="580"/>
      <c r="BP52" s="580"/>
      <c r="BQ52" s="845"/>
      <c r="BR52" s="589" t="s">
        <v>2298</v>
      </c>
      <c r="BS52" s="589" t="s">
        <v>3239</v>
      </c>
      <c r="BT52" s="422" t="s">
        <v>2772</v>
      </c>
      <c r="BU52" s="422" t="s">
        <v>7380</v>
      </c>
      <c r="BV52" s="589" t="s">
        <v>990</v>
      </c>
      <c r="BW52" s="1147" t="s">
        <v>9882</v>
      </c>
      <c r="BX52" s="589" t="s">
        <v>1540</v>
      </c>
      <c r="BY52" s="1229" t="s">
        <v>9883</v>
      </c>
      <c r="BZ52" s="1024" t="s">
        <v>9884</v>
      </c>
      <c r="CA52" s="1024" t="s">
        <v>3301</v>
      </c>
      <c r="CB52" s="849"/>
      <c r="CC52" s="849"/>
      <c r="CD52" s="589" t="s">
        <v>1072</v>
      </c>
      <c r="CE52" s="849"/>
      <c r="CF52" s="851"/>
      <c r="CG52" s="593" t="s">
        <v>9885</v>
      </c>
      <c r="CH52" s="433" t="s">
        <v>9541</v>
      </c>
      <c r="CI52" s="1154" t="s">
        <v>9886</v>
      </c>
      <c r="CJ52" s="593" t="s">
        <v>9887</v>
      </c>
      <c r="CK52" s="593"/>
      <c r="CL52" s="1703" t="s">
        <v>9888</v>
      </c>
      <c r="CM52" s="433" t="s">
        <v>4852</v>
      </c>
      <c r="CN52" s="433" t="s">
        <v>2488</v>
      </c>
      <c r="CO52" s="593" t="s">
        <v>4550</v>
      </c>
      <c r="CP52" s="852"/>
      <c r="CQ52" s="852"/>
      <c r="CR52" s="852"/>
      <c r="CS52" s="852"/>
      <c r="CT52" s="852"/>
      <c r="CU52" s="106"/>
      <c r="CV52" s="683" t="s">
        <v>3935</v>
      </c>
      <c r="CW52" s="1606" t="s">
        <v>5123</v>
      </c>
      <c r="CX52" s="683" t="s">
        <v>1162</v>
      </c>
      <c r="CY52" s="1606" t="s">
        <v>9889</v>
      </c>
      <c r="CZ52" s="683" t="s">
        <v>9390</v>
      </c>
      <c r="DA52" s="683" t="s">
        <v>4074</v>
      </c>
      <c r="DB52" s="1606" t="s">
        <v>7500</v>
      </c>
      <c r="DC52" s="458" t="s">
        <v>4769</v>
      </c>
      <c r="DD52" s="853"/>
      <c r="DE52" s="853"/>
      <c r="DF52" s="853"/>
      <c r="DG52" s="853"/>
      <c r="DH52" s="853"/>
      <c r="DI52" s="685" t="s">
        <v>4569</v>
      </c>
      <c r="DJ52" s="685" t="s">
        <v>1763</v>
      </c>
      <c r="DK52" s="855"/>
      <c r="DL52" s="855"/>
      <c r="DM52" s="481" t="s">
        <v>1153</v>
      </c>
      <c r="DN52" s="685" t="s">
        <v>4164</v>
      </c>
      <c r="DO52" s="685" t="s">
        <v>9309</v>
      </c>
      <c r="DP52" s="481" t="s">
        <v>2313</v>
      </c>
      <c r="DQ52" s="855"/>
      <c r="DR52" s="481" t="s">
        <v>2744</v>
      </c>
      <c r="DS52" s="1701" t="s">
        <v>9890</v>
      </c>
      <c r="DT52" s="855"/>
      <c r="DU52" s="685" t="s">
        <v>2096</v>
      </c>
      <c r="DV52" s="855"/>
      <c r="DW52" s="685" t="s">
        <v>9891</v>
      </c>
      <c r="DX52" s="855"/>
      <c r="DY52" s="855"/>
      <c r="DZ52" s="855"/>
      <c r="EA52" s="855"/>
      <c r="EB52" s="685" t="s">
        <v>491</v>
      </c>
      <c r="EC52" s="685" t="s">
        <v>4420</v>
      </c>
      <c r="ED52" s="485" t="s">
        <v>9892</v>
      </c>
    </row>
    <row r="53">
      <c r="A53" s="244" t="s">
        <v>9893</v>
      </c>
      <c r="B53" s="245" t="s">
        <v>9894</v>
      </c>
      <c r="C53" s="246" t="s">
        <v>271</v>
      </c>
      <c r="D53" s="247" t="s">
        <v>271</v>
      </c>
      <c r="E53" s="248" t="s">
        <v>271</v>
      </c>
      <c r="F53" s="249" t="s">
        <v>2387</v>
      </c>
      <c r="G53" s="245" t="s">
        <v>3952</v>
      </c>
      <c r="H53" s="286" t="s">
        <v>9895</v>
      </c>
      <c r="I53" s="286" t="s">
        <v>9896</v>
      </c>
      <c r="J53" s="257" t="s">
        <v>9897</v>
      </c>
      <c r="K53" s="257" t="s">
        <v>9898</v>
      </c>
      <c r="L53" s="257" t="s">
        <v>2751</v>
      </c>
      <c r="M53" s="286" t="s">
        <v>9899</v>
      </c>
      <c r="N53" s="257" t="s">
        <v>9900</v>
      </c>
      <c r="O53" s="257" t="s">
        <v>9901</v>
      </c>
      <c r="P53" s="257" t="s">
        <v>1462</v>
      </c>
      <c r="Q53" s="320"/>
      <c r="R53" s="320"/>
      <c r="S53" s="286" t="s">
        <v>9902</v>
      </c>
      <c r="T53" s="320"/>
      <c r="U53" s="286" t="s">
        <v>9903</v>
      </c>
      <c r="V53" s="320"/>
      <c r="W53" s="106"/>
      <c r="X53" s="1165" t="s">
        <v>4081</v>
      </c>
      <c r="Y53" s="278"/>
      <c r="Z53" s="257" t="s">
        <v>9460</v>
      </c>
      <c r="AA53" s="286" t="s">
        <v>665</v>
      </c>
      <c r="AB53" s="257" t="s">
        <v>9904</v>
      </c>
      <c r="AC53" s="257" t="s">
        <v>9905</v>
      </c>
      <c r="AD53" s="257" t="s">
        <v>9906</v>
      </c>
      <c r="AE53" s="320"/>
      <c r="AF53" s="286" t="s">
        <v>1382</v>
      </c>
      <c r="AG53" s="286" t="s">
        <v>2285</v>
      </c>
      <c r="AH53" s="320"/>
      <c r="AI53" s="320"/>
      <c r="AJ53" s="320"/>
      <c r="AK53" s="320"/>
      <c r="AL53" s="105"/>
      <c r="AM53" s="286" t="s">
        <v>9907</v>
      </c>
      <c r="AN53" s="257" t="s">
        <v>9908</v>
      </c>
      <c r="AO53" s="320"/>
      <c r="AP53" s="320"/>
      <c r="AQ53" s="320"/>
      <c r="AR53" s="320"/>
      <c r="AS53" s="320"/>
      <c r="AT53" s="320"/>
      <c r="AU53" s="286" t="s">
        <v>283</v>
      </c>
      <c r="AV53" s="257" t="s">
        <v>3932</v>
      </c>
      <c r="AW53" s="320"/>
      <c r="AX53" s="320"/>
      <c r="AY53" s="320"/>
      <c r="AZ53" s="320"/>
      <c r="BA53" s="320"/>
      <c r="BB53" s="257" t="s">
        <v>4684</v>
      </c>
      <c r="BC53" s="257" t="s">
        <v>2729</v>
      </c>
      <c r="BD53" s="257" t="s">
        <v>2244</v>
      </c>
      <c r="BE53" s="881" t="s">
        <v>9909</v>
      </c>
      <c r="BF53" s="286" t="s">
        <v>7508</v>
      </c>
      <c r="BG53" s="320"/>
      <c r="BH53" s="320"/>
      <c r="BI53" s="257" t="s">
        <v>3085</v>
      </c>
      <c r="BJ53" s="320"/>
      <c r="BK53" s="257" t="s">
        <v>478</v>
      </c>
      <c r="BL53" s="286" t="s">
        <v>9869</v>
      </c>
      <c r="BM53" s="320"/>
      <c r="BN53" s="320"/>
      <c r="BO53" s="320"/>
      <c r="BP53" s="320"/>
      <c r="BQ53" s="824"/>
      <c r="BR53" s="286" t="s">
        <v>7887</v>
      </c>
      <c r="BS53" s="257" t="s">
        <v>9910</v>
      </c>
      <c r="BT53" s="257" t="s">
        <v>9911</v>
      </c>
      <c r="BU53" s="286" t="s">
        <v>4642</v>
      </c>
      <c r="BV53" s="257" t="s">
        <v>6080</v>
      </c>
      <c r="BW53" s="257" t="s">
        <v>799</v>
      </c>
      <c r="BX53" s="320"/>
      <c r="BY53" s="286" t="s">
        <v>9912</v>
      </c>
      <c r="BZ53" s="286" t="s">
        <v>9913</v>
      </c>
      <c r="CA53" s="257" t="s">
        <v>9914</v>
      </c>
      <c r="CB53" s="320"/>
      <c r="CC53" s="320"/>
      <c r="CD53" s="320"/>
      <c r="CE53" s="320"/>
      <c r="CF53" s="824"/>
      <c r="CG53" s="257" t="s">
        <v>4209</v>
      </c>
      <c r="CH53" s="286" t="s">
        <v>4131</v>
      </c>
      <c r="CI53" s="257" t="s">
        <v>2158</v>
      </c>
      <c r="CJ53" s="286" t="s">
        <v>6695</v>
      </c>
      <c r="CK53" s="286"/>
      <c r="CL53" s="286" t="s">
        <v>9193</v>
      </c>
      <c r="CM53" s="286" t="s">
        <v>9915</v>
      </c>
      <c r="CN53" s="257" t="s">
        <v>6668</v>
      </c>
      <c r="CO53" s="286" t="s">
        <v>3567</v>
      </c>
      <c r="CP53" s="320"/>
      <c r="CQ53" s="320"/>
      <c r="CR53" s="320"/>
      <c r="CS53" s="320"/>
      <c r="CT53" s="320"/>
      <c r="CU53" s="106"/>
      <c r="CV53" s="257" t="s">
        <v>761</v>
      </c>
      <c r="CW53" s="286" t="s">
        <v>9694</v>
      </c>
      <c r="CX53" s="257" t="s">
        <v>4074</v>
      </c>
      <c r="CY53" s="257" t="s">
        <v>2916</v>
      </c>
      <c r="CZ53" s="257" t="s">
        <v>9345</v>
      </c>
      <c r="DA53" s="257" t="s">
        <v>3958</v>
      </c>
      <c r="DB53" s="257" t="s">
        <v>9916</v>
      </c>
      <c r="DC53" s="286" t="s">
        <v>9917</v>
      </c>
      <c r="DD53" s="320"/>
      <c r="DE53" s="320"/>
      <c r="DF53" s="320"/>
      <c r="DG53" s="320"/>
      <c r="DH53" s="320"/>
      <c r="DI53" s="286" t="s">
        <v>9918</v>
      </c>
      <c r="DJ53" s="320"/>
      <c r="DK53" s="320"/>
      <c r="DL53" s="320"/>
      <c r="DM53" s="320"/>
      <c r="DN53" s="320"/>
      <c r="DO53" s="286" t="s">
        <v>1680</v>
      </c>
      <c r="DP53" s="286" t="s">
        <v>2200</v>
      </c>
      <c r="DQ53" s="286" t="s">
        <v>9919</v>
      </c>
      <c r="DR53" s="257" t="s">
        <v>2141</v>
      </c>
      <c r="DS53" s="286" t="s">
        <v>3467</v>
      </c>
      <c r="DT53" s="320"/>
      <c r="DU53" s="320"/>
      <c r="DV53" s="320"/>
      <c r="DW53" s="320"/>
      <c r="DX53" s="320"/>
      <c r="DY53" s="320"/>
      <c r="DZ53" s="320"/>
      <c r="EA53" s="320"/>
      <c r="EB53" s="320"/>
      <c r="EC53" s="320"/>
      <c r="ED53" s="862"/>
    </row>
    <row r="54">
      <c r="A54" s="1680" t="s">
        <v>6974</v>
      </c>
      <c r="B54" s="378" t="s">
        <v>9920</v>
      </c>
      <c r="C54" s="379" t="s">
        <v>171</v>
      </c>
      <c r="D54" s="380" t="s">
        <v>171</v>
      </c>
      <c r="E54" s="381" t="s">
        <v>171</v>
      </c>
      <c r="F54" s="382" t="s">
        <v>1911</v>
      </c>
      <c r="G54" s="378" t="s">
        <v>3258</v>
      </c>
      <c r="H54" s="390" t="s">
        <v>1656</v>
      </c>
      <c r="I54" s="390" t="s">
        <v>9921</v>
      </c>
      <c r="J54" s="390" t="s">
        <v>9922</v>
      </c>
      <c r="K54" s="387" t="s">
        <v>8764</v>
      </c>
      <c r="L54" s="775" t="s">
        <v>4774</v>
      </c>
      <c r="M54" s="835"/>
      <c r="N54" s="1704" t="s">
        <v>9923</v>
      </c>
      <c r="O54" s="775" t="s">
        <v>9924</v>
      </c>
      <c r="P54" s="390" t="s">
        <v>1464</v>
      </c>
      <c r="Q54" s="541" t="s">
        <v>9925</v>
      </c>
      <c r="R54" s="384" t="str">
        <f>HYPERLINK("https://www.youtube.com/watch?v=Xf_YQq8wpyU","44.13")</f>
        <v>44.13</v>
      </c>
      <c r="S54" s="775"/>
      <c r="T54" s="835"/>
      <c r="U54" s="835"/>
      <c r="V54" s="835"/>
      <c r="W54" s="106"/>
      <c r="X54" s="395" t="str">
        <f>HYPERLINK("https://clips.twitch.tv/FancyTameQueleaYee","50.06")</f>
        <v>50.06</v>
      </c>
      <c r="Y54" s="397"/>
      <c r="Z54" s="395" t="str">
        <f>HYPERLINK("https://clips.twitch.tv/EnergeticBigCrowPoooound","16.74")</f>
        <v>16.74</v>
      </c>
      <c r="AA54" s="395" t="str">
        <f>HYPERLINK("https://clips.twitch.tv/LachrymoseCheerfulPizzaShadyLulu","14.71")</f>
        <v>14.71</v>
      </c>
      <c r="AB54" s="395" t="str">
        <f>HYPERLINK("https://clips.twitch.tv/ObesePowerfulChickpeaTheThing","44.64")</f>
        <v>44.64</v>
      </c>
      <c r="AC54" s="670" t="s">
        <v>9926</v>
      </c>
      <c r="AD54" s="670" t="s">
        <v>9927</v>
      </c>
      <c r="AE54" s="837"/>
      <c r="AF54" s="670" t="s">
        <v>9928</v>
      </c>
      <c r="AG54" s="670" t="s">
        <v>4823</v>
      </c>
      <c r="AH54" s="837"/>
      <c r="AI54" s="837"/>
      <c r="AJ54" s="837"/>
      <c r="AK54" s="837"/>
      <c r="AL54" s="105"/>
      <c r="AM54" s="839"/>
      <c r="AN54" s="572" t="s">
        <v>685</v>
      </c>
      <c r="AO54" s="839"/>
      <c r="AP54" s="839"/>
      <c r="AQ54" s="839"/>
      <c r="AR54" s="839"/>
      <c r="AS54" s="839"/>
      <c r="AT54" s="839"/>
      <c r="AU54" s="839"/>
      <c r="AV54" s="570" t="s">
        <v>9929</v>
      </c>
      <c r="AW54" s="839"/>
      <c r="AX54" s="406" t="str">
        <f>HYPERLINK("https://youtu.be/6Ivs7QCASPU","42.96")</f>
        <v>42.96</v>
      </c>
      <c r="AY54" s="839"/>
      <c r="AZ54" s="839"/>
      <c r="BA54" s="839"/>
      <c r="BB54" s="581" t="s">
        <v>214</v>
      </c>
      <c r="BC54" s="581" t="s">
        <v>674</v>
      </c>
      <c r="BD54" s="581" t="s">
        <v>2722</v>
      </c>
      <c r="BE54" s="674" t="s">
        <v>3644</v>
      </c>
      <c r="BF54" s="843" t="s">
        <v>9930</v>
      </c>
      <c r="BG54" s="580"/>
      <c r="BH54" s="580"/>
      <c r="BI54" s="581" t="s">
        <v>6607</v>
      </c>
      <c r="BJ54" s="580"/>
      <c r="BK54" s="1705" t="s">
        <v>9725</v>
      </c>
      <c r="BL54" s="414" t="str">
        <f>HYPERLINK("https://www.twitch.tv/kaffelon/clip/WittyHonestRaccoonSmoocherZ?filter=clips&amp;range=all&amp;sort=time","12.53")</f>
        <v>12.53</v>
      </c>
      <c r="BM54" s="580"/>
      <c r="BN54" s="580"/>
      <c r="BO54" s="580"/>
      <c r="BP54" s="580"/>
      <c r="BQ54" s="845"/>
      <c r="BR54" s="589"/>
      <c r="BS54" s="1706" t="s">
        <v>9931</v>
      </c>
      <c r="BT54" s="589" t="s">
        <v>3726</v>
      </c>
      <c r="BU54" s="589" t="s">
        <v>9932</v>
      </c>
      <c r="BV54" s="589" t="s">
        <v>9933</v>
      </c>
      <c r="BW54" s="589" t="s">
        <v>9634</v>
      </c>
      <c r="BX54" s="849"/>
      <c r="BY54" s="849"/>
      <c r="BZ54" s="589" t="s">
        <v>9934</v>
      </c>
      <c r="CA54" s="589" t="s">
        <v>4784</v>
      </c>
      <c r="CB54" s="421" t="str">
        <f>HYPERLINK("https://www.youtube.com/watch?v=PyA-SZuIcJQ","4:26.17")</f>
        <v>4:26.17</v>
      </c>
      <c r="CC54" s="849"/>
      <c r="CD54" s="849"/>
      <c r="CE54" s="849"/>
      <c r="CF54" s="851"/>
      <c r="CG54" s="433" t="s">
        <v>506</v>
      </c>
      <c r="CH54" s="593" t="s">
        <v>1408</v>
      </c>
      <c r="CI54" s="869" t="s">
        <v>9935</v>
      </c>
      <c r="CJ54" s="593" t="s">
        <v>9936</v>
      </c>
      <c r="CK54" s="593"/>
      <c r="CL54" s="593"/>
      <c r="CM54" s="593" t="s">
        <v>9937</v>
      </c>
      <c r="CN54" s="593" t="s">
        <v>9311</v>
      </c>
      <c r="CO54" s="593" t="s">
        <v>3597</v>
      </c>
      <c r="CP54" s="852"/>
      <c r="CQ54" s="852"/>
      <c r="CR54" s="852"/>
      <c r="CS54" s="852"/>
      <c r="CT54" s="852"/>
      <c r="CU54" s="106"/>
      <c r="CV54" s="444" t="str">
        <f>HYPERLINK("https://clips.twitch.tv/TransparentKnottySaladSwiftRage","44.87")</f>
        <v>44.87</v>
      </c>
      <c r="CW54" s="444" t="str">
        <f>HYPERLINK("https://clips.twitch.tv/LongApatheticOrangeSSSsss","12.67")</f>
        <v>12.67</v>
      </c>
      <c r="CX54" s="683" t="s">
        <v>9267</v>
      </c>
      <c r="CY54" s="683" t="s">
        <v>813</v>
      </c>
      <c r="CZ54" s="853"/>
      <c r="DA54" s="444" t="str">
        <f>HYPERLINK("https://clips.twitch.tv/FlaccidProtectiveIcecreamHoneyBadger","27.65")</f>
        <v>27.65</v>
      </c>
      <c r="DB54" s="444" t="str">
        <f>HYPERLINK("https://clips.twitch.tv/ColdDistinctHamPunchTrees","2:17.50")</f>
        <v>2:17.50</v>
      </c>
      <c r="DC54" s="853"/>
      <c r="DD54" s="853"/>
      <c r="DE54" s="853"/>
      <c r="DF54" s="853"/>
      <c r="DG54" s="853"/>
      <c r="DH54" s="853"/>
      <c r="DI54" s="855"/>
      <c r="DJ54" s="855"/>
      <c r="DK54" s="855"/>
      <c r="DL54" s="855"/>
      <c r="DM54" s="1612" t="s">
        <v>516</v>
      </c>
      <c r="DN54" s="855"/>
      <c r="DO54" s="855"/>
      <c r="DP54" s="855"/>
      <c r="DQ54" s="855"/>
      <c r="DR54" s="685" t="s">
        <v>2922</v>
      </c>
      <c r="DS54" s="685"/>
      <c r="DT54" s="855"/>
      <c r="DU54" s="855"/>
      <c r="DV54" s="855"/>
      <c r="DW54" s="855"/>
      <c r="DX54" s="855"/>
      <c r="DY54" s="855"/>
      <c r="DZ54" s="685"/>
      <c r="EA54" s="855"/>
      <c r="EB54" s="855"/>
      <c r="EC54" s="855"/>
      <c r="ED54" s="1039"/>
    </row>
    <row r="55">
      <c r="A55" s="1707" t="s">
        <v>2547</v>
      </c>
      <c r="B55" s="245" t="s">
        <v>9938</v>
      </c>
      <c r="C55" s="246" t="s">
        <v>271</v>
      </c>
      <c r="D55" s="247" t="s">
        <v>271</v>
      </c>
      <c r="E55" s="248" t="s">
        <v>271</v>
      </c>
      <c r="F55" s="249" t="s">
        <v>394</v>
      </c>
      <c r="G55" s="245" t="s">
        <v>9939</v>
      </c>
      <c r="H55" s="351" t="s">
        <v>9940</v>
      </c>
      <c r="I55" s="288" t="s">
        <v>9941</v>
      </c>
      <c r="J55" s="351" t="s">
        <v>9942</v>
      </c>
      <c r="K55" s="351" t="s">
        <v>727</v>
      </c>
      <c r="L55" s="511" t="s">
        <v>9741</v>
      </c>
      <c r="M55" s="351" t="s">
        <v>9943</v>
      </c>
      <c r="N55" s="351" t="s">
        <v>992</v>
      </c>
      <c r="O55" s="351" t="s">
        <v>1097</v>
      </c>
      <c r="P55" s="351" t="s">
        <v>1140</v>
      </c>
      <c r="Q55" s="286" t="s">
        <v>9944</v>
      </c>
      <c r="R55" s="320"/>
      <c r="S55" s="286" t="s">
        <v>1538</v>
      </c>
      <c r="T55" s="320"/>
      <c r="U55" s="286" t="s">
        <v>5932</v>
      </c>
      <c r="V55" s="286" t="s">
        <v>9945</v>
      </c>
      <c r="W55" s="106"/>
      <c r="X55" s="351" t="s">
        <v>4468</v>
      </c>
      <c r="Y55" s="351"/>
      <c r="Z55" s="351" t="s">
        <v>9946</v>
      </c>
      <c r="AA55" s="351" t="s">
        <v>2285</v>
      </c>
      <c r="AB55" s="257" t="s">
        <v>9947</v>
      </c>
      <c r="AC55" s="351" t="s">
        <v>5317</v>
      </c>
      <c r="AD55" s="351" t="s">
        <v>9948</v>
      </c>
      <c r="AE55" s="320"/>
      <c r="AF55" s="351" t="s">
        <v>9949</v>
      </c>
      <c r="AG55" s="351" t="s">
        <v>4609</v>
      </c>
      <c r="AH55" s="286" t="s">
        <v>9950</v>
      </c>
      <c r="AI55" s="320"/>
      <c r="AJ55" s="351" t="s">
        <v>2005</v>
      </c>
      <c r="AK55" s="286" t="s">
        <v>9951</v>
      </c>
      <c r="AL55" s="105"/>
      <c r="AM55" s="351" t="s">
        <v>9749</v>
      </c>
      <c r="AN55" s="351" t="s">
        <v>6879</v>
      </c>
      <c r="AO55" s="286" t="s">
        <v>6839</v>
      </c>
      <c r="AP55" s="320"/>
      <c r="AQ55" s="286"/>
      <c r="AR55" s="286" t="s">
        <v>9952</v>
      </c>
      <c r="AS55" s="320"/>
      <c r="AT55" s="320"/>
      <c r="AU55" s="351" t="s">
        <v>7166</v>
      </c>
      <c r="AV55" s="257" t="s">
        <v>1380</v>
      </c>
      <c r="AW55" s="351" t="s">
        <v>3906</v>
      </c>
      <c r="AX55" s="320"/>
      <c r="AY55" s="286" t="s">
        <v>4437</v>
      </c>
      <c r="AZ55" s="286" t="s">
        <v>9953</v>
      </c>
      <c r="BA55" s="320"/>
      <c r="BB55" s="351" t="s">
        <v>390</v>
      </c>
      <c r="BC55" s="351" t="s">
        <v>9954</v>
      </c>
      <c r="BD55" s="351" t="s">
        <v>9757</v>
      </c>
      <c r="BE55" s="351" t="s">
        <v>3926</v>
      </c>
      <c r="BF55" s="351" t="s">
        <v>9881</v>
      </c>
      <c r="BG55" s="351" t="s">
        <v>9955</v>
      </c>
      <c r="BH55" s="320"/>
      <c r="BI55" s="351" t="s">
        <v>3715</v>
      </c>
      <c r="BJ55" s="286" t="s">
        <v>1210</v>
      </c>
      <c r="BK55" s="881" t="s">
        <v>9725</v>
      </c>
      <c r="BL55" s="351" t="s">
        <v>9956</v>
      </c>
      <c r="BM55" s="286" t="s">
        <v>6674</v>
      </c>
      <c r="BN55" s="320"/>
      <c r="BO55" s="351"/>
      <c r="BP55" s="286" t="s">
        <v>9957</v>
      </c>
      <c r="BQ55" s="824"/>
      <c r="BR55" s="351" t="s">
        <v>9958</v>
      </c>
      <c r="BS55" s="257" t="s">
        <v>6448</v>
      </c>
      <c r="BT55" s="351" t="s">
        <v>9959</v>
      </c>
      <c r="BU55" s="351" t="s">
        <v>4640</v>
      </c>
      <c r="BV55" s="257" t="s">
        <v>8261</v>
      </c>
      <c r="BW55" s="351" t="s">
        <v>9960</v>
      </c>
      <c r="BX55" s="286" t="s">
        <v>9961</v>
      </c>
      <c r="BY55" s="351" t="s">
        <v>7781</v>
      </c>
      <c r="BZ55" s="351" t="s">
        <v>9962</v>
      </c>
      <c r="CA55" s="351" t="s">
        <v>9963</v>
      </c>
      <c r="CB55" s="320"/>
      <c r="CC55" s="286" t="s">
        <v>1804</v>
      </c>
      <c r="CD55" s="286" t="s">
        <v>9796</v>
      </c>
      <c r="CE55" s="1708" t="s">
        <v>6360</v>
      </c>
      <c r="CF55" s="824"/>
      <c r="CG55" s="351" t="s">
        <v>9964</v>
      </c>
      <c r="CH55" s="351" t="s">
        <v>1713</v>
      </c>
      <c r="CI55" s="351" t="s">
        <v>9449</v>
      </c>
      <c r="CJ55" s="257" t="s">
        <v>5111</v>
      </c>
      <c r="CK55" s="278"/>
      <c r="CL55" s="278" t="s">
        <v>780</v>
      </c>
      <c r="CM55" s="351" t="s">
        <v>8315</v>
      </c>
      <c r="CN55" s="351" t="s">
        <v>9965</v>
      </c>
      <c r="CO55" s="351" t="s">
        <v>2171</v>
      </c>
      <c r="CP55" s="758"/>
      <c r="CQ55" s="320"/>
      <c r="CR55" s="320"/>
      <c r="CS55" s="320"/>
      <c r="CT55" s="286" t="s">
        <v>9966</v>
      </c>
      <c r="CU55" s="106"/>
      <c r="CV55" s="351" t="s">
        <v>1271</v>
      </c>
      <c r="CW55" s="351" t="s">
        <v>4870</v>
      </c>
      <c r="CX55" s="257" t="s">
        <v>3794</v>
      </c>
      <c r="CY55" s="351" t="s">
        <v>9889</v>
      </c>
      <c r="CZ55" s="351" t="s">
        <v>9967</v>
      </c>
      <c r="DA55" s="351" t="s">
        <v>6328</v>
      </c>
      <c r="DB55" s="257" t="s">
        <v>9968</v>
      </c>
      <c r="DC55" s="351" t="s">
        <v>1941</v>
      </c>
      <c r="DD55" s="257" t="s">
        <v>3565</v>
      </c>
      <c r="DE55" s="286" t="s">
        <v>7096</v>
      </c>
      <c r="DF55" s="286" t="s">
        <v>9969</v>
      </c>
      <c r="DG55" s="257" t="s">
        <v>9970</v>
      </c>
      <c r="DH55" s="320"/>
      <c r="DI55" s="351" t="s">
        <v>2106</v>
      </c>
      <c r="DJ55" s="320"/>
      <c r="DK55" s="320"/>
      <c r="DL55" s="351"/>
      <c r="DM55" s="351"/>
      <c r="DN55" s="351"/>
      <c r="DO55" s="320"/>
      <c r="DP55" s="320"/>
      <c r="DQ55" s="320"/>
      <c r="DR55" s="351" t="s">
        <v>3464</v>
      </c>
      <c r="DS55" s="351" t="s">
        <v>9971</v>
      </c>
      <c r="DT55" s="320"/>
      <c r="DU55" s="351"/>
      <c r="DV55" s="320"/>
      <c r="DW55" s="320"/>
      <c r="DX55" s="320"/>
      <c r="DY55" s="320"/>
      <c r="DZ55" s="320"/>
      <c r="EA55" s="351"/>
      <c r="EB55" s="320"/>
      <c r="EC55" s="320"/>
      <c r="ED55" s="862"/>
    </row>
    <row r="56">
      <c r="A56" s="1709" t="s">
        <v>9972</v>
      </c>
      <c r="B56" s="378" t="s">
        <v>9973</v>
      </c>
      <c r="C56" s="379" t="s">
        <v>271</v>
      </c>
      <c r="D56" s="380" t="s">
        <v>271</v>
      </c>
      <c r="E56" s="381" t="s">
        <v>271</v>
      </c>
      <c r="F56" s="382" t="s">
        <v>3502</v>
      </c>
      <c r="G56" s="378" t="s">
        <v>3343</v>
      </c>
      <c r="H56" s="390" t="s">
        <v>2735</v>
      </c>
      <c r="I56" s="390" t="s">
        <v>6161</v>
      </c>
      <c r="J56" s="541" t="s">
        <v>600</v>
      </c>
      <c r="K56" s="541" t="s">
        <v>9974</v>
      </c>
      <c r="L56" s="1710" t="str">
        <f>hyperlink("https://www.twitch.tv/videos/642998947","44.64")</f>
        <v>44.64</v>
      </c>
      <c r="M56" s="390" t="s">
        <v>9975</v>
      </c>
      <c r="N56" s="1710" t="str">
        <f>hyperlink("https://www.twitch.tv/videos/642995088","1:11.81")</f>
        <v>1:11.81</v>
      </c>
      <c r="O56" s="390" t="s">
        <v>9387</v>
      </c>
      <c r="P56" s="541" t="s">
        <v>1462</v>
      </c>
      <c r="Q56" s="541" t="s">
        <v>9976</v>
      </c>
      <c r="R56" s="835"/>
      <c r="S56" s="541" t="s">
        <v>8912</v>
      </c>
      <c r="T56" s="541" t="s">
        <v>1640</v>
      </c>
      <c r="U56" s="541" t="s">
        <v>7976</v>
      </c>
      <c r="V56" s="541" t="s">
        <v>9977</v>
      </c>
      <c r="W56" s="106"/>
      <c r="X56" s="670" t="s">
        <v>4066</v>
      </c>
      <c r="Y56" s="670"/>
      <c r="Z56" s="670" t="s">
        <v>9811</v>
      </c>
      <c r="AA56" s="670" t="s">
        <v>665</v>
      </c>
      <c r="AB56" s="395" t="s">
        <v>9978</v>
      </c>
      <c r="AC56" s="670" t="s">
        <v>4096</v>
      </c>
      <c r="AD56" s="670" t="s">
        <v>2319</v>
      </c>
      <c r="AE56" s="399" t="s">
        <v>9979</v>
      </c>
      <c r="AF56" s="399" t="s">
        <v>3412</v>
      </c>
      <c r="AG56" s="670" t="s">
        <v>1908</v>
      </c>
      <c r="AH56" s="837"/>
      <c r="AI56" s="837"/>
      <c r="AJ56" s="837"/>
      <c r="AK56" s="670" t="s">
        <v>3331</v>
      </c>
      <c r="AL56" s="105"/>
      <c r="AM56" s="407" t="s">
        <v>9980</v>
      </c>
      <c r="AN56" s="407" t="s">
        <v>9981</v>
      </c>
      <c r="AO56" s="839"/>
      <c r="AP56" s="839"/>
      <c r="AQ56" s="407" t="s">
        <v>9982</v>
      </c>
      <c r="AR56" s="407" t="s">
        <v>9983</v>
      </c>
      <c r="AS56" s="839"/>
      <c r="AT56" s="570" t="s">
        <v>9984</v>
      </c>
      <c r="AU56" s="570" t="s">
        <v>3833</v>
      </c>
      <c r="AV56" s="407" t="s">
        <v>4239</v>
      </c>
      <c r="AW56" s="839"/>
      <c r="AX56" s="839"/>
      <c r="AY56" s="671" t="s">
        <v>1146</v>
      </c>
      <c r="AZ56" s="839"/>
      <c r="BA56" s="839"/>
      <c r="BB56" s="581" t="s">
        <v>9985</v>
      </c>
      <c r="BC56" s="581" t="s">
        <v>3377</v>
      </c>
      <c r="BD56" s="581" t="s">
        <v>2374</v>
      </c>
      <c r="BE56" s="417" t="s">
        <v>1019</v>
      </c>
      <c r="BF56" s="581" t="s">
        <v>9986</v>
      </c>
      <c r="BG56" s="580"/>
      <c r="BH56" s="580"/>
      <c r="BI56" s="581" t="s">
        <v>752</v>
      </c>
      <c r="BJ56" s="580"/>
      <c r="BK56" s="581" t="s">
        <v>5938</v>
      </c>
      <c r="BL56" s="1228" t="s">
        <v>2213</v>
      </c>
      <c r="BM56" s="580"/>
      <c r="BN56" s="580"/>
      <c r="BO56" s="580"/>
      <c r="BP56" s="580"/>
      <c r="BQ56" s="845"/>
      <c r="BR56" s="589" t="s">
        <v>3254</v>
      </c>
      <c r="BS56" s="589" t="s">
        <v>1967</v>
      </c>
      <c r="BT56" s="589" t="s">
        <v>9987</v>
      </c>
      <c r="BU56" s="1024" t="s">
        <v>556</v>
      </c>
      <c r="BV56" s="589" t="s">
        <v>1744</v>
      </c>
      <c r="BW56" s="422" t="s">
        <v>792</v>
      </c>
      <c r="BX56" s="849"/>
      <c r="BY56" s="849"/>
      <c r="BZ56" s="589" t="s">
        <v>9988</v>
      </c>
      <c r="CA56" s="589" t="s">
        <v>9989</v>
      </c>
      <c r="CB56" s="589" t="s">
        <v>9990</v>
      </c>
      <c r="CC56" s="589" t="s">
        <v>2243</v>
      </c>
      <c r="CD56" s="422" t="s">
        <v>418</v>
      </c>
      <c r="CE56" s="589" t="s">
        <v>9991</v>
      </c>
      <c r="CF56" s="589"/>
      <c r="CG56" s="1692" t="s">
        <v>9695</v>
      </c>
      <c r="CH56" s="1703" t="str">
        <f>hyperlink("https://twitter.com/Reborn_Frog/status/1364932529577357313","28.55")</f>
        <v>28.55</v>
      </c>
      <c r="CI56" s="593" t="s">
        <v>4589</v>
      </c>
      <c r="CJ56" s="593" t="s">
        <v>9992</v>
      </c>
      <c r="CK56" s="593"/>
      <c r="CL56" s="593"/>
      <c r="CM56" s="869" t="s">
        <v>1830</v>
      </c>
      <c r="CN56" s="593" t="s">
        <v>3743</v>
      </c>
      <c r="CO56" s="593" t="s">
        <v>9508</v>
      </c>
      <c r="CP56" s="852"/>
      <c r="CQ56" s="852"/>
      <c r="CR56" s="852"/>
      <c r="CS56" s="593" t="s">
        <v>9770</v>
      </c>
      <c r="CT56" s="852"/>
      <c r="CU56" s="106"/>
      <c r="CV56" s="458" t="s">
        <v>6242</v>
      </c>
      <c r="CW56" s="683" t="s">
        <v>8871</v>
      </c>
      <c r="CX56" s="458" t="s">
        <v>5853</v>
      </c>
      <c r="CY56" s="458" t="s">
        <v>6770</v>
      </c>
      <c r="CZ56" s="853"/>
      <c r="DA56" s="853"/>
      <c r="DB56" s="458" t="s">
        <v>9993</v>
      </c>
      <c r="DC56" s="683" t="s">
        <v>9858</v>
      </c>
      <c r="DD56" s="853"/>
      <c r="DE56" s="853"/>
      <c r="DF56" s="853"/>
      <c r="DG56" s="1606" t="s">
        <v>9675</v>
      </c>
      <c r="DH56" s="1606"/>
      <c r="DI56" s="855"/>
      <c r="DJ56" s="855"/>
      <c r="DK56" s="855"/>
      <c r="DL56" s="686"/>
      <c r="DM56" s="872"/>
      <c r="DN56" s="481" t="s">
        <v>541</v>
      </c>
      <c r="DO56" s="855"/>
      <c r="DP56" s="855"/>
      <c r="DQ56" s="855"/>
      <c r="DR56" s="1701" t="s">
        <v>5266</v>
      </c>
      <c r="DS56" s="1711" t="str">
        <f>hyperlink("https://www.twitch.tv/videos/777078690","31.58")</f>
        <v>31.58</v>
      </c>
      <c r="DT56" s="855"/>
      <c r="DU56" s="855"/>
      <c r="DV56" s="855"/>
      <c r="DW56" s="855"/>
      <c r="DX56" s="855"/>
      <c r="DY56" s="855"/>
      <c r="DZ56" s="855"/>
      <c r="EA56" s="855"/>
      <c r="EB56" s="855"/>
      <c r="EC56" s="855"/>
      <c r="ED56" s="1039"/>
    </row>
    <row r="57">
      <c r="A57" s="1712" t="s">
        <v>9994</v>
      </c>
      <c r="B57" s="245" t="s">
        <v>9995</v>
      </c>
      <c r="C57" s="246" t="s">
        <v>171</v>
      </c>
      <c r="D57" s="247" t="s">
        <v>171</v>
      </c>
      <c r="E57" s="248" t="s">
        <v>271</v>
      </c>
      <c r="F57" s="249" t="s">
        <v>399</v>
      </c>
      <c r="G57" s="245" t="s">
        <v>9219</v>
      </c>
      <c r="H57" s="286" t="s">
        <v>5206</v>
      </c>
      <c r="I57" s="286" t="s">
        <v>4719</v>
      </c>
      <c r="J57" s="286" t="s">
        <v>9996</v>
      </c>
      <c r="K57" s="257" t="s">
        <v>708</v>
      </c>
      <c r="L57" s="286" t="s">
        <v>1083</v>
      </c>
      <c r="M57" s="320"/>
      <c r="N57" s="286" t="s">
        <v>4368</v>
      </c>
      <c r="O57" s="257" t="s">
        <v>9997</v>
      </c>
      <c r="P57" s="286" t="s">
        <v>422</v>
      </c>
      <c r="Q57" s="320"/>
      <c r="R57" s="320"/>
      <c r="S57" s="320"/>
      <c r="T57" s="320"/>
      <c r="U57" s="320"/>
      <c r="V57" s="320"/>
      <c r="W57" s="106"/>
      <c r="X57" s="257" t="s">
        <v>323</v>
      </c>
      <c r="Y57" s="286"/>
      <c r="Z57" s="286" t="s">
        <v>4543</v>
      </c>
      <c r="AA57" s="286" t="s">
        <v>7544</v>
      </c>
      <c r="AB57" s="286" t="s">
        <v>9718</v>
      </c>
      <c r="AC57" s="511" t="s">
        <v>9998</v>
      </c>
      <c r="AD57" s="286" t="s">
        <v>9999</v>
      </c>
      <c r="AE57" s="320"/>
      <c r="AF57" s="286" t="s">
        <v>10000</v>
      </c>
      <c r="AG57" s="286" t="s">
        <v>402</v>
      </c>
      <c r="AH57" s="320"/>
      <c r="AI57" s="320"/>
      <c r="AJ57" s="286" t="s">
        <v>3662</v>
      </c>
      <c r="AK57" s="320"/>
      <c r="AL57" s="105"/>
      <c r="AM57" s="286" t="s">
        <v>6444</v>
      </c>
      <c r="AN57" s="286" t="s">
        <v>10001</v>
      </c>
      <c r="AO57" s="320"/>
      <c r="AP57" s="320"/>
      <c r="AQ57" s="320"/>
      <c r="AR57" s="320"/>
      <c r="AS57" s="320"/>
      <c r="AT57" s="320"/>
      <c r="AU57" s="286" t="s">
        <v>3833</v>
      </c>
      <c r="AV57" s="286" t="s">
        <v>9757</v>
      </c>
      <c r="AW57" s="320"/>
      <c r="AX57" s="320"/>
      <c r="AY57" s="286" t="s">
        <v>3131</v>
      </c>
      <c r="AZ57" s="320"/>
      <c r="BA57" s="320"/>
      <c r="BB57" s="286" t="s">
        <v>8167</v>
      </c>
      <c r="BC57" s="286" t="s">
        <v>8826</v>
      </c>
      <c r="BD57" s="286" t="s">
        <v>9757</v>
      </c>
      <c r="BE57" s="286" t="s">
        <v>4178</v>
      </c>
      <c r="BF57" s="286" t="s">
        <v>3786</v>
      </c>
      <c r="BG57" s="251" t="s">
        <v>1132</v>
      </c>
      <c r="BH57" s="320"/>
      <c r="BI57" s="286" t="s">
        <v>1741</v>
      </c>
      <c r="BJ57" s="286"/>
      <c r="BK57" s="286" t="s">
        <v>6524</v>
      </c>
      <c r="BL57" s="286" t="s">
        <v>2858</v>
      </c>
      <c r="BM57" s="320"/>
      <c r="BN57" s="286" t="s">
        <v>1023</v>
      </c>
      <c r="BO57" s="286" t="s">
        <v>7109</v>
      </c>
      <c r="BP57" s="320"/>
      <c r="BQ57" s="824"/>
      <c r="BR57" s="286" t="s">
        <v>10002</v>
      </c>
      <c r="BS57" s="286" t="s">
        <v>10003</v>
      </c>
      <c r="BT57" s="286" t="s">
        <v>3073</v>
      </c>
      <c r="BU57" s="257" t="s">
        <v>3784</v>
      </c>
      <c r="BV57" s="286" t="s">
        <v>10004</v>
      </c>
      <c r="BW57" s="286" t="s">
        <v>10005</v>
      </c>
      <c r="BX57" s="320"/>
      <c r="BY57" s="320"/>
      <c r="BZ57" s="286" t="s">
        <v>8470</v>
      </c>
      <c r="CA57" s="320"/>
      <c r="CB57" s="320"/>
      <c r="CC57" s="320"/>
      <c r="CD57" s="320"/>
      <c r="CE57" s="320"/>
      <c r="CF57" s="824"/>
      <c r="CG57" s="286" t="s">
        <v>9906</v>
      </c>
      <c r="CH57" s="286" t="s">
        <v>4141</v>
      </c>
      <c r="CI57" s="286" t="s">
        <v>8124</v>
      </c>
      <c r="CJ57" s="286" t="s">
        <v>7098</v>
      </c>
      <c r="CK57" s="286"/>
      <c r="CL57" s="286"/>
      <c r="CM57" s="286" t="s">
        <v>9547</v>
      </c>
      <c r="CN57" s="286" t="s">
        <v>1320</v>
      </c>
      <c r="CO57" s="286" t="s">
        <v>9775</v>
      </c>
      <c r="CP57" s="320"/>
      <c r="CQ57" s="320"/>
      <c r="CR57" s="320"/>
      <c r="CS57" s="320"/>
      <c r="CT57" s="320"/>
      <c r="CU57" s="106"/>
      <c r="CV57" s="286" t="s">
        <v>10006</v>
      </c>
      <c r="CW57" s="286" t="s">
        <v>10007</v>
      </c>
      <c r="CX57" s="286" t="s">
        <v>8659</v>
      </c>
      <c r="CY57" s="286" t="s">
        <v>2423</v>
      </c>
      <c r="CZ57" s="320"/>
      <c r="DA57" s="286" t="s">
        <v>10008</v>
      </c>
      <c r="DB57" s="286" t="s">
        <v>10009</v>
      </c>
      <c r="DC57" s="286" t="s">
        <v>1586</v>
      </c>
      <c r="DD57" s="320"/>
      <c r="DE57" s="320"/>
      <c r="DF57" s="320"/>
      <c r="DG57" s="320"/>
      <c r="DH57" s="320"/>
      <c r="DI57" s="286" t="s">
        <v>10010</v>
      </c>
      <c r="DJ57" s="320"/>
      <c r="DK57" s="320"/>
      <c r="DL57" s="320"/>
      <c r="DM57" s="263" t="s">
        <v>516</v>
      </c>
      <c r="DN57" s="320"/>
      <c r="DO57" s="320"/>
      <c r="DP57" s="320"/>
      <c r="DQ57" s="320"/>
      <c r="DR57" s="286" t="s">
        <v>10011</v>
      </c>
      <c r="DS57" s="286" t="s">
        <v>10012</v>
      </c>
      <c r="DT57" s="320"/>
      <c r="DU57" s="320"/>
      <c r="DV57" s="320"/>
      <c r="DW57" s="320"/>
      <c r="DX57" s="320"/>
      <c r="DY57" s="320"/>
      <c r="DZ57" s="320"/>
      <c r="EA57" s="286" t="s">
        <v>10013</v>
      </c>
      <c r="EB57" s="320"/>
      <c r="EC57" s="320"/>
      <c r="ED57" s="862"/>
    </row>
    <row r="58">
      <c r="A58" s="1713" t="s">
        <v>10014</v>
      </c>
      <c r="B58" s="378" t="s">
        <v>10015</v>
      </c>
      <c r="C58" s="379" t="s">
        <v>271</v>
      </c>
      <c r="D58" s="380" t="s">
        <v>171</v>
      </c>
      <c r="E58" s="381" t="s">
        <v>271</v>
      </c>
      <c r="F58" s="382" t="s">
        <v>567</v>
      </c>
      <c r="G58" s="378" t="s">
        <v>3102</v>
      </c>
      <c r="H58" s="541" t="s">
        <v>9641</v>
      </c>
      <c r="I58" s="541" t="s">
        <v>9941</v>
      </c>
      <c r="J58" s="541" t="s">
        <v>1512</v>
      </c>
      <c r="K58" s="390" t="s">
        <v>10016</v>
      </c>
      <c r="L58" s="541" t="s">
        <v>9428</v>
      </c>
      <c r="M58" s="541" t="s">
        <v>10017</v>
      </c>
      <c r="N58" s="541" t="s">
        <v>9743</v>
      </c>
      <c r="O58" s="390" t="s">
        <v>1126</v>
      </c>
      <c r="P58" s="390" t="s">
        <v>422</v>
      </c>
      <c r="Q58" s="390" t="s">
        <v>10018</v>
      </c>
      <c r="R58" s="835"/>
      <c r="S58" s="541" t="s">
        <v>10019</v>
      </c>
      <c r="T58" s="835"/>
      <c r="U58" s="390" t="s">
        <v>3208</v>
      </c>
      <c r="V58" s="835"/>
      <c r="W58" s="106"/>
      <c r="X58" s="402" t="s">
        <v>10020</v>
      </c>
      <c r="Y58" s="670"/>
      <c r="Z58" s="670" t="s">
        <v>10021</v>
      </c>
      <c r="AA58" s="670" t="s">
        <v>5120</v>
      </c>
      <c r="AB58" s="670" t="s">
        <v>10022</v>
      </c>
      <c r="AC58" s="399" t="s">
        <v>5317</v>
      </c>
      <c r="AD58" s="670" t="s">
        <v>10023</v>
      </c>
      <c r="AE58" s="670" t="s">
        <v>9675</v>
      </c>
      <c r="AF58" s="670" t="s">
        <v>9855</v>
      </c>
      <c r="AG58" s="1287" t="s">
        <v>1908</v>
      </c>
      <c r="AH58" s="1287" t="s">
        <v>9910</v>
      </c>
      <c r="AI58" s="837"/>
      <c r="AJ58" s="670" t="s">
        <v>4215</v>
      </c>
      <c r="AK58" s="837"/>
      <c r="AL58" s="105"/>
      <c r="AM58" s="570" t="s">
        <v>9836</v>
      </c>
      <c r="AN58" s="570" t="s">
        <v>3574</v>
      </c>
      <c r="AO58" s="839"/>
      <c r="AP58" s="839"/>
      <c r="AQ58" s="839"/>
      <c r="AR58" s="570" t="s">
        <v>10024</v>
      </c>
      <c r="AS58" s="570" t="s">
        <v>7358</v>
      </c>
      <c r="AT58" s="839"/>
      <c r="AU58" s="1714" t="s">
        <v>10025</v>
      </c>
      <c r="AV58" s="570" t="s">
        <v>10026</v>
      </c>
      <c r="AW58" s="570" t="s">
        <v>920</v>
      </c>
      <c r="AX58" s="839"/>
      <c r="AY58" s="1714" t="s">
        <v>6994</v>
      </c>
      <c r="AZ58" s="839"/>
      <c r="BA58" s="839"/>
      <c r="BB58" s="581" t="s">
        <v>4689</v>
      </c>
      <c r="BC58" s="581" t="s">
        <v>9724</v>
      </c>
      <c r="BD58" s="581" t="s">
        <v>9868</v>
      </c>
      <c r="BE58" s="581" t="s">
        <v>1049</v>
      </c>
      <c r="BF58" s="417" t="s">
        <v>10027</v>
      </c>
      <c r="BG58" s="417" t="s">
        <v>10028</v>
      </c>
      <c r="BH58" s="580"/>
      <c r="BI58" s="581" t="s">
        <v>10029</v>
      </c>
      <c r="BJ58" s="580"/>
      <c r="BK58" s="581" t="s">
        <v>2992</v>
      </c>
      <c r="BL58" s="581" t="s">
        <v>4451</v>
      </c>
      <c r="BM58" s="580"/>
      <c r="BN58" s="581" t="s">
        <v>991</v>
      </c>
      <c r="BO58" s="581" t="s">
        <v>3771</v>
      </c>
      <c r="BP58" s="581" t="s">
        <v>10030</v>
      </c>
      <c r="BQ58" s="845"/>
      <c r="BR58" s="589" t="s">
        <v>10031</v>
      </c>
      <c r="BS58" s="589" t="s">
        <v>3863</v>
      </c>
      <c r="BT58" s="589" t="s">
        <v>3496</v>
      </c>
      <c r="BU58" s="589" t="s">
        <v>3802</v>
      </c>
      <c r="BV58" s="589" t="s">
        <v>1746</v>
      </c>
      <c r="BW58" s="422" t="s">
        <v>3301</v>
      </c>
      <c r="BX58" s="589" t="s">
        <v>5742</v>
      </c>
      <c r="BY58" s="849"/>
      <c r="BZ58" s="589" t="s">
        <v>10032</v>
      </c>
      <c r="CA58" s="1715" t="s">
        <v>4656</v>
      </c>
      <c r="CB58" s="589" t="s">
        <v>10033</v>
      </c>
      <c r="CC58" s="422" t="s">
        <v>10034</v>
      </c>
      <c r="CD58" s="422" t="s">
        <v>1023</v>
      </c>
      <c r="CE58" s="849"/>
      <c r="CF58" s="851"/>
      <c r="CG58" s="593" t="s">
        <v>6046</v>
      </c>
      <c r="CH58" s="593" t="s">
        <v>724</v>
      </c>
      <c r="CI58" s="593" t="s">
        <v>4168</v>
      </c>
      <c r="CJ58" s="593" t="s">
        <v>5000</v>
      </c>
      <c r="CK58" s="593"/>
      <c r="CL58" s="593" t="s">
        <v>4425</v>
      </c>
      <c r="CM58" s="593" t="s">
        <v>9695</v>
      </c>
      <c r="CN58" s="593" t="s">
        <v>10035</v>
      </c>
      <c r="CO58" s="593" t="s">
        <v>311</v>
      </c>
      <c r="CP58" s="852"/>
      <c r="CQ58" s="593" t="s">
        <v>1161</v>
      </c>
      <c r="CR58" s="852"/>
      <c r="CS58" s="593" t="s">
        <v>1612</v>
      </c>
      <c r="CT58" s="852"/>
      <c r="CU58" s="106"/>
      <c r="CV58" s="683" t="s">
        <v>2642</v>
      </c>
      <c r="CW58" s="683" t="s">
        <v>5633</v>
      </c>
      <c r="CX58" s="683" t="s">
        <v>5358</v>
      </c>
      <c r="CY58" s="683" t="s">
        <v>10036</v>
      </c>
      <c r="CZ58" s="683" t="s">
        <v>10037</v>
      </c>
      <c r="DA58" s="458" t="s">
        <v>462</v>
      </c>
      <c r="DB58" s="683" t="s">
        <v>10038</v>
      </c>
      <c r="DC58" s="683" t="s">
        <v>452</v>
      </c>
      <c r="DD58" s="683" t="s">
        <v>538</v>
      </c>
      <c r="DE58" s="853"/>
      <c r="DF58" s="683" t="s">
        <v>1912</v>
      </c>
      <c r="DG58" s="683" t="s">
        <v>10039</v>
      </c>
      <c r="DH58" s="853"/>
      <c r="DI58" s="685" t="s">
        <v>10040</v>
      </c>
      <c r="DJ58" s="855"/>
      <c r="DK58" s="855"/>
      <c r="DL58" s="855"/>
      <c r="DM58" s="599" t="s">
        <v>516</v>
      </c>
      <c r="DN58" s="685" t="s">
        <v>1453</v>
      </c>
      <c r="DO58" s="685" t="s">
        <v>10041</v>
      </c>
      <c r="DP58" s="855"/>
      <c r="DQ58" s="855"/>
      <c r="DR58" s="685" t="s">
        <v>5259</v>
      </c>
      <c r="DS58" s="685" t="s">
        <v>10042</v>
      </c>
      <c r="DT58" s="855"/>
      <c r="DU58" s="685" t="s">
        <v>10043</v>
      </c>
      <c r="DV58" s="855"/>
      <c r="DW58" s="685" t="s">
        <v>10044</v>
      </c>
      <c r="DX58" s="855"/>
      <c r="DY58" s="685" t="s">
        <v>1421</v>
      </c>
      <c r="DZ58" s="481" t="s">
        <v>3968</v>
      </c>
      <c r="EA58" s="855"/>
      <c r="EB58" s="685" t="s">
        <v>4822</v>
      </c>
      <c r="EC58" s="685" t="s">
        <v>2742</v>
      </c>
      <c r="ED58" s="477" t="s">
        <v>4108</v>
      </c>
    </row>
    <row r="59">
      <c r="A59" s="244" t="s">
        <v>62</v>
      </c>
      <c r="B59" s="245" t="s">
        <v>10045</v>
      </c>
      <c r="C59" s="246" t="s">
        <v>271</v>
      </c>
      <c r="D59" s="247" t="s">
        <v>271</v>
      </c>
      <c r="E59" s="248" t="s">
        <v>271</v>
      </c>
      <c r="F59" s="249" t="s">
        <v>1725</v>
      </c>
      <c r="G59" s="245" t="s">
        <v>10046</v>
      </c>
      <c r="H59" s="257" t="s">
        <v>9847</v>
      </c>
      <c r="I59" s="257" t="s">
        <v>7925</v>
      </c>
      <c r="J59" s="257" t="s">
        <v>10047</v>
      </c>
      <c r="K59" s="257" t="s">
        <v>746</v>
      </c>
      <c r="L59" s="257" t="s">
        <v>1271</v>
      </c>
      <c r="M59" s="881" t="s">
        <v>4529</v>
      </c>
      <c r="N59" s="257" t="s">
        <v>10048</v>
      </c>
      <c r="O59" s="257" t="s">
        <v>9924</v>
      </c>
      <c r="P59" s="257" t="s">
        <v>10049</v>
      </c>
      <c r="Q59" s="320"/>
      <c r="R59" s="320"/>
      <c r="S59" s="881" t="s">
        <v>1527</v>
      </c>
      <c r="T59" s="320"/>
      <c r="U59" s="286" t="s">
        <v>10050</v>
      </c>
      <c r="V59" s="320"/>
      <c r="W59" s="106"/>
      <c r="X59" s="881" t="s">
        <v>10051</v>
      </c>
      <c r="Y59" s="278" t="s">
        <v>3742</v>
      </c>
      <c r="Z59" s="881" t="s">
        <v>9744</v>
      </c>
      <c r="AA59" s="257" t="s">
        <v>2250</v>
      </c>
      <c r="AB59" s="881" t="s">
        <v>834</v>
      </c>
      <c r="AC59" s="881" t="s">
        <v>5305</v>
      </c>
      <c r="AD59" s="257" t="s">
        <v>5625</v>
      </c>
      <c r="AE59" s="320"/>
      <c r="AF59" s="257" t="s">
        <v>7123</v>
      </c>
      <c r="AG59" s="257" t="s">
        <v>10052</v>
      </c>
      <c r="AH59" s="320"/>
      <c r="AI59" s="320"/>
      <c r="AJ59" s="286" t="s">
        <v>3456</v>
      </c>
      <c r="AK59" s="320"/>
      <c r="AL59" s="105"/>
      <c r="AM59" s="286" t="s">
        <v>1171</v>
      </c>
      <c r="AN59" s="881" t="s">
        <v>9814</v>
      </c>
      <c r="AO59" s="1716" t="s">
        <v>2439</v>
      </c>
      <c r="AP59" s="286" t="s">
        <v>10053</v>
      </c>
      <c r="AQ59" s="320"/>
      <c r="AR59" s="320"/>
      <c r="AS59" s="320"/>
      <c r="AT59" s="320"/>
      <c r="AU59" s="881" t="s">
        <v>7836</v>
      </c>
      <c r="AV59" s="881" t="s">
        <v>5327</v>
      </c>
      <c r="AW59" s="286" t="s">
        <v>1783</v>
      </c>
      <c r="AX59" s="320"/>
      <c r="AY59" s="881" t="s">
        <v>1538</v>
      </c>
      <c r="AZ59" s="257" t="s">
        <v>2450</v>
      </c>
      <c r="BA59" s="320"/>
      <c r="BB59" s="257" t="s">
        <v>1782</v>
      </c>
      <c r="BC59" s="257" t="s">
        <v>7798</v>
      </c>
      <c r="BD59" s="257" t="s">
        <v>4296</v>
      </c>
      <c r="BE59" s="881" t="s">
        <v>9997</v>
      </c>
      <c r="BF59" s="257" t="s">
        <v>6083</v>
      </c>
      <c r="BG59" s="286" t="s">
        <v>213</v>
      </c>
      <c r="BH59" s="286" t="s">
        <v>10054</v>
      </c>
      <c r="BI59" s="881" t="s">
        <v>2819</v>
      </c>
      <c r="BJ59" s="286"/>
      <c r="BK59" s="881" t="s">
        <v>2946</v>
      </c>
      <c r="BL59" s="257" t="s">
        <v>4461</v>
      </c>
      <c r="BM59" s="257" t="s">
        <v>10055</v>
      </c>
      <c r="BN59" s="286" t="s">
        <v>2303</v>
      </c>
      <c r="BO59" s="286" t="s">
        <v>6640</v>
      </c>
      <c r="BP59" s="286" t="s">
        <v>3993</v>
      </c>
      <c r="BQ59" s="824"/>
      <c r="BR59" s="257" t="s">
        <v>10056</v>
      </c>
      <c r="BS59" s="257" t="s">
        <v>10057</v>
      </c>
      <c r="BT59" s="257" t="s">
        <v>10058</v>
      </c>
      <c r="BU59" s="881" t="s">
        <v>1181</v>
      </c>
      <c r="BV59" s="257" t="s">
        <v>10059</v>
      </c>
      <c r="BW59" s="257" t="s">
        <v>4594</v>
      </c>
      <c r="BX59" s="286" t="s">
        <v>10060</v>
      </c>
      <c r="BY59" s="286" t="s">
        <v>10061</v>
      </c>
      <c r="BZ59" s="257" t="s">
        <v>10062</v>
      </c>
      <c r="CA59" s="257" t="s">
        <v>10063</v>
      </c>
      <c r="CB59" s="257" t="s">
        <v>10064</v>
      </c>
      <c r="CC59" s="257" t="s">
        <v>1562</v>
      </c>
      <c r="CD59" s="257" t="s">
        <v>10065</v>
      </c>
      <c r="CE59" s="320"/>
      <c r="CF59" s="824"/>
      <c r="CG59" s="881" t="s">
        <v>5914</v>
      </c>
      <c r="CH59" s="257" t="s">
        <v>9596</v>
      </c>
      <c r="CI59" s="286" t="s">
        <v>4532</v>
      </c>
      <c r="CJ59" s="286" t="s">
        <v>6141</v>
      </c>
      <c r="CK59" s="286" t="s">
        <v>6441</v>
      </c>
      <c r="CL59" s="286" t="s">
        <v>10007</v>
      </c>
      <c r="CM59" s="286" t="s">
        <v>10066</v>
      </c>
      <c r="CN59" s="881" t="s">
        <v>10067</v>
      </c>
      <c r="CO59" s="286" t="s">
        <v>5508</v>
      </c>
      <c r="CP59" s="286" t="s">
        <v>8446</v>
      </c>
      <c r="CQ59" s="257" t="s">
        <v>10068</v>
      </c>
      <c r="CR59" s="320"/>
      <c r="CS59" s="257" t="s">
        <v>10069</v>
      </c>
      <c r="CT59" s="320"/>
      <c r="CU59" s="106"/>
      <c r="CV59" s="286" t="s">
        <v>3547</v>
      </c>
      <c r="CW59" s="257" t="s">
        <v>7340</v>
      </c>
      <c r="CX59" s="881" t="s">
        <v>5278</v>
      </c>
      <c r="CY59" s="881" t="s">
        <v>816</v>
      </c>
      <c r="CZ59" s="286" t="s">
        <v>10070</v>
      </c>
      <c r="DA59" s="881" t="s">
        <v>1713</v>
      </c>
      <c r="DB59" s="1717" t="s">
        <v>10071</v>
      </c>
      <c r="DC59" s="257" t="s">
        <v>5478</v>
      </c>
      <c r="DD59" s="320"/>
      <c r="DE59" s="881" t="s">
        <v>2005</v>
      </c>
      <c r="DF59" s="286" t="s">
        <v>6245</v>
      </c>
      <c r="DG59" s="320"/>
      <c r="DH59" s="320"/>
      <c r="DI59" s="286" t="s">
        <v>3633</v>
      </c>
      <c r="DJ59" s="320"/>
      <c r="DK59" s="286"/>
      <c r="DL59" s="320"/>
      <c r="DM59" s="257" t="s">
        <v>1710</v>
      </c>
      <c r="DN59" s="286" t="s">
        <v>8671</v>
      </c>
      <c r="DO59" s="881" t="s">
        <v>10072</v>
      </c>
      <c r="DP59" s="286" t="s">
        <v>1346</v>
      </c>
      <c r="DQ59" s="320"/>
      <c r="DR59" s="286" t="s">
        <v>6693</v>
      </c>
      <c r="DS59" s="286" t="s">
        <v>10073</v>
      </c>
      <c r="DT59" s="286" t="s">
        <v>1419</v>
      </c>
      <c r="DU59" s="257" t="s">
        <v>10074</v>
      </c>
      <c r="DV59" s="286" t="s">
        <v>3239</v>
      </c>
      <c r="DW59" s="511" t="s">
        <v>10044</v>
      </c>
      <c r="DX59" s="320"/>
      <c r="DY59" s="511" t="s">
        <v>884</v>
      </c>
      <c r="DZ59" s="286" t="s">
        <v>9586</v>
      </c>
      <c r="EA59" s="286" t="s">
        <v>10075</v>
      </c>
      <c r="EB59" s="881" t="s">
        <v>1667</v>
      </c>
      <c r="EC59" s="881" t="s">
        <v>10076</v>
      </c>
      <c r="ED59" s="862" t="s">
        <v>10077</v>
      </c>
    </row>
    <row r="60">
      <c r="A60" s="1718" t="s">
        <v>3549</v>
      </c>
      <c r="B60" s="378" t="s">
        <v>10078</v>
      </c>
      <c r="C60" s="379" t="s">
        <v>271</v>
      </c>
      <c r="D60" s="380" t="s">
        <v>271</v>
      </c>
      <c r="E60" s="381" t="s">
        <v>271</v>
      </c>
      <c r="F60" s="382" t="s">
        <v>8701</v>
      </c>
      <c r="G60" s="378" t="s">
        <v>3910</v>
      </c>
      <c r="H60" s="390" t="s">
        <v>10079</v>
      </c>
      <c r="I60" s="390" t="s">
        <v>6456</v>
      </c>
      <c r="J60" s="390" t="s">
        <v>10080</v>
      </c>
      <c r="K60" s="390" t="s">
        <v>727</v>
      </c>
      <c r="L60" s="390" t="s">
        <v>887</v>
      </c>
      <c r="M60" s="390" t="s">
        <v>10081</v>
      </c>
      <c r="N60" s="390" t="s">
        <v>420</v>
      </c>
      <c r="O60" s="390" t="s">
        <v>10082</v>
      </c>
      <c r="P60" s="390" t="s">
        <v>10083</v>
      </c>
      <c r="Q60" s="541" t="s">
        <v>10084</v>
      </c>
      <c r="R60" s="835"/>
      <c r="S60" s="390" t="s">
        <v>1532</v>
      </c>
      <c r="T60" s="835"/>
      <c r="U60" s="390" t="s">
        <v>6597</v>
      </c>
      <c r="V60" s="541" t="s">
        <v>10085</v>
      </c>
      <c r="W60" s="106"/>
      <c r="X60" s="399" t="s">
        <v>9641</v>
      </c>
      <c r="Y60" s="908"/>
      <c r="Z60" s="399" t="s">
        <v>2240</v>
      </c>
      <c r="AA60" s="399" t="s">
        <v>8387</v>
      </c>
      <c r="AB60" s="399" t="s">
        <v>9978</v>
      </c>
      <c r="AC60" s="399" t="s">
        <v>9905</v>
      </c>
      <c r="AD60" s="399" t="s">
        <v>9885</v>
      </c>
      <c r="AE60" s="402"/>
      <c r="AF60" s="399" t="s">
        <v>9949</v>
      </c>
      <c r="AG60" s="399" t="s">
        <v>1908</v>
      </c>
      <c r="AH60" s="837"/>
      <c r="AI60" s="837"/>
      <c r="AJ60" s="399" t="s">
        <v>2764</v>
      </c>
      <c r="AK60" s="670" t="s">
        <v>10086</v>
      </c>
      <c r="AL60" s="105"/>
      <c r="AM60" s="839"/>
      <c r="AN60" s="407" t="s">
        <v>10087</v>
      </c>
      <c r="AO60" s="839"/>
      <c r="AP60" s="407" t="s">
        <v>3680</v>
      </c>
      <c r="AQ60" s="570" t="s">
        <v>3720</v>
      </c>
      <c r="AR60" s="570"/>
      <c r="AS60" s="570" t="s">
        <v>10088</v>
      </c>
      <c r="AT60" s="570" t="s">
        <v>388</v>
      </c>
      <c r="AU60" s="407" t="s">
        <v>3888</v>
      </c>
      <c r="AV60" s="407" t="s">
        <v>2244</v>
      </c>
      <c r="AW60" s="839"/>
      <c r="AX60" s="839"/>
      <c r="AY60" s="407" t="s">
        <v>3076</v>
      </c>
      <c r="AZ60" s="570" t="s">
        <v>10089</v>
      </c>
      <c r="BA60" s="570"/>
      <c r="BB60" s="417" t="s">
        <v>9639</v>
      </c>
      <c r="BC60" s="417" t="s">
        <v>9386</v>
      </c>
      <c r="BD60" s="417" t="s">
        <v>4136</v>
      </c>
      <c r="BE60" s="579" t="s">
        <v>1659</v>
      </c>
      <c r="BF60" s="417" t="s">
        <v>2881</v>
      </c>
      <c r="BG60" s="417" t="s">
        <v>386</v>
      </c>
      <c r="BH60" s="580"/>
      <c r="BI60" s="417" t="s">
        <v>1117</v>
      </c>
      <c r="BJ60" s="417" t="s">
        <v>247</v>
      </c>
      <c r="BK60" s="417" t="s">
        <v>4362</v>
      </c>
      <c r="BL60" s="417" t="s">
        <v>4478</v>
      </c>
      <c r="BM60" s="580"/>
      <c r="BN60" s="417" t="s">
        <v>10090</v>
      </c>
      <c r="BO60" s="417" t="s">
        <v>4514</v>
      </c>
      <c r="BP60" s="580"/>
      <c r="BQ60" s="845"/>
      <c r="BR60" s="422" t="s">
        <v>10091</v>
      </c>
      <c r="BS60" s="422" t="s">
        <v>3929</v>
      </c>
      <c r="BT60" s="422" t="s">
        <v>3726</v>
      </c>
      <c r="BU60" s="422" t="s">
        <v>10092</v>
      </c>
      <c r="BV60" s="422" t="s">
        <v>4377</v>
      </c>
      <c r="BW60" s="422" t="s">
        <v>4753</v>
      </c>
      <c r="BX60" s="849"/>
      <c r="BY60" s="422" t="s">
        <v>10093</v>
      </c>
      <c r="BZ60" s="422" t="s">
        <v>7738</v>
      </c>
      <c r="CA60" s="422" t="s">
        <v>5466</v>
      </c>
      <c r="CB60" s="422" t="s">
        <v>10094</v>
      </c>
      <c r="CC60" s="422" t="s">
        <v>4851</v>
      </c>
      <c r="CD60" s="422" t="s">
        <v>3990</v>
      </c>
      <c r="CE60" s="589" t="s">
        <v>10095</v>
      </c>
      <c r="CF60" s="589"/>
      <c r="CG60" s="433" t="s">
        <v>2589</v>
      </c>
      <c r="CH60" s="433" t="s">
        <v>1380</v>
      </c>
      <c r="CI60" s="433" t="s">
        <v>3151</v>
      </c>
      <c r="CJ60" s="433" t="s">
        <v>10096</v>
      </c>
      <c r="CK60" s="869"/>
      <c r="CL60" s="433" t="s">
        <v>8760</v>
      </c>
      <c r="CM60" s="433" t="s">
        <v>2993</v>
      </c>
      <c r="CN60" s="433" t="s">
        <v>4781</v>
      </c>
      <c r="CO60" s="433" t="s">
        <v>4598</v>
      </c>
      <c r="CP60" s="852"/>
      <c r="CQ60" s="852"/>
      <c r="CR60" s="593"/>
      <c r="CS60" s="433" t="s">
        <v>2552</v>
      </c>
      <c r="CT60" s="852"/>
      <c r="CU60" s="106"/>
      <c r="CV60" s="458" t="s">
        <v>3951</v>
      </c>
      <c r="CW60" s="458" t="s">
        <v>780</v>
      </c>
      <c r="CX60" s="458" t="s">
        <v>2684</v>
      </c>
      <c r="CY60" s="458" t="s">
        <v>6908</v>
      </c>
      <c r="CZ60" s="458" t="s">
        <v>10097</v>
      </c>
      <c r="DA60" s="683" t="s">
        <v>4187</v>
      </c>
      <c r="DB60" s="458" t="s">
        <v>10098</v>
      </c>
      <c r="DC60" s="458" t="s">
        <v>3888</v>
      </c>
      <c r="DD60" s="853"/>
      <c r="DE60" s="853"/>
      <c r="DF60" s="853"/>
      <c r="DG60" s="683" t="s">
        <v>8450</v>
      </c>
      <c r="DH60" s="683"/>
      <c r="DI60" s="481" t="s">
        <v>9569</v>
      </c>
      <c r="DJ60" s="855"/>
      <c r="DK60" s="855"/>
      <c r="DL60" s="855"/>
      <c r="DM60" s="481" t="s">
        <v>1710</v>
      </c>
      <c r="DN60" s="855"/>
      <c r="DO60" s="855"/>
      <c r="DP60" s="481" t="s">
        <v>3767</v>
      </c>
      <c r="DQ60" s="855"/>
      <c r="DR60" s="481" t="s">
        <v>7029</v>
      </c>
      <c r="DS60" s="688" t="s">
        <v>9304</v>
      </c>
      <c r="DT60" s="685" t="s">
        <v>10099</v>
      </c>
      <c r="DU60" s="855"/>
      <c r="DV60" s="855"/>
      <c r="DW60" s="481" t="s">
        <v>6586</v>
      </c>
      <c r="DX60" s="855"/>
      <c r="DY60" s="855"/>
      <c r="DZ60" s="855"/>
      <c r="EA60" s="481" t="s">
        <v>10100</v>
      </c>
      <c r="EB60" s="855"/>
      <c r="EC60" s="481" t="s">
        <v>10101</v>
      </c>
      <c r="ED60" s="473" t="s">
        <v>10102</v>
      </c>
    </row>
    <row r="61">
      <c r="A61" s="1719" t="s">
        <v>10103</v>
      </c>
      <c r="B61" s="245" t="s">
        <v>10104</v>
      </c>
      <c r="C61" s="246" t="s">
        <v>271</v>
      </c>
      <c r="D61" s="247" t="s">
        <v>271</v>
      </c>
      <c r="E61" s="248" t="s">
        <v>271</v>
      </c>
      <c r="F61" s="249" t="s">
        <v>567</v>
      </c>
      <c r="G61" s="245" t="s">
        <v>569</v>
      </c>
      <c r="H61" s="286" t="s">
        <v>10105</v>
      </c>
      <c r="I61" s="286" t="s">
        <v>8177</v>
      </c>
      <c r="J61" s="286" t="s">
        <v>10106</v>
      </c>
      <c r="K61" s="257" t="s">
        <v>9568</v>
      </c>
      <c r="L61" s="257" t="s">
        <v>881</v>
      </c>
      <c r="M61" s="286" t="s">
        <v>10107</v>
      </c>
      <c r="N61" s="257" t="s">
        <v>10108</v>
      </c>
      <c r="O61" s="286" t="s">
        <v>1659</v>
      </c>
      <c r="P61" s="286" t="s">
        <v>4600</v>
      </c>
      <c r="Q61" s="511" t="s">
        <v>10109</v>
      </c>
      <c r="R61" s="257" t="s">
        <v>10110</v>
      </c>
      <c r="S61" s="286" t="s">
        <v>10111</v>
      </c>
      <c r="T61" s="286" t="s">
        <v>5363</v>
      </c>
      <c r="U61" s="257" t="s">
        <v>6095</v>
      </c>
      <c r="V61" s="511" t="s">
        <v>10112</v>
      </c>
      <c r="W61" s="394"/>
      <c r="X61" s="286" t="s">
        <v>10113</v>
      </c>
      <c r="Y61" s="286"/>
      <c r="Z61" s="286" t="s">
        <v>10114</v>
      </c>
      <c r="AA61" s="286" t="s">
        <v>10115</v>
      </c>
      <c r="AB61" s="286" t="s">
        <v>3614</v>
      </c>
      <c r="AC61" s="286" t="s">
        <v>10116</v>
      </c>
      <c r="AD61" s="286" t="s">
        <v>6101</v>
      </c>
      <c r="AE61" s="286" t="s">
        <v>7129</v>
      </c>
      <c r="AF61" s="286" t="s">
        <v>3050</v>
      </c>
      <c r="AG61" s="286" t="s">
        <v>2086</v>
      </c>
      <c r="AH61" s="286" t="s">
        <v>10050</v>
      </c>
      <c r="AI61" s="286" t="s">
        <v>9796</v>
      </c>
      <c r="AJ61" s="286" t="s">
        <v>9698</v>
      </c>
      <c r="AK61" s="286" t="s">
        <v>3582</v>
      </c>
      <c r="AL61" s="105"/>
      <c r="AM61" s="286" t="s">
        <v>6379</v>
      </c>
      <c r="AN61" s="286" t="s">
        <v>4792</v>
      </c>
      <c r="AO61" s="286" t="s">
        <v>10117</v>
      </c>
      <c r="AP61" s="286" t="s">
        <v>5228</v>
      </c>
      <c r="AQ61" s="286" t="s">
        <v>10118</v>
      </c>
      <c r="AR61" s="286" t="s">
        <v>10119</v>
      </c>
      <c r="AS61" s="286" t="s">
        <v>10120</v>
      </c>
      <c r="AT61" s="286"/>
      <c r="AU61" s="286" t="s">
        <v>10121</v>
      </c>
      <c r="AV61" s="257" t="s">
        <v>10122</v>
      </c>
      <c r="AW61" s="286" t="s">
        <v>966</v>
      </c>
      <c r="AX61" s="286"/>
      <c r="AY61" s="286" t="s">
        <v>3559</v>
      </c>
      <c r="AZ61" s="286" t="s">
        <v>10123</v>
      </c>
      <c r="BA61" s="286"/>
      <c r="BB61" s="286" t="s">
        <v>1723</v>
      </c>
      <c r="BC61" s="257" t="s">
        <v>522</v>
      </c>
      <c r="BD61" s="257" t="s">
        <v>9121</v>
      </c>
      <c r="BE61" s="286" t="s">
        <v>10124</v>
      </c>
      <c r="BF61" s="286" t="s">
        <v>10125</v>
      </c>
      <c r="BG61" s="286" t="s">
        <v>4462</v>
      </c>
      <c r="BH61" s="286" t="s">
        <v>10126</v>
      </c>
      <c r="BI61" s="257" t="s">
        <v>5483</v>
      </c>
      <c r="BJ61" s="286" t="s">
        <v>3023</v>
      </c>
      <c r="BK61" s="286" t="s">
        <v>10127</v>
      </c>
      <c r="BL61" s="286" t="s">
        <v>10128</v>
      </c>
      <c r="BM61" s="286"/>
      <c r="BN61" s="257" t="s">
        <v>3985</v>
      </c>
      <c r="BO61" s="286" t="s">
        <v>4515</v>
      </c>
      <c r="BP61" s="286" t="s">
        <v>9855</v>
      </c>
      <c r="BQ61" s="286"/>
      <c r="BR61" s="257" t="s">
        <v>5229</v>
      </c>
      <c r="BS61" s="286" t="s">
        <v>10129</v>
      </c>
      <c r="BT61" s="286" t="s">
        <v>10130</v>
      </c>
      <c r="BU61" s="286" t="s">
        <v>185</v>
      </c>
      <c r="BV61" s="286" t="s">
        <v>6399</v>
      </c>
      <c r="BW61" s="286" t="s">
        <v>10131</v>
      </c>
      <c r="BX61" s="286" t="s">
        <v>5742</v>
      </c>
      <c r="BY61" s="286" t="s">
        <v>10132</v>
      </c>
      <c r="BZ61" s="286" t="s">
        <v>9800</v>
      </c>
      <c r="CA61" s="286" t="s">
        <v>10133</v>
      </c>
      <c r="CB61" s="286" t="s">
        <v>9354</v>
      </c>
      <c r="CC61" s="286" t="s">
        <v>3884</v>
      </c>
      <c r="CD61" s="286" t="s">
        <v>1968</v>
      </c>
      <c r="CE61" s="286" t="s">
        <v>10134</v>
      </c>
      <c r="CF61" s="286"/>
      <c r="CG61" s="286" t="s">
        <v>3709</v>
      </c>
      <c r="CH61" s="511" t="s">
        <v>865</v>
      </c>
      <c r="CI61" s="286" t="s">
        <v>6328</v>
      </c>
      <c r="CJ61" s="286" t="s">
        <v>9685</v>
      </c>
      <c r="CK61" s="286"/>
      <c r="CL61" s="286" t="s">
        <v>10135</v>
      </c>
      <c r="CM61" s="286" t="s">
        <v>2066</v>
      </c>
      <c r="CN61" s="286" t="s">
        <v>2301</v>
      </c>
      <c r="CO61" s="286" t="s">
        <v>3579</v>
      </c>
      <c r="CP61" s="286" t="s">
        <v>1062</v>
      </c>
      <c r="CQ61" s="257" t="s">
        <v>801</v>
      </c>
      <c r="CR61" s="286"/>
      <c r="CS61" s="286" t="s">
        <v>10136</v>
      </c>
      <c r="CT61" s="286" t="s">
        <v>5356</v>
      </c>
      <c r="CU61" s="106"/>
      <c r="CV61" s="286" t="s">
        <v>10137</v>
      </c>
      <c r="CW61" s="286" t="s">
        <v>5280</v>
      </c>
      <c r="CX61" s="257" t="s">
        <v>549</v>
      </c>
      <c r="CY61" s="286" t="s">
        <v>4793</v>
      </c>
      <c r="CZ61" s="511" t="s">
        <v>9999</v>
      </c>
      <c r="DA61" s="286" t="s">
        <v>10138</v>
      </c>
      <c r="DB61" s="881" t="s">
        <v>9318</v>
      </c>
      <c r="DC61" s="257" t="s">
        <v>7361</v>
      </c>
      <c r="DD61" s="286" t="s">
        <v>7071</v>
      </c>
      <c r="DE61" s="286" t="s">
        <v>6658</v>
      </c>
      <c r="DF61" s="286" t="s">
        <v>4366</v>
      </c>
      <c r="DG61" s="286" t="s">
        <v>10139</v>
      </c>
      <c r="DH61" s="286"/>
      <c r="DI61" s="286" t="s">
        <v>10140</v>
      </c>
      <c r="DJ61" s="286"/>
      <c r="DK61" s="286" t="s">
        <v>10141</v>
      </c>
      <c r="DL61" s="286" t="s">
        <v>10142</v>
      </c>
      <c r="DM61" s="286" t="s">
        <v>2522</v>
      </c>
      <c r="DN61" s="286" t="s">
        <v>10143</v>
      </c>
      <c r="DO61" s="286" t="s">
        <v>545</v>
      </c>
      <c r="DP61" s="286" t="s">
        <v>10144</v>
      </c>
      <c r="DQ61" s="286" t="s">
        <v>2154</v>
      </c>
      <c r="DR61" s="286" t="s">
        <v>6107</v>
      </c>
      <c r="DS61" s="286" t="s">
        <v>2048</v>
      </c>
      <c r="DT61" s="286" t="s">
        <v>669</v>
      </c>
      <c r="DU61" s="286" t="s">
        <v>6328</v>
      </c>
      <c r="DV61" s="286" t="s">
        <v>9794</v>
      </c>
      <c r="DW61" s="286" t="s">
        <v>7398</v>
      </c>
      <c r="DX61" s="286" t="s">
        <v>10145</v>
      </c>
      <c r="DY61" s="286" t="s">
        <v>961</v>
      </c>
      <c r="DZ61" s="286" t="s">
        <v>1155</v>
      </c>
      <c r="EA61" s="286" t="s">
        <v>1443</v>
      </c>
      <c r="EB61" s="286" t="s">
        <v>10146</v>
      </c>
      <c r="EC61" s="286" t="s">
        <v>1117</v>
      </c>
      <c r="ED61" s="862" t="s">
        <v>10147</v>
      </c>
    </row>
    <row r="62">
      <c r="A62" s="540" t="s">
        <v>6832</v>
      </c>
      <c r="B62" s="378" t="s">
        <v>10148</v>
      </c>
      <c r="C62" s="379" t="s">
        <v>271</v>
      </c>
      <c r="D62" s="380" t="s">
        <v>271</v>
      </c>
      <c r="E62" s="381" t="s">
        <v>271</v>
      </c>
      <c r="F62" s="382" t="s">
        <v>274</v>
      </c>
      <c r="G62" s="378" t="s">
        <v>10149</v>
      </c>
      <c r="H62" s="832" t="s">
        <v>1726</v>
      </c>
      <c r="I62" s="832" t="s">
        <v>6917</v>
      </c>
      <c r="J62" s="832" t="s">
        <v>10150</v>
      </c>
      <c r="K62" s="832" t="s">
        <v>714</v>
      </c>
      <c r="L62" s="832" t="s">
        <v>3240</v>
      </c>
      <c r="M62" s="832" t="s">
        <v>10151</v>
      </c>
      <c r="N62" s="832" t="s">
        <v>10152</v>
      </c>
      <c r="O62" s="832" t="s">
        <v>1528</v>
      </c>
      <c r="P62" s="832" t="s">
        <v>10083</v>
      </c>
      <c r="Q62" s="832"/>
      <c r="R62" s="832" t="s">
        <v>4028</v>
      </c>
      <c r="S62" s="832" t="s">
        <v>10090</v>
      </c>
      <c r="T62" s="832" t="s">
        <v>5108</v>
      </c>
      <c r="U62" s="832" t="s">
        <v>7291</v>
      </c>
      <c r="V62" s="832" t="s">
        <v>1956</v>
      </c>
      <c r="W62" s="1720"/>
      <c r="X62" s="669" t="s">
        <v>9769</v>
      </c>
      <c r="Y62" s="669"/>
      <c r="Z62" s="669" t="s">
        <v>4298</v>
      </c>
      <c r="AA62" s="669" t="s">
        <v>1872</v>
      </c>
      <c r="AB62" s="669" t="s">
        <v>10153</v>
      </c>
      <c r="AC62" s="1721" t="s">
        <v>10154</v>
      </c>
      <c r="AD62" s="669" t="s">
        <v>6688</v>
      </c>
      <c r="AE62" s="669" t="s">
        <v>906</v>
      </c>
      <c r="AF62" s="399" t="s">
        <v>6821</v>
      </c>
      <c r="AG62" s="669" t="s">
        <v>10155</v>
      </c>
      <c r="AH62" s="669" t="s">
        <v>10156</v>
      </c>
      <c r="AI62" s="1722"/>
      <c r="AJ62" s="1722"/>
      <c r="AK62" s="669" t="s">
        <v>3781</v>
      </c>
      <c r="AL62" s="1723"/>
      <c r="AM62" s="671" t="s">
        <v>9499</v>
      </c>
      <c r="AN62" s="671" t="s">
        <v>5626</v>
      </c>
      <c r="AO62" s="671" t="s">
        <v>10157</v>
      </c>
      <c r="AP62" s="671" t="s">
        <v>10158</v>
      </c>
      <c r="AQ62" s="671" t="s">
        <v>10159</v>
      </c>
      <c r="AR62" s="671" t="s">
        <v>5326</v>
      </c>
      <c r="AS62" s="671" t="s">
        <v>9869</v>
      </c>
      <c r="AT62" s="1724"/>
      <c r="AU62" s="671" t="s">
        <v>10160</v>
      </c>
      <c r="AV62" s="671" t="s">
        <v>4131</v>
      </c>
      <c r="AW62" s="671" t="s">
        <v>8440</v>
      </c>
      <c r="AX62" s="1724"/>
      <c r="AY62" s="671" t="s">
        <v>1229</v>
      </c>
      <c r="AZ62" s="671" t="s">
        <v>10161</v>
      </c>
      <c r="BA62" s="671"/>
      <c r="BB62" s="579" t="s">
        <v>10162</v>
      </c>
      <c r="BC62" s="579" t="s">
        <v>874</v>
      </c>
      <c r="BD62" s="579" t="s">
        <v>2819</v>
      </c>
      <c r="BE62" s="579" t="s">
        <v>10163</v>
      </c>
      <c r="BF62" s="579" t="s">
        <v>6083</v>
      </c>
      <c r="BG62" s="579" t="s">
        <v>2678</v>
      </c>
      <c r="BH62" s="579" t="s">
        <v>10164</v>
      </c>
      <c r="BI62" s="579" t="s">
        <v>3715</v>
      </c>
      <c r="BJ62" s="579" t="s">
        <v>5986</v>
      </c>
      <c r="BK62" s="579" t="s">
        <v>10165</v>
      </c>
      <c r="BL62" s="579" t="s">
        <v>4457</v>
      </c>
      <c r="BM62" s="1725"/>
      <c r="BN62" s="579" t="s">
        <v>1019</v>
      </c>
      <c r="BO62" s="579" t="s">
        <v>6779</v>
      </c>
      <c r="BP62" s="579" t="s">
        <v>4776</v>
      </c>
      <c r="BQ62" s="579"/>
      <c r="BR62" s="1024" t="s">
        <v>1043</v>
      </c>
      <c r="BS62" s="422" t="s">
        <v>711</v>
      </c>
      <c r="BT62" s="1024" t="s">
        <v>8912</v>
      </c>
      <c r="BU62" s="1024" t="s">
        <v>10166</v>
      </c>
      <c r="BV62" s="1024" t="s">
        <v>10167</v>
      </c>
      <c r="BW62" s="1024" t="s">
        <v>10168</v>
      </c>
      <c r="BX62" s="1024" t="s">
        <v>10169</v>
      </c>
      <c r="BY62" s="1024"/>
      <c r="BZ62" s="1024" t="s">
        <v>3699</v>
      </c>
      <c r="CA62" s="1024" t="s">
        <v>5361</v>
      </c>
      <c r="CB62" s="1024" t="s">
        <v>10170</v>
      </c>
      <c r="CC62" s="1024" t="s">
        <v>10171</v>
      </c>
      <c r="CD62" s="1024" t="s">
        <v>10172</v>
      </c>
      <c r="CE62" s="1024" t="s">
        <v>10173</v>
      </c>
      <c r="CF62" s="1024"/>
      <c r="CG62" s="1154" t="s">
        <v>3128</v>
      </c>
      <c r="CH62" s="1154" t="s">
        <v>8875</v>
      </c>
      <c r="CI62" s="1154" t="s">
        <v>10174</v>
      </c>
      <c r="CJ62" s="1154" t="s">
        <v>2483</v>
      </c>
      <c r="CK62" s="1154" t="s">
        <v>10175</v>
      </c>
      <c r="CL62" s="1154" t="s">
        <v>10176</v>
      </c>
      <c r="CM62" s="1154" t="s">
        <v>10177</v>
      </c>
      <c r="CN62" s="1154" t="s">
        <v>1783</v>
      </c>
      <c r="CO62" s="1154" t="s">
        <v>10049</v>
      </c>
      <c r="CP62" s="1726"/>
      <c r="CQ62" s="1726"/>
      <c r="CR62" s="1726"/>
      <c r="CS62" s="1154" t="s">
        <v>10178</v>
      </c>
      <c r="CT62" s="1154" t="s">
        <v>675</v>
      </c>
      <c r="CU62" s="1720"/>
      <c r="CV62" s="1606" t="s">
        <v>4110</v>
      </c>
      <c r="CW62" s="1606" t="s">
        <v>710</v>
      </c>
      <c r="CX62" s="1606" t="s">
        <v>1783</v>
      </c>
      <c r="CY62" s="1606" t="s">
        <v>3916</v>
      </c>
      <c r="CZ62" s="1606" t="s">
        <v>10179</v>
      </c>
      <c r="DA62" s="1606" t="s">
        <v>3932</v>
      </c>
      <c r="DB62" s="1606" t="s">
        <v>10180</v>
      </c>
      <c r="DC62" s="1606" t="s">
        <v>9917</v>
      </c>
      <c r="DD62" s="1606" t="s">
        <v>10181</v>
      </c>
      <c r="DE62" s="1606" t="s">
        <v>3086</v>
      </c>
      <c r="DF62" s="1606" t="s">
        <v>10182</v>
      </c>
      <c r="DG62" s="1606" t="s">
        <v>7031</v>
      </c>
      <c r="DH62" s="1606"/>
      <c r="DI62" s="481" t="s">
        <v>886</v>
      </c>
      <c r="DJ62" s="688" t="s">
        <v>538</v>
      </c>
      <c r="DK62" s="688" t="s">
        <v>6373</v>
      </c>
      <c r="DL62" s="688"/>
      <c r="DM62" s="688" t="s">
        <v>1768</v>
      </c>
      <c r="DN62" s="688" t="s">
        <v>494</v>
      </c>
      <c r="DO62" s="688" t="s">
        <v>10183</v>
      </c>
      <c r="DP62" s="688" t="s">
        <v>10184</v>
      </c>
      <c r="DQ62" s="688" t="s">
        <v>2086</v>
      </c>
      <c r="DR62" s="688" t="s">
        <v>6057</v>
      </c>
      <c r="DS62" s="688" t="s">
        <v>10185</v>
      </c>
      <c r="DT62" s="688" t="s">
        <v>710</v>
      </c>
      <c r="DU62" s="688" t="s">
        <v>10186</v>
      </c>
      <c r="DV62" s="688" t="s">
        <v>5051</v>
      </c>
      <c r="DW62" s="688" t="s">
        <v>3793</v>
      </c>
      <c r="DX62" s="688" t="s">
        <v>7636</v>
      </c>
      <c r="DY62" s="688" t="s">
        <v>961</v>
      </c>
      <c r="DZ62" s="688" t="s">
        <v>2602</v>
      </c>
      <c r="EA62" s="688" t="s">
        <v>4312</v>
      </c>
      <c r="EB62" s="688" t="s">
        <v>2244</v>
      </c>
      <c r="EC62" s="688" t="s">
        <v>10187</v>
      </c>
      <c r="ED62" s="1036" t="s">
        <v>10188</v>
      </c>
    </row>
    <row r="63">
      <c r="A63" s="244" t="s">
        <v>10189</v>
      </c>
      <c r="B63" s="245" t="s">
        <v>10190</v>
      </c>
      <c r="C63" s="246" t="s">
        <v>271</v>
      </c>
      <c r="D63" s="247" t="s">
        <v>271</v>
      </c>
      <c r="E63" s="248" t="s">
        <v>271</v>
      </c>
      <c r="F63" s="249" t="s">
        <v>568</v>
      </c>
      <c r="G63" s="245" t="s">
        <v>2784</v>
      </c>
      <c r="H63" s="257" t="s">
        <v>8249</v>
      </c>
      <c r="I63" s="257" t="s">
        <v>10191</v>
      </c>
      <c r="J63" s="257" t="s">
        <v>3334</v>
      </c>
      <c r="K63" s="316" t="s">
        <v>718</v>
      </c>
      <c r="L63" s="257" t="s">
        <v>5025</v>
      </c>
      <c r="M63" s="286" t="s">
        <v>10192</v>
      </c>
      <c r="N63" s="286" t="s">
        <v>10193</v>
      </c>
      <c r="O63" s="286" t="s">
        <v>10124</v>
      </c>
      <c r="P63" s="286" t="s">
        <v>1140</v>
      </c>
      <c r="Q63" s="286" t="s">
        <v>3701</v>
      </c>
      <c r="R63" s="320"/>
      <c r="S63" s="320"/>
      <c r="T63" s="320"/>
      <c r="U63" s="320"/>
      <c r="V63" s="286" t="s">
        <v>10194</v>
      </c>
      <c r="W63" s="106"/>
      <c r="X63" s="257" t="s">
        <v>9416</v>
      </c>
      <c r="Y63" s="351"/>
      <c r="Z63" s="257" t="s">
        <v>10195</v>
      </c>
      <c r="AA63" s="257" t="s">
        <v>7544</v>
      </c>
      <c r="AB63" s="286" t="s">
        <v>9718</v>
      </c>
      <c r="AC63" s="286" t="s">
        <v>9719</v>
      </c>
      <c r="AD63" s="278" t="s">
        <v>2890</v>
      </c>
      <c r="AE63" s="320"/>
      <c r="AF63" s="286" t="s">
        <v>2272</v>
      </c>
      <c r="AG63" s="286" t="s">
        <v>6214</v>
      </c>
      <c r="AH63" s="320"/>
      <c r="AI63" s="320"/>
      <c r="AJ63" s="320"/>
      <c r="AK63" s="320"/>
      <c r="AL63" s="105"/>
      <c r="AM63" s="286" t="s">
        <v>1223</v>
      </c>
      <c r="AN63" s="286" t="s">
        <v>2209</v>
      </c>
      <c r="AO63" s="286" t="s">
        <v>10196</v>
      </c>
      <c r="AP63" s="320"/>
      <c r="AQ63" s="286" t="s">
        <v>800</v>
      </c>
      <c r="AR63" s="286"/>
      <c r="AS63" s="320"/>
      <c r="AT63" s="320"/>
      <c r="AU63" s="257" t="s">
        <v>7367</v>
      </c>
      <c r="AV63" s="257" t="s">
        <v>2666</v>
      </c>
      <c r="AW63" s="320"/>
      <c r="AX63" s="320"/>
      <c r="AY63" s="320"/>
      <c r="AZ63" s="320"/>
      <c r="BA63" s="320"/>
      <c r="BB63" s="320"/>
      <c r="BC63" s="286" t="s">
        <v>3377</v>
      </c>
      <c r="BD63" s="257" t="s">
        <v>4131</v>
      </c>
      <c r="BE63" s="257" t="s">
        <v>10197</v>
      </c>
      <c r="BF63" s="286" t="s">
        <v>4897</v>
      </c>
      <c r="BG63" s="320"/>
      <c r="BH63" s="320"/>
      <c r="BI63" s="286" t="s">
        <v>977</v>
      </c>
      <c r="BJ63" s="320"/>
      <c r="BK63" s="286" t="s">
        <v>7936</v>
      </c>
      <c r="BL63" s="286" t="s">
        <v>4425</v>
      </c>
      <c r="BM63" s="320"/>
      <c r="BN63" s="320"/>
      <c r="BO63" s="320"/>
      <c r="BP63" s="320"/>
      <c r="BQ63" s="824"/>
      <c r="BR63" s="286"/>
      <c r="BS63" s="286" t="s">
        <v>1303</v>
      </c>
      <c r="BT63" s="286" t="s">
        <v>9528</v>
      </c>
      <c r="BU63" s="286" t="s">
        <v>4638</v>
      </c>
      <c r="BV63" s="286" t="s">
        <v>7794</v>
      </c>
      <c r="BW63" s="286" t="s">
        <v>4717</v>
      </c>
      <c r="BX63" s="320"/>
      <c r="BY63" s="320"/>
      <c r="BZ63" s="320"/>
      <c r="CA63" s="286" t="s">
        <v>9260</v>
      </c>
      <c r="CB63" s="286" t="s">
        <v>10198</v>
      </c>
      <c r="CC63" s="320"/>
      <c r="CD63" s="320"/>
      <c r="CE63" s="320"/>
      <c r="CF63" s="824"/>
      <c r="CG63" s="286" t="s">
        <v>10199</v>
      </c>
      <c r="CH63" s="257" t="s">
        <v>3715</v>
      </c>
      <c r="CI63" s="316" t="str">
        <f>HYPERLINK("https://youtu.be/weD44uJQ8hg","35.17")</f>
        <v>35.17</v>
      </c>
      <c r="CJ63" s="320"/>
      <c r="CK63" s="320"/>
      <c r="CL63" s="320"/>
      <c r="CM63" s="257" t="s">
        <v>10200</v>
      </c>
      <c r="CN63" s="286" t="s">
        <v>2301</v>
      </c>
      <c r="CO63" s="286" t="s">
        <v>1843</v>
      </c>
      <c r="CP63" s="320"/>
      <c r="CQ63" s="286" t="s">
        <v>10201</v>
      </c>
      <c r="CR63" s="286"/>
      <c r="CS63" s="286" t="s">
        <v>2942</v>
      </c>
      <c r="CT63" s="320"/>
      <c r="CU63" s="106"/>
      <c r="CV63" s="286" t="s">
        <v>2477</v>
      </c>
      <c r="CW63" s="320"/>
      <c r="CX63" s="257" t="s">
        <v>4309</v>
      </c>
      <c r="CY63" s="286" t="s">
        <v>9356</v>
      </c>
      <c r="CZ63" s="286"/>
      <c r="DA63" s="286"/>
      <c r="DB63" s="286" t="s">
        <v>7245</v>
      </c>
      <c r="DC63" s="286" t="s">
        <v>882</v>
      </c>
      <c r="DD63" s="320"/>
      <c r="DE63" s="320"/>
      <c r="DF63" s="320"/>
      <c r="DG63" s="320"/>
      <c r="DH63" s="320"/>
      <c r="DI63" s="320"/>
      <c r="DJ63" s="320"/>
      <c r="DK63" s="320"/>
      <c r="DL63" s="320"/>
      <c r="DM63" s="320"/>
      <c r="DN63" s="320"/>
      <c r="DO63" s="320"/>
      <c r="DP63" s="320"/>
      <c r="DQ63" s="320"/>
      <c r="DR63" s="286" t="s">
        <v>10202</v>
      </c>
      <c r="DS63" s="286"/>
      <c r="DT63" s="320"/>
      <c r="DU63" s="320"/>
      <c r="DV63" s="320"/>
      <c r="DW63" s="320"/>
      <c r="DX63" s="320"/>
      <c r="DY63" s="320"/>
      <c r="DZ63" s="286" t="s">
        <v>10203</v>
      </c>
      <c r="EA63" s="286" t="s">
        <v>9347</v>
      </c>
      <c r="EB63" s="286" t="s">
        <v>10204</v>
      </c>
      <c r="EC63" s="320"/>
      <c r="ED63" s="862"/>
    </row>
    <row r="64">
      <c r="A64" s="540" t="s">
        <v>10205</v>
      </c>
      <c r="B64" s="378" t="s">
        <v>10206</v>
      </c>
      <c r="C64" s="379" t="s">
        <v>271</v>
      </c>
      <c r="D64" s="380" t="s">
        <v>271</v>
      </c>
      <c r="E64" s="381" t="s">
        <v>271</v>
      </c>
      <c r="F64" s="382" t="s">
        <v>203</v>
      </c>
      <c r="G64" s="378" t="s">
        <v>1730</v>
      </c>
      <c r="H64" s="835"/>
      <c r="I64" s="541" t="s">
        <v>10207</v>
      </c>
      <c r="J64" s="541" t="s">
        <v>633</v>
      </c>
      <c r="K64" s="1704" t="s">
        <v>9568</v>
      </c>
      <c r="L64" s="541" t="s">
        <v>2144</v>
      </c>
      <c r="M64" s="1538" t="s">
        <v>10208</v>
      </c>
      <c r="N64" s="541" t="s">
        <v>2652</v>
      </c>
      <c r="O64" s="541" t="s">
        <v>1177</v>
      </c>
      <c r="P64" s="541" t="s">
        <v>409</v>
      </c>
      <c r="Q64" s="835"/>
      <c r="R64" s="835"/>
      <c r="S64" s="835"/>
      <c r="T64" s="835"/>
      <c r="U64" s="835"/>
      <c r="V64" s="835"/>
      <c r="W64" s="106"/>
      <c r="X64" s="670" t="s">
        <v>9572</v>
      </c>
      <c r="Y64" s="670"/>
      <c r="Z64" s="670" t="s">
        <v>10209</v>
      </c>
      <c r="AA64" s="670" t="s">
        <v>8368</v>
      </c>
      <c r="AB64" s="670" t="s">
        <v>10210</v>
      </c>
      <c r="AC64" s="670" t="s">
        <v>5327</v>
      </c>
      <c r="AD64" s="670" t="s">
        <v>4990</v>
      </c>
      <c r="AE64" s="670"/>
      <c r="AF64" s="669" t="s">
        <v>10211</v>
      </c>
      <c r="AG64" s="670" t="s">
        <v>10212</v>
      </c>
      <c r="AH64" s="837"/>
      <c r="AI64" s="837"/>
      <c r="AJ64" s="837"/>
      <c r="AK64" s="837"/>
      <c r="AL64" s="105"/>
      <c r="AM64" s="839"/>
      <c r="AN64" s="839"/>
      <c r="AO64" s="839"/>
      <c r="AP64" s="839"/>
      <c r="AQ64" s="839"/>
      <c r="AR64" s="839"/>
      <c r="AS64" s="839"/>
      <c r="AT64" s="839"/>
      <c r="AU64" s="570" t="s">
        <v>10025</v>
      </c>
      <c r="AV64" s="406" t="str">
        <f>HYPERLINK("https://www.youtube.com/watch?v=fLOf7TJX7c0","29.95")</f>
        <v>29.95</v>
      </c>
      <c r="AW64" s="839"/>
      <c r="AX64" s="839"/>
      <c r="AY64" s="839"/>
      <c r="AZ64" s="839"/>
      <c r="BA64" s="839"/>
      <c r="BB64" s="581" t="s">
        <v>378</v>
      </c>
      <c r="BC64" s="581" t="s">
        <v>3919</v>
      </c>
      <c r="BD64" s="581" t="s">
        <v>9121</v>
      </c>
      <c r="BE64" s="581" t="s">
        <v>10213</v>
      </c>
      <c r="BF64" s="1725" t="s">
        <v>10214</v>
      </c>
      <c r="BG64" s="580"/>
      <c r="BH64" s="580"/>
      <c r="BI64" s="581" t="s">
        <v>8397</v>
      </c>
      <c r="BJ64" s="1705" t="s">
        <v>10215</v>
      </c>
      <c r="BK64" s="1705"/>
      <c r="BL64" s="581" t="s">
        <v>2778</v>
      </c>
      <c r="BM64" s="580"/>
      <c r="BN64" s="580"/>
      <c r="BO64" s="580"/>
      <c r="BP64" s="580"/>
      <c r="BQ64" s="845"/>
      <c r="BR64" s="1147"/>
      <c r="BS64" s="589" t="s">
        <v>9861</v>
      </c>
      <c r="BT64" s="589" t="s">
        <v>9902</v>
      </c>
      <c r="BU64" s="589" t="s">
        <v>4724</v>
      </c>
      <c r="BV64" s="589" t="s">
        <v>5794</v>
      </c>
      <c r="BW64" s="589" t="s">
        <v>10131</v>
      </c>
      <c r="BX64" s="589" t="s">
        <v>10216</v>
      </c>
      <c r="BY64" s="421" t="str">
        <f>HYPERLINK("https://clips.twitch.tv/EnergeticWrongManateeKlappa","2:32.84")</f>
        <v>2:32.84</v>
      </c>
      <c r="BZ64" s="589" t="s">
        <v>10217</v>
      </c>
      <c r="CA64" s="589" t="s">
        <v>3950</v>
      </c>
      <c r="CB64" s="849"/>
      <c r="CC64" s="849"/>
      <c r="CD64" s="849"/>
      <c r="CE64" s="849"/>
      <c r="CF64" s="851"/>
      <c r="CG64" s="428" t="s">
        <v>2775</v>
      </c>
      <c r="CH64" s="593" t="s">
        <v>9485</v>
      </c>
      <c r="CI64" s="593" t="s">
        <v>4375</v>
      </c>
      <c r="CJ64" s="593" t="s">
        <v>932</v>
      </c>
      <c r="CK64" s="593"/>
      <c r="CL64" s="593" t="s">
        <v>2858</v>
      </c>
      <c r="CM64" s="593" t="s">
        <v>4065</v>
      </c>
      <c r="CN64" s="593" t="s">
        <v>5315</v>
      </c>
      <c r="CO64" s="428" t="str">
        <f>HYPERLINK("https://www.youtube.com/watch?v=LpklkoraHfQ","15.53")</f>
        <v>15.53</v>
      </c>
      <c r="CP64" s="852"/>
      <c r="CQ64" s="593"/>
      <c r="CR64" s="852"/>
      <c r="CS64" s="852"/>
      <c r="CT64" s="852"/>
      <c r="CU64" s="106"/>
      <c r="CV64" s="683" t="s">
        <v>10218</v>
      </c>
      <c r="CW64" s="683" t="s">
        <v>780</v>
      </c>
      <c r="CX64" s="683" t="s">
        <v>10219</v>
      </c>
      <c r="CY64" s="458" t="s">
        <v>10220</v>
      </c>
      <c r="CZ64" s="1029" t="s">
        <v>10221</v>
      </c>
      <c r="DA64" s="1029" t="s">
        <v>10222</v>
      </c>
      <c r="DB64" s="683" t="s">
        <v>10223</v>
      </c>
      <c r="DC64" s="683" t="s">
        <v>4084</v>
      </c>
      <c r="DD64" s="853"/>
      <c r="DE64" s="853"/>
      <c r="DF64" s="853"/>
      <c r="DG64" s="853"/>
      <c r="DH64" s="853"/>
      <c r="DI64" s="685" t="s">
        <v>10224</v>
      </c>
      <c r="DJ64" s="855"/>
      <c r="DK64" s="855"/>
      <c r="DL64" s="855"/>
      <c r="DM64" s="855"/>
      <c r="DN64" s="855"/>
      <c r="DO64" s="855"/>
      <c r="DP64" s="855"/>
      <c r="DQ64" s="855"/>
      <c r="DR64" s="685" t="s">
        <v>5931</v>
      </c>
      <c r="DS64" s="685"/>
      <c r="DT64" s="855"/>
      <c r="DU64" s="855"/>
      <c r="DV64" s="855"/>
      <c r="DW64" s="855"/>
      <c r="DX64" s="855"/>
      <c r="DY64" s="855"/>
      <c r="DZ64" s="855"/>
      <c r="EA64" s="855"/>
      <c r="EB64" s="855"/>
      <c r="EC64" s="855"/>
      <c r="ED64" s="1039"/>
    </row>
    <row r="65">
      <c r="A65" s="1727" t="s">
        <v>84</v>
      </c>
      <c r="B65" s="245" t="s">
        <v>10225</v>
      </c>
      <c r="C65" s="246" t="s">
        <v>271</v>
      </c>
      <c r="D65" s="247" t="s">
        <v>271</v>
      </c>
      <c r="E65" s="248" t="s">
        <v>271</v>
      </c>
      <c r="F65" s="249" t="s">
        <v>1010</v>
      </c>
      <c r="G65" s="245" t="s">
        <v>3165</v>
      </c>
      <c r="H65" s="257" t="s">
        <v>9940</v>
      </c>
      <c r="I65" s="286" t="s">
        <v>6185</v>
      </c>
      <c r="J65" s="286" t="s">
        <v>10226</v>
      </c>
      <c r="K65" s="286" t="s">
        <v>686</v>
      </c>
      <c r="L65" s="286" t="s">
        <v>6803</v>
      </c>
      <c r="M65" s="286" t="s">
        <v>8885</v>
      </c>
      <c r="N65" s="286" t="s">
        <v>6834</v>
      </c>
      <c r="O65" s="286" t="s">
        <v>10227</v>
      </c>
      <c r="P65" s="286" t="s">
        <v>1486</v>
      </c>
      <c r="Q65" s="286" t="s">
        <v>10228</v>
      </c>
      <c r="R65" s="862" t="s">
        <v>10229</v>
      </c>
      <c r="S65" s="257" t="s">
        <v>6648</v>
      </c>
      <c r="T65" s="320"/>
      <c r="U65" s="286" t="s">
        <v>1738</v>
      </c>
      <c r="V65" s="286" t="s">
        <v>3260</v>
      </c>
      <c r="W65" s="106"/>
      <c r="X65" s="257" t="s">
        <v>5794</v>
      </c>
      <c r="Y65" s="286"/>
      <c r="Z65" s="286" t="s">
        <v>10230</v>
      </c>
      <c r="AA65" s="286" t="s">
        <v>4596</v>
      </c>
      <c r="AB65" s="286" t="s">
        <v>10231</v>
      </c>
      <c r="AC65" s="286" t="s">
        <v>10232</v>
      </c>
      <c r="AD65" s="286" t="s">
        <v>3696</v>
      </c>
      <c r="AE65" s="286" t="s">
        <v>9538</v>
      </c>
      <c r="AF65" s="286" t="s">
        <v>9747</v>
      </c>
      <c r="AG65" s="286" t="s">
        <v>4823</v>
      </c>
      <c r="AH65" s="286" t="s">
        <v>10233</v>
      </c>
      <c r="AI65" s="286"/>
      <c r="AJ65" s="286" t="s">
        <v>3482</v>
      </c>
      <c r="AK65" s="286" t="s">
        <v>10234</v>
      </c>
      <c r="AL65" s="105"/>
      <c r="AM65" s="286" t="s">
        <v>4197</v>
      </c>
      <c r="AN65" s="286" t="s">
        <v>10235</v>
      </c>
      <c r="AO65" s="286" t="s">
        <v>10236</v>
      </c>
      <c r="AP65" s="286" t="s">
        <v>310</v>
      </c>
      <c r="AQ65" s="286" t="s">
        <v>6396</v>
      </c>
      <c r="AR65" s="286" t="s">
        <v>508</v>
      </c>
      <c r="AS65" s="286" t="s">
        <v>8777</v>
      </c>
      <c r="AT65" s="286" t="s">
        <v>4077</v>
      </c>
      <c r="AU65" s="286" t="s">
        <v>1941</v>
      </c>
      <c r="AV65" s="286" t="s">
        <v>10237</v>
      </c>
      <c r="AW65" s="286" t="s">
        <v>10238</v>
      </c>
      <c r="AX65" s="286" t="s">
        <v>10239</v>
      </c>
      <c r="AY65" s="257" t="s">
        <v>1854</v>
      </c>
      <c r="AZ65" s="286" t="s">
        <v>10240</v>
      </c>
      <c r="BA65" s="320"/>
      <c r="BB65" s="286" t="s">
        <v>540</v>
      </c>
      <c r="BC65" s="286" t="s">
        <v>10241</v>
      </c>
      <c r="BD65" s="286" t="s">
        <v>1318</v>
      </c>
      <c r="BE65" s="257" t="s">
        <v>3948</v>
      </c>
      <c r="BF65" s="286" t="s">
        <v>9664</v>
      </c>
      <c r="BG65" s="286" t="s">
        <v>10242</v>
      </c>
      <c r="BH65" s="286" t="s">
        <v>10243</v>
      </c>
      <c r="BI65" s="286" t="s">
        <v>9402</v>
      </c>
      <c r="BJ65" s="286" t="s">
        <v>5578</v>
      </c>
      <c r="BK65" s="286"/>
      <c r="BL65" s="286" t="s">
        <v>10244</v>
      </c>
      <c r="BM65" s="286" t="s">
        <v>5116</v>
      </c>
      <c r="BN65" s="286" t="s">
        <v>10111</v>
      </c>
      <c r="BO65" s="286" t="s">
        <v>10245</v>
      </c>
      <c r="BP65" s="286" t="s">
        <v>10246</v>
      </c>
      <c r="BQ65" s="324"/>
      <c r="BR65" s="286" t="s">
        <v>10247</v>
      </c>
      <c r="BS65" s="257" t="s">
        <v>4896</v>
      </c>
      <c r="BT65" s="286" t="s">
        <v>2688</v>
      </c>
      <c r="BU65" s="286" t="s">
        <v>4728</v>
      </c>
      <c r="BV65" s="286" t="s">
        <v>2993</v>
      </c>
      <c r="BW65" s="286" t="s">
        <v>5361</v>
      </c>
      <c r="BX65" s="286" t="s">
        <v>10248</v>
      </c>
      <c r="BY65" s="286" t="s">
        <v>10249</v>
      </c>
      <c r="BZ65" s="320"/>
      <c r="CA65" s="286" t="s">
        <v>10250</v>
      </c>
      <c r="CB65" s="286" t="s">
        <v>10251</v>
      </c>
      <c r="CC65" s="286" t="s">
        <v>3889</v>
      </c>
      <c r="CD65" s="286" t="s">
        <v>10252</v>
      </c>
      <c r="CE65" s="286" t="s">
        <v>10253</v>
      </c>
      <c r="CF65" s="824"/>
      <c r="CG65" s="1728">
        <v>55.85</v>
      </c>
      <c r="CH65" s="286" t="s">
        <v>656</v>
      </c>
      <c r="CI65" s="286" t="s">
        <v>10254</v>
      </c>
      <c r="CJ65" s="286" t="s">
        <v>9693</v>
      </c>
      <c r="CK65" s="286"/>
      <c r="CL65" s="286" t="s">
        <v>4876</v>
      </c>
      <c r="CM65" s="286" t="s">
        <v>10255</v>
      </c>
      <c r="CN65" s="286" t="s">
        <v>9414</v>
      </c>
      <c r="CO65" s="278" t="s">
        <v>2257</v>
      </c>
      <c r="CP65" s="286" t="s">
        <v>2445</v>
      </c>
      <c r="CQ65" s="286" t="s">
        <v>10256</v>
      </c>
      <c r="CR65" s="320"/>
      <c r="CS65" s="286" t="s">
        <v>10257</v>
      </c>
      <c r="CT65" s="286" t="s">
        <v>10258</v>
      </c>
      <c r="CU65" s="106"/>
      <c r="CV65" s="286" t="s">
        <v>3406</v>
      </c>
      <c r="CW65" s="257" t="s">
        <v>7340</v>
      </c>
      <c r="CX65" s="316" t="str">
        <f>HYPERLINK("https://youtu.be/1NiHXh4G_7o","31.54")</f>
        <v>31.54</v>
      </c>
      <c r="CY65" s="286" t="s">
        <v>5765</v>
      </c>
      <c r="CZ65" s="286" t="s">
        <v>10259</v>
      </c>
      <c r="DA65" s="286" t="s">
        <v>2714</v>
      </c>
      <c r="DB65" s="286" t="s">
        <v>10260</v>
      </c>
      <c r="DC65" s="257" t="s">
        <v>3770</v>
      </c>
      <c r="DD65" s="286" t="s">
        <v>1185</v>
      </c>
      <c r="DE65" s="286" t="s">
        <v>4251</v>
      </c>
      <c r="DF65" s="286" t="s">
        <v>4470</v>
      </c>
      <c r="DG65" s="286" t="s">
        <v>6233</v>
      </c>
      <c r="DH65" s="320"/>
      <c r="DI65" s="257" t="s">
        <v>883</v>
      </c>
      <c r="DJ65" s="286"/>
      <c r="DK65" s="286" t="s">
        <v>8216</v>
      </c>
      <c r="DL65" s="286" t="s">
        <v>10261</v>
      </c>
      <c r="DM65" s="286" t="s">
        <v>10262</v>
      </c>
      <c r="DN65" s="286" t="s">
        <v>1894</v>
      </c>
      <c r="DO65" s="286" t="s">
        <v>8806</v>
      </c>
      <c r="DP65" s="286" t="s">
        <v>10263</v>
      </c>
      <c r="DQ65" s="286" t="s">
        <v>10264</v>
      </c>
      <c r="DR65" s="286" t="s">
        <v>407</v>
      </c>
      <c r="DS65" s="257" t="s">
        <v>3991</v>
      </c>
      <c r="DT65" s="286" t="s">
        <v>718</v>
      </c>
      <c r="DU65" s="286" t="s">
        <v>9902</v>
      </c>
      <c r="DV65" s="286" t="s">
        <v>3174</v>
      </c>
      <c r="DW65" s="286" t="s">
        <v>10265</v>
      </c>
      <c r="DX65" s="286" t="s">
        <v>1150</v>
      </c>
      <c r="DY65" s="1729" t="s">
        <v>232</v>
      </c>
      <c r="DZ65" s="286" t="s">
        <v>2105</v>
      </c>
      <c r="EA65" s="286" t="s">
        <v>10266</v>
      </c>
      <c r="EB65" s="286" t="s">
        <v>931</v>
      </c>
      <c r="EC65" s="286" t="s">
        <v>10267</v>
      </c>
      <c r="ED65" s="862" t="s">
        <v>10268</v>
      </c>
    </row>
    <row r="66">
      <c r="A66" s="540" t="s">
        <v>3611</v>
      </c>
      <c r="B66" s="378" t="s">
        <v>10225</v>
      </c>
      <c r="C66" s="379" t="s">
        <v>271</v>
      </c>
      <c r="D66" s="380" t="s">
        <v>271</v>
      </c>
      <c r="E66" s="381" t="s">
        <v>271</v>
      </c>
      <c r="F66" s="382" t="s">
        <v>178</v>
      </c>
      <c r="G66" s="378" t="s">
        <v>1056</v>
      </c>
      <c r="H66" s="541" t="s">
        <v>2993</v>
      </c>
      <c r="I66" s="541" t="s">
        <v>10269</v>
      </c>
      <c r="J66" s="541" t="s">
        <v>649</v>
      </c>
      <c r="K66" s="1121" t="s">
        <v>714</v>
      </c>
      <c r="L66" s="390" t="s">
        <v>707</v>
      </c>
      <c r="M66" s="541" t="s">
        <v>10270</v>
      </c>
      <c r="N66" s="541" t="s">
        <v>2652</v>
      </c>
      <c r="O66" s="541" t="s">
        <v>1136</v>
      </c>
      <c r="P66" s="390" t="s">
        <v>422</v>
      </c>
      <c r="Q66" s="835"/>
      <c r="R66" s="835"/>
      <c r="S66" s="390" t="s">
        <v>9496</v>
      </c>
      <c r="T66" s="835"/>
      <c r="U66" s="541" t="s">
        <v>6535</v>
      </c>
      <c r="V66" s="835"/>
      <c r="W66" s="106"/>
      <c r="X66" s="670" t="s">
        <v>4687</v>
      </c>
      <c r="Y66" s="670"/>
      <c r="Z66" s="670" t="s">
        <v>10271</v>
      </c>
      <c r="AA66" s="670" t="s">
        <v>10083</v>
      </c>
      <c r="AB66" s="670" t="s">
        <v>817</v>
      </c>
      <c r="AC66" s="670" t="s">
        <v>4781</v>
      </c>
      <c r="AD66" s="670" t="s">
        <v>6119</v>
      </c>
      <c r="AE66" s="837"/>
      <c r="AF66" s="670" t="s">
        <v>9676</v>
      </c>
      <c r="AG66" s="670" t="s">
        <v>10272</v>
      </c>
      <c r="AH66" s="837"/>
      <c r="AI66" s="670"/>
      <c r="AJ66" s="670" t="s">
        <v>9583</v>
      </c>
      <c r="AK66" s="837"/>
      <c r="AL66" s="105"/>
      <c r="AM66" s="570" t="s">
        <v>2535</v>
      </c>
      <c r="AN66" s="570" t="s">
        <v>10273</v>
      </c>
      <c r="AO66" s="839"/>
      <c r="AP66" s="839"/>
      <c r="AQ66" s="839"/>
      <c r="AR66" s="839"/>
      <c r="AS66" s="839"/>
      <c r="AT66" s="839"/>
      <c r="AU66" s="1019" t="s">
        <v>9981</v>
      </c>
      <c r="AV66" s="570" t="s">
        <v>3715</v>
      </c>
      <c r="AW66" s="570" t="s">
        <v>2006</v>
      </c>
      <c r="AX66" s="839"/>
      <c r="AY66" s="570" t="s">
        <v>4173</v>
      </c>
      <c r="AZ66" s="839"/>
      <c r="BA66" s="839"/>
      <c r="BB66" s="581" t="s">
        <v>4081</v>
      </c>
      <c r="BC66" s="581" t="s">
        <v>10274</v>
      </c>
      <c r="BD66" s="581" t="s">
        <v>4136</v>
      </c>
      <c r="BE66" s="417" t="s">
        <v>10275</v>
      </c>
      <c r="BF66" s="417" t="s">
        <v>3106</v>
      </c>
      <c r="BG66" s="581" t="s">
        <v>5108</v>
      </c>
      <c r="BH66" s="580"/>
      <c r="BI66" s="581" t="s">
        <v>1463</v>
      </c>
      <c r="BJ66" s="580"/>
      <c r="BK66" s="581" t="s">
        <v>10276</v>
      </c>
      <c r="BL66" s="581" t="s">
        <v>9759</v>
      </c>
      <c r="BM66" s="580"/>
      <c r="BN66" s="417" t="s">
        <v>1208</v>
      </c>
      <c r="BO66" s="581" t="s">
        <v>6640</v>
      </c>
      <c r="BP66" s="580"/>
      <c r="BQ66" s="845"/>
      <c r="BR66" s="589"/>
      <c r="BS66" s="589" t="s">
        <v>9349</v>
      </c>
      <c r="BT66" s="589" t="s">
        <v>2688</v>
      </c>
      <c r="BU66" s="589" t="s">
        <v>10277</v>
      </c>
      <c r="BV66" s="589" t="s">
        <v>1553</v>
      </c>
      <c r="BW66" s="589" t="s">
        <v>806</v>
      </c>
      <c r="BX66" s="849"/>
      <c r="BY66" s="849"/>
      <c r="BZ66" s="589" t="s">
        <v>10278</v>
      </c>
      <c r="CA66" s="589" t="s">
        <v>4018</v>
      </c>
      <c r="CB66" s="589" t="s">
        <v>10279</v>
      </c>
      <c r="CC66" s="589" t="s">
        <v>9696</v>
      </c>
      <c r="CD66" s="589" t="s">
        <v>468</v>
      </c>
      <c r="CE66" s="849"/>
      <c r="CF66" s="851"/>
      <c r="CG66" s="593" t="s">
        <v>10280</v>
      </c>
      <c r="CH66" s="593" t="s">
        <v>9681</v>
      </c>
      <c r="CI66" s="593" t="s">
        <v>10281</v>
      </c>
      <c r="CJ66" s="593" t="s">
        <v>10282</v>
      </c>
      <c r="CK66" s="593"/>
      <c r="CL66" s="593"/>
      <c r="CM66" s="593" t="s">
        <v>8049</v>
      </c>
      <c r="CN66" s="593" t="s">
        <v>3439</v>
      </c>
      <c r="CO66" s="593" t="s">
        <v>9508</v>
      </c>
      <c r="CP66" s="852"/>
      <c r="CQ66" s="852"/>
      <c r="CR66" s="593"/>
      <c r="CS66" s="593" t="s">
        <v>9302</v>
      </c>
      <c r="CT66" s="852"/>
      <c r="CU66" s="106"/>
      <c r="CV66" s="683" t="s">
        <v>5705</v>
      </c>
      <c r="CW66" s="683" t="s">
        <v>710</v>
      </c>
      <c r="CX66" s="683" t="s">
        <v>10283</v>
      </c>
      <c r="CY66" s="683" t="s">
        <v>10284</v>
      </c>
      <c r="CZ66" s="683" t="s">
        <v>6572</v>
      </c>
      <c r="DA66" s="683" t="s">
        <v>6870</v>
      </c>
      <c r="DB66" s="458" t="s">
        <v>9993</v>
      </c>
      <c r="DC66" s="683" t="s">
        <v>1955</v>
      </c>
      <c r="DD66" s="853"/>
      <c r="DE66" s="853"/>
      <c r="DF66" s="853"/>
      <c r="DG66" s="853"/>
      <c r="DH66" s="853"/>
      <c r="DI66" s="685" t="s">
        <v>728</v>
      </c>
      <c r="DJ66" s="855"/>
      <c r="DK66" s="855"/>
      <c r="DL66" s="685"/>
      <c r="DM66" s="855"/>
      <c r="DN66" s="685" t="s">
        <v>10204</v>
      </c>
      <c r="DO66" s="855"/>
      <c r="DP66" s="855"/>
      <c r="DQ66" s="855"/>
      <c r="DR66" s="685" t="s">
        <v>10285</v>
      </c>
      <c r="DS66" s="685"/>
      <c r="DT66" s="855"/>
      <c r="DU66" s="855"/>
      <c r="DV66" s="685" t="s">
        <v>10286</v>
      </c>
      <c r="DW66" s="855"/>
      <c r="DX66" s="855"/>
      <c r="DY66" s="855"/>
      <c r="DZ66" s="855"/>
      <c r="EA66" s="685" t="s">
        <v>10287</v>
      </c>
      <c r="EB66" s="855"/>
      <c r="EC66" s="855"/>
      <c r="ED66" s="1039" t="s">
        <v>10288</v>
      </c>
    </row>
    <row r="67">
      <c r="A67" s="1730" t="s">
        <v>4268</v>
      </c>
      <c r="B67" s="1731" t="s">
        <v>10289</v>
      </c>
      <c r="C67" s="1732" t="s">
        <v>271</v>
      </c>
      <c r="D67" s="1733" t="s">
        <v>271</v>
      </c>
      <c r="E67" s="1734" t="s">
        <v>271</v>
      </c>
      <c r="F67" s="1735" t="s">
        <v>1791</v>
      </c>
      <c r="G67" s="1731" t="s">
        <v>1485</v>
      </c>
      <c r="H67" s="1695" t="s">
        <v>10290</v>
      </c>
      <c r="I67" s="1695" t="s">
        <v>6555</v>
      </c>
      <c r="J67" s="1165" t="s">
        <v>4917</v>
      </c>
      <c r="K67" s="1695" t="s">
        <v>10291</v>
      </c>
      <c r="L67" s="1695" t="s">
        <v>6701</v>
      </c>
      <c r="M67" s="1695" t="s">
        <v>10292</v>
      </c>
      <c r="N67" s="1165" t="s">
        <v>6263</v>
      </c>
      <c r="O67" s="1736" t="s">
        <v>10293</v>
      </c>
      <c r="P67" s="1695" t="s">
        <v>1490</v>
      </c>
      <c r="Q67" s="1695" t="s">
        <v>10294</v>
      </c>
      <c r="R67" s="1695" t="s">
        <v>2519</v>
      </c>
      <c r="S67" s="1695" t="s">
        <v>10295</v>
      </c>
      <c r="T67" s="1695" t="s">
        <v>2436</v>
      </c>
      <c r="U67" s="1695" t="s">
        <v>1948</v>
      </c>
      <c r="V67" s="1695" t="s">
        <v>10296</v>
      </c>
      <c r="W67" s="494"/>
      <c r="X67" s="1165" t="s">
        <v>10297</v>
      </c>
      <c r="Y67" s="1737"/>
      <c r="Z67" s="1165" t="s">
        <v>1903</v>
      </c>
      <c r="AA67" s="1695" t="s">
        <v>3286</v>
      </c>
      <c r="AB67" s="1165" t="s">
        <v>895</v>
      </c>
      <c r="AC67" s="1165" t="s">
        <v>8012</v>
      </c>
      <c r="AD67" s="1165" t="s">
        <v>10298</v>
      </c>
      <c r="AE67" s="1695" t="s">
        <v>9322</v>
      </c>
      <c r="AF67" s="1695" t="s">
        <v>2346</v>
      </c>
      <c r="AG67" s="1165" t="s">
        <v>10155</v>
      </c>
      <c r="AH67" s="1695" t="s">
        <v>3663</v>
      </c>
      <c r="AI67" s="1165" t="s">
        <v>5992</v>
      </c>
      <c r="AJ67" s="1695" t="s">
        <v>6083</v>
      </c>
      <c r="AK67" s="1695" t="s">
        <v>10299</v>
      </c>
      <c r="AL67" s="501"/>
      <c r="AM67" s="1165" t="s">
        <v>1205</v>
      </c>
      <c r="AN67" s="1736" t="s">
        <v>494</v>
      </c>
      <c r="AO67" s="1738" t="s">
        <v>10300</v>
      </c>
      <c r="AP67" s="1695" t="s">
        <v>10301</v>
      </c>
      <c r="AQ67" s="1695" t="s">
        <v>10302</v>
      </c>
      <c r="AR67" s="1695" t="s">
        <v>9442</v>
      </c>
      <c r="AS67" s="1695" t="s">
        <v>10303</v>
      </c>
      <c r="AT67" s="1695" t="s">
        <v>10304</v>
      </c>
      <c r="AU67" s="1738" t="s">
        <v>7361</v>
      </c>
      <c r="AV67" s="1165" t="s">
        <v>1117</v>
      </c>
      <c r="AW67" s="1695" t="s">
        <v>10008</v>
      </c>
      <c r="AX67" s="1695" t="s">
        <v>5682</v>
      </c>
      <c r="AY67" s="1695" t="s">
        <v>3925</v>
      </c>
      <c r="AZ67" s="1695" t="s">
        <v>10305</v>
      </c>
      <c r="BA67" s="1695"/>
      <c r="BB67" s="1695" t="s">
        <v>10306</v>
      </c>
      <c r="BC67" s="1165" t="s">
        <v>1568</v>
      </c>
      <c r="BD67" s="1695" t="s">
        <v>4755</v>
      </c>
      <c r="BE67" s="1695" t="s">
        <v>9741</v>
      </c>
      <c r="BF67" s="1695" t="s">
        <v>6763</v>
      </c>
      <c r="BG67" s="1736" t="s">
        <v>6744</v>
      </c>
      <c r="BH67" s="1165" t="s">
        <v>2909</v>
      </c>
      <c r="BI67" s="1736" t="s">
        <v>10307</v>
      </c>
      <c r="BJ67" s="1165" t="s">
        <v>10308</v>
      </c>
      <c r="BK67" s="1165" t="s">
        <v>6097</v>
      </c>
      <c r="BL67" s="1695" t="s">
        <v>10303</v>
      </c>
      <c r="BM67" s="1695" t="s">
        <v>8319</v>
      </c>
      <c r="BN67" s="1695" t="s">
        <v>4582</v>
      </c>
      <c r="BO67" s="1695" t="s">
        <v>484</v>
      </c>
      <c r="BP67" s="1695" t="s">
        <v>10309</v>
      </c>
      <c r="BQ67" s="1695"/>
      <c r="BR67" s="1165" t="s">
        <v>10310</v>
      </c>
      <c r="BS67" s="1736" t="s">
        <v>9756</v>
      </c>
      <c r="BT67" s="1165" t="s">
        <v>10311</v>
      </c>
      <c r="BU67" s="1738" t="s">
        <v>769</v>
      </c>
      <c r="BV67" s="1695" t="s">
        <v>3360</v>
      </c>
      <c r="BW67" s="1695" t="s">
        <v>1199</v>
      </c>
      <c r="BX67" s="1695" t="s">
        <v>2987</v>
      </c>
      <c r="BY67" s="1165" t="s">
        <v>9159</v>
      </c>
      <c r="BZ67" s="1736" t="s">
        <v>10312</v>
      </c>
      <c r="CA67" s="1695" t="s">
        <v>9400</v>
      </c>
      <c r="CB67" s="1695" t="s">
        <v>10313</v>
      </c>
      <c r="CC67" s="1695" t="s">
        <v>1050</v>
      </c>
      <c r="CD67" s="1695" t="s">
        <v>1220</v>
      </c>
      <c r="CE67" s="1165" t="s">
        <v>10314</v>
      </c>
      <c r="CF67" s="1694"/>
      <c r="CG67" s="1695" t="s">
        <v>3847</v>
      </c>
      <c r="CH67" s="1695" t="s">
        <v>9755</v>
      </c>
      <c r="CI67" s="1695" t="s">
        <v>658</v>
      </c>
      <c r="CJ67" s="1165" t="s">
        <v>10315</v>
      </c>
      <c r="CK67" s="1737"/>
      <c r="CL67" s="1737" t="s">
        <v>10316</v>
      </c>
      <c r="CM67" s="1695" t="s">
        <v>10317</v>
      </c>
      <c r="CN67" s="1165" t="s">
        <v>3743</v>
      </c>
      <c r="CO67" s="1165" t="s">
        <v>3311</v>
      </c>
      <c r="CP67" s="1695" t="s">
        <v>6462</v>
      </c>
      <c r="CQ67" s="1695" t="s">
        <v>3899</v>
      </c>
      <c r="CR67" s="1695"/>
      <c r="CS67" s="1695" t="s">
        <v>4824</v>
      </c>
      <c r="CT67" s="1695" t="s">
        <v>9934</v>
      </c>
      <c r="CU67" s="494"/>
      <c r="CV67" s="1695" t="s">
        <v>766</v>
      </c>
      <c r="CW67" s="1695" t="s">
        <v>10318</v>
      </c>
      <c r="CX67" s="1695" t="s">
        <v>4589</v>
      </c>
      <c r="CY67" s="1695" t="s">
        <v>5900</v>
      </c>
      <c r="CZ67" s="1695" t="s">
        <v>10319</v>
      </c>
      <c r="DA67" s="1695" t="s">
        <v>10320</v>
      </c>
      <c r="DB67" s="1736" t="s">
        <v>10321</v>
      </c>
      <c r="DC67" s="1695" t="s">
        <v>10322</v>
      </c>
      <c r="DD67" s="1695" t="s">
        <v>10323</v>
      </c>
      <c r="DE67" s="1695" t="s">
        <v>3058</v>
      </c>
      <c r="DF67" s="1695" t="s">
        <v>2022</v>
      </c>
      <c r="DG67" s="1695" t="s">
        <v>6839</v>
      </c>
      <c r="DH67" s="1695"/>
      <c r="DI67" s="1695" t="s">
        <v>7603</v>
      </c>
      <c r="DJ67" s="1695"/>
      <c r="DK67" s="1695" t="s">
        <v>5019</v>
      </c>
      <c r="DL67" s="1695" t="s">
        <v>6438</v>
      </c>
      <c r="DM67" s="1695" t="s">
        <v>9448</v>
      </c>
      <c r="DN67" s="1695" t="s">
        <v>1894</v>
      </c>
      <c r="DO67" s="1695" t="s">
        <v>10324</v>
      </c>
      <c r="DP67" s="1695" t="s">
        <v>10325</v>
      </c>
      <c r="DQ67" s="1695" t="s">
        <v>2522</v>
      </c>
      <c r="DR67" s="1695" t="s">
        <v>10202</v>
      </c>
      <c r="DS67" s="1695" t="s">
        <v>10326</v>
      </c>
      <c r="DT67" s="1695" t="s">
        <v>9946</v>
      </c>
      <c r="DU67" s="1695" t="s">
        <v>10327</v>
      </c>
      <c r="DV67" s="1736" t="s">
        <v>8269</v>
      </c>
      <c r="DW67" s="1738" t="s">
        <v>2361</v>
      </c>
      <c r="DX67" s="1695" t="s">
        <v>10328</v>
      </c>
      <c r="DY67" s="1695" t="s">
        <v>9485</v>
      </c>
      <c r="DZ67" s="1695" t="s">
        <v>10119</v>
      </c>
      <c r="EA67" s="1695" t="s">
        <v>633</v>
      </c>
      <c r="EB67" s="1695" t="s">
        <v>4724</v>
      </c>
      <c r="EC67" s="1695" t="s">
        <v>8012</v>
      </c>
      <c r="ED67" s="862" t="s">
        <v>10329</v>
      </c>
    </row>
    <row r="68">
      <c r="A68" s="540" t="s">
        <v>59</v>
      </c>
      <c r="B68" s="378" t="s">
        <v>10330</v>
      </c>
      <c r="C68" s="379" t="s">
        <v>271</v>
      </c>
      <c r="D68" s="380" t="s">
        <v>171</v>
      </c>
      <c r="E68" s="381" t="s">
        <v>271</v>
      </c>
      <c r="F68" s="382" t="s">
        <v>398</v>
      </c>
      <c r="G68" s="378" t="s">
        <v>3232</v>
      </c>
      <c r="H68" s="541" t="s">
        <v>10331</v>
      </c>
      <c r="I68" s="541" t="s">
        <v>6555</v>
      </c>
      <c r="J68" s="541" t="s">
        <v>10145</v>
      </c>
      <c r="K68" s="541" t="s">
        <v>679</v>
      </c>
      <c r="L68" s="832" t="s">
        <v>9428</v>
      </c>
      <c r="M68" s="541" t="s">
        <v>10332</v>
      </c>
      <c r="N68" s="541" t="s">
        <v>2859</v>
      </c>
      <c r="O68" s="541" t="s">
        <v>10333</v>
      </c>
      <c r="P68" s="390" t="s">
        <v>1486</v>
      </c>
      <c r="Q68" s="541" t="s">
        <v>1507</v>
      </c>
      <c r="R68" s="541" t="s">
        <v>1783</v>
      </c>
      <c r="S68" s="390" t="s">
        <v>2234</v>
      </c>
      <c r="T68" s="835"/>
      <c r="U68" s="390" t="s">
        <v>9350</v>
      </c>
      <c r="V68" s="541" t="s">
        <v>10334</v>
      </c>
      <c r="W68" s="106"/>
      <c r="X68" s="399" t="s">
        <v>10335</v>
      </c>
      <c r="Y68" s="670"/>
      <c r="Z68" s="670" t="s">
        <v>1892</v>
      </c>
      <c r="AA68" s="670" t="s">
        <v>2230</v>
      </c>
      <c r="AB68" s="399" t="s">
        <v>10153</v>
      </c>
      <c r="AC68" s="399" t="s">
        <v>2593</v>
      </c>
      <c r="AD68" s="670" t="s">
        <v>6910</v>
      </c>
      <c r="AE68" s="670"/>
      <c r="AF68" s="670" t="s">
        <v>10336</v>
      </c>
      <c r="AG68" s="670" t="s">
        <v>9281</v>
      </c>
      <c r="AH68" s="670" t="s">
        <v>6958</v>
      </c>
      <c r="AI68" s="670"/>
      <c r="AJ68" s="670" t="s">
        <v>6913</v>
      </c>
      <c r="AK68" s="399" t="s">
        <v>2802</v>
      </c>
      <c r="AL68" s="105"/>
      <c r="AM68" s="570" t="s">
        <v>10028</v>
      </c>
      <c r="AN68" s="407" t="s">
        <v>10273</v>
      </c>
      <c r="AO68" s="570" t="s">
        <v>10337</v>
      </c>
      <c r="AP68" s="570" t="s">
        <v>4975</v>
      </c>
      <c r="AQ68" s="570" t="s">
        <v>2191</v>
      </c>
      <c r="AR68" s="570" t="s">
        <v>9523</v>
      </c>
      <c r="AS68" s="839"/>
      <c r="AT68" s="839"/>
      <c r="AU68" s="570" t="s">
        <v>7836</v>
      </c>
      <c r="AV68" s="570" t="s">
        <v>4308</v>
      </c>
      <c r="AW68" s="570" t="s">
        <v>8814</v>
      </c>
      <c r="AX68" s="839"/>
      <c r="AY68" s="407" t="s">
        <v>10338</v>
      </c>
      <c r="AZ68" s="570" t="s">
        <v>10339</v>
      </c>
      <c r="BA68" s="570"/>
      <c r="BB68" s="417" t="s">
        <v>2034</v>
      </c>
      <c r="BC68" s="581" t="s">
        <v>4877</v>
      </c>
      <c r="BD68" s="417" t="s">
        <v>4755</v>
      </c>
      <c r="BE68" s="417" t="s">
        <v>9997</v>
      </c>
      <c r="BF68" s="579" t="s">
        <v>6914</v>
      </c>
      <c r="BG68" s="581" t="s">
        <v>9234</v>
      </c>
      <c r="BH68" s="581" t="s">
        <v>8049</v>
      </c>
      <c r="BI68" s="581" t="s">
        <v>2419</v>
      </c>
      <c r="BJ68" s="581" t="s">
        <v>892</v>
      </c>
      <c r="BK68" s="579" t="s">
        <v>6000</v>
      </c>
      <c r="BL68" s="581" t="s">
        <v>2807</v>
      </c>
      <c r="BM68" s="417" t="s">
        <v>5038</v>
      </c>
      <c r="BN68" s="417" t="s">
        <v>773</v>
      </c>
      <c r="BO68" s="581" t="s">
        <v>5267</v>
      </c>
      <c r="BP68" s="581" t="s">
        <v>10340</v>
      </c>
      <c r="BQ68" s="581"/>
      <c r="BR68" s="422" t="s">
        <v>7709</v>
      </c>
      <c r="BS68" s="589" t="s">
        <v>4896</v>
      </c>
      <c r="BT68" s="422" t="s">
        <v>10341</v>
      </c>
      <c r="BU68" s="1024" t="s">
        <v>10092</v>
      </c>
      <c r="BV68" s="589" t="s">
        <v>6320</v>
      </c>
      <c r="BW68" s="1024" t="s">
        <v>806</v>
      </c>
      <c r="BX68" s="849"/>
      <c r="BY68" s="589" t="s">
        <v>10342</v>
      </c>
      <c r="BZ68" s="589" t="s">
        <v>10343</v>
      </c>
      <c r="CA68" s="589" t="s">
        <v>5686</v>
      </c>
      <c r="CB68" s="422" t="s">
        <v>10344</v>
      </c>
      <c r="CC68" s="422" t="s">
        <v>2233</v>
      </c>
      <c r="CD68" s="1024" t="s">
        <v>3576</v>
      </c>
      <c r="CE68" s="1024" t="s">
        <v>3275</v>
      </c>
      <c r="CF68" s="589"/>
      <c r="CG68" s="433" t="s">
        <v>10286</v>
      </c>
      <c r="CH68" s="433" t="s">
        <v>1278</v>
      </c>
      <c r="CI68" s="1154" t="s">
        <v>10345</v>
      </c>
      <c r="CJ68" s="433" t="s">
        <v>10346</v>
      </c>
      <c r="CK68" s="434"/>
      <c r="CL68" s="434"/>
      <c r="CM68" s="1692" t="s">
        <v>10347</v>
      </c>
      <c r="CN68" s="433" t="s">
        <v>6596</v>
      </c>
      <c r="CO68" s="593" t="s">
        <v>10348</v>
      </c>
      <c r="CP68" s="852"/>
      <c r="CQ68" s="593" t="s">
        <v>9586</v>
      </c>
      <c r="CR68" s="593" t="s">
        <v>7415</v>
      </c>
      <c r="CS68" s="593" t="s">
        <v>10349</v>
      </c>
      <c r="CT68" s="593" t="s">
        <v>10350</v>
      </c>
      <c r="CU68" s="106"/>
      <c r="CV68" s="683" t="s">
        <v>4986</v>
      </c>
      <c r="CW68" s="683" t="s">
        <v>10351</v>
      </c>
      <c r="CX68" s="683" t="s">
        <v>10043</v>
      </c>
      <c r="CY68" s="458" t="s">
        <v>10352</v>
      </c>
      <c r="CZ68" s="683" t="s">
        <v>7228</v>
      </c>
      <c r="DA68" s="1159" t="s">
        <v>10353</v>
      </c>
      <c r="DB68" s="1606" t="s">
        <v>10354</v>
      </c>
      <c r="DC68" s="683" t="s">
        <v>5651</v>
      </c>
      <c r="DD68" s="683" t="s">
        <v>10355</v>
      </c>
      <c r="DE68" s="458" t="s">
        <v>6135</v>
      </c>
      <c r="DF68" s="683" t="s">
        <v>3404</v>
      </c>
      <c r="DG68" s="458" t="s">
        <v>10356</v>
      </c>
      <c r="DH68" s="683"/>
      <c r="DI68" s="685" t="s">
        <v>10357</v>
      </c>
      <c r="DJ68" s="685" t="s">
        <v>3993</v>
      </c>
      <c r="DK68" s="855"/>
      <c r="DL68" s="685"/>
      <c r="DM68" s="599" t="s">
        <v>516</v>
      </c>
      <c r="DN68" s="685" t="s">
        <v>10358</v>
      </c>
      <c r="DO68" s="685" t="s">
        <v>2116</v>
      </c>
      <c r="DP68" s="685" t="s">
        <v>9919</v>
      </c>
      <c r="DQ68" s="855"/>
      <c r="DR68" s="685" t="s">
        <v>5612</v>
      </c>
      <c r="DS68" s="685" t="s">
        <v>9766</v>
      </c>
      <c r="DT68" s="855"/>
      <c r="DU68" s="685" t="s">
        <v>3247</v>
      </c>
      <c r="DV68" s="685" t="s">
        <v>10359</v>
      </c>
      <c r="DW68" s="685" t="s">
        <v>3784</v>
      </c>
      <c r="DX68" s="685" t="s">
        <v>623</v>
      </c>
      <c r="DY68" s="685" t="s">
        <v>4308</v>
      </c>
      <c r="DZ68" s="685" t="s">
        <v>9434</v>
      </c>
      <c r="EA68" s="685" t="s">
        <v>4902</v>
      </c>
      <c r="EB68" s="685" t="s">
        <v>6014</v>
      </c>
      <c r="EC68" s="481" t="s">
        <v>9841</v>
      </c>
      <c r="ED68" s="1039" t="s">
        <v>4039</v>
      </c>
    </row>
    <row r="69">
      <c r="A69" s="244" t="s">
        <v>10360</v>
      </c>
      <c r="B69" s="245" t="s">
        <v>10361</v>
      </c>
      <c r="C69" s="246" t="s">
        <v>271</v>
      </c>
      <c r="D69" s="247" t="s">
        <v>271</v>
      </c>
      <c r="E69" s="248" t="s">
        <v>271</v>
      </c>
      <c r="F69" s="249" t="s">
        <v>2131</v>
      </c>
      <c r="G69" s="245" t="s">
        <v>10362</v>
      </c>
      <c r="H69" s="320"/>
      <c r="I69" s="881" t="s">
        <v>10363</v>
      </c>
      <c r="J69" s="257" t="s">
        <v>10364</v>
      </c>
      <c r="K69" s="257" t="s">
        <v>755</v>
      </c>
      <c r="L69" s="881" t="s">
        <v>10365</v>
      </c>
      <c r="M69" s="320"/>
      <c r="N69" s="257" t="s">
        <v>6671</v>
      </c>
      <c r="O69" s="257" t="s">
        <v>1247</v>
      </c>
      <c r="P69" s="257" t="s">
        <v>1464</v>
      </c>
      <c r="Q69" s="320"/>
      <c r="R69" s="320"/>
      <c r="S69" s="320"/>
      <c r="T69" s="320"/>
      <c r="U69" s="320"/>
      <c r="V69" s="320"/>
      <c r="W69" s="106"/>
      <c r="X69" s="257" t="s">
        <v>2773</v>
      </c>
      <c r="Y69" s="351"/>
      <c r="Z69" s="257" t="s">
        <v>10366</v>
      </c>
      <c r="AA69" s="257" t="s">
        <v>306</v>
      </c>
      <c r="AB69" s="257" t="s">
        <v>10367</v>
      </c>
      <c r="AC69" s="257" t="s">
        <v>1805</v>
      </c>
      <c r="AD69" s="257" t="s">
        <v>2828</v>
      </c>
      <c r="AE69" s="320"/>
      <c r="AF69" s="320"/>
      <c r="AG69" s="257" t="s">
        <v>10052</v>
      </c>
      <c r="AH69" s="320"/>
      <c r="AI69" s="351"/>
      <c r="AJ69" s="257" t="s">
        <v>10368</v>
      </c>
      <c r="AK69" s="320"/>
      <c r="AL69" s="105"/>
      <c r="AM69" s="320"/>
      <c r="AN69" s="257" t="s">
        <v>6879</v>
      </c>
      <c r="AO69" s="320"/>
      <c r="AP69" s="320"/>
      <c r="AQ69" s="320"/>
      <c r="AR69" s="320"/>
      <c r="AS69" s="320"/>
      <c r="AT69" s="320"/>
      <c r="AU69" s="257" t="s">
        <v>10025</v>
      </c>
      <c r="AV69" s="257" t="s">
        <v>10369</v>
      </c>
      <c r="AW69" s="320"/>
      <c r="AX69" s="320"/>
      <c r="AY69" s="320"/>
      <c r="AZ69" s="320"/>
      <c r="BA69" s="320"/>
      <c r="BB69" s="257" t="s">
        <v>390</v>
      </c>
      <c r="BC69" s="511" t="s">
        <v>877</v>
      </c>
      <c r="BD69" s="257" t="s">
        <v>469</v>
      </c>
      <c r="BE69" s="257" t="s">
        <v>4217</v>
      </c>
      <c r="BF69" s="257" t="s">
        <v>8315</v>
      </c>
      <c r="BG69" s="257" t="s">
        <v>858</v>
      </c>
      <c r="BH69" s="320"/>
      <c r="BI69" s="257" t="s">
        <v>558</v>
      </c>
      <c r="BJ69" s="257" t="s">
        <v>6319</v>
      </c>
      <c r="BK69" s="351"/>
      <c r="BL69" s="257" t="s">
        <v>2807</v>
      </c>
      <c r="BM69" s="320"/>
      <c r="BN69" s="320"/>
      <c r="BO69" s="320"/>
      <c r="BP69" s="320"/>
      <c r="BQ69" s="824"/>
      <c r="BR69" s="320"/>
      <c r="BS69" s="257" t="s">
        <v>5246</v>
      </c>
      <c r="BT69" s="257" t="s">
        <v>10341</v>
      </c>
      <c r="BU69" s="257" t="s">
        <v>703</v>
      </c>
      <c r="BV69" s="511" t="s">
        <v>4418</v>
      </c>
      <c r="BW69" s="257" t="s">
        <v>4590</v>
      </c>
      <c r="BX69" s="320"/>
      <c r="BY69" s="320"/>
      <c r="BZ69" s="320"/>
      <c r="CA69" s="257" t="s">
        <v>6331</v>
      </c>
      <c r="CB69" s="320"/>
      <c r="CC69" s="320"/>
      <c r="CD69" s="320"/>
      <c r="CE69" s="320"/>
      <c r="CF69" s="824"/>
      <c r="CG69" s="511" t="s">
        <v>10297</v>
      </c>
      <c r="CH69" s="511" t="s">
        <v>573</v>
      </c>
      <c r="CI69" s="320"/>
      <c r="CJ69" s="320"/>
      <c r="CK69" s="320"/>
      <c r="CL69" s="320"/>
      <c r="CM69" s="320"/>
      <c r="CN69" s="257" t="s">
        <v>3897</v>
      </c>
      <c r="CO69" s="257" t="s">
        <v>5608</v>
      </c>
      <c r="CP69" s="320"/>
      <c r="CQ69" s="320"/>
      <c r="CR69" s="320"/>
      <c r="CS69" s="320"/>
      <c r="CT69" s="320"/>
      <c r="CU69" s="106"/>
      <c r="CV69" s="320"/>
      <c r="CW69" s="257" t="s">
        <v>523</v>
      </c>
      <c r="CX69" s="257" t="s">
        <v>3489</v>
      </c>
      <c r="CY69" s="257" t="s">
        <v>9773</v>
      </c>
      <c r="CZ69" s="320"/>
      <c r="DA69" s="320"/>
      <c r="DB69" s="862" t="s">
        <v>3499</v>
      </c>
      <c r="DC69" s="257" t="s">
        <v>452</v>
      </c>
      <c r="DD69" s="320"/>
      <c r="DE69" s="320"/>
      <c r="DF69" s="320"/>
      <c r="DG69" s="257" t="s">
        <v>10370</v>
      </c>
      <c r="DH69" s="351"/>
      <c r="DI69" s="320"/>
      <c r="DJ69" s="320"/>
      <c r="DK69" s="320"/>
      <c r="DL69" s="351"/>
      <c r="DM69" s="320"/>
      <c r="DN69" s="257" t="s">
        <v>767</v>
      </c>
      <c r="DO69" s="320"/>
      <c r="DP69" s="320"/>
      <c r="DQ69" s="320"/>
      <c r="DR69" s="257" t="s">
        <v>7867</v>
      </c>
      <c r="DS69" s="881"/>
      <c r="DT69" s="320"/>
      <c r="DU69" s="257" t="s">
        <v>7039</v>
      </c>
      <c r="DV69" s="320"/>
      <c r="DW69" s="257" t="s">
        <v>3784</v>
      </c>
      <c r="DX69" s="320"/>
      <c r="DY69" s="320"/>
      <c r="DZ69" s="320"/>
      <c r="EA69" s="320"/>
      <c r="EB69" s="320"/>
      <c r="EC69" s="320"/>
      <c r="ED69" s="862"/>
    </row>
    <row r="70">
      <c r="A70" s="377" t="s">
        <v>10371</v>
      </c>
      <c r="B70" s="1739" t="s">
        <v>10372</v>
      </c>
      <c r="C70" s="1740" t="s">
        <v>271</v>
      </c>
      <c r="D70" s="1741" t="s">
        <v>171</v>
      </c>
      <c r="E70" s="1742" t="s">
        <v>171</v>
      </c>
      <c r="F70" s="1743" t="s">
        <v>2441</v>
      </c>
      <c r="G70" s="1739" t="s">
        <v>401</v>
      </c>
      <c r="H70" s="1744" t="s">
        <v>10373</v>
      </c>
      <c r="I70" s="1744" t="s">
        <v>9714</v>
      </c>
      <c r="J70" s="1744" t="s">
        <v>3766</v>
      </c>
      <c r="K70" s="1744" t="s">
        <v>750</v>
      </c>
      <c r="L70" s="1744" t="s">
        <v>4254</v>
      </c>
      <c r="M70" s="1744" t="s">
        <v>10374</v>
      </c>
      <c r="N70" s="1745" t="s">
        <v>10375</v>
      </c>
      <c r="O70" s="1745" t="s">
        <v>10376</v>
      </c>
      <c r="P70" s="1744" t="s">
        <v>2537</v>
      </c>
      <c r="Q70" s="1745"/>
      <c r="R70" s="1745"/>
      <c r="S70" s="1745"/>
      <c r="T70" s="1745"/>
      <c r="U70" s="1745"/>
      <c r="V70" s="1745"/>
      <c r="W70" s="754"/>
      <c r="X70" s="1746" t="s">
        <v>4817</v>
      </c>
      <c r="Y70" s="1747"/>
      <c r="Z70" s="1746" t="s">
        <v>10377</v>
      </c>
      <c r="AA70" s="403" t="s">
        <v>4204</v>
      </c>
      <c r="AB70" s="1746" t="s">
        <v>2276</v>
      </c>
      <c r="AC70" s="1746" t="s">
        <v>2650</v>
      </c>
      <c r="AD70" s="1748" t="s">
        <v>6910</v>
      </c>
      <c r="AE70" s="1746" t="s">
        <v>4067</v>
      </c>
      <c r="AF70" s="1748" t="s">
        <v>7094</v>
      </c>
      <c r="AG70" s="1746" t="s">
        <v>4823</v>
      </c>
      <c r="AH70" s="1748"/>
      <c r="AI70" s="1748"/>
      <c r="AJ70" s="1748"/>
      <c r="AK70" s="1748"/>
      <c r="AL70" s="754"/>
      <c r="AM70" s="1749" t="s">
        <v>10378</v>
      </c>
      <c r="AN70" s="1750" t="s">
        <v>7836</v>
      </c>
      <c r="AO70" s="1751"/>
      <c r="AP70" s="1751"/>
      <c r="AQ70" s="1751"/>
      <c r="AR70" s="1751"/>
      <c r="AS70" s="1751" t="s">
        <v>10379</v>
      </c>
      <c r="AT70" s="1751"/>
      <c r="AU70" s="1750" t="s">
        <v>9814</v>
      </c>
      <c r="AV70" s="1750" t="s">
        <v>10380</v>
      </c>
      <c r="AW70" s="1751"/>
      <c r="AX70" s="1751"/>
      <c r="AY70" s="1751"/>
      <c r="AZ70" s="1751"/>
      <c r="BA70" s="1751"/>
      <c r="BB70" s="1752" t="s">
        <v>10381</v>
      </c>
      <c r="BC70" s="1752" t="s">
        <v>4112</v>
      </c>
      <c r="BD70" s="1753" t="s">
        <v>2374</v>
      </c>
      <c r="BE70" s="1753" t="s">
        <v>2046</v>
      </c>
      <c r="BF70" s="1752" t="s">
        <v>10156</v>
      </c>
      <c r="BG70" s="1753"/>
      <c r="BH70" s="1753"/>
      <c r="BI70" s="1753" t="s">
        <v>9312</v>
      </c>
      <c r="BJ70" s="1753"/>
      <c r="BK70" s="1753" t="s">
        <v>10382</v>
      </c>
      <c r="BL70" s="1753" t="s">
        <v>2324</v>
      </c>
      <c r="BM70" s="1753"/>
      <c r="BN70" s="1753"/>
      <c r="BO70" s="1753"/>
      <c r="BP70" s="1753"/>
      <c r="BQ70" s="1753"/>
      <c r="BR70" s="1754"/>
      <c r="BS70" s="1754" t="s">
        <v>1973</v>
      </c>
      <c r="BT70" s="1755" t="s">
        <v>9523</v>
      </c>
      <c r="BU70" s="1754"/>
      <c r="BV70" s="1754"/>
      <c r="BW70" s="1754" t="s">
        <v>8671</v>
      </c>
      <c r="BX70" s="1754"/>
      <c r="BY70" s="1754"/>
      <c r="BZ70" s="1754"/>
      <c r="CA70" s="1754"/>
      <c r="CB70" s="1754"/>
      <c r="CC70" s="1754"/>
      <c r="CD70" s="1754"/>
      <c r="CE70" s="1754"/>
      <c r="CF70" s="849"/>
      <c r="CG70" s="1756" t="s">
        <v>10383</v>
      </c>
      <c r="CH70" s="428" t="s">
        <v>5095</v>
      </c>
      <c r="CI70" s="1757"/>
      <c r="CJ70" s="1757"/>
      <c r="CK70" s="1757"/>
      <c r="CL70" s="1757"/>
      <c r="CM70" s="852"/>
      <c r="CN70" s="1756" t="s">
        <v>4074</v>
      </c>
      <c r="CO70" s="1757" t="s">
        <v>10384</v>
      </c>
      <c r="CP70" s="1757"/>
      <c r="CQ70" s="1757"/>
      <c r="CR70" s="1757"/>
      <c r="CS70" s="1757"/>
      <c r="CT70" s="1757"/>
      <c r="CU70" s="754"/>
      <c r="CV70" s="853"/>
      <c r="CW70" s="1758"/>
      <c r="CX70" s="1759" t="s">
        <v>656</v>
      </c>
      <c r="CY70" s="1758"/>
      <c r="CZ70" s="853"/>
      <c r="DA70" s="1758"/>
      <c r="DB70" s="1758" t="s">
        <v>10151</v>
      </c>
      <c r="DC70" s="1758"/>
      <c r="DD70" s="1758"/>
      <c r="DE70" s="1758"/>
      <c r="DF70" s="1758"/>
      <c r="DG70" s="853"/>
      <c r="DH70" s="1758"/>
      <c r="DI70" s="1760" t="s">
        <v>4162</v>
      </c>
      <c r="DJ70" s="855"/>
      <c r="DK70" s="1761"/>
      <c r="DL70" s="1762"/>
      <c r="DM70" s="1761" t="s">
        <v>1768</v>
      </c>
      <c r="DN70" s="1763" t="s">
        <v>2138</v>
      </c>
      <c r="DO70" s="1761"/>
      <c r="DP70" s="686"/>
      <c r="DQ70" s="855"/>
      <c r="DR70" s="1763" t="s">
        <v>547</v>
      </c>
      <c r="DS70" s="1761"/>
      <c r="DT70" s="1761"/>
      <c r="DU70" s="1761"/>
      <c r="DV70" s="1761"/>
      <c r="DW70" s="1763" t="s">
        <v>554</v>
      </c>
      <c r="DX70" s="1761"/>
      <c r="DY70" s="1761"/>
      <c r="DZ70" s="1761"/>
      <c r="EA70" s="855"/>
      <c r="EB70" s="855"/>
      <c r="EC70" s="855"/>
      <c r="ED70" s="1761"/>
    </row>
    <row r="71">
      <c r="A71" s="1507" t="s">
        <v>10385</v>
      </c>
      <c r="B71" s="245" t="s">
        <v>10386</v>
      </c>
      <c r="C71" s="246" t="s">
        <v>233</v>
      </c>
      <c r="D71" s="247" t="s">
        <v>176</v>
      </c>
      <c r="E71" s="248" t="s">
        <v>274</v>
      </c>
      <c r="F71" s="249" t="s">
        <v>2131</v>
      </c>
      <c r="G71" s="245" t="s">
        <v>2131</v>
      </c>
      <c r="H71" s="320"/>
      <c r="I71" s="257" t="s">
        <v>4321</v>
      </c>
      <c r="J71" s="320"/>
      <c r="K71" s="257" t="s">
        <v>721</v>
      </c>
      <c r="L71" s="320"/>
      <c r="M71" s="320"/>
      <c r="N71" s="257" t="s">
        <v>10387</v>
      </c>
      <c r="O71" s="257" t="s">
        <v>1528</v>
      </c>
      <c r="P71" s="1630" t="str">
        <f>HYPERLINK("https://youtu.be/o2oK7_9FlpI", "16.02")</f>
        <v>16.02</v>
      </c>
      <c r="Q71" s="320"/>
      <c r="R71" s="320"/>
      <c r="S71" s="1630" t="str">
        <f>HYPERLINK("https://youtu.be/5bePzbPRA_s", "38.09")</f>
        <v>38.09</v>
      </c>
      <c r="T71" s="320"/>
      <c r="U71" s="1630" t="str">
        <f>HYPERLINK("https://youtu.be/TZ_M1xPlryQ", "50.03")</f>
        <v>50.03</v>
      </c>
      <c r="V71" s="320"/>
      <c r="W71" s="106"/>
      <c r="X71" s="263" t="s">
        <v>2427</v>
      </c>
      <c r="Y71" s="263" t="s">
        <v>583</v>
      </c>
      <c r="Z71" s="257" t="s">
        <v>905</v>
      </c>
      <c r="AA71" s="257" t="s">
        <v>700</v>
      </c>
      <c r="AB71" s="257" t="s">
        <v>10388</v>
      </c>
      <c r="AC71" s="257" t="s">
        <v>1548</v>
      </c>
      <c r="AD71" s="261" t="s">
        <v>212</v>
      </c>
      <c r="AE71" s="320"/>
      <c r="AF71" s="257" t="s">
        <v>1085</v>
      </c>
      <c r="AG71" s="257" t="s">
        <v>2250</v>
      </c>
      <c r="AH71" s="257" t="s">
        <v>7882</v>
      </c>
      <c r="AI71" s="320"/>
      <c r="AJ71" s="1630" t="str">
        <f>HYPERLINK("https://youtu.be/SxETIJsg_5k", "59.78")</f>
        <v>59.78</v>
      </c>
      <c r="AK71" s="257" t="s">
        <v>5800</v>
      </c>
      <c r="AL71" s="105"/>
      <c r="AM71" s="320"/>
      <c r="AN71" s="320"/>
      <c r="AO71" s="320"/>
      <c r="AP71" s="320"/>
      <c r="AQ71" s="320"/>
      <c r="AR71" s="320"/>
      <c r="AS71" s="320"/>
      <c r="AT71" s="320"/>
      <c r="AU71" s="320"/>
      <c r="AV71" s="320"/>
      <c r="AW71" s="320"/>
      <c r="AX71" s="320"/>
      <c r="AY71" s="320"/>
      <c r="AZ71" s="320"/>
      <c r="BA71" s="320"/>
      <c r="BB71" s="320"/>
      <c r="BC71" s="320"/>
      <c r="BD71" s="257" t="s">
        <v>1148</v>
      </c>
      <c r="BE71" s="257" t="s">
        <v>6501</v>
      </c>
      <c r="BF71" s="320"/>
      <c r="BG71" s="257" t="s">
        <v>4162</v>
      </c>
      <c r="BH71" s="320"/>
      <c r="BI71" s="257" t="s">
        <v>3954</v>
      </c>
      <c r="BJ71" s="320"/>
      <c r="BK71" s="320"/>
      <c r="BL71" s="320"/>
      <c r="BM71" s="320"/>
      <c r="BN71" s="1630" t="str">
        <f>HYPERLINK("https://youtu.be/sez0OMnBphE", "35.45")</f>
        <v>35.45</v>
      </c>
      <c r="BO71" s="1630" t="str">
        <f>HYPERLINK("https://youtu.be/j7YnJS-7oEk", "1:25.17")</f>
        <v>1:25.17</v>
      </c>
      <c r="BP71" s="320"/>
      <c r="BQ71" s="824"/>
      <c r="BR71" s="320"/>
      <c r="BS71" s="320"/>
      <c r="BT71" s="257" t="s">
        <v>5853</v>
      </c>
      <c r="BU71" s="320"/>
      <c r="BV71" s="320"/>
      <c r="BW71" s="1630" t="str">
        <f>HYPERLINK("https://youtu.be/RY16i7jgLAo", "22.14")</f>
        <v>22.14</v>
      </c>
      <c r="BX71" s="320"/>
      <c r="BY71" s="320"/>
      <c r="BZ71" s="320"/>
      <c r="CA71" s="320"/>
      <c r="CB71" s="320"/>
      <c r="CC71" s="320"/>
      <c r="CD71" s="320"/>
      <c r="CE71" s="320"/>
      <c r="CF71" s="824"/>
      <c r="CG71" s="257" t="s">
        <v>990</v>
      </c>
      <c r="CH71" s="257" t="s">
        <v>1741</v>
      </c>
      <c r="CI71" s="263" t="s">
        <v>3005</v>
      </c>
      <c r="CJ71" s="320"/>
      <c r="CK71" s="320"/>
      <c r="CL71" s="320"/>
      <c r="CM71" s="320"/>
      <c r="CN71" s="1630" t="str">
        <f>HYPERLINK("https://youtu.be/ovo9mzVpiyE", "31.11")</f>
        <v>31.11</v>
      </c>
      <c r="CO71" s="1630" t="str">
        <f>HYPERLINK("https://youtu.be/SjsfFJ_c4Hw", "16.11")</f>
        <v>16.11</v>
      </c>
      <c r="CP71" s="320"/>
      <c r="CQ71" s="320"/>
      <c r="CR71" s="320"/>
      <c r="CS71" s="320"/>
      <c r="CT71" s="320"/>
      <c r="CU71" s="106"/>
      <c r="CV71" s="251" t="s">
        <v>10389</v>
      </c>
      <c r="CW71" s="320"/>
      <c r="CX71" s="257" t="s">
        <v>329</v>
      </c>
      <c r="CY71" s="320"/>
      <c r="CZ71" s="320"/>
      <c r="DA71" s="261" t="s">
        <v>10390</v>
      </c>
      <c r="DB71" s="257" t="s">
        <v>10391</v>
      </c>
      <c r="DC71" s="320"/>
      <c r="DD71" s="320"/>
      <c r="DE71" s="320"/>
      <c r="DF71" s="320"/>
      <c r="DG71" s="320"/>
      <c r="DH71" s="320"/>
      <c r="DI71" s="320"/>
      <c r="DJ71" s="320"/>
      <c r="DK71" s="320"/>
      <c r="DL71" s="320"/>
      <c r="DM71" s="1764" t="str">
        <f>HYPERLINK("https://youtu.be/xBxcZCbjszY", "15.59")</f>
        <v>15.59</v>
      </c>
      <c r="DN71" s="320"/>
      <c r="DO71" s="320"/>
      <c r="DP71" s="320"/>
      <c r="DQ71" s="320"/>
      <c r="DR71" s="320"/>
      <c r="DS71" s="320"/>
      <c r="DT71" s="1765" t="str">
        <f>HYPERLINK("https://youtu.be/st160yUA7Cg", "10.38")</f>
        <v>10.38</v>
      </c>
      <c r="DU71" s="1766" t="str">
        <f>HYPERLINK("https://youtu.be/CQPQZc9PKjw", "31.45")</f>
        <v>31.45</v>
      </c>
      <c r="DV71" s="320"/>
      <c r="DW71" s="320"/>
      <c r="DX71" s="320"/>
      <c r="DY71" s="320"/>
      <c r="DZ71" s="320"/>
      <c r="EA71" s="257" t="s">
        <v>4732</v>
      </c>
      <c r="EB71" s="320"/>
      <c r="EC71" s="320"/>
      <c r="ED71" s="1629"/>
    </row>
    <row r="72">
      <c r="A72" s="540" t="s">
        <v>4198</v>
      </c>
      <c r="B72" s="378" t="s">
        <v>10392</v>
      </c>
      <c r="C72" s="379" t="s">
        <v>271</v>
      </c>
      <c r="D72" s="380" t="s">
        <v>271</v>
      </c>
      <c r="E72" s="381" t="s">
        <v>271</v>
      </c>
      <c r="F72" s="382" t="s">
        <v>3343</v>
      </c>
      <c r="G72" s="378" t="s">
        <v>9939</v>
      </c>
      <c r="H72" s="390" t="s">
        <v>2561</v>
      </c>
      <c r="I72" s="390" t="s">
        <v>10393</v>
      </c>
      <c r="J72" s="390" t="s">
        <v>658</v>
      </c>
      <c r="K72" s="390" t="s">
        <v>727</v>
      </c>
      <c r="L72" s="390" t="s">
        <v>4249</v>
      </c>
      <c r="M72" s="390" t="s">
        <v>10394</v>
      </c>
      <c r="N72" s="390" t="s">
        <v>6666</v>
      </c>
      <c r="O72" s="390" t="s">
        <v>8785</v>
      </c>
      <c r="P72" s="390" t="s">
        <v>422</v>
      </c>
      <c r="Q72" s="835"/>
      <c r="R72" s="835"/>
      <c r="S72" s="835"/>
      <c r="T72" s="835"/>
      <c r="U72" s="835"/>
      <c r="V72" s="835"/>
      <c r="W72" s="106"/>
      <c r="X72" s="399" t="s">
        <v>10129</v>
      </c>
      <c r="Y72" s="908"/>
      <c r="Z72" s="399" t="s">
        <v>9573</v>
      </c>
      <c r="AA72" s="399" t="s">
        <v>10395</v>
      </c>
      <c r="AB72" s="399" t="s">
        <v>10396</v>
      </c>
      <c r="AC72" s="399" t="s">
        <v>1925</v>
      </c>
      <c r="AD72" s="399" t="s">
        <v>5720</v>
      </c>
      <c r="AE72" s="837"/>
      <c r="AF72" s="399" t="s">
        <v>10397</v>
      </c>
      <c r="AG72" s="399" t="s">
        <v>2664</v>
      </c>
      <c r="AH72" s="399" t="s">
        <v>10398</v>
      </c>
      <c r="AI72" s="837"/>
      <c r="AJ72" s="837"/>
      <c r="AK72" s="837"/>
      <c r="AL72" s="105"/>
      <c r="AM72" s="407" t="s">
        <v>8029</v>
      </c>
      <c r="AN72" s="407" t="s">
        <v>2069</v>
      </c>
      <c r="AO72" s="839"/>
      <c r="AP72" s="839"/>
      <c r="AQ72" s="839"/>
      <c r="AR72" s="839"/>
      <c r="AS72" s="839"/>
      <c r="AT72" s="839"/>
      <c r="AU72" s="407" t="s">
        <v>9779</v>
      </c>
      <c r="AV72" s="407" t="s">
        <v>1264</v>
      </c>
      <c r="AW72" s="839"/>
      <c r="AX72" s="839"/>
      <c r="AY72" s="839"/>
      <c r="AZ72" s="839"/>
      <c r="BA72" s="839"/>
      <c r="BB72" s="417" t="s">
        <v>9639</v>
      </c>
      <c r="BC72" s="417" t="s">
        <v>925</v>
      </c>
      <c r="BD72" s="417" t="s">
        <v>4239</v>
      </c>
      <c r="BE72" s="417" t="s">
        <v>1175</v>
      </c>
      <c r="BF72" s="417" t="s">
        <v>10399</v>
      </c>
      <c r="BG72" s="417" t="s">
        <v>9771</v>
      </c>
      <c r="BH72" s="417" t="s">
        <v>5164</v>
      </c>
      <c r="BI72" s="417" t="s">
        <v>2488</v>
      </c>
      <c r="BJ72" s="417" t="s">
        <v>6231</v>
      </c>
      <c r="BK72" s="417" t="s">
        <v>6993</v>
      </c>
      <c r="BL72" s="417" t="s">
        <v>2807</v>
      </c>
      <c r="BM72" s="417" t="s">
        <v>7844</v>
      </c>
      <c r="BN72" s="417" t="s">
        <v>773</v>
      </c>
      <c r="BO72" s="417" t="s">
        <v>6760</v>
      </c>
      <c r="BP72" s="580"/>
      <c r="BQ72" s="845"/>
      <c r="BR72" s="422" t="s">
        <v>5022</v>
      </c>
      <c r="BS72" s="422" t="s">
        <v>10400</v>
      </c>
      <c r="BT72" s="422" t="s">
        <v>10186</v>
      </c>
      <c r="BU72" s="422" t="s">
        <v>4642</v>
      </c>
      <c r="BV72" s="422" t="s">
        <v>4873</v>
      </c>
      <c r="BW72" s="422" t="s">
        <v>4176</v>
      </c>
      <c r="BX72" s="422" t="s">
        <v>6800</v>
      </c>
      <c r="BY72" s="422" t="s">
        <v>10401</v>
      </c>
      <c r="BZ72" s="849"/>
      <c r="CA72" s="422" t="s">
        <v>9451</v>
      </c>
      <c r="CB72" s="849"/>
      <c r="CC72" s="849"/>
      <c r="CD72" s="422" t="s">
        <v>10402</v>
      </c>
      <c r="CE72" s="849"/>
      <c r="CF72" s="851"/>
      <c r="CG72" s="433" t="s">
        <v>2516</v>
      </c>
      <c r="CH72" s="433" t="s">
        <v>10403</v>
      </c>
      <c r="CI72" s="433" t="s">
        <v>8825</v>
      </c>
      <c r="CJ72" s="433" t="s">
        <v>10404</v>
      </c>
      <c r="CK72" s="869"/>
      <c r="CL72" s="433" t="s">
        <v>9759</v>
      </c>
      <c r="CM72" s="433" t="s">
        <v>1125</v>
      </c>
      <c r="CN72" s="433" t="s">
        <v>2110</v>
      </c>
      <c r="CO72" s="433" t="s">
        <v>1865</v>
      </c>
      <c r="CP72" s="852"/>
      <c r="CQ72" s="852"/>
      <c r="CR72" s="852"/>
      <c r="CS72" s="852"/>
      <c r="CT72" s="852"/>
      <c r="CU72" s="106"/>
      <c r="CV72" s="458" t="s">
        <v>8165</v>
      </c>
      <c r="CW72" s="458" t="s">
        <v>760</v>
      </c>
      <c r="CX72" s="458" t="s">
        <v>10405</v>
      </c>
      <c r="CY72" s="458" t="s">
        <v>6707</v>
      </c>
      <c r="CZ72" s="458" t="s">
        <v>9465</v>
      </c>
      <c r="DA72" s="458" t="s">
        <v>8012</v>
      </c>
      <c r="DB72" s="458" t="s">
        <v>10406</v>
      </c>
      <c r="DC72" s="458" t="s">
        <v>10407</v>
      </c>
      <c r="DD72" s="853"/>
      <c r="DE72" s="853"/>
      <c r="DF72" s="458" t="s">
        <v>7201</v>
      </c>
      <c r="DG72" s="853"/>
      <c r="DH72" s="853"/>
      <c r="DI72" s="855"/>
      <c r="DJ72" s="855"/>
      <c r="DK72" s="685" t="s">
        <v>6640</v>
      </c>
      <c r="DL72" s="855"/>
      <c r="DM72" s="481" t="s">
        <v>1768</v>
      </c>
      <c r="DN72" s="481" t="s">
        <v>948</v>
      </c>
      <c r="DO72" s="685" t="s">
        <v>10072</v>
      </c>
      <c r="DP72" s="685" t="s">
        <v>10377</v>
      </c>
      <c r="DQ72" s="855"/>
      <c r="DR72" s="481" t="s">
        <v>5971</v>
      </c>
      <c r="DS72" s="481" t="s">
        <v>4028</v>
      </c>
      <c r="DT72" s="685" t="s">
        <v>10408</v>
      </c>
      <c r="DU72" s="685" t="s">
        <v>8231</v>
      </c>
      <c r="DV72" s="685" t="s">
        <v>10409</v>
      </c>
      <c r="DW72" s="481" t="s">
        <v>5683</v>
      </c>
      <c r="DX72" s="685" t="s">
        <v>3076</v>
      </c>
      <c r="DY72" s="685" t="s">
        <v>3906</v>
      </c>
      <c r="DZ72" s="481" t="s">
        <v>10410</v>
      </c>
      <c r="EA72" s="481" t="s">
        <v>9086</v>
      </c>
      <c r="EB72" s="685" t="s">
        <v>10411</v>
      </c>
      <c r="EC72" s="685" t="s">
        <v>4920</v>
      </c>
      <c r="ED72" s="1236" t="s">
        <v>10412</v>
      </c>
    </row>
    <row r="73">
      <c r="A73" s="244" t="s">
        <v>10413</v>
      </c>
      <c r="B73" s="245" t="s">
        <v>10414</v>
      </c>
      <c r="C73" s="246" t="s">
        <v>271</v>
      </c>
      <c r="D73" s="247" t="s">
        <v>271</v>
      </c>
      <c r="E73" s="248" t="s">
        <v>271</v>
      </c>
      <c r="F73" s="249" t="s">
        <v>271</v>
      </c>
      <c r="G73" s="245" t="s">
        <v>10415</v>
      </c>
      <c r="H73" s="286" t="s">
        <v>4243</v>
      </c>
      <c r="I73" s="286" t="s">
        <v>10416</v>
      </c>
      <c r="J73" s="286" t="s">
        <v>7394</v>
      </c>
      <c r="K73" s="286" t="s">
        <v>9772</v>
      </c>
      <c r="L73" s="286" t="s">
        <v>9978</v>
      </c>
      <c r="M73" s="286" t="s">
        <v>1747</v>
      </c>
      <c r="N73" s="286" t="s">
        <v>4250</v>
      </c>
      <c r="O73" s="286" t="s">
        <v>10417</v>
      </c>
      <c r="P73" s="286" t="s">
        <v>10418</v>
      </c>
      <c r="Q73" s="286" t="s">
        <v>10419</v>
      </c>
      <c r="R73" s="320"/>
      <c r="S73" s="286" t="s">
        <v>10420</v>
      </c>
      <c r="T73" s="320"/>
      <c r="U73" s="320"/>
      <c r="V73" s="286" t="s">
        <v>10421</v>
      </c>
      <c r="W73" s="106"/>
      <c r="X73" s="286" t="s">
        <v>4243</v>
      </c>
      <c r="Y73" s="286"/>
      <c r="Z73" s="286" t="s">
        <v>2763</v>
      </c>
      <c r="AA73" s="286" t="s">
        <v>5608</v>
      </c>
      <c r="AB73" s="286" t="s">
        <v>10422</v>
      </c>
      <c r="AC73" s="286" t="s">
        <v>10423</v>
      </c>
      <c r="AD73" s="286" t="s">
        <v>4215</v>
      </c>
      <c r="AE73" s="286"/>
      <c r="AF73" s="286" t="s">
        <v>3332</v>
      </c>
      <c r="AG73" s="286" t="s">
        <v>4555</v>
      </c>
      <c r="AH73" s="286" t="s">
        <v>1262</v>
      </c>
      <c r="AI73" s="286"/>
      <c r="AJ73" s="286" t="s">
        <v>2635</v>
      </c>
      <c r="AK73" s="286" t="s">
        <v>9440</v>
      </c>
      <c r="AL73" s="105"/>
      <c r="AM73" s="286" t="s">
        <v>10210</v>
      </c>
      <c r="AN73" s="286" t="s">
        <v>7166</v>
      </c>
      <c r="AO73" s="286" t="s">
        <v>10424</v>
      </c>
      <c r="AP73" s="286" t="s">
        <v>5431</v>
      </c>
      <c r="AQ73" s="286" t="s">
        <v>1109</v>
      </c>
      <c r="AR73" s="286"/>
      <c r="AS73" s="286" t="s">
        <v>1018</v>
      </c>
      <c r="AT73" s="286" t="s">
        <v>7645</v>
      </c>
      <c r="AU73" s="286" t="s">
        <v>3436</v>
      </c>
      <c r="AV73" s="286" t="s">
        <v>3880</v>
      </c>
      <c r="AW73" s="286" t="s">
        <v>10425</v>
      </c>
      <c r="AX73" s="320"/>
      <c r="AY73" s="320"/>
      <c r="AZ73" s="286" t="s">
        <v>10426</v>
      </c>
      <c r="BA73" s="286"/>
      <c r="BB73" s="286" t="s">
        <v>1973</v>
      </c>
      <c r="BC73" s="286" t="s">
        <v>6190</v>
      </c>
      <c r="BD73" s="286" t="s">
        <v>9527</v>
      </c>
      <c r="BE73" s="286" t="s">
        <v>10427</v>
      </c>
      <c r="BF73" s="286" t="s">
        <v>10428</v>
      </c>
      <c r="BG73" s="286" t="s">
        <v>1279</v>
      </c>
      <c r="BH73" s="286" t="s">
        <v>5200</v>
      </c>
      <c r="BI73" s="286" t="s">
        <v>10429</v>
      </c>
      <c r="BJ73" s="286" t="s">
        <v>5580</v>
      </c>
      <c r="BK73" s="286" t="s">
        <v>6085</v>
      </c>
      <c r="BL73" s="286" t="s">
        <v>10135</v>
      </c>
      <c r="BM73" s="286" t="s">
        <v>6810</v>
      </c>
      <c r="BN73" s="320"/>
      <c r="BO73" s="320"/>
      <c r="BP73" s="320"/>
      <c r="BQ73" s="824"/>
      <c r="BR73" s="286" t="s">
        <v>5102</v>
      </c>
      <c r="BS73" s="286" t="s">
        <v>6139</v>
      </c>
      <c r="BT73" s="286" t="s">
        <v>10430</v>
      </c>
      <c r="BU73" s="286" t="s">
        <v>10431</v>
      </c>
      <c r="BV73" s="286" t="s">
        <v>10432</v>
      </c>
      <c r="BW73" s="286" t="s">
        <v>5085</v>
      </c>
      <c r="BX73" s="286" t="s">
        <v>4629</v>
      </c>
      <c r="BY73" s="286" t="s">
        <v>10433</v>
      </c>
      <c r="BZ73" s="286" t="s">
        <v>10434</v>
      </c>
      <c r="CA73" s="286" t="s">
        <v>4717</v>
      </c>
      <c r="CB73" s="286" t="s">
        <v>10435</v>
      </c>
      <c r="CC73" s="320"/>
      <c r="CD73" s="320"/>
      <c r="CE73" s="320"/>
      <c r="CF73" s="824"/>
      <c r="CG73" s="286" t="s">
        <v>3434</v>
      </c>
      <c r="CH73" s="286" t="s">
        <v>10436</v>
      </c>
      <c r="CI73" s="286" t="s">
        <v>3512</v>
      </c>
      <c r="CJ73" s="286" t="s">
        <v>10437</v>
      </c>
      <c r="CK73" s="286"/>
      <c r="CL73" s="286" t="s">
        <v>721</v>
      </c>
      <c r="CM73" s="286" t="s">
        <v>4835</v>
      </c>
      <c r="CN73" s="286" t="s">
        <v>3794</v>
      </c>
      <c r="CO73" s="286" t="s">
        <v>3579</v>
      </c>
      <c r="CP73" s="286" t="s">
        <v>10438</v>
      </c>
      <c r="CQ73" s="286" t="s">
        <v>937</v>
      </c>
      <c r="CR73" s="320"/>
      <c r="CS73" s="320"/>
      <c r="CT73" s="320"/>
      <c r="CU73" s="106"/>
      <c r="CV73" s="286" t="s">
        <v>821</v>
      </c>
      <c r="CW73" s="286" t="s">
        <v>10439</v>
      </c>
      <c r="CX73" s="286" t="s">
        <v>10440</v>
      </c>
      <c r="CY73" s="286" t="s">
        <v>9372</v>
      </c>
      <c r="CZ73" s="286" t="s">
        <v>10441</v>
      </c>
      <c r="DA73" s="286" t="s">
        <v>10442</v>
      </c>
      <c r="DB73" s="286" t="s">
        <v>10443</v>
      </c>
      <c r="DC73" s="286" t="s">
        <v>7346</v>
      </c>
      <c r="DD73" s="286"/>
      <c r="DE73" s="320"/>
      <c r="DF73" s="320"/>
      <c r="DG73" s="320"/>
      <c r="DH73" s="320"/>
      <c r="DI73" s="286" t="s">
        <v>525</v>
      </c>
      <c r="DJ73" s="320"/>
      <c r="DK73" s="286" t="s">
        <v>7580</v>
      </c>
      <c r="DL73" s="286"/>
      <c r="DM73" s="286" t="s">
        <v>1987</v>
      </c>
      <c r="DN73" s="286" t="s">
        <v>2142</v>
      </c>
      <c r="DO73" s="286" t="s">
        <v>4753</v>
      </c>
      <c r="DP73" s="286" t="s">
        <v>4232</v>
      </c>
      <c r="DQ73" s="286" t="s">
        <v>10444</v>
      </c>
      <c r="DR73" s="286" t="s">
        <v>9202</v>
      </c>
      <c r="DS73" s="286" t="s">
        <v>5282</v>
      </c>
      <c r="DT73" s="286" t="s">
        <v>10351</v>
      </c>
      <c r="DU73" s="286" t="s">
        <v>10445</v>
      </c>
      <c r="DV73" s="286" t="s">
        <v>6844</v>
      </c>
      <c r="DW73" s="286" t="s">
        <v>4018</v>
      </c>
      <c r="DX73" s="286" t="s">
        <v>10446</v>
      </c>
      <c r="DY73" s="286" t="s">
        <v>4605</v>
      </c>
      <c r="DZ73" s="286" t="s">
        <v>10376</v>
      </c>
      <c r="EA73" s="286" t="s">
        <v>10447</v>
      </c>
      <c r="EB73" s="286" t="s">
        <v>10101</v>
      </c>
      <c r="EC73" s="286" t="s">
        <v>10448</v>
      </c>
      <c r="ED73" s="862" t="s">
        <v>10449</v>
      </c>
    </row>
    <row r="74">
      <c r="A74" s="540" t="s">
        <v>228</v>
      </c>
      <c r="B74" s="378" t="s">
        <v>10450</v>
      </c>
      <c r="C74" s="379" t="s">
        <v>361</v>
      </c>
      <c r="D74" s="380" t="s">
        <v>271</v>
      </c>
      <c r="E74" s="381" t="s">
        <v>271</v>
      </c>
      <c r="F74" s="382" t="s">
        <v>398</v>
      </c>
      <c r="G74" s="378" t="s">
        <v>3952</v>
      </c>
      <c r="H74" s="390" t="s">
        <v>10373</v>
      </c>
      <c r="I74" s="835"/>
      <c r="J74" s="835"/>
      <c r="K74" s="835"/>
      <c r="L74" s="541" t="s">
        <v>1045</v>
      </c>
      <c r="M74" s="835"/>
      <c r="N74" s="835"/>
      <c r="O74" s="541" t="s">
        <v>1088</v>
      </c>
      <c r="P74" s="541" t="s">
        <v>1140</v>
      </c>
      <c r="Q74" s="387" t="s">
        <v>612</v>
      </c>
      <c r="R74" s="835"/>
      <c r="S74" s="835"/>
      <c r="T74" s="541" t="s">
        <v>1636</v>
      </c>
      <c r="U74" s="541" t="s">
        <v>10050</v>
      </c>
      <c r="V74" s="833" t="s">
        <v>1734</v>
      </c>
      <c r="W74" s="106"/>
      <c r="X74" s="837"/>
      <c r="Y74" s="670"/>
      <c r="Z74" s="670" t="s">
        <v>9744</v>
      </c>
      <c r="AA74" s="395" t="str">
        <f>HYPERLINK("https://youtu.be/esd_xoh2Wlk","14.77")</f>
        <v>14.77</v>
      </c>
      <c r="AB74" s="837"/>
      <c r="AC74" s="399" t="s">
        <v>1320</v>
      </c>
      <c r="AD74" s="670" t="s">
        <v>6296</v>
      </c>
      <c r="AE74" s="837"/>
      <c r="AF74" s="837"/>
      <c r="AG74" s="670" t="s">
        <v>10155</v>
      </c>
      <c r="AH74" s="670" t="s">
        <v>9889</v>
      </c>
      <c r="AI74" s="670"/>
      <c r="AJ74" s="670" t="s">
        <v>3447</v>
      </c>
      <c r="AK74" s="1632" t="s">
        <v>7619</v>
      </c>
      <c r="AL74" s="105"/>
      <c r="AM74" s="839"/>
      <c r="AN74" s="839"/>
      <c r="AO74" s="407" t="s">
        <v>10451</v>
      </c>
      <c r="AP74" s="839"/>
      <c r="AQ74" s="671" t="s">
        <v>1144</v>
      </c>
      <c r="AR74" s="407" t="s">
        <v>2541</v>
      </c>
      <c r="AS74" s="839"/>
      <c r="AT74" s="570" t="s">
        <v>6688</v>
      </c>
      <c r="AU74" s="570" t="s">
        <v>566</v>
      </c>
      <c r="AV74" s="407" t="s">
        <v>1506</v>
      </c>
      <c r="AW74" s="407" t="s">
        <v>3841</v>
      </c>
      <c r="AX74" s="839"/>
      <c r="AY74" s="839"/>
      <c r="AZ74" s="575" t="s">
        <v>4979</v>
      </c>
      <c r="BA74" s="839"/>
      <c r="BB74" s="580"/>
      <c r="BC74" s="580"/>
      <c r="BD74" s="581"/>
      <c r="BE74" s="417" t="s">
        <v>2048</v>
      </c>
      <c r="BF74" s="580"/>
      <c r="BG74" s="417" t="s">
        <v>5208</v>
      </c>
      <c r="BH74" s="580"/>
      <c r="BI74" s="417" t="s">
        <v>1356</v>
      </c>
      <c r="BJ74" s="580"/>
      <c r="BK74" s="580"/>
      <c r="BL74" s="581" t="s">
        <v>2770</v>
      </c>
      <c r="BM74" s="843" t="s">
        <v>10452</v>
      </c>
      <c r="BN74" s="580"/>
      <c r="BO74" s="580"/>
      <c r="BP74" s="843" t="s">
        <v>6145</v>
      </c>
      <c r="BQ74" s="581"/>
      <c r="BR74" s="849"/>
      <c r="BS74" s="849"/>
      <c r="BT74" s="589" t="s">
        <v>621</v>
      </c>
      <c r="BU74" s="589" t="s">
        <v>10453</v>
      </c>
      <c r="BV74" s="849"/>
      <c r="BW74" s="589" t="s">
        <v>3808</v>
      </c>
      <c r="BX74" s="849"/>
      <c r="BY74" s="849"/>
      <c r="BZ74" s="849"/>
      <c r="CA74" s="849"/>
      <c r="CB74" s="422" t="s">
        <v>614</v>
      </c>
      <c r="CC74" s="589" t="s">
        <v>4846</v>
      </c>
      <c r="CD74" s="589" t="s">
        <v>1066</v>
      </c>
      <c r="CE74" s="868" t="s">
        <v>10454</v>
      </c>
      <c r="CF74" s="1150"/>
      <c r="CG74" s="593" t="s">
        <v>9794</v>
      </c>
      <c r="CH74" s="433" t="s">
        <v>9868</v>
      </c>
      <c r="CI74" s="1028" t="s">
        <v>4589</v>
      </c>
      <c r="CJ74" s="593" t="s">
        <v>9598</v>
      </c>
      <c r="CK74" s="593"/>
      <c r="CL74" s="593" t="s">
        <v>9869</v>
      </c>
      <c r="CM74" s="593" t="s">
        <v>4365</v>
      </c>
      <c r="CN74" s="593" t="s">
        <v>7882</v>
      </c>
      <c r="CO74" s="852"/>
      <c r="CP74" s="852"/>
      <c r="CQ74" s="1154" t="s">
        <v>7939</v>
      </c>
      <c r="CR74" s="852"/>
      <c r="CS74" s="852"/>
      <c r="CT74" s="789" t="s">
        <v>5944</v>
      </c>
      <c r="CU74" s="106"/>
      <c r="CV74" s="853"/>
      <c r="CW74" s="853"/>
      <c r="CX74" s="853"/>
      <c r="CY74" s="853"/>
      <c r="CZ74" s="853"/>
      <c r="DA74" s="683" t="s">
        <v>3897</v>
      </c>
      <c r="DB74" s="683" t="s">
        <v>8765</v>
      </c>
      <c r="DC74" s="853"/>
      <c r="DD74" s="913" t="s">
        <v>7224</v>
      </c>
      <c r="DE74" s="683"/>
      <c r="DF74" s="458" t="s">
        <v>533</v>
      </c>
      <c r="DG74" s="913" t="s">
        <v>2753</v>
      </c>
      <c r="DH74" s="683"/>
      <c r="DI74" s="855"/>
      <c r="DJ74" s="855"/>
      <c r="DK74" s="855"/>
      <c r="DL74" s="470" t="s">
        <v>10050</v>
      </c>
      <c r="DM74" s="685" t="s">
        <v>1768</v>
      </c>
      <c r="DN74" s="855"/>
      <c r="DO74" s="685" t="s">
        <v>4263</v>
      </c>
      <c r="DP74" s="685" t="s">
        <v>5573</v>
      </c>
      <c r="DQ74" s="855"/>
      <c r="DR74" s="855"/>
      <c r="DS74" s="481" t="s">
        <v>3897</v>
      </c>
      <c r="DT74" s="855"/>
      <c r="DU74" s="855"/>
      <c r="DV74" s="685" t="s">
        <v>9581</v>
      </c>
      <c r="DW74" s="855"/>
      <c r="DX74" s="855"/>
      <c r="DY74" s="685" t="s">
        <v>3480</v>
      </c>
      <c r="DZ74" s="473" t="s">
        <v>9706</v>
      </c>
      <c r="EA74" s="473" t="str">
        <f>HYPERLINK("https://youtu.be/cSRvv7G0qWk","25.28")</f>
        <v>25.28</v>
      </c>
      <c r="EB74" s="685" t="s">
        <v>10455</v>
      </c>
      <c r="EC74" s="685" t="s">
        <v>10456</v>
      </c>
      <c r="ED74" s="1039"/>
    </row>
    <row r="75">
      <c r="A75" s="244" t="s">
        <v>7167</v>
      </c>
      <c r="B75" s="245" t="s">
        <v>10457</v>
      </c>
      <c r="C75" s="246" t="s">
        <v>271</v>
      </c>
      <c r="D75" s="247" t="s">
        <v>271</v>
      </c>
      <c r="E75" s="248" t="s">
        <v>271</v>
      </c>
      <c r="F75" s="249" t="s">
        <v>270</v>
      </c>
      <c r="G75" s="245" t="s">
        <v>716</v>
      </c>
      <c r="H75" s="316" t="str">
        <f>HYPERLINK("https://clips.twitch.tv/LachrymoseCourteousDelicataSeemsGood","51.28")</f>
        <v>51.28</v>
      </c>
      <c r="I75" s="278" t="s">
        <v>10458</v>
      </c>
      <c r="J75" s="278" t="s">
        <v>635</v>
      </c>
      <c r="K75" s="286" t="s">
        <v>746</v>
      </c>
      <c r="L75" s="278" t="s">
        <v>9741</v>
      </c>
      <c r="M75" s="286" t="s">
        <v>7726</v>
      </c>
      <c r="N75" s="286" t="s">
        <v>10459</v>
      </c>
      <c r="O75" s="278" t="s">
        <v>749</v>
      </c>
      <c r="P75" s="316" t="str">
        <f>HYPERLINK("https://clips.twitch.tv/OpenFastVelociraptorPastaThat","16.00")</f>
        <v>16.00</v>
      </c>
      <c r="Q75" s="320"/>
      <c r="R75" s="320"/>
      <c r="S75" s="320"/>
      <c r="T75" s="320"/>
      <c r="U75" s="320"/>
      <c r="V75" s="320"/>
      <c r="W75" s="106"/>
      <c r="X75" s="286" t="s">
        <v>2936</v>
      </c>
      <c r="Y75" s="278"/>
      <c r="Z75" s="278" t="s">
        <v>10460</v>
      </c>
      <c r="AA75" s="316" t="str">
        <f>HYPERLINK("https://youtu.be/DcWVHDR229E","14.90")</f>
        <v>14.90</v>
      </c>
      <c r="AB75" s="286" t="s">
        <v>10461</v>
      </c>
      <c r="AC75" s="316" t="str">
        <f>HYPERLINK("https://clips.twitch.tv/DifferentUninterestedGerbilHassaanChop","30.28")</f>
        <v>30.28</v>
      </c>
      <c r="AD75" s="316" t="str">
        <f>HYPERLINK("https://clips.twitch.tv/RenownedTiredGnatBigBrother","57.66")</f>
        <v>57.66</v>
      </c>
      <c r="AE75" s="320"/>
      <c r="AF75" s="286" t="s">
        <v>8215</v>
      </c>
      <c r="AG75" s="278" t="s">
        <v>9281</v>
      </c>
      <c r="AH75" s="320"/>
      <c r="AI75" s="320"/>
      <c r="AJ75" s="320"/>
      <c r="AK75" s="320"/>
      <c r="AL75" s="105"/>
      <c r="AM75" s="316" t="str">
        <f>HYPERLINK("https://clips.twitch.tv/UnsightlyRenownedBatKappaPride","39.58")</f>
        <v>39.58</v>
      </c>
      <c r="AN75" s="316" t="str">
        <f>HYPERLINK("https://clips.twitch.tv/EncouragingCarelessMacaroniPipeHype","19.15")</f>
        <v>19.15</v>
      </c>
      <c r="AO75" s="320"/>
      <c r="AP75" s="320"/>
      <c r="AQ75" s="320"/>
      <c r="AR75" s="320"/>
      <c r="AS75" s="320"/>
      <c r="AT75" s="320"/>
      <c r="AU75" s="278" t="s">
        <v>10462</v>
      </c>
      <c r="AV75" s="278" t="s">
        <v>5297</v>
      </c>
      <c r="AW75" s="320"/>
      <c r="AX75" s="320"/>
      <c r="AY75" s="320"/>
      <c r="AZ75" s="320"/>
      <c r="BA75" s="320"/>
      <c r="BB75" s="1767" t="str">
        <f>HYPERLINK("https://clips.twitch.tv/BovineSecretiveTireItsBoshyTime","49.95")</f>
        <v>49.95</v>
      </c>
      <c r="BC75" s="286" t="s">
        <v>3919</v>
      </c>
      <c r="BD75" s="316" t="str">
        <f>HYPERLINK("https://youtu.be/TzgOslc32vU","28.68")</f>
        <v>28.68</v>
      </c>
      <c r="BE75" s="286" t="s">
        <v>10463</v>
      </c>
      <c r="BF75" s="286" t="s">
        <v>10059</v>
      </c>
      <c r="BG75" s="320"/>
      <c r="BH75" s="320"/>
      <c r="BI75" s="286"/>
      <c r="BJ75" s="320"/>
      <c r="BK75" s="286" t="s">
        <v>4404</v>
      </c>
      <c r="BL75" s="286" t="s">
        <v>10244</v>
      </c>
      <c r="BM75" s="320"/>
      <c r="BN75" s="320"/>
      <c r="BO75" s="320"/>
      <c r="BP75" s="320"/>
      <c r="BQ75" s="824"/>
      <c r="BR75" s="286"/>
      <c r="BS75" s="278" t="s">
        <v>2845</v>
      </c>
      <c r="BT75" s="286" t="s">
        <v>10464</v>
      </c>
      <c r="BU75" s="286" t="s">
        <v>509</v>
      </c>
      <c r="BV75" s="286" t="s">
        <v>1607</v>
      </c>
      <c r="BW75" s="278" t="s">
        <v>4742</v>
      </c>
      <c r="BX75" s="320"/>
      <c r="BY75" s="320"/>
      <c r="BZ75" s="278"/>
      <c r="CA75" s="278" t="s">
        <v>10465</v>
      </c>
      <c r="CB75" s="286" t="s">
        <v>10466</v>
      </c>
      <c r="CC75" s="320"/>
      <c r="CD75" s="320"/>
      <c r="CE75" s="320"/>
      <c r="CF75" s="824"/>
      <c r="CG75" s="286" t="s">
        <v>5239</v>
      </c>
      <c r="CH75" s="316" t="str">
        <f>HYPERLINK("https://youtu.be/AR9q0_E3gEQ","28.75")</f>
        <v>28.75</v>
      </c>
      <c r="CI75" s="286" t="s">
        <v>3898</v>
      </c>
      <c r="CJ75" s="286"/>
      <c r="CK75" s="286"/>
      <c r="CL75" s="286"/>
      <c r="CM75" s="286" t="s">
        <v>9390</v>
      </c>
      <c r="CN75" s="278" t="s">
        <v>10353</v>
      </c>
      <c r="CO75" s="286" t="s">
        <v>10348</v>
      </c>
      <c r="CP75" s="320"/>
      <c r="CQ75" s="320"/>
      <c r="CR75" s="320"/>
      <c r="CS75" s="320"/>
      <c r="CT75" s="320"/>
      <c r="CU75" s="106"/>
      <c r="CV75" s="286" t="s">
        <v>10467</v>
      </c>
      <c r="CW75" s="320"/>
      <c r="CX75" s="286" t="s">
        <v>10403</v>
      </c>
      <c r="CY75" s="286" t="s">
        <v>10468</v>
      </c>
      <c r="CZ75" s="286"/>
      <c r="DA75" s="286"/>
      <c r="DB75" s="316" t="str">
        <f>HYPERLINK("https://youtu.be/XTRC8xLEK0E","2:15.69")</f>
        <v>2:15.69</v>
      </c>
      <c r="DC75" s="286" t="s">
        <v>3205</v>
      </c>
      <c r="DD75" s="320"/>
      <c r="DE75" s="320"/>
      <c r="DF75" s="320"/>
      <c r="DG75" s="320"/>
      <c r="DH75" s="320"/>
      <c r="DI75" s="320"/>
      <c r="DJ75" s="320"/>
      <c r="DK75" s="320"/>
      <c r="DL75" s="320"/>
      <c r="DM75" s="316" t="str">
        <f>HYPERLINK("https://clips.twitch.tv/KathishAwkwardHareBCWarrior","15.73")</f>
        <v>15.73</v>
      </c>
      <c r="DN75" s="320"/>
      <c r="DO75" s="286"/>
      <c r="DP75" s="320"/>
      <c r="DQ75" s="320"/>
      <c r="DR75" s="286" t="s">
        <v>5944</v>
      </c>
      <c r="DS75" s="286"/>
      <c r="DT75" s="320"/>
      <c r="DU75" s="320"/>
      <c r="DV75" s="320"/>
      <c r="DW75" s="320"/>
      <c r="DX75" s="320"/>
      <c r="DY75" s="320"/>
      <c r="DZ75" s="320"/>
      <c r="EA75" s="320"/>
      <c r="EB75" s="320"/>
      <c r="EC75" s="320"/>
      <c r="ED75" s="862"/>
    </row>
    <row r="76">
      <c r="A76" s="540" t="s">
        <v>10469</v>
      </c>
      <c r="B76" s="378" t="s">
        <v>10470</v>
      </c>
      <c r="C76" s="379" t="s">
        <v>271</v>
      </c>
      <c r="D76" s="380" t="s">
        <v>271</v>
      </c>
      <c r="E76" s="381" t="s">
        <v>271</v>
      </c>
      <c r="F76" s="382" t="s">
        <v>271</v>
      </c>
      <c r="G76" s="378" t="s">
        <v>3232</v>
      </c>
      <c r="H76" s="541" t="s">
        <v>3801</v>
      </c>
      <c r="I76" s="541" t="s">
        <v>7909</v>
      </c>
      <c r="J76" s="541" t="s">
        <v>10471</v>
      </c>
      <c r="K76" s="541" t="s">
        <v>10472</v>
      </c>
      <c r="L76" s="541" t="s">
        <v>10473</v>
      </c>
      <c r="M76" s="541" t="s">
        <v>10474</v>
      </c>
      <c r="N76" s="541" t="s">
        <v>10475</v>
      </c>
      <c r="O76" s="541" t="s">
        <v>1146</v>
      </c>
      <c r="P76" s="541" t="s">
        <v>4600</v>
      </c>
      <c r="Q76" s="541" t="s">
        <v>5061</v>
      </c>
      <c r="R76" s="541" t="s">
        <v>2256</v>
      </c>
      <c r="S76" s="541" t="s">
        <v>10476</v>
      </c>
      <c r="T76" s="835"/>
      <c r="U76" s="835"/>
      <c r="V76" s="541" t="s">
        <v>8039</v>
      </c>
      <c r="W76" s="106"/>
      <c r="X76" s="670" t="s">
        <v>4211</v>
      </c>
      <c r="Y76" s="670"/>
      <c r="Z76" s="670" t="s">
        <v>10477</v>
      </c>
      <c r="AA76" s="670" t="s">
        <v>9663</v>
      </c>
      <c r="AB76" s="670" t="s">
        <v>1828</v>
      </c>
      <c r="AC76" s="670" t="s">
        <v>10013</v>
      </c>
      <c r="AD76" s="670" t="s">
        <v>5970</v>
      </c>
      <c r="AE76" s="670" t="s">
        <v>8095</v>
      </c>
      <c r="AF76" s="670" t="s">
        <v>10478</v>
      </c>
      <c r="AG76" s="670" t="s">
        <v>2664</v>
      </c>
      <c r="AH76" s="670" t="s">
        <v>10479</v>
      </c>
      <c r="AI76" s="670"/>
      <c r="AJ76" s="670" t="s">
        <v>10480</v>
      </c>
      <c r="AK76" s="670" t="s">
        <v>10481</v>
      </c>
      <c r="AL76" s="105"/>
      <c r="AM76" s="570" t="s">
        <v>881</v>
      </c>
      <c r="AN76" s="570" t="s">
        <v>10482</v>
      </c>
      <c r="AO76" s="570" t="s">
        <v>10483</v>
      </c>
      <c r="AP76" s="570" t="s">
        <v>2241</v>
      </c>
      <c r="AQ76" s="570" t="s">
        <v>10484</v>
      </c>
      <c r="AR76" s="570" t="s">
        <v>2650</v>
      </c>
      <c r="AS76" s="570" t="s">
        <v>4227</v>
      </c>
      <c r="AT76" s="570" t="s">
        <v>10485</v>
      </c>
      <c r="AU76" s="570" t="s">
        <v>993</v>
      </c>
      <c r="AV76" s="570" t="s">
        <v>2525</v>
      </c>
      <c r="AW76" s="570" t="s">
        <v>10486</v>
      </c>
      <c r="AX76" s="570" t="s">
        <v>6994</v>
      </c>
      <c r="AY76" s="570" t="s">
        <v>6648</v>
      </c>
      <c r="AZ76" s="570" t="s">
        <v>10487</v>
      </c>
      <c r="BA76" s="570"/>
      <c r="BB76" s="581" t="s">
        <v>2089</v>
      </c>
      <c r="BC76" s="581" t="s">
        <v>10488</v>
      </c>
      <c r="BD76" s="581" t="s">
        <v>9681</v>
      </c>
      <c r="BE76" s="581" t="s">
        <v>748</v>
      </c>
      <c r="BF76" s="581" t="s">
        <v>10286</v>
      </c>
      <c r="BG76" s="581" t="s">
        <v>4462</v>
      </c>
      <c r="BH76" s="581" t="s">
        <v>2944</v>
      </c>
      <c r="BI76" s="581" t="s">
        <v>1732</v>
      </c>
      <c r="BJ76" s="580"/>
      <c r="BK76" s="581" t="s">
        <v>6661</v>
      </c>
      <c r="BL76" s="581" t="s">
        <v>9497</v>
      </c>
      <c r="BM76" s="580"/>
      <c r="BN76" s="581" t="s">
        <v>4582</v>
      </c>
      <c r="BO76" s="581" t="s">
        <v>3077</v>
      </c>
      <c r="BP76" s="581" t="s">
        <v>10489</v>
      </c>
      <c r="BQ76" s="581"/>
      <c r="BR76" s="589"/>
      <c r="BS76" s="589" t="s">
        <v>10490</v>
      </c>
      <c r="BT76" s="589" t="s">
        <v>10491</v>
      </c>
      <c r="BU76" s="589" t="s">
        <v>10492</v>
      </c>
      <c r="BV76" s="589" t="s">
        <v>10493</v>
      </c>
      <c r="BW76" s="589" t="s">
        <v>10494</v>
      </c>
      <c r="BX76" s="589" t="s">
        <v>4767</v>
      </c>
      <c r="BY76" s="849"/>
      <c r="BZ76" s="589" t="s">
        <v>10495</v>
      </c>
      <c r="CA76" s="589" t="s">
        <v>10496</v>
      </c>
      <c r="CB76" s="589" t="s">
        <v>10497</v>
      </c>
      <c r="CC76" s="589" t="s">
        <v>10498</v>
      </c>
      <c r="CD76" s="589" t="s">
        <v>4324</v>
      </c>
      <c r="CE76" s="589" t="s">
        <v>10499</v>
      </c>
      <c r="CF76" s="589"/>
      <c r="CG76" s="593" t="s">
        <v>7326</v>
      </c>
      <c r="CH76" s="593" t="s">
        <v>10500</v>
      </c>
      <c r="CI76" s="593" t="s">
        <v>10501</v>
      </c>
      <c r="CJ76" s="593" t="s">
        <v>10502</v>
      </c>
      <c r="CK76" s="593"/>
      <c r="CL76" s="593" t="s">
        <v>648</v>
      </c>
      <c r="CM76" s="1768" t="s">
        <v>1496</v>
      </c>
      <c r="CN76" s="593" t="s">
        <v>9890</v>
      </c>
      <c r="CO76" s="593" t="s">
        <v>3579</v>
      </c>
      <c r="CP76" s="852"/>
      <c r="CQ76" s="593" t="s">
        <v>4733</v>
      </c>
      <c r="CR76" s="593"/>
      <c r="CS76" s="593" t="s">
        <v>3785</v>
      </c>
      <c r="CT76" s="593" t="s">
        <v>7980</v>
      </c>
      <c r="CU76" s="106"/>
      <c r="CV76" s="683" t="s">
        <v>7162</v>
      </c>
      <c r="CW76" s="683" t="s">
        <v>8758</v>
      </c>
      <c r="CX76" s="683" t="s">
        <v>10503</v>
      </c>
      <c r="CY76" s="683" t="s">
        <v>5140</v>
      </c>
      <c r="CZ76" s="683" t="s">
        <v>10504</v>
      </c>
      <c r="DA76" s="683" t="s">
        <v>10505</v>
      </c>
      <c r="DB76" s="683" t="s">
        <v>10506</v>
      </c>
      <c r="DC76" s="683" t="s">
        <v>7351</v>
      </c>
      <c r="DD76" s="683" t="s">
        <v>2333</v>
      </c>
      <c r="DE76" s="683" t="s">
        <v>10507</v>
      </c>
      <c r="DF76" s="683" t="s">
        <v>6242</v>
      </c>
      <c r="DG76" s="683" t="s">
        <v>10508</v>
      </c>
      <c r="DH76" s="683"/>
      <c r="DI76" s="685" t="s">
        <v>1416</v>
      </c>
      <c r="DJ76" s="685" t="s">
        <v>534</v>
      </c>
      <c r="DK76" s="685" t="s">
        <v>10509</v>
      </c>
      <c r="DL76" s="685"/>
      <c r="DM76" s="685" t="s">
        <v>3311</v>
      </c>
      <c r="DN76" s="685" t="s">
        <v>10510</v>
      </c>
      <c r="DO76" s="685" t="s">
        <v>1199</v>
      </c>
      <c r="DP76" s="685" t="s">
        <v>10511</v>
      </c>
      <c r="DQ76" s="855"/>
      <c r="DR76" s="685" t="s">
        <v>10512</v>
      </c>
      <c r="DS76" s="685" t="s">
        <v>10513</v>
      </c>
      <c r="DT76" s="855"/>
      <c r="DU76" s="685" t="s">
        <v>10074</v>
      </c>
      <c r="DV76" s="685" t="s">
        <v>4691</v>
      </c>
      <c r="DW76" s="685" t="s">
        <v>4018</v>
      </c>
      <c r="DX76" s="855"/>
      <c r="DY76" s="685" t="s">
        <v>3746</v>
      </c>
      <c r="DZ76" s="685" t="s">
        <v>9911</v>
      </c>
      <c r="EA76" s="685" t="s">
        <v>462</v>
      </c>
      <c r="EB76" s="685" t="s">
        <v>10514</v>
      </c>
      <c r="EC76" s="685" t="s">
        <v>9357</v>
      </c>
      <c r="ED76" s="1039" t="s">
        <v>9844</v>
      </c>
    </row>
    <row r="77">
      <c r="A77" s="244" t="s">
        <v>6113</v>
      </c>
      <c r="B77" s="245" t="s">
        <v>10515</v>
      </c>
      <c r="C77" s="246" t="s">
        <v>171</v>
      </c>
      <c r="D77" s="247" t="s">
        <v>271</v>
      </c>
      <c r="E77" s="248" t="s">
        <v>271</v>
      </c>
      <c r="F77" s="249" t="s">
        <v>274</v>
      </c>
      <c r="G77" s="245" t="s">
        <v>9219</v>
      </c>
      <c r="H77" s="286" t="s">
        <v>2736</v>
      </c>
      <c r="I77" s="278" t="s">
        <v>5601</v>
      </c>
      <c r="J77" s="278" t="s">
        <v>10252</v>
      </c>
      <c r="K77" s="286" t="s">
        <v>9568</v>
      </c>
      <c r="L77" s="278" t="s">
        <v>10516</v>
      </c>
      <c r="M77" s="320"/>
      <c r="N77" s="278" t="s">
        <v>10517</v>
      </c>
      <c r="O77" s="278" t="s">
        <v>9807</v>
      </c>
      <c r="P77" s="286" t="s">
        <v>422</v>
      </c>
      <c r="Q77" s="320"/>
      <c r="R77" s="320"/>
      <c r="S77" s="286" t="s">
        <v>1527</v>
      </c>
      <c r="T77" s="286" t="s">
        <v>3437</v>
      </c>
      <c r="U77" s="320"/>
      <c r="V77" s="320"/>
      <c r="W77" s="106"/>
      <c r="X77" s="286" t="s">
        <v>10518</v>
      </c>
      <c r="Y77" s="286"/>
      <c r="Z77" s="286" t="s">
        <v>10519</v>
      </c>
      <c r="AA77" s="286" t="s">
        <v>10316</v>
      </c>
      <c r="AB77" s="286" t="s">
        <v>5845</v>
      </c>
      <c r="AC77" s="286" t="s">
        <v>6596</v>
      </c>
      <c r="AD77" s="286" t="s">
        <v>6439</v>
      </c>
      <c r="AE77" s="320"/>
      <c r="AF77" s="286"/>
      <c r="AG77" s="286" t="s">
        <v>669</v>
      </c>
      <c r="AH77" s="320"/>
      <c r="AI77" s="286"/>
      <c r="AJ77" s="286" t="s">
        <v>9519</v>
      </c>
      <c r="AK77" s="320"/>
      <c r="AL77" s="105"/>
      <c r="AM77" s="286" t="s">
        <v>3908</v>
      </c>
      <c r="AN77" s="286" t="s">
        <v>10520</v>
      </c>
      <c r="AO77" s="320"/>
      <c r="AP77" s="286" t="s">
        <v>6425</v>
      </c>
      <c r="AQ77" s="320"/>
      <c r="AR77" s="320"/>
      <c r="AS77" s="320"/>
      <c r="AT77" s="320"/>
      <c r="AU77" s="286" t="s">
        <v>7347</v>
      </c>
      <c r="AV77" s="286" t="s">
        <v>1187</v>
      </c>
      <c r="AW77" s="286"/>
      <c r="AX77" s="320"/>
      <c r="AY77" s="286" t="s">
        <v>451</v>
      </c>
      <c r="AZ77" s="320"/>
      <c r="BA77" s="320"/>
      <c r="BB77" s="286" t="s">
        <v>10521</v>
      </c>
      <c r="BC77" s="286" t="s">
        <v>1526</v>
      </c>
      <c r="BD77" s="286" t="s">
        <v>9757</v>
      </c>
      <c r="BE77" s="278" t="s">
        <v>10522</v>
      </c>
      <c r="BF77" s="286" t="s">
        <v>4897</v>
      </c>
      <c r="BG77" s="320"/>
      <c r="BH77" s="320"/>
      <c r="BI77" s="286" t="s">
        <v>4628</v>
      </c>
      <c r="BJ77" s="286"/>
      <c r="BK77" s="286"/>
      <c r="BL77" s="286" t="s">
        <v>2852</v>
      </c>
      <c r="BM77" s="320"/>
      <c r="BN77" s="286" t="s">
        <v>9796</v>
      </c>
      <c r="BO77" s="286" t="s">
        <v>3077</v>
      </c>
      <c r="BP77" s="320"/>
      <c r="BQ77" s="824"/>
      <c r="BR77" s="286"/>
      <c r="BS77" s="278" t="s">
        <v>6575</v>
      </c>
      <c r="BT77" s="286" t="s">
        <v>10341</v>
      </c>
      <c r="BU77" s="286" t="s">
        <v>10523</v>
      </c>
      <c r="BV77" s="286" t="s">
        <v>7625</v>
      </c>
      <c r="BW77" s="286" t="s">
        <v>3081</v>
      </c>
      <c r="BX77" s="251" t="s">
        <v>10524</v>
      </c>
      <c r="BY77" s="320"/>
      <c r="BZ77" s="286" t="s">
        <v>10525</v>
      </c>
      <c r="CA77" s="286" t="s">
        <v>9357</v>
      </c>
      <c r="CB77" s="278" t="s">
        <v>10526</v>
      </c>
      <c r="CC77" s="286" t="s">
        <v>10527</v>
      </c>
      <c r="CD77" s="286" t="s">
        <v>2761</v>
      </c>
      <c r="CE77" s="320"/>
      <c r="CF77" s="824"/>
      <c r="CG77" s="278" t="s">
        <v>3015</v>
      </c>
      <c r="CH77" s="286" t="s">
        <v>1261</v>
      </c>
      <c r="CI77" s="278"/>
      <c r="CJ77" s="257" t="s">
        <v>6959</v>
      </c>
      <c r="CK77" s="351"/>
      <c r="CL77" s="351"/>
      <c r="CM77" s="286" t="s">
        <v>9585</v>
      </c>
      <c r="CN77" s="286" t="s">
        <v>3906</v>
      </c>
      <c r="CO77" s="286" t="s">
        <v>1140</v>
      </c>
      <c r="CP77" s="320"/>
      <c r="CQ77" s="320"/>
      <c r="CR77" s="320"/>
      <c r="CS77" s="320"/>
      <c r="CT77" s="320"/>
      <c r="CU77" s="106"/>
      <c r="CV77" s="286" t="s">
        <v>7902</v>
      </c>
      <c r="CW77" s="320"/>
      <c r="CX77" s="286" t="s">
        <v>5349</v>
      </c>
      <c r="CY77" s="286" t="s">
        <v>3406</v>
      </c>
      <c r="CZ77" s="320"/>
      <c r="DA77" s="320"/>
      <c r="DB77" s="286" t="s">
        <v>3499</v>
      </c>
      <c r="DC77" s="316" t="str">
        <f>HYPERLINK("https://www.youtube.com/watch?v=lJ0vz6bQQE0","18.10")</f>
        <v>18.10</v>
      </c>
      <c r="DD77" s="320"/>
      <c r="DE77" s="286" t="s">
        <v>4697</v>
      </c>
      <c r="DF77" s="320"/>
      <c r="DG77" s="320"/>
      <c r="DH77" s="320"/>
      <c r="DI77" s="320"/>
      <c r="DJ77" s="320"/>
      <c r="DK77" s="320"/>
      <c r="DL77" s="320"/>
      <c r="DM77" s="320"/>
      <c r="DN77" s="320"/>
      <c r="DO77" s="320"/>
      <c r="DP77" s="320"/>
      <c r="DQ77" s="320"/>
      <c r="DR77" s="286" t="s">
        <v>10528</v>
      </c>
      <c r="DS77" s="286"/>
      <c r="DT77" s="320"/>
      <c r="DU77" s="320"/>
      <c r="DV77" s="286" t="s">
        <v>8362</v>
      </c>
      <c r="DW77" s="320"/>
      <c r="DX77" s="320"/>
      <c r="DY77" s="320"/>
      <c r="DZ77" s="320"/>
      <c r="EA77" s="286" t="s">
        <v>3999</v>
      </c>
      <c r="EB77" s="320"/>
      <c r="EC77" s="320"/>
      <c r="ED77" s="862"/>
    </row>
    <row r="78">
      <c r="A78" s="540" t="s">
        <v>10529</v>
      </c>
      <c r="B78" s="378" t="s">
        <v>10530</v>
      </c>
      <c r="C78" s="379" t="s">
        <v>271</v>
      </c>
      <c r="D78" s="380" t="s">
        <v>271</v>
      </c>
      <c r="E78" s="381" t="s">
        <v>271</v>
      </c>
      <c r="F78" s="382" t="s">
        <v>271</v>
      </c>
      <c r="G78" s="378" t="s">
        <v>2784</v>
      </c>
      <c r="H78" s="541"/>
      <c r="I78" s="541" t="s">
        <v>10531</v>
      </c>
      <c r="J78" s="541" t="s">
        <v>604</v>
      </c>
      <c r="K78" s="541" t="s">
        <v>727</v>
      </c>
      <c r="L78" s="541" t="s">
        <v>10137</v>
      </c>
      <c r="M78" s="541" t="s">
        <v>10532</v>
      </c>
      <c r="N78" s="541" t="s">
        <v>5865</v>
      </c>
      <c r="O78" s="541" t="s">
        <v>10376</v>
      </c>
      <c r="P78" s="541" t="s">
        <v>10533</v>
      </c>
      <c r="Q78" s="835"/>
      <c r="R78" s="835"/>
      <c r="S78" s="835"/>
      <c r="T78" s="835"/>
      <c r="U78" s="835"/>
      <c r="V78" s="835"/>
      <c r="W78" s="106"/>
      <c r="X78" s="670" t="s">
        <v>4687</v>
      </c>
      <c r="Y78" s="670"/>
      <c r="Z78" s="670" t="s">
        <v>10534</v>
      </c>
      <c r="AA78" s="670" t="s">
        <v>2326</v>
      </c>
      <c r="AB78" s="670" t="s">
        <v>4472</v>
      </c>
      <c r="AC78" s="670" t="s">
        <v>3841</v>
      </c>
      <c r="AD78" s="670" t="s">
        <v>2944</v>
      </c>
      <c r="AE78" s="837"/>
      <c r="AF78" s="1287" t="s">
        <v>3123</v>
      </c>
      <c r="AG78" s="670" t="s">
        <v>10366</v>
      </c>
      <c r="AH78" s="837"/>
      <c r="AI78" s="837"/>
      <c r="AJ78" s="837"/>
      <c r="AK78" s="837"/>
      <c r="AL78" s="105"/>
      <c r="AM78" s="839"/>
      <c r="AN78" s="839"/>
      <c r="AO78" s="839"/>
      <c r="AP78" s="839"/>
      <c r="AQ78" s="839"/>
      <c r="AR78" s="839"/>
      <c r="AS78" s="839"/>
      <c r="AT78" s="839"/>
      <c r="AU78" s="570" t="s">
        <v>3831</v>
      </c>
      <c r="AV78" s="570" t="s">
        <v>6251</v>
      </c>
      <c r="AW78" s="839"/>
      <c r="AX78" s="839"/>
      <c r="AY78" s="839"/>
      <c r="AZ78" s="839"/>
      <c r="BA78" s="839"/>
      <c r="BB78" s="674" t="s">
        <v>7976</v>
      </c>
      <c r="BC78" s="581" t="s">
        <v>10535</v>
      </c>
      <c r="BD78" s="581" t="s">
        <v>9471</v>
      </c>
      <c r="BE78" s="581" t="s">
        <v>10536</v>
      </c>
      <c r="BF78" s="581" t="s">
        <v>10537</v>
      </c>
      <c r="BG78" s="581" t="s">
        <v>1099</v>
      </c>
      <c r="BH78" s="580"/>
      <c r="BI78" s="581" t="s">
        <v>4970</v>
      </c>
      <c r="BJ78" s="581" t="s">
        <v>10538</v>
      </c>
      <c r="BK78" s="581" t="s">
        <v>10539</v>
      </c>
      <c r="BL78" s="581" t="s">
        <v>4457</v>
      </c>
      <c r="BM78" s="580"/>
      <c r="BN78" s="580"/>
      <c r="BO78" s="580"/>
      <c r="BP78" s="580"/>
      <c r="BQ78" s="845"/>
      <c r="BR78" s="589" t="s">
        <v>10540</v>
      </c>
      <c r="BS78" s="589" t="s">
        <v>10541</v>
      </c>
      <c r="BT78" s="589" t="s">
        <v>10341</v>
      </c>
      <c r="BU78" s="589" t="s">
        <v>9727</v>
      </c>
      <c r="BV78" s="589" t="s">
        <v>3807</v>
      </c>
      <c r="BW78" s="589" t="s">
        <v>10542</v>
      </c>
      <c r="BX78" s="589" t="s">
        <v>10543</v>
      </c>
      <c r="BY78" s="589" t="s">
        <v>10544</v>
      </c>
      <c r="BZ78" s="589" t="s">
        <v>10545</v>
      </c>
      <c r="CA78" s="589" t="s">
        <v>10131</v>
      </c>
      <c r="CB78" s="849"/>
      <c r="CC78" s="849"/>
      <c r="CD78" s="849"/>
      <c r="CE78" s="849"/>
      <c r="CF78" s="851"/>
      <c r="CG78" s="593" t="s">
        <v>8940</v>
      </c>
      <c r="CH78" s="593" t="s">
        <v>9616</v>
      </c>
      <c r="CI78" s="593" t="s">
        <v>10275</v>
      </c>
      <c r="CJ78" s="593" t="s">
        <v>10546</v>
      </c>
      <c r="CK78" s="593"/>
      <c r="CL78" s="593" t="s">
        <v>10547</v>
      </c>
      <c r="CM78" s="593" t="s">
        <v>1860</v>
      </c>
      <c r="CN78" s="593" t="s">
        <v>10266</v>
      </c>
      <c r="CO78" s="593" t="s">
        <v>3597</v>
      </c>
      <c r="CP78" s="852"/>
      <c r="CQ78" s="852"/>
      <c r="CR78" s="852"/>
      <c r="CS78" s="852"/>
      <c r="CT78" s="852"/>
      <c r="CU78" s="106"/>
      <c r="CV78" s="683" t="s">
        <v>2292</v>
      </c>
      <c r="CW78" s="683" t="s">
        <v>683</v>
      </c>
      <c r="CX78" s="683" t="s">
        <v>3099</v>
      </c>
      <c r="CY78" s="683" t="s">
        <v>6546</v>
      </c>
      <c r="CZ78" s="683" t="s">
        <v>5897</v>
      </c>
      <c r="DA78" s="683" t="s">
        <v>10548</v>
      </c>
      <c r="DB78" s="683" t="s">
        <v>10549</v>
      </c>
      <c r="DC78" s="683" t="s">
        <v>10550</v>
      </c>
      <c r="DD78" s="853"/>
      <c r="DE78" s="853"/>
      <c r="DF78" s="853"/>
      <c r="DG78" s="853"/>
      <c r="DH78" s="853"/>
      <c r="DI78" s="855"/>
      <c r="DJ78" s="855"/>
      <c r="DK78" s="855"/>
      <c r="DL78" s="855"/>
      <c r="DM78" s="855"/>
      <c r="DN78" s="855"/>
      <c r="DO78" s="855"/>
      <c r="DP78" s="855"/>
      <c r="DQ78" s="855"/>
      <c r="DR78" s="685" t="s">
        <v>6422</v>
      </c>
      <c r="DS78" s="685" t="s">
        <v>6501</v>
      </c>
      <c r="DT78" s="855"/>
      <c r="DU78" s="855"/>
      <c r="DV78" s="855"/>
      <c r="DW78" s="855"/>
      <c r="DX78" s="855"/>
      <c r="DY78" s="855"/>
      <c r="DZ78" s="855"/>
      <c r="EA78" s="855"/>
      <c r="EB78" s="855"/>
      <c r="EC78" s="855"/>
      <c r="ED78" s="1039"/>
    </row>
    <row r="79">
      <c r="A79" s="1769" t="s">
        <v>10551</v>
      </c>
      <c r="B79" s="245" t="s">
        <v>10552</v>
      </c>
      <c r="C79" s="246" t="s">
        <v>271</v>
      </c>
      <c r="D79" s="247" t="s">
        <v>271</v>
      </c>
      <c r="E79" s="248" t="s">
        <v>271</v>
      </c>
      <c r="F79" s="249" t="s">
        <v>171</v>
      </c>
      <c r="G79" s="245" t="s">
        <v>1927</v>
      </c>
      <c r="H79" s="286" t="s">
        <v>2134</v>
      </c>
      <c r="I79" s="286" t="s">
        <v>10553</v>
      </c>
      <c r="J79" s="286" t="s">
        <v>10082</v>
      </c>
      <c r="K79" s="286" t="s">
        <v>684</v>
      </c>
      <c r="L79" s="286" t="s">
        <v>5093</v>
      </c>
      <c r="M79" s="286" t="s">
        <v>8007</v>
      </c>
      <c r="N79" s="286" t="s">
        <v>10554</v>
      </c>
      <c r="O79" s="286" t="s">
        <v>10555</v>
      </c>
      <c r="P79" s="286" t="s">
        <v>1140</v>
      </c>
      <c r="Q79" s="320"/>
      <c r="R79" s="320"/>
      <c r="S79" s="286" t="s">
        <v>4652</v>
      </c>
      <c r="T79" s="320"/>
      <c r="U79" s="286" t="s">
        <v>10556</v>
      </c>
      <c r="V79" s="320"/>
      <c r="W79" s="106"/>
      <c r="X79" s="286" t="s">
        <v>10557</v>
      </c>
      <c r="Y79" s="286"/>
      <c r="Z79" s="286" t="s">
        <v>10558</v>
      </c>
      <c r="AA79" s="286" t="s">
        <v>1710</v>
      </c>
      <c r="AB79" s="286" t="s">
        <v>10559</v>
      </c>
      <c r="AC79" s="286" t="s">
        <v>10238</v>
      </c>
      <c r="AD79" s="286" t="s">
        <v>6711</v>
      </c>
      <c r="AE79" s="320"/>
      <c r="AF79" s="286" t="s">
        <v>9676</v>
      </c>
      <c r="AG79" s="286" t="s">
        <v>1441</v>
      </c>
      <c r="AH79" s="286" t="s">
        <v>10560</v>
      </c>
      <c r="AI79" s="320"/>
      <c r="AJ79" s="320"/>
      <c r="AK79" s="320"/>
      <c r="AL79" s="105"/>
      <c r="AM79" s="320"/>
      <c r="AN79" s="286" t="s">
        <v>3649</v>
      </c>
      <c r="AO79" s="320"/>
      <c r="AP79" s="320"/>
      <c r="AQ79" s="320"/>
      <c r="AR79" s="320"/>
      <c r="AS79" s="320"/>
      <c r="AT79" s="320"/>
      <c r="AU79" s="286" t="s">
        <v>7836</v>
      </c>
      <c r="AV79" s="286" t="s">
        <v>10307</v>
      </c>
      <c r="AW79" s="320"/>
      <c r="AX79" s="320"/>
      <c r="AY79" s="320"/>
      <c r="AZ79" s="320"/>
      <c r="BA79" s="320"/>
      <c r="BB79" s="286" t="s">
        <v>1761</v>
      </c>
      <c r="BC79" s="286" t="s">
        <v>8826</v>
      </c>
      <c r="BD79" s="286" t="s">
        <v>865</v>
      </c>
      <c r="BE79" s="286" t="s">
        <v>10561</v>
      </c>
      <c r="BF79" s="286" t="s">
        <v>5943</v>
      </c>
      <c r="BG79" s="286" t="s">
        <v>212</v>
      </c>
      <c r="BH79" s="320"/>
      <c r="BI79" s="286" t="s">
        <v>704</v>
      </c>
      <c r="BJ79" s="286" t="s">
        <v>273</v>
      </c>
      <c r="BK79" s="320"/>
      <c r="BL79" s="286" t="s">
        <v>9393</v>
      </c>
      <c r="BM79" s="320"/>
      <c r="BN79" s="320"/>
      <c r="BO79" s="286" t="s">
        <v>10562</v>
      </c>
      <c r="BP79" s="320"/>
      <c r="BQ79" s="824"/>
      <c r="BR79" s="286" t="s">
        <v>10563</v>
      </c>
      <c r="BS79" s="1168" t="s">
        <v>1746</v>
      </c>
      <c r="BT79" s="1168" t="s">
        <v>10564</v>
      </c>
      <c r="BU79" s="1168" t="s">
        <v>10565</v>
      </c>
      <c r="BV79" s="1695" t="s">
        <v>4241</v>
      </c>
      <c r="BW79" s="1168" t="s">
        <v>7398</v>
      </c>
      <c r="BX79" s="257" t="s">
        <v>10566</v>
      </c>
      <c r="BY79" s="286" t="s">
        <v>7212</v>
      </c>
      <c r="BZ79" s="320"/>
      <c r="CA79" s="286" t="s">
        <v>10567</v>
      </c>
      <c r="CB79" s="320"/>
      <c r="CC79" s="320"/>
      <c r="CD79" s="320"/>
      <c r="CE79" s="320"/>
      <c r="CF79" s="824"/>
      <c r="CG79" s="1168" t="s">
        <v>2945</v>
      </c>
      <c r="CH79" s="1695" t="s">
        <v>2819</v>
      </c>
      <c r="CI79" s="1695" t="s">
        <v>10568</v>
      </c>
      <c r="CJ79" s="1695" t="s">
        <v>10569</v>
      </c>
      <c r="CK79" s="1695"/>
      <c r="CL79" s="1695" t="s">
        <v>760</v>
      </c>
      <c r="CM79" s="1168" t="s">
        <v>10570</v>
      </c>
      <c r="CN79" s="1695" t="s">
        <v>5349</v>
      </c>
      <c r="CO79" s="1168" t="s">
        <v>9378</v>
      </c>
      <c r="CP79" s="320"/>
      <c r="CQ79" s="320"/>
      <c r="CR79" s="320"/>
      <c r="CS79" s="320"/>
      <c r="CT79" s="320"/>
      <c r="CU79" s="106"/>
      <c r="CV79" s="1168" t="s">
        <v>2755</v>
      </c>
      <c r="CW79" s="1695" t="s">
        <v>710</v>
      </c>
      <c r="CX79" s="1168" t="s">
        <v>467</v>
      </c>
      <c r="CY79" s="1168" t="s">
        <v>3637</v>
      </c>
      <c r="CZ79" s="1168" t="s">
        <v>5248</v>
      </c>
      <c r="DA79" s="1168" t="s">
        <v>467</v>
      </c>
      <c r="DB79" s="1695" t="s">
        <v>10571</v>
      </c>
      <c r="DC79" s="1168" t="s">
        <v>2171</v>
      </c>
      <c r="DD79" s="320"/>
      <c r="DE79" s="320"/>
      <c r="DF79" s="320"/>
      <c r="DG79" s="320"/>
      <c r="DH79" s="320"/>
      <c r="DI79" s="1168"/>
      <c r="DJ79" s="1168"/>
      <c r="DK79" s="1168"/>
      <c r="DL79" s="1168"/>
      <c r="DM79" s="1168"/>
      <c r="DN79" s="286" t="s">
        <v>4762</v>
      </c>
      <c r="DO79" s="1168"/>
      <c r="DP79" s="1168"/>
      <c r="DQ79" s="286" t="s">
        <v>10262</v>
      </c>
      <c r="DR79" s="286" t="s">
        <v>5615</v>
      </c>
      <c r="DS79" s="286" t="s">
        <v>10572</v>
      </c>
      <c r="DT79" s="286" t="s">
        <v>10155</v>
      </c>
      <c r="DU79" s="286" t="s">
        <v>9740</v>
      </c>
      <c r="DV79" s="1168"/>
      <c r="DW79" s="1168"/>
      <c r="DX79" s="320"/>
      <c r="DY79" s="286" t="s">
        <v>1997</v>
      </c>
      <c r="DZ79" s="1168"/>
      <c r="EA79" s="1168"/>
      <c r="EB79" s="1168"/>
      <c r="EC79" s="286" t="s">
        <v>4090</v>
      </c>
      <c r="ED79" s="1695" t="s">
        <v>10573</v>
      </c>
    </row>
    <row r="80">
      <c r="A80" s="1680" t="s">
        <v>3414</v>
      </c>
      <c r="B80" s="378" t="s">
        <v>10574</v>
      </c>
      <c r="C80" s="379" t="s">
        <v>271</v>
      </c>
      <c r="D80" s="380" t="s">
        <v>271</v>
      </c>
      <c r="E80" s="381" t="s">
        <v>271</v>
      </c>
      <c r="F80" s="382" t="s">
        <v>567</v>
      </c>
      <c r="G80" s="378" t="s">
        <v>3196</v>
      </c>
      <c r="H80" s="390" t="s">
        <v>9622</v>
      </c>
      <c r="I80" s="1121" t="s">
        <v>7448</v>
      </c>
      <c r="J80" s="541" t="s">
        <v>421</v>
      </c>
      <c r="K80" s="541" t="s">
        <v>672</v>
      </c>
      <c r="L80" s="541" t="s">
        <v>818</v>
      </c>
      <c r="M80" s="541" t="s">
        <v>10575</v>
      </c>
      <c r="N80" s="541" t="s">
        <v>872</v>
      </c>
      <c r="O80" s="541" t="s">
        <v>1066</v>
      </c>
      <c r="P80" s="541" t="s">
        <v>9663</v>
      </c>
      <c r="Q80" s="390" t="s">
        <v>3700</v>
      </c>
      <c r="R80" s="541" t="s">
        <v>9402</v>
      </c>
      <c r="S80" s="832" t="s">
        <v>9682</v>
      </c>
      <c r="T80" s="541" t="s">
        <v>9677</v>
      </c>
      <c r="U80" s="541" t="s">
        <v>6271</v>
      </c>
      <c r="V80" s="541" t="s">
        <v>10576</v>
      </c>
      <c r="W80" s="106"/>
      <c r="X80" s="1133" t="s">
        <v>10577</v>
      </c>
      <c r="Y80" s="670"/>
      <c r="Z80" s="670" t="s">
        <v>9736</v>
      </c>
      <c r="AA80" s="908" t="s">
        <v>311</v>
      </c>
      <c r="AB80" s="669" t="s">
        <v>10153</v>
      </c>
      <c r="AC80" s="669" t="s">
        <v>10578</v>
      </c>
      <c r="AD80" s="399" t="s">
        <v>6315</v>
      </c>
      <c r="AE80" s="837"/>
      <c r="AF80" s="399" t="s">
        <v>9855</v>
      </c>
      <c r="AG80" s="908" t="s">
        <v>10579</v>
      </c>
      <c r="AH80" s="670" t="s">
        <v>3863</v>
      </c>
      <c r="AI80" s="837"/>
      <c r="AJ80" s="670" t="s">
        <v>10317</v>
      </c>
      <c r="AK80" s="670" t="s">
        <v>10580</v>
      </c>
      <c r="AL80" s="105"/>
      <c r="AM80" s="570" t="s">
        <v>463</v>
      </c>
      <c r="AN80" s="570" t="s">
        <v>4785</v>
      </c>
      <c r="AO80" s="570" t="s">
        <v>6359</v>
      </c>
      <c r="AP80" s="570" t="s">
        <v>3984</v>
      </c>
      <c r="AQ80" s="570" t="s">
        <v>4812</v>
      </c>
      <c r="AR80" s="570" t="s">
        <v>4028</v>
      </c>
      <c r="AS80" s="570" t="s">
        <v>8760</v>
      </c>
      <c r="AT80" s="570" t="s">
        <v>10581</v>
      </c>
      <c r="AU80" s="570" t="s">
        <v>4331</v>
      </c>
      <c r="AV80" s="570" t="s">
        <v>5315</v>
      </c>
      <c r="AW80" s="570" t="s">
        <v>10582</v>
      </c>
      <c r="AX80" s="839"/>
      <c r="AY80" s="570" t="s">
        <v>655</v>
      </c>
      <c r="AZ80" s="1019" t="s">
        <v>10583</v>
      </c>
      <c r="BA80" s="570"/>
      <c r="BB80" s="581" t="s">
        <v>10584</v>
      </c>
      <c r="BC80" s="581" t="s">
        <v>10585</v>
      </c>
      <c r="BD80" s="417" t="s">
        <v>4755</v>
      </c>
      <c r="BE80" s="581" t="s">
        <v>10586</v>
      </c>
      <c r="BF80" s="581" t="s">
        <v>6658</v>
      </c>
      <c r="BG80" s="581" t="s">
        <v>10587</v>
      </c>
      <c r="BH80" s="581" t="s">
        <v>5746</v>
      </c>
      <c r="BI80" s="581" t="s">
        <v>9402</v>
      </c>
      <c r="BJ80" s="581" t="s">
        <v>10588</v>
      </c>
      <c r="BK80" s="581" t="s">
        <v>10589</v>
      </c>
      <c r="BL80" s="581" t="s">
        <v>2770</v>
      </c>
      <c r="BM80" s="581" t="s">
        <v>7644</v>
      </c>
      <c r="BN80" s="1289" t="s">
        <v>10256</v>
      </c>
      <c r="BO80" s="581" t="s">
        <v>6779</v>
      </c>
      <c r="BP80" s="581" t="s">
        <v>10590</v>
      </c>
      <c r="BQ80" s="581"/>
      <c r="BR80" s="422" t="s">
        <v>7994</v>
      </c>
      <c r="BS80" s="589" t="s">
        <v>7508</v>
      </c>
      <c r="BT80" s="589" t="s">
        <v>10591</v>
      </c>
      <c r="BU80" s="422" t="s">
        <v>10592</v>
      </c>
      <c r="BV80" s="589" t="s">
        <v>6372</v>
      </c>
      <c r="BW80" s="589" t="s">
        <v>998</v>
      </c>
      <c r="BX80" s="849"/>
      <c r="BY80" s="589" t="s">
        <v>7233</v>
      </c>
      <c r="BZ80" s="590" t="s">
        <v>7738</v>
      </c>
      <c r="CA80" s="589" t="s">
        <v>10456</v>
      </c>
      <c r="CB80" s="589" t="s">
        <v>10593</v>
      </c>
      <c r="CC80" s="589" t="s">
        <v>10594</v>
      </c>
      <c r="CD80" s="589" t="s">
        <v>9823</v>
      </c>
      <c r="CE80" s="589" t="s">
        <v>10595</v>
      </c>
      <c r="CF80" s="851"/>
      <c r="CG80" s="593" t="s">
        <v>10596</v>
      </c>
      <c r="CH80" s="593" t="s">
        <v>2684</v>
      </c>
      <c r="CI80" s="593" t="s">
        <v>10597</v>
      </c>
      <c r="CJ80" s="593" t="s">
        <v>7446</v>
      </c>
      <c r="CK80" s="593"/>
      <c r="CL80" s="593" t="s">
        <v>417</v>
      </c>
      <c r="CM80" s="593" t="s">
        <v>7945</v>
      </c>
      <c r="CN80" s="433" t="s">
        <v>1480</v>
      </c>
      <c r="CO80" s="593" t="s">
        <v>8845</v>
      </c>
      <c r="CP80" s="593" t="s">
        <v>5994</v>
      </c>
      <c r="CQ80" s="593" t="s">
        <v>3989</v>
      </c>
      <c r="CR80" s="593"/>
      <c r="CS80" s="593" t="s">
        <v>4824</v>
      </c>
      <c r="CT80" s="433" t="s">
        <v>10598</v>
      </c>
      <c r="CU80" s="106"/>
      <c r="CV80" s="683" t="s">
        <v>5646</v>
      </c>
      <c r="CW80" s="683" t="s">
        <v>4338</v>
      </c>
      <c r="CX80" s="683" t="s">
        <v>9265</v>
      </c>
      <c r="CY80" s="683" t="s">
        <v>9847</v>
      </c>
      <c r="CZ80" s="683" t="s">
        <v>4884</v>
      </c>
      <c r="DA80" s="683" t="s">
        <v>10599</v>
      </c>
      <c r="DB80" s="793" t="s">
        <v>10600</v>
      </c>
      <c r="DC80" s="683" t="s">
        <v>10601</v>
      </c>
      <c r="DD80" s="683" t="s">
        <v>10602</v>
      </c>
      <c r="DE80" s="683" t="s">
        <v>9674</v>
      </c>
      <c r="DF80" s="683" t="s">
        <v>4440</v>
      </c>
      <c r="DG80" s="458" t="s">
        <v>10603</v>
      </c>
      <c r="DH80" s="683"/>
      <c r="DI80" s="855"/>
      <c r="DJ80" s="855"/>
      <c r="DK80" s="685" t="s">
        <v>6117</v>
      </c>
      <c r="DL80" s="855"/>
      <c r="DM80" s="481" t="s">
        <v>1153</v>
      </c>
      <c r="DN80" s="685" t="s">
        <v>8116</v>
      </c>
      <c r="DO80" s="685" t="s">
        <v>10324</v>
      </c>
      <c r="DP80" s="685" t="s">
        <v>10604</v>
      </c>
      <c r="DQ80" s="685" t="s">
        <v>4554</v>
      </c>
      <c r="DR80" s="685" t="s">
        <v>10451</v>
      </c>
      <c r="DS80" s="685" t="s">
        <v>9458</v>
      </c>
      <c r="DT80" s="685" t="s">
        <v>10209</v>
      </c>
      <c r="DU80" s="685" t="s">
        <v>5685</v>
      </c>
      <c r="DV80" s="685" t="s">
        <v>1751</v>
      </c>
      <c r="DW80" s="685" t="s">
        <v>10605</v>
      </c>
      <c r="DX80" s="685" t="s">
        <v>10606</v>
      </c>
      <c r="DY80" s="685" t="s">
        <v>10607</v>
      </c>
      <c r="DZ80" s="685" t="s">
        <v>597</v>
      </c>
      <c r="EA80" s="685" t="s">
        <v>10608</v>
      </c>
      <c r="EB80" s="481" t="s">
        <v>4745</v>
      </c>
      <c r="EC80" s="481" t="s">
        <v>6014</v>
      </c>
      <c r="ED80" s="473" t="s">
        <v>9711</v>
      </c>
    </row>
    <row r="81">
      <c r="A81" s="1770" t="s">
        <v>10609</v>
      </c>
      <c r="B81" s="1771" t="s">
        <v>10610</v>
      </c>
      <c r="C81" s="1772" t="s">
        <v>271</v>
      </c>
      <c r="D81" s="1773" t="s">
        <v>271</v>
      </c>
      <c r="E81" s="1774" t="s">
        <v>271</v>
      </c>
      <c r="F81" s="1775" t="s">
        <v>233</v>
      </c>
      <c r="G81" s="1771" t="s">
        <v>403</v>
      </c>
      <c r="H81" s="881"/>
      <c r="I81" s="862" t="s">
        <v>281</v>
      </c>
      <c r="J81" s="881" t="s">
        <v>1214</v>
      </c>
      <c r="K81" s="881" t="s">
        <v>279</v>
      </c>
      <c r="L81" s="881" t="s">
        <v>9643</v>
      </c>
      <c r="M81" s="257" t="s">
        <v>2928</v>
      </c>
      <c r="N81" s="881" t="s">
        <v>3082</v>
      </c>
      <c r="O81" s="881" t="s">
        <v>1136</v>
      </c>
      <c r="P81" s="881" t="s">
        <v>1486</v>
      </c>
      <c r="Q81" s="1639"/>
      <c r="R81" s="1639"/>
      <c r="S81" s="1639"/>
      <c r="T81" s="1639"/>
      <c r="U81" s="1639"/>
      <c r="V81" s="1639"/>
      <c r="W81" s="1776"/>
      <c r="X81" s="881" t="s">
        <v>6322</v>
      </c>
      <c r="Y81" s="881"/>
      <c r="Z81" s="881" t="s">
        <v>5591</v>
      </c>
      <c r="AA81" s="881" t="s">
        <v>2727</v>
      </c>
      <c r="AB81" s="881" t="s">
        <v>10284</v>
      </c>
      <c r="AC81" s="881" t="s">
        <v>3841</v>
      </c>
      <c r="AD81" s="881" t="s">
        <v>9720</v>
      </c>
      <c r="AE81" s="1639"/>
      <c r="AF81" s="881" t="s">
        <v>9322</v>
      </c>
      <c r="AG81" s="881" t="s">
        <v>4446</v>
      </c>
      <c r="AH81" s="1639"/>
      <c r="AI81" s="1639"/>
      <c r="AJ81" s="881"/>
      <c r="AK81" s="1639"/>
      <c r="AL81" s="1777"/>
      <c r="AM81" s="881"/>
      <c r="AN81" s="881"/>
      <c r="AO81" s="1639"/>
      <c r="AP81" s="1639"/>
      <c r="AQ81" s="1778"/>
      <c r="AR81" s="1778"/>
      <c r="AS81" s="1639"/>
      <c r="AT81" s="1639"/>
      <c r="AU81" s="881" t="s">
        <v>3605</v>
      </c>
      <c r="AV81" s="881" t="s">
        <v>4131</v>
      </c>
      <c r="AW81" s="881"/>
      <c r="AX81" s="1639"/>
      <c r="AY81" s="1639"/>
      <c r="AZ81" s="1639"/>
      <c r="BA81" s="1639"/>
      <c r="BB81" s="881" t="s">
        <v>9470</v>
      </c>
      <c r="BC81" s="881" t="s">
        <v>3472</v>
      </c>
      <c r="BD81" s="881" t="s">
        <v>865</v>
      </c>
      <c r="BE81" s="881" t="s">
        <v>10611</v>
      </c>
      <c r="BF81" s="881" t="s">
        <v>10612</v>
      </c>
      <c r="BG81" s="881"/>
      <c r="BH81" s="1639"/>
      <c r="BI81" s="881" t="s">
        <v>1187</v>
      </c>
      <c r="BJ81" s="1639"/>
      <c r="BK81" s="881" t="s">
        <v>10613</v>
      </c>
      <c r="BL81" s="881" t="s">
        <v>4461</v>
      </c>
      <c r="BM81" s="1639"/>
      <c r="BN81" s="1639"/>
      <c r="BO81" s="881"/>
      <c r="BP81" s="1639"/>
      <c r="BQ81" s="1779"/>
      <c r="BR81" s="881" t="s">
        <v>10614</v>
      </c>
      <c r="BS81" s="881" t="s">
        <v>10615</v>
      </c>
      <c r="BT81" s="881" t="s">
        <v>10616</v>
      </c>
      <c r="BU81" s="881" t="s">
        <v>10617</v>
      </c>
      <c r="BV81" s="881" t="s">
        <v>10618</v>
      </c>
      <c r="BW81" s="881" t="s">
        <v>3459</v>
      </c>
      <c r="BX81" s="257" t="s">
        <v>10619</v>
      </c>
      <c r="BY81" s="881"/>
      <c r="BZ81" s="881" t="s">
        <v>10620</v>
      </c>
      <c r="CA81" s="881" t="s">
        <v>4644</v>
      </c>
      <c r="CB81" s="1639"/>
      <c r="CC81" s="1639"/>
      <c r="CD81" s="1639"/>
      <c r="CE81" s="1639"/>
      <c r="CF81" s="1779"/>
      <c r="CG81" s="881" t="s">
        <v>6726</v>
      </c>
      <c r="CH81" s="881" t="s">
        <v>524</v>
      </c>
      <c r="CI81" s="881" t="s">
        <v>3076</v>
      </c>
      <c r="CJ81" s="881" t="s">
        <v>10621</v>
      </c>
      <c r="CK81" s="881"/>
      <c r="CL81" s="881" t="s">
        <v>10622</v>
      </c>
      <c r="CM81" s="881" t="s">
        <v>5071</v>
      </c>
      <c r="CN81" s="881" t="s">
        <v>3312</v>
      </c>
      <c r="CO81" s="881" t="s">
        <v>10623</v>
      </c>
      <c r="CP81" s="1780"/>
      <c r="CQ81" s="1639"/>
      <c r="CR81" s="1639"/>
      <c r="CS81" s="1639"/>
      <c r="CT81" s="1639"/>
      <c r="CU81" s="1776"/>
      <c r="CV81" s="881" t="s">
        <v>3163</v>
      </c>
      <c r="CW81" s="881" t="s">
        <v>10624</v>
      </c>
      <c r="CX81" s="881" t="s">
        <v>4160</v>
      </c>
      <c r="CY81" s="881" t="s">
        <v>10153</v>
      </c>
      <c r="CZ81" s="881" t="s">
        <v>5077</v>
      </c>
      <c r="DA81" s="881" t="s">
        <v>10219</v>
      </c>
      <c r="DB81" s="881" t="s">
        <v>10625</v>
      </c>
      <c r="DC81" s="881" t="s">
        <v>7351</v>
      </c>
      <c r="DD81" s="1639"/>
      <c r="DE81" s="1639"/>
      <c r="DF81" s="1639"/>
      <c r="DG81" s="1639"/>
      <c r="DH81" s="1639"/>
      <c r="DI81" s="881" t="s">
        <v>10626</v>
      </c>
      <c r="DJ81" s="1639"/>
      <c r="DK81" s="1639"/>
      <c r="DL81" s="881"/>
      <c r="DM81" s="881"/>
      <c r="DN81" s="881"/>
      <c r="DO81" s="1639"/>
      <c r="DP81" s="1639"/>
      <c r="DQ81" s="1639"/>
      <c r="DR81" s="881" t="s">
        <v>7933</v>
      </c>
      <c r="DS81" s="881" t="s">
        <v>3885</v>
      </c>
      <c r="DT81" s="1639"/>
      <c r="DU81" s="881"/>
      <c r="DV81" s="1639"/>
      <c r="DW81" s="1639"/>
      <c r="DX81" s="1639"/>
      <c r="DY81" s="1639"/>
      <c r="DZ81" s="1639"/>
      <c r="EA81" s="881"/>
      <c r="EB81" s="1639"/>
      <c r="EC81" s="1639"/>
      <c r="ED81" s="862"/>
    </row>
    <row r="82">
      <c r="A82" s="540" t="s">
        <v>6704</v>
      </c>
      <c r="B82" s="378" t="s">
        <v>10627</v>
      </c>
      <c r="C82" s="379" t="s">
        <v>271</v>
      </c>
      <c r="D82" s="380" t="s">
        <v>271</v>
      </c>
      <c r="E82" s="381" t="s">
        <v>271</v>
      </c>
      <c r="F82" s="382" t="s">
        <v>204</v>
      </c>
      <c r="G82" s="378" t="s">
        <v>2131</v>
      </c>
      <c r="H82" s="541"/>
      <c r="I82" s="390" t="s">
        <v>10628</v>
      </c>
      <c r="J82" s="835" t="s">
        <v>6648</v>
      </c>
      <c r="K82" s="832" t="s">
        <v>10629</v>
      </c>
      <c r="L82" s="390" t="s">
        <v>5055</v>
      </c>
      <c r="M82" s="1538" t="s">
        <v>5413</v>
      </c>
      <c r="N82" s="835"/>
      <c r="O82" s="775" t="s">
        <v>10630</v>
      </c>
      <c r="P82" s="390" t="s">
        <v>1140</v>
      </c>
      <c r="Q82" s="835"/>
      <c r="R82" s="541"/>
      <c r="S82" s="541"/>
      <c r="T82" s="835"/>
      <c r="U82" s="835"/>
      <c r="V82" s="835"/>
      <c r="W82" s="106"/>
      <c r="X82" s="399" t="s">
        <v>6918</v>
      </c>
      <c r="Y82" s="670"/>
      <c r="Z82" s="670" t="s">
        <v>10558</v>
      </c>
      <c r="AA82" s="399" t="s">
        <v>2324</v>
      </c>
      <c r="AB82" s="670" t="s">
        <v>1909</v>
      </c>
      <c r="AC82" s="399" t="s">
        <v>2675</v>
      </c>
      <c r="AD82" s="670" t="s">
        <v>2777</v>
      </c>
      <c r="AE82" s="837"/>
      <c r="AF82" s="670"/>
      <c r="AG82" s="837"/>
      <c r="AH82" s="837"/>
      <c r="AI82" s="837"/>
      <c r="AJ82" s="837"/>
      <c r="AK82" s="837"/>
      <c r="AL82" s="105"/>
      <c r="AM82" s="839"/>
      <c r="AN82" s="839"/>
      <c r="AO82" s="570" t="s">
        <v>10631</v>
      </c>
      <c r="AP82" s="839"/>
      <c r="AQ82" s="839"/>
      <c r="AR82" s="839"/>
      <c r="AS82" s="839"/>
      <c r="AT82" s="570" t="s">
        <v>5417</v>
      </c>
      <c r="AU82" s="573" t="s">
        <v>2915</v>
      </c>
      <c r="AV82" s="839"/>
      <c r="AW82" s="839"/>
      <c r="AX82" s="839"/>
      <c r="AY82" s="839"/>
      <c r="AZ82" s="839"/>
      <c r="BA82" s="839"/>
      <c r="BB82" s="580"/>
      <c r="BC82" s="580"/>
      <c r="BD82" s="581" t="s">
        <v>2722</v>
      </c>
      <c r="BE82" s="417" t="s">
        <v>3989</v>
      </c>
      <c r="BF82" s="581" t="s">
        <v>5556</v>
      </c>
      <c r="BG82" s="580"/>
      <c r="BH82" s="580"/>
      <c r="BI82" s="581" t="s">
        <v>4565</v>
      </c>
      <c r="BJ82" s="581" t="s">
        <v>10632</v>
      </c>
      <c r="BK82" s="581"/>
      <c r="BL82" s="580"/>
      <c r="BM82" s="580"/>
      <c r="BN82" s="580"/>
      <c r="BO82" s="580"/>
      <c r="BP82" s="580"/>
      <c r="BQ82" s="845"/>
      <c r="BR82" s="589" t="s">
        <v>10633</v>
      </c>
      <c r="BS82" s="590" t="s">
        <v>10541</v>
      </c>
      <c r="BT82" s="589" t="s">
        <v>9586</v>
      </c>
      <c r="BU82" s="422" t="s">
        <v>10133</v>
      </c>
      <c r="BV82" s="849"/>
      <c r="BW82" s="422" t="s">
        <v>949</v>
      </c>
      <c r="BX82" s="849"/>
      <c r="BY82" s="589" t="s">
        <v>10634</v>
      </c>
      <c r="BZ82" s="849"/>
      <c r="CA82" s="849"/>
      <c r="CB82" s="849"/>
      <c r="CC82" s="849"/>
      <c r="CD82" s="849"/>
      <c r="CE82" s="849"/>
      <c r="CF82" s="851"/>
      <c r="CG82" s="593" t="s">
        <v>2589</v>
      </c>
      <c r="CH82" s="428" t="str">
        <f>HYPERLINK("https://www.youtube.com/watch?v=UbZGpsQP5wY","28.32")</f>
        <v>28.32</v>
      </c>
      <c r="CI82" s="593" t="s">
        <v>1542</v>
      </c>
      <c r="CJ82" s="852"/>
      <c r="CK82" s="852"/>
      <c r="CL82" s="852"/>
      <c r="CM82" s="593" t="s">
        <v>838</v>
      </c>
      <c r="CN82" s="433" t="s">
        <v>514</v>
      </c>
      <c r="CO82" s="433" t="s">
        <v>9827</v>
      </c>
      <c r="CP82" s="852"/>
      <c r="CQ82" s="852"/>
      <c r="CR82" s="852"/>
      <c r="CS82" s="852"/>
      <c r="CT82" s="852"/>
      <c r="CU82" s="106"/>
      <c r="CV82" s="683" t="s">
        <v>10635</v>
      </c>
      <c r="CW82" s="853"/>
      <c r="CX82" s="793" t="s">
        <v>2650</v>
      </c>
      <c r="CY82" s="683" t="s">
        <v>9879</v>
      </c>
      <c r="CZ82" s="683" t="s">
        <v>1787</v>
      </c>
      <c r="DA82" s="683" t="s">
        <v>1608</v>
      </c>
      <c r="DB82" s="458" t="s">
        <v>10571</v>
      </c>
      <c r="DC82" s="853"/>
      <c r="DD82" s="853"/>
      <c r="DE82" s="853"/>
      <c r="DF82" s="853"/>
      <c r="DG82" s="853"/>
      <c r="DH82" s="853"/>
      <c r="DI82" s="855"/>
      <c r="DJ82" s="855"/>
      <c r="DK82" s="855"/>
      <c r="DL82" s="855"/>
      <c r="DM82" s="855"/>
      <c r="DN82" s="855"/>
      <c r="DO82" s="855"/>
      <c r="DP82" s="855"/>
      <c r="DQ82" s="855"/>
      <c r="DR82" s="685" t="s">
        <v>5791</v>
      </c>
      <c r="DS82" s="685"/>
      <c r="DT82" s="855"/>
      <c r="DU82" s="855"/>
      <c r="DV82" s="855"/>
      <c r="DW82" s="855"/>
      <c r="DX82" s="855"/>
      <c r="DY82" s="855"/>
      <c r="DZ82" s="855"/>
      <c r="EA82" s="855"/>
      <c r="EB82" s="855"/>
      <c r="EC82" s="855"/>
      <c r="ED82" s="1039"/>
    </row>
    <row r="83">
      <c r="A83" s="244" t="s">
        <v>619</v>
      </c>
      <c r="B83" s="245" t="s">
        <v>10636</v>
      </c>
      <c r="C83" s="246" t="s">
        <v>271</v>
      </c>
      <c r="D83" s="247" t="s">
        <v>271</v>
      </c>
      <c r="E83" s="248" t="s">
        <v>271</v>
      </c>
      <c r="F83" s="249" t="s">
        <v>716</v>
      </c>
      <c r="G83" s="245" t="s">
        <v>3104</v>
      </c>
      <c r="H83" s="257" t="s">
        <v>10637</v>
      </c>
      <c r="I83" s="257" t="s">
        <v>5284</v>
      </c>
      <c r="J83" s="881" t="s">
        <v>3119</v>
      </c>
      <c r="K83" s="257" t="s">
        <v>10638</v>
      </c>
      <c r="L83" s="257" t="s">
        <v>553</v>
      </c>
      <c r="M83" s="257" t="s">
        <v>10639</v>
      </c>
      <c r="N83" s="257" t="s">
        <v>10640</v>
      </c>
      <c r="O83" s="257" t="s">
        <v>10641</v>
      </c>
      <c r="P83" s="257" t="s">
        <v>644</v>
      </c>
      <c r="Q83" s="257" t="s">
        <v>10642</v>
      </c>
      <c r="R83" s="286" t="s">
        <v>3944</v>
      </c>
      <c r="S83" s="286" t="s">
        <v>10464</v>
      </c>
      <c r="T83" s="286" t="s">
        <v>5396</v>
      </c>
      <c r="U83" s="286" t="s">
        <v>5697</v>
      </c>
      <c r="V83" s="286" t="s">
        <v>10643</v>
      </c>
      <c r="W83" s="106"/>
      <c r="X83" s="257" t="s">
        <v>4873</v>
      </c>
      <c r="Y83" s="351"/>
      <c r="Z83" s="257" t="s">
        <v>1586</v>
      </c>
      <c r="AA83" s="257" t="s">
        <v>613</v>
      </c>
      <c r="AB83" s="286" t="s">
        <v>5342</v>
      </c>
      <c r="AC83" s="286" t="s">
        <v>9755</v>
      </c>
      <c r="AD83" s="257" t="s">
        <v>9602</v>
      </c>
      <c r="AE83" s="257" t="s">
        <v>9259</v>
      </c>
      <c r="AF83" s="257" t="s">
        <v>8154</v>
      </c>
      <c r="AG83" s="257" t="s">
        <v>1462</v>
      </c>
      <c r="AH83" s="286" t="s">
        <v>10644</v>
      </c>
      <c r="AI83" s="286" t="s">
        <v>3401</v>
      </c>
      <c r="AJ83" s="286" t="s">
        <v>2764</v>
      </c>
      <c r="AK83" s="286" t="s">
        <v>10645</v>
      </c>
      <c r="AL83" s="105"/>
      <c r="AM83" s="286" t="s">
        <v>2893</v>
      </c>
      <c r="AN83" s="286" t="s">
        <v>10646</v>
      </c>
      <c r="AO83" s="286" t="s">
        <v>3524</v>
      </c>
      <c r="AP83" s="286" t="s">
        <v>8043</v>
      </c>
      <c r="AQ83" s="286" t="s">
        <v>1014</v>
      </c>
      <c r="AR83" s="286"/>
      <c r="AS83" s="286" t="s">
        <v>10088</v>
      </c>
      <c r="AT83" s="286" t="s">
        <v>9684</v>
      </c>
      <c r="AU83" s="257" t="s">
        <v>7357</v>
      </c>
      <c r="AV83" s="257" t="s">
        <v>518</v>
      </c>
      <c r="AW83" s="257" t="s">
        <v>2340</v>
      </c>
      <c r="AX83" s="286" t="s">
        <v>3988</v>
      </c>
      <c r="AY83" s="286" t="s">
        <v>2496</v>
      </c>
      <c r="AZ83" s="286" t="s">
        <v>10647</v>
      </c>
      <c r="BA83" s="286"/>
      <c r="BB83" s="257" t="s">
        <v>838</v>
      </c>
      <c r="BC83" s="257" t="s">
        <v>10488</v>
      </c>
      <c r="BD83" s="257" t="s">
        <v>10648</v>
      </c>
      <c r="BE83" s="257" t="s">
        <v>10036</v>
      </c>
      <c r="BF83" s="286" t="s">
        <v>10649</v>
      </c>
      <c r="BG83" s="286" t="s">
        <v>10650</v>
      </c>
      <c r="BH83" s="286" t="s">
        <v>10651</v>
      </c>
      <c r="BI83" s="257" t="s">
        <v>865</v>
      </c>
      <c r="BJ83" s="286" t="s">
        <v>5726</v>
      </c>
      <c r="BK83" s="286"/>
      <c r="BL83" s="257" t="s">
        <v>10652</v>
      </c>
      <c r="BM83" s="286" t="s">
        <v>3206</v>
      </c>
      <c r="BN83" s="286" t="s">
        <v>3404</v>
      </c>
      <c r="BO83" s="257" t="s">
        <v>10653</v>
      </c>
      <c r="BP83" s="286" t="s">
        <v>10654</v>
      </c>
      <c r="BQ83" s="286"/>
      <c r="BR83" s="320"/>
      <c r="BS83" s="286" t="s">
        <v>4901</v>
      </c>
      <c r="BT83" s="257" t="s">
        <v>649</v>
      </c>
      <c r="BU83" s="257" t="s">
        <v>4294</v>
      </c>
      <c r="BV83" s="257" t="s">
        <v>2996</v>
      </c>
      <c r="BW83" s="257" t="s">
        <v>771</v>
      </c>
      <c r="BX83" s="286" t="s">
        <v>2802</v>
      </c>
      <c r="BY83" s="286" t="s">
        <v>10655</v>
      </c>
      <c r="BZ83" s="320"/>
      <c r="CA83" s="257" t="s">
        <v>4634</v>
      </c>
      <c r="CB83" s="257" t="s">
        <v>10656</v>
      </c>
      <c r="CC83" s="257" t="s">
        <v>4330</v>
      </c>
      <c r="CD83" s="286" t="s">
        <v>426</v>
      </c>
      <c r="CE83" s="286" t="s">
        <v>10657</v>
      </c>
      <c r="CF83" s="286"/>
      <c r="CG83" s="881" t="s">
        <v>10658</v>
      </c>
      <c r="CH83" s="257" t="s">
        <v>5462</v>
      </c>
      <c r="CI83" s="257" t="s">
        <v>10659</v>
      </c>
      <c r="CJ83" s="286" t="s">
        <v>7243</v>
      </c>
      <c r="CK83" s="286"/>
      <c r="CL83" s="1630" t="s">
        <v>10439</v>
      </c>
      <c r="CM83" s="257" t="s">
        <v>7650</v>
      </c>
      <c r="CN83" s="257" t="s">
        <v>1480</v>
      </c>
      <c r="CO83" s="257" t="s">
        <v>5608</v>
      </c>
      <c r="CP83" s="286" t="s">
        <v>10660</v>
      </c>
      <c r="CQ83" s="286" t="s">
        <v>3236</v>
      </c>
      <c r="CR83" s="286" t="s">
        <v>9292</v>
      </c>
      <c r="CS83" s="286" t="s">
        <v>10661</v>
      </c>
      <c r="CT83" s="286" t="s">
        <v>3959</v>
      </c>
      <c r="CU83" s="106"/>
      <c r="CV83" s="881" t="s">
        <v>433</v>
      </c>
      <c r="CW83" s="257" t="s">
        <v>8505</v>
      </c>
      <c r="CX83" s="286" t="s">
        <v>9396</v>
      </c>
      <c r="CY83" s="286" t="s">
        <v>8261</v>
      </c>
      <c r="CZ83" s="286" t="s">
        <v>1827</v>
      </c>
      <c r="DA83" s="286" t="s">
        <v>10326</v>
      </c>
      <c r="DB83" s="257" t="s">
        <v>10662</v>
      </c>
      <c r="DC83" s="286" t="s">
        <v>1105</v>
      </c>
      <c r="DD83" s="286" t="s">
        <v>10663</v>
      </c>
      <c r="DE83" s="286" t="s">
        <v>3106</v>
      </c>
      <c r="DF83" s="286" t="s">
        <v>2545</v>
      </c>
      <c r="DG83" s="286" t="s">
        <v>10664</v>
      </c>
      <c r="DH83" s="286"/>
      <c r="DI83" s="286" t="s">
        <v>10665</v>
      </c>
      <c r="DJ83" s="286" t="s">
        <v>10666</v>
      </c>
      <c r="DK83" s="286" t="s">
        <v>5781</v>
      </c>
      <c r="DL83" s="257" t="s">
        <v>2966</v>
      </c>
      <c r="DM83" s="257" t="s">
        <v>3311</v>
      </c>
      <c r="DN83" s="286" t="s">
        <v>10667</v>
      </c>
      <c r="DO83" s="286" t="s">
        <v>10668</v>
      </c>
      <c r="DP83" s="286" t="s">
        <v>9736</v>
      </c>
      <c r="DQ83" s="286" t="s">
        <v>10444</v>
      </c>
      <c r="DR83" s="257" t="s">
        <v>6880</v>
      </c>
      <c r="DS83" s="257" t="s">
        <v>991</v>
      </c>
      <c r="DT83" s="257" t="s">
        <v>10176</v>
      </c>
      <c r="DU83" s="286" t="s">
        <v>3913</v>
      </c>
      <c r="DV83" s="286" t="s">
        <v>10669</v>
      </c>
      <c r="DW83" s="257" t="s">
        <v>4734</v>
      </c>
      <c r="DX83" s="286" t="s">
        <v>3726</v>
      </c>
      <c r="DY83" s="286" t="s">
        <v>8012</v>
      </c>
      <c r="DZ83" s="286" t="s">
        <v>1237</v>
      </c>
      <c r="EA83" s="286" t="s">
        <v>4860</v>
      </c>
      <c r="EB83" s="286" t="s">
        <v>6236</v>
      </c>
      <c r="EC83" s="286" t="s">
        <v>9489</v>
      </c>
      <c r="ED83" s="316" t="s">
        <v>10670</v>
      </c>
    </row>
    <row r="84">
      <c r="A84" s="540" t="s">
        <v>10671</v>
      </c>
      <c r="B84" s="378" t="s">
        <v>10672</v>
      </c>
      <c r="C84" s="379" t="s">
        <v>271</v>
      </c>
      <c r="D84" s="380" t="s">
        <v>271</v>
      </c>
      <c r="E84" s="381" t="s">
        <v>271</v>
      </c>
      <c r="F84" s="382" t="s">
        <v>271</v>
      </c>
      <c r="G84" s="378" t="s">
        <v>1920</v>
      </c>
      <c r="H84" s="835"/>
      <c r="I84" s="541" t="s">
        <v>309</v>
      </c>
      <c r="J84" s="541" t="s">
        <v>10673</v>
      </c>
      <c r="K84" s="541" t="s">
        <v>10674</v>
      </c>
      <c r="L84" s="541" t="s">
        <v>9292</v>
      </c>
      <c r="M84" s="541" t="s">
        <v>10675</v>
      </c>
      <c r="N84" s="541" t="s">
        <v>6212</v>
      </c>
      <c r="O84" s="541" t="s">
        <v>3576</v>
      </c>
      <c r="P84" s="541" t="s">
        <v>2230</v>
      </c>
      <c r="Q84" s="835"/>
      <c r="R84" s="541" t="s">
        <v>4028</v>
      </c>
      <c r="S84" s="541" t="s">
        <v>4917</v>
      </c>
      <c r="T84" s="835"/>
      <c r="U84" s="835"/>
      <c r="V84" s="835"/>
      <c r="W84" s="106"/>
      <c r="X84" s="670" t="s">
        <v>1782</v>
      </c>
      <c r="Y84" s="670"/>
      <c r="Z84" s="670" t="s">
        <v>1105</v>
      </c>
      <c r="AA84" s="670" t="s">
        <v>1140</v>
      </c>
      <c r="AB84" s="1287" t="s">
        <v>10676</v>
      </c>
      <c r="AC84" s="1781" t="s">
        <v>6596</v>
      </c>
      <c r="AD84" s="670" t="s">
        <v>7799</v>
      </c>
      <c r="AE84" s="670"/>
      <c r="AF84" s="670" t="s">
        <v>5070</v>
      </c>
      <c r="AG84" s="670" t="s">
        <v>10677</v>
      </c>
      <c r="AH84" s="837"/>
      <c r="AI84" s="837"/>
      <c r="AJ84" s="837"/>
      <c r="AK84" s="670" t="s">
        <v>10678</v>
      </c>
      <c r="AL84" s="105"/>
      <c r="AM84" s="570"/>
      <c r="AN84" s="570" t="s">
        <v>2284</v>
      </c>
      <c r="AO84" s="839"/>
      <c r="AP84" s="570" t="s">
        <v>1240</v>
      </c>
      <c r="AQ84" s="839"/>
      <c r="AR84" s="839"/>
      <c r="AS84" s="839"/>
      <c r="AT84" s="839"/>
      <c r="AU84" s="839"/>
      <c r="AV84" s="570" t="s">
        <v>1732</v>
      </c>
      <c r="AW84" s="839"/>
      <c r="AX84" s="839"/>
      <c r="AY84" s="570" t="s">
        <v>4701</v>
      </c>
      <c r="AZ84" s="839"/>
      <c r="BA84" s="839"/>
      <c r="BB84" s="580"/>
      <c r="BC84" s="581" t="s">
        <v>2695</v>
      </c>
      <c r="BD84" s="581" t="s">
        <v>2374</v>
      </c>
      <c r="BE84" s="1782" t="s">
        <v>2234</v>
      </c>
      <c r="BF84" s="581" t="s">
        <v>4897</v>
      </c>
      <c r="BG84" s="580"/>
      <c r="BH84" s="580"/>
      <c r="BI84" s="581" t="s">
        <v>2374</v>
      </c>
      <c r="BJ84" s="581" t="s">
        <v>2127</v>
      </c>
      <c r="BK84" s="581"/>
      <c r="BL84" s="580"/>
      <c r="BM84" s="580"/>
      <c r="BN84" s="581" t="s">
        <v>10679</v>
      </c>
      <c r="BO84" s="580"/>
      <c r="BP84" s="580"/>
      <c r="BQ84" s="845"/>
      <c r="BR84" s="589" t="s">
        <v>10680</v>
      </c>
      <c r="BS84" s="589" t="s">
        <v>10105</v>
      </c>
      <c r="BT84" s="589" t="s">
        <v>9825</v>
      </c>
      <c r="BU84" s="589" t="s">
        <v>10456</v>
      </c>
      <c r="BV84" s="589" t="s">
        <v>9677</v>
      </c>
      <c r="BW84" s="589" t="s">
        <v>4726</v>
      </c>
      <c r="BX84" s="849"/>
      <c r="BY84" s="589" t="s">
        <v>10681</v>
      </c>
      <c r="BZ84" s="589"/>
      <c r="CA84" s="589" t="s">
        <v>10682</v>
      </c>
      <c r="CB84" s="849"/>
      <c r="CC84" s="849"/>
      <c r="CD84" s="849"/>
      <c r="CE84" s="1706" t="s">
        <v>10683</v>
      </c>
      <c r="CF84" s="1706"/>
      <c r="CG84" s="593" t="s">
        <v>5887</v>
      </c>
      <c r="CH84" s="593" t="s">
        <v>10684</v>
      </c>
      <c r="CI84" s="593" t="s">
        <v>10685</v>
      </c>
      <c r="CJ84" s="593" t="s">
        <v>10686</v>
      </c>
      <c r="CK84" s="593"/>
      <c r="CL84" s="593"/>
      <c r="CM84" s="593" t="s">
        <v>4911</v>
      </c>
      <c r="CN84" s="593" t="s">
        <v>3629</v>
      </c>
      <c r="CO84" s="593" t="s">
        <v>1469</v>
      </c>
      <c r="CP84" s="852"/>
      <c r="CQ84" s="852"/>
      <c r="CR84" s="852"/>
      <c r="CS84" s="852"/>
      <c r="CT84" s="593" t="s">
        <v>10687</v>
      </c>
      <c r="CU84" s="106"/>
      <c r="CV84" s="683" t="s">
        <v>2399</v>
      </c>
      <c r="CW84" s="853"/>
      <c r="CX84" s="683" t="s">
        <v>3925</v>
      </c>
      <c r="CY84" s="683" t="s">
        <v>1122</v>
      </c>
      <c r="CZ84" s="683" t="s">
        <v>5721</v>
      </c>
      <c r="DA84" s="683" t="s">
        <v>3926</v>
      </c>
      <c r="DB84" s="683" t="s">
        <v>5841</v>
      </c>
      <c r="DC84" s="683" t="s">
        <v>5651</v>
      </c>
      <c r="DD84" s="853"/>
      <c r="DE84" s="853"/>
      <c r="DF84" s="853"/>
      <c r="DG84" s="683" t="s">
        <v>10688</v>
      </c>
      <c r="DH84" s="683"/>
      <c r="DI84" s="685" t="s">
        <v>10689</v>
      </c>
      <c r="DJ84" s="855"/>
      <c r="DK84" s="855"/>
      <c r="DL84" s="855"/>
      <c r="DM84" s="855"/>
      <c r="DN84" s="855"/>
      <c r="DO84" s="855"/>
      <c r="DP84" s="855"/>
      <c r="DQ84" s="855"/>
      <c r="DR84" s="685" t="s">
        <v>9787</v>
      </c>
      <c r="DS84" s="685"/>
      <c r="DT84" s="855"/>
      <c r="DU84" s="855"/>
      <c r="DV84" s="855"/>
      <c r="DW84" s="855"/>
      <c r="DX84" s="855"/>
      <c r="DY84" s="855"/>
      <c r="DZ84" s="855"/>
      <c r="EA84" s="855"/>
      <c r="EB84" s="855"/>
      <c r="EC84" s="855"/>
      <c r="ED84" s="1039"/>
    </row>
    <row r="85">
      <c r="A85" s="244" t="s">
        <v>10690</v>
      </c>
      <c r="B85" s="245" t="s">
        <v>10691</v>
      </c>
      <c r="C85" s="246" t="s">
        <v>271</v>
      </c>
      <c r="D85" s="247" t="s">
        <v>271</v>
      </c>
      <c r="E85" s="248" t="s">
        <v>271</v>
      </c>
      <c r="F85" s="249" t="s">
        <v>233</v>
      </c>
      <c r="G85" s="245" t="s">
        <v>715</v>
      </c>
      <c r="H85" s="286"/>
      <c r="I85" s="286" t="s">
        <v>5406</v>
      </c>
      <c r="J85" s="286" t="s">
        <v>3334</v>
      </c>
      <c r="K85" s="286" t="s">
        <v>686</v>
      </c>
      <c r="L85" s="286" t="s">
        <v>10692</v>
      </c>
      <c r="M85" s="320"/>
      <c r="N85" s="286" t="s">
        <v>4474</v>
      </c>
      <c r="O85" s="286" t="s">
        <v>1637</v>
      </c>
      <c r="P85" s="286" t="s">
        <v>644</v>
      </c>
      <c r="Q85" s="320"/>
      <c r="R85" s="320"/>
      <c r="S85" s="320"/>
      <c r="T85" s="320"/>
      <c r="U85" s="320"/>
      <c r="V85" s="320"/>
      <c r="W85" s="106"/>
      <c r="X85" s="286" t="s">
        <v>894</v>
      </c>
      <c r="Y85" s="286"/>
      <c r="Z85" s="286" t="s">
        <v>1989</v>
      </c>
      <c r="AA85" s="286" t="s">
        <v>10083</v>
      </c>
      <c r="AB85" s="286" t="s">
        <v>2538</v>
      </c>
      <c r="AC85" s="286" t="s">
        <v>10116</v>
      </c>
      <c r="AD85" s="286" t="s">
        <v>5203</v>
      </c>
      <c r="AE85" s="320"/>
      <c r="AF85" s="320"/>
      <c r="AG85" s="286" t="s">
        <v>9877</v>
      </c>
      <c r="AH85" s="320"/>
      <c r="AI85" s="320"/>
      <c r="AJ85" s="320"/>
      <c r="AK85" s="320"/>
      <c r="AL85" s="105"/>
      <c r="AM85" s="320"/>
      <c r="AN85" s="320"/>
      <c r="AO85" s="320"/>
      <c r="AP85" s="320"/>
      <c r="AQ85" s="320"/>
      <c r="AR85" s="320"/>
      <c r="AS85" s="320"/>
      <c r="AT85" s="320"/>
      <c r="AU85" s="286" t="s">
        <v>3770</v>
      </c>
      <c r="AV85" s="286" t="s">
        <v>4283</v>
      </c>
      <c r="AW85" s="320"/>
      <c r="AX85" s="320"/>
      <c r="AY85" s="320"/>
      <c r="AZ85" s="320"/>
      <c r="BA85" s="320"/>
      <c r="BB85" s="320"/>
      <c r="BC85" s="286" t="s">
        <v>7798</v>
      </c>
      <c r="BD85" s="286" t="s">
        <v>4131</v>
      </c>
      <c r="BE85" s="286" t="s">
        <v>10564</v>
      </c>
      <c r="BF85" s="286" t="s">
        <v>3604</v>
      </c>
      <c r="BG85" s="320"/>
      <c r="BH85" s="320"/>
      <c r="BI85" s="286" t="s">
        <v>3216</v>
      </c>
      <c r="BJ85" s="320"/>
      <c r="BK85" s="286" t="s">
        <v>10693</v>
      </c>
      <c r="BL85" s="286" t="s">
        <v>1728</v>
      </c>
      <c r="BM85" s="320"/>
      <c r="BN85" s="320"/>
      <c r="BO85" s="320"/>
      <c r="BP85" s="320"/>
      <c r="BQ85" s="824"/>
      <c r="BR85" s="286"/>
      <c r="BS85" s="320"/>
      <c r="BT85" s="320"/>
      <c r="BU85" s="320"/>
      <c r="BV85" s="320"/>
      <c r="BW85" s="286" t="s">
        <v>2808</v>
      </c>
      <c r="BX85" s="320"/>
      <c r="BY85" s="320"/>
      <c r="BZ85" s="320"/>
      <c r="CA85" s="320"/>
      <c r="CB85" s="320"/>
      <c r="CC85" s="320"/>
      <c r="CD85" s="320"/>
      <c r="CE85" s="320"/>
      <c r="CF85" s="824"/>
      <c r="CG85" s="286" t="s">
        <v>3106</v>
      </c>
      <c r="CH85" s="286" t="s">
        <v>1805</v>
      </c>
      <c r="CI85" s="257" t="s">
        <v>10694</v>
      </c>
      <c r="CJ85" s="286" t="s">
        <v>6235</v>
      </c>
      <c r="CK85" s="286"/>
      <c r="CL85" s="286"/>
      <c r="CM85" s="286" t="s">
        <v>10066</v>
      </c>
      <c r="CN85" s="286" t="s">
        <v>5305</v>
      </c>
      <c r="CO85" s="286" t="s">
        <v>10623</v>
      </c>
      <c r="CP85" s="320"/>
      <c r="CQ85" s="320"/>
      <c r="CR85" s="320"/>
      <c r="CS85" s="320"/>
      <c r="CT85" s="320"/>
      <c r="CU85" s="106"/>
      <c r="CV85" s="286" t="s">
        <v>6863</v>
      </c>
      <c r="CW85" s="320"/>
      <c r="CX85" s="286" t="s">
        <v>8012</v>
      </c>
      <c r="CY85" s="257" t="s">
        <v>10695</v>
      </c>
      <c r="CZ85" s="286" t="s">
        <v>10696</v>
      </c>
      <c r="DA85" s="286" t="s">
        <v>9926</v>
      </c>
      <c r="DB85" s="286" t="s">
        <v>6461</v>
      </c>
      <c r="DC85" s="286" t="s">
        <v>7357</v>
      </c>
      <c r="DD85" s="320"/>
      <c r="DE85" s="320"/>
      <c r="DF85" s="320"/>
      <c r="DG85" s="320"/>
      <c r="DH85" s="320"/>
      <c r="DI85" s="320"/>
      <c r="DJ85" s="320"/>
      <c r="DK85" s="320"/>
      <c r="DL85" s="320"/>
      <c r="DM85" s="320"/>
      <c r="DN85" s="320"/>
      <c r="DO85" s="320"/>
      <c r="DP85" s="320"/>
      <c r="DQ85" s="320"/>
      <c r="DR85" s="286" t="s">
        <v>4484</v>
      </c>
      <c r="DS85" s="286"/>
      <c r="DT85" s="320"/>
      <c r="DU85" s="320"/>
      <c r="DV85" s="320"/>
      <c r="DW85" s="320"/>
      <c r="DX85" s="320"/>
      <c r="DY85" s="320"/>
      <c r="DZ85" s="320"/>
      <c r="EA85" s="320"/>
      <c r="EB85" s="320"/>
      <c r="EC85" s="320"/>
      <c r="ED85" s="862"/>
    </row>
    <row r="86">
      <c r="A86" s="540" t="s">
        <v>6584</v>
      </c>
      <c r="B86" s="378" t="s">
        <v>10697</v>
      </c>
      <c r="C86" s="379" t="s">
        <v>271</v>
      </c>
      <c r="D86" s="380" t="s">
        <v>271</v>
      </c>
      <c r="E86" s="381" t="s">
        <v>271</v>
      </c>
      <c r="F86" s="382" t="s">
        <v>2131</v>
      </c>
      <c r="G86" s="378" t="s">
        <v>716</v>
      </c>
      <c r="H86" s="541" t="s">
        <v>10698</v>
      </c>
      <c r="I86" s="387" t="str">
        <f>HYPERLINK("https://www.twitch.tv/videos/595022396","1:21.70")</f>
        <v>1:21.70</v>
      </c>
      <c r="J86" s="387" t="str">
        <f>HYPERLINK("https://www.twitch.tv/videos/595022398","37.94")</f>
        <v>37.94</v>
      </c>
      <c r="K86" s="387" t="str">
        <f>HYPERLINK("https://www.twitch.tv/videos/595022391","14.06")</f>
        <v>14.06</v>
      </c>
      <c r="L86" s="387" t="str">
        <f>HYPERLINK("https://www.twitch.tv/videos/595022397","44.40")</f>
        <v>44.40</v>
      </c>
      <c r="M86" s="387" t="str">
        <f>HYPERLINK("https://www.twitch.tv/videos/201038163","2:22.19")</f>
        <v>2:22.19</v>
      </c>
      <c r="N86" s="387" t="str">
        <f>HYPERLINK("https://www.twitch.tv/videos/201041470","1:14.57")</f>
        <v>1:14.57</v>
      </c>
      <c r="O86" s="387" t="str">
        <f>HYPERLINK("https://www.twitch.tv/videos/595022393","41.13")</f>
        <v>41.13</v>
      </c>
      <c r="P86" s="387" t="str">
        <f>HYPERLINK("https://clips.twitch.tv/QuaintSweetOcelotTooSpicy","16.10")</f>
        <v>16.10</v>
      </c>
      <c r="Q86" s="835"/>
      <c r="R86" s="835"/>
      <c r="S86" s="835"/>
      <c r="T86" s="835"/>
      <c r="U86" s="835"/>
      <c r="V86" s="835"/>
      <c r="W86" s="106"/>
      <c r="X86" s="395" t="str">
        <f>HYPERLINK("https://www.twitch.tv/videos/202029796","55.36")</f>
        <v>55.36</v>
      </c>
      <c r="Y86" s="397"/>
      <c r="Z86" s="395" t="str">
        <f>HYPERLINK("https://clips.twitch.tv/SilkyShakingHedgehogWTRuck","17.88")</f>
        <v>17.88</v>
      </c>
      <c r="AA86" s="395" t="str">
        <f>HYPERLINK("https://clips.twitch.tv/MoldyBlindingSwordItsBoshyTime","16.00")</f>
        <v>16.00</v>
      </c>
      <c r="AB86" s="395" t="str">
        <f>HYPERLINK("https://www.twitch.tv/videos/607481438","45.54")</f>
        <v>45.54</v>
      </c>
      <c r="AC86" s="395" t="str">
        <f>HYPERLINK("https://clips.twitch.tv/HeartlessWildHerdKeyboardCat","30.78")</f>
        <v>30.78</v>
      </c>
      <c r="AD86" s="395" t="str">
        <f>HYPERLINK("https://www.twitch.tv/videos/208641786","57.42")</f>
        <v>57.42</v>
      </c>
      <c r="AE86" s="837"/>
      <c r="AF86" s="395" t="str">
        <f>HYPERLINK("https://clips.twitch.tv/ClearOutstandingSpiderRlyTho","1:33.18")</f>
        <v>1:33.18</v>
      </c>
      <c r="AG86" s="395" t="str">
        <f>HYPERLINK("https://clips.twitch.tv/ColorfulTallEndivePogChamp","16.80")</f>
        <v>16.80</v>
      </c>
      <c r="AH86" s="837"/>
      <c r="AI86" s="837"/>
      <c r="AJ86" s="837"/>
      <c r="AK86" s="837"/>
      <c r="AL86" s="105"/>
      <c r="AM86" s="839"/>
      <c r="AN86" s="839"/>
      <c r="AO86" s="839"/>
      <c r="AP86" s="839"/>
      <c r="AQ86" s="839"/>
      <c r="AR86" s="839"/>
      <c r="AS86" s="839"/>
      <c r="AT86" s="839"/>
      <c r="AU86" s="406" t="str">
        <f>HYPERLINK("https://clips.twitch.tv/AgitatedCogentBatTheThing","19.67")</f>
        <v>19.67</v>
      </c>
      <c r="AV86" s="406" t="str">
        <f>HYPERLINK("https://clips.twitch.tv/LaconicAbrasiveJamBabyRage","29.23")</f>
        <v>29.23</v>
      </c>
      <c r="AW86" s="839"/>
      <c r="AX86" s="839"/>
      <c r="AY86" s="839"/>
      <c r="AZ86" s="839"/>
      <c r="BA86" s="839"/>
      <c r="BB86" s="414" t="str">
        <f>HYPERLINK("https://www.twitch.tv/videos/201286009","57.90")</f>
        <v>57.90</v>
      </c>
      <c r="BC86" s="414" t="str">
        <f>HYPERLINK("https://clips.twitch.tv/TrustworthyHilariousChinchillaPhilosoraptor","44.32")</f>
        <v>44.32</v>
      </c>
      <c r="BD86" s="414" t="str">
        <f>HYPERLINK("https://clips.twitch.tv/TsundereEnchantingRatAMPTropPunch","29.14")</f>
        <v>29.14</v>
      </c>
      <c r="BE86" s="1289" t="s">
        <v>2688</v>
      </c>
      <c r="BF86" s="414" t="str">
        <f>HYPERLINK("https://www.twitch.tv/videos/212002831","53.30")</f>
        <v>53.30</v>
      </c>
      <c r="BG86" s="580"/>
      <c r="BH86" s="580"/>
      <c r="BI86" s="414" t="str">
        <f>HYPERLINK("https://clips.twitch.tv/ImpossibleLitigiousElephantSpicyBoy","28.85")</f>
        <v>28.85</v>
      </c>
      <c r="BJ86" s="580"/>
      <c r="BK86" s="1289" t="s">
        <v>3636</v>
      </c>
      <c r="BL86" s="414" t="str">
        <f>HYPERLINK("https://clips.twitch.tv/MiniatureCorrectRabbitNerfRedBlaster","12.61")</f>
        <v>12.61</v>
      </c>
      <c r="BM86" s="580"/>
      <c r="BN86" s="580"/>
      <c r="BO86" s="580"/>
      <c r="BP86" s="580"/>
      <c r="BQ86" s="845"/>
      <c r="BR86" s="785"/>
      <c r="BS86" s="421" t="str">
        <f>HYPERLINK("https://www.twitch.tv/videos/202979420","57.70")</f>
        <v>57.70</v>
      </c>
      <c r="BT86" s="421" t="str">
        <f>HYPERLINK("https://clips.twitch.tv/ZanyFriendlyEchidnaDatBoi","35.53")</f>
        <v>35.53</v>
      </c>
      <c r="BU86" s="421" t="str">
        <f>HYPERLINK("https://clips.twitch.tv/AmazonianChillyCakeWutFace","27.76")</f>
        <v>27.76</v>
      </c>
      <c r="BV86" s="421" t="str">
        <f>HYPERLINK("https://www.twitch.tv/videos/203121525","59.13")</f>
        <v>59.13</v>
      </c>
      <c r="BW86" s="421" t="str">
        <f>HYPERLINK("https://clips.twitch.tv/PolishedOnerousWolverineRedCoat","24.61")</f>
        <v>24.61</v>
      </c>
      <c r="BX86" s="1783" t="str">
        <f>HYPERLINK("https://www.twitch.tv/videos/203123762","2:20.78")</f>
        <v>2:20.78</v>
      </c>
      <c r="BY86" s="849"/>
      <c r="BZ86" s="421" t="str">
        <f>HYPERLINK("https://clips.twitch.tv/TacitOnerousFennelArgieB8","2:20.23")</f>
        <v>2:20.23</v>
      </c>
      <c r="CA86" s="421" t="str">
        <f>HYPERLINK("https://clips.twitch.tv/GleamingPlayfulTubersMcaT","26.95")</f>
        <v>26.95</v>
      </c>
      <c r="CB86" s="849"/>
      <c r="CC86" s="849"/>
      <c r="CD86" s="849"/>
      <c r="CE86" s="849"/>
      <c r="CF86" s="851"/>
      <c r="CG86" s="869" t="s">
        <v>839</v>
      </c>
      <c r="CH86" s="869" t="s">
        <v>732</v>
      </c>
      <c r="CI86" s="428" t="str">
        <f>HYPERLINK("https://clips.twitch.tv/VenomousSavoryOtterPeteZaroll","36.77")</f>
        <v>36.77</v>
      </c>
      <c r="CJ86" s="1784" t="str">
        <f>HYPERLINK("https://www.twitch.tv/videos/203127903","1:35.90")</f>
        <v>1:35.90</v>
      </c>
      <c r="CK86" s="1785"/>
      <c r="CL86" s="1785"/>
      <c r="CM86" s="869" t="s">
        <v>10699</v>
      </c>
      <c r="CN86" s="869" t="s">
        <v>2110</v>
      </c>
      <c r="CO86" s="428" t="str">
        <f>HYPERLINK("https://clips.twitch.tv/FineWimpySalsifyTBTacoRight","19.71")</f>
        <v>19.71</v>
      </c>
      <c r="CP86" s="852"/>
      <c r="CQ86" s="852"/>
      <c r="CR86" s="852"/>
      <c r="CS86" s="852"/>
      <c r="CT86" s="852"/>
      <c r="CU86" s="106"/>
      <c r="CV86" s="444" t="str">
        <f>HYPERLINK("https://clips.twitch.tv/ProudMoralRhinocerosBIRB","45.60")</f>
        <v>45.60</v>
      </c>
      <c r="CW86" s="853"/>
      <c r="CX86" s="793" t="s">
        <v>4309</v>
      </c>
      <c r="CY86" s="444" t="str">
        <f>HYPERLINK("https://clips.twitch.tv/HilariousDreamyPeafowlCharlietheUnicorn","46.06")</f>
        <v>46.06</v>
      </c>
      <c r="CZ86" s="795"/>
      <c r="DA86" s="795"/>
      <c r="DB86" s="444" t="str">
        <f>HYPERLINK("https://clips.twitch.tv/ManlyKindTroutShazBotstix","2:15.53")</f>
        <v>2:15.53</v>
      </c>
      <c r="DC86" s="444" t="str">
        <f>HYPERLINK("https://clips.twitch.tv/TolerantNurturingJamItsBoshyTime","18.31")</f>
        <v>18.31</v>
      </c>
      <c r="DD86" s="853"/>
      <c r="DE86" s="853"/>
      <c r="DF86" s="853"/>
      <c r="DG86" s="853"/>
      <c r="DH86" s="853"/>
      <c r="DI86" s="855"/>
      <c r="DJ86" s="855"/>
      <c r="DK86" s="855"/>
      <c r="DL86" s="855"/>
      <c r="DM86" s="855"/>
      <c r="DN86" s="855"/>
      <c r="DO86" s="855"/>
      <c r="DP86" s="855"/>
      <c r="DQ86" s="855"/>
      <c r="DR86" s="473" t="str">
        <f>HYPERLINK("https://www.twitch.tv/videos/203136900","1:24.03")</f>
        <v>1:24.03</v>
      </c>
      <c r="DS86" s="477"/>
      <c r="DT86" s="855"/>
      <c r="DU86" s="855"/>
      <c r="DV86" s="855"/>
      <c r="DW86" s="855"/>
      <c r="DX86" s="855"/>
      <c r="DY86" s="855"/>
      <c r="DZ86" s="855"/>
      <c r="EA86" s="855"/>
      <c r="EB86" s="855"/>
      <c r="EC86" s="855"/>
      <c r="ED86" s="1039"/>
    </row>
    <row r="87">
      <c r="A87" s="244" t="s">
        <v>4093</v>
      </c>
      <c r="B87" s="245" t="s">
        <v>10700</v>
      </c>
      <c r="C87" s="246" t="s">
        <v>271</v>
      </c>
      <c r="D87" s="247" t="s">
        <v>271</v>
      </c>
      <c r="E87" s="248" t="s">
        <v>271</v>
      </c>
      <c r="F87" s="249" t="s">
        <v>271</v>
      </c>
      <c r="G87" s="245" t="s">
        <v>1920</v>
      </c>
      <c r="H87" s="286"/>
      <c r="I87" s="286" t="s">
        <v>7029</v>
      </c>
      <c r="J87" s="286" t="s">
        <v>10701</v>
      </c>
      <c r="K87" s="286" t="s">
        <v>723</v>
      </c>
      <c r="L87" s="286" t="s">
        <v>2070</v>
      </c>
      <c r="M87" s="320"/>
      <c r="N87" s="286" t="s">
        <v>6735</v>
      </c>
      <c r="O87" s="286" t="s">
        <v>1088</v>
      </c>
      <c r="P87" s="286" t="s">
        <v>10702</v>
      </c>
      <c r="Q87" s="320"/>
      <c r="R87" s="320"/>
      <c r="S87" s="286" t="s">
        <v>4437</v>
      </c>
      <c r="T87" s="320"/>
      <c r="U87" s="286" t="s">
        <v>7209</v>
      </c>
      <c r="V87" s="320"/>
      <c r="W87" s="106"/>
      <c r="X87" s="286" t="s">
        <v>4610</v>
      </c>
      <c r="Y87" s="286"/>
      <c r="Z87" s="286" t="s">
        <v>2763</v>
      </c>
      <c r="AA87" s="286" t="s">
        <v>10703</v>
      </c>
      <c r="AB87" s="286" t="s">
        <v>816</v>
      </c>
      <c r="AC87" s="286" t="s">
        <v>5349</v>
      </c>
      <c r="AD87" s="286" t="s">
        <v>3456</v>
      </c>
      <c r="AE87" s="320"/>
      <c r="AF87" s="286" t="s">
        <v>9747</v>
      </c>
      <c r="AG87" s="320"/>
      <c r="AH87" s="320"/>
      <c r="AI87" s="286"/>
      <c r="AJ87" s="286" t="s">
        <v>7415</v>
      </c>
      <c r="AK87" s="320"/>
      <c r="AL87" s="105"/>
      <c r="AM87" s="320"/>
      <c r="AN87" s="286" t="s">
        <v>10462</v>
      </c>
      <c r="AO87" s="320"/>
      <c r="AP87" s="286" t="s">
        <v>10704</v>
      </c>
      <c r="AQ87" s="320"/>
      <c r="AR87" s="320"/>
      <c r="AS87" s="320"/>
      <c r="AT87" s="320"/>
      <c r="AU87" s="286" t="s">
        <v>7836</v>
      </c>
      <c r="AV87" s="286" t="s">
        <v>920</v>
      </c>
      <c r="AW87" s="320"/>
      <c r="AX87" s="286"/>
      <c r="AY87" s="286" t="s">
        <v>10705</v>
      </c>
      <c r="AZ87" s="320"/>
      <c r="BA87" s="320"/>
      <c r="BB87" s="286" t="s">
        <v>4688</v>
      </c>
      <c r="BC87" s="286" t="s">
        <v>10516</v>
      </c>
      <c r="BD87" s="320"/>
      <c r="BE87" s="286" t="s">
        <v>1114</v>
      </c>
      <c r="BF87" s="286" t="s">
        <v>4991</v>
      </c>
      <c r="BG87" s="320"/>
      <c r="BH87" s="320"/>
      <c r="BI87" s="286" t="s">
        <v>4390</v>
      </c>
      <c r="BJ87" s="286" t="s">
        <v>10706</v>
      </c>
      <c r="BK87" s="286"/>
      <c r="BL87" s="320"/>
      <c r="BM87" s="320"/>
      <c r="BN87" s="286" t="s">
        <v>10111</v>
      </c>
      <c r="BO87" s="320"/>
      <c r="BP87" s="320"/>
      <c r="BQ87" s="824"/>
      <c r="BR87" s="286" t="s">
        <v>10707</v>
      </c>
      <c r="BS87" s="286" t="s">
        <v>10105</v>
      </c>
      <c r="BT87" s="286" t="s">
        <v>9296</v>
      </c>
      <c r="BU87" s="286" t="s">
        <v>10708</v>
      </c>
      <c r="BV87" s="286" t="s">
        <v>660</v>
      </c>
      <c r="BW87" s="286" t="s">
        <v>4724</v>
      </c>
      <c r="BX87" s="320"/>
      <c r="BY87" s="286" t="s">
        <v>9264</v>
      </c>
      <c r="BZ87" s="286" t="s">
        <v>10709</v>
      </c>
      <c r="CA87" s="286"/>
      <c r="CB87" s="320"/>
      <c r="CC87" s="286" t="s">
        <v>4884</v>
      </c>
      <c r="CD87" s="286" t="s">
        <v>468</v>
      </c>
      <c r="CE87" s="320"/>
      <c r="CF87" s="824"/>
      <c r="CG87" s="286" t="s">
        <v>6913</v>
      </c>
      <c r="CH87" s="286" t="s">
        <v>1707</v>
      </c>
      <c r="CI87" s="1786"/>
      <c r="CJ87" s="286" t="s">
        <v>10710</v>
      </c>
      <c r="CK87" s="286"/>
      <c r="CL87" s="286"/>
      <c r="CM87" s="286" t="s">
        <v>10711</v>
      </c>
      <c r="CN87" s="286" t="s">
        <v>6668</v>
      </c>
      <c r="CO87" s="320"/>
      <c r="CP87" s="320"/>
      <c r="CQ87" s="320"/>
      <c r="CR87" s="286"/>
      <c r="CS87" s="286" t="s">
        <v>10712</v>
      </c>
      <c r="CT87" s="320"/>
      <c r="CU87" s="106"/>
      <c r="CV87" s="286" t="s">
        <v>10218</v>
      </c>
      <c r="CW87" s="320"/>
      <c r="CX87" s="286" t="s">
        <v>10684</v>
      </c>
      <c r="CY87" s="286" t="s">
        <v>5948</v>
      </c>
      <c r="CZ87" s="286" t="s">
        <v>6439</v>
      </c>
      <c r="DA87" s="320"/>
      <c r="DB87" s="286" t="s">
        <v>2075</v>
      </c>
      <c r="DC87" s="286" t="s">
        <v>10713</v>
      </c>
      <c r="DD87" s="320"/>
      <c r="DE87" s="286" t="s">
        <v>2899</v>
      </c>
      <c r="DF87" s="320"/>
      <c r="DG87" s="320"/>
      <c r="DH87" s="320"/>
      <c r="DI87" s="320"/>
      <c r="DJ87" s="320"/>
      <c r="DK87" s="320"/>
      <c r="DL87" s="320"/>
      <c r="DM87" s="286" t="s">
        <v>409</v>
      </c>
      <c r="DN87" s="320"/>
      <c r="DO87" s="320"/>
      <c r="DP87" s="320"/>
      <c r="DQ87" s="320"/>
      <c r="DR87" s="320"/>
      <c r="DS87" s="320"/>
      <c r="DT87" s="286" t="s">
        <v>10714</v>
      </c>
      <c r="DU87" s="320"/>
      <c r="DV87" s="320"/>
      <c r="DW87" s="286" t="s">
        <v>10715</v>
      </c>
      <c r="DX87" s="320"/>
      <c r="DY87" s="320"/>
      <c r="DZ87" s="286" t="s">
        <v>470</v>
      </c>
      <c r="EA87" s="286" t="s">
        <v>10716</v>
      </c>
      <c r="EB87" s="320"/>
      <c r="EC87" s="320"/>
      <c r="ED87" s="862"/>
    </row>
    <row r="88">
      <c r="A88" s="1787" t="s">
        <v>90</v>
      </c>
      <c r="B88" s="378" t="s">
        <v>10717</v>
      </c>
      <c r="C88" s="379" t="s">
        <v>271</v>
      </c>
      <c r="D88" s="380" t="s">
        <v>233</v>
      </c>
      <c r="E88" s="381" t="s">
        <v>271</v>
      </c>
      <c r="F88" s="382" t="s">
        <v>855</v>
      </c>
      <c r="G88" s="378" t="s">
        <v>8700</v>
      </c>
      <c r="H88" s="390" t="s">
        <v>10105</v>
      </c>
      <c r="I88" s="1788"/>
      <c r="J88" s="1700" t="s">
        <v>10718</v>
      </c>
      <c r="K88" s="390" t="s">
        <v>708</v>
      </c>
      <c r="L88" s="390" t="s">
        <v>2380</v>
      </c>
      <c r="M88" s="390" t="s">
        <v>10719</v>
      </c>
      <c r="N88" s="1700"/>
      <c r="O88" s="1700" t="s">
        <v>421</v>
      </c>
      <c r="P88" s="390" t="s">
        <v>1464</v>
      </c>
      <c r="Q88" s="390" t="s">
        <v>7963</v>
      </c>
      <c r="R88" s="390" t="s">
        <v>1220</v>
      </c>
      <c r="S88" s="835"/>
      <c r="T88" s="390" t="s">
        <v>10720</v>
      </c>
      <c r="U88" s="835"/>
      <c r="V88" s="390" t="s">
        <v>10721</v>
      </c>
      <c r="W88" s="106"/>
      <c r="X88" s="402"/>
      <c r="Y88" s="402"/>
      <c r="Z88" s="402" t="s">
        <v>7363</v>
      </c>
      <c r="AA88" s="399" t="s">
        <v>973</v>
      </c>
      <c r="AB88" s="1133"/>
      <c r="AC88" s="402" t="s">
        <v>4308</v>
      </c>
      <c r="AD88" s="399" t="s">
        <v>6967</v>
      </c>
      <c r="AE88" s="670" t="s">
        <v>10722</v>
      </c>
      <c r="AF88" s="399" t="s">
        <v>9280</v>
      </c>
      <c r="AG88" s="399" t="s">
        <v>444</v>
      </c>
      <c r="AH88" s="399" t="s">
        <v>4117</v>
      </c>
      <c r="AI88" s="399" t="s">
        <v>3446</v>
      </c>
      <c r="AJ88" s="399" t="s">
        <v>3446</v>
      </c>
      <c r="AK88" s="399" t="s">
        <v>7565</v>
      </c>
      <c r="AL88" s="105"/>
      <c r="AM88" s="413"/>
      <c r="AN88" s="413"/>
      <c r="AO88" s="839"/>
      <c r="AP88" s="839"/>
      <c r="AQ88" s="570"/>
      <c r="AR88" s="570"/>
      <c r="AS88" s="839"/>
      <c r="AT88" s="839"/>
      <c r="AU88" s="413" t="s">
        <v>1105</v>
      </c>
      <c r="AV88" s="407" t="s">
        <v>10723</v>
      </c>
      <c r="AW88" s="413"/>
      <c r="AX88" s="407" t="s">
        <v>3901</v>
      </c>
      <c r="AY88" s="407" t="s">
        <v>3901</v>
      </c>
      <c r="AZ88" s="573"/>
      <c r="BA88" s="839"/>
      <c r="BB88" s="1633"/>
      <c r="BC88" s="1633"/>
      <c r="BD88" s="1633"/>
      <c r="BE88" s="417" t="s">
        <v>4860</v>
      </c>
      <c r="BF88" s="1633"/>
      <c r="BG88" s="417" t="s">
        <v>10724</v>
      </c>
      <c r="BH88" s="580"/>
      <c r="BI88" s="1633"/>
      <c r="BJ88" s="580"/>
      <c r="BK88" s="1633" t="s">
        <v>10725</v>
      </c>
      <c r="BL88" s="420" t="s">
        <v>10726</v>
      </c>
      <c r="BM88" s="580"/>
      <c r="BN88" s="417" t="s">
        <v>1136</v>
      </c>
      <c r="BO88" s="417" t="s">
        <v>6545</v>
      </c>
      <c r="BP88" s="580"/>
      <c r="BQ88" s="845"/>
      <c r="BR88" s="424"/>
      <c r="BS88" s="424"/>
      <c r="BT88" s="422" t="s">
        <v>10727</v>
      </c>
      <c r="BU88" s="424"/>
      <c r="BV88" s="424"/>
      <c r="BW88" s="424"/>
      <c r="BX88" s="849"/>
      <c r="BY88" s="424" t="s">
        <v>10728</v>
      </c>
      <c r="BZ88" s="424" t="s">
        <v>10401</v>
      </c>
      <c r="CA88" s="424"/>
      <c r="CB88" s="849"/>
      <c r="CC88" s="422" t="s">
        <v>10729</v>
      </c>
      <c r="CD88" s="849"/>
      <c r="CE88" s="849"/>
      <c r="CF88" s="851"/>
      <c r="CG88" s="433" t="s">
        <v>4751</v>
      </c>
      <c r="CH88" s="433" t="s">
        <v>4978</v>
      </c>
      <c r="CI88" s="433" t="s">
        <v>1204</v>
      </c>
      <c r="CJ88" s="434"/>
      <c r="CK88" s="434"/>
      <c r="CL88" s="434"/>
      <c r="CM88" s="434"/>
      <c r="CN88" s="433" t="s">
        <v>3841</v>
      </c>
      <c r="CO88" s="433" t="s">
        <v>2257</v>
      </c>
      <c r="CP88" s="1789"/>
      <c r="CQ88" s="852"/>
      <c r="CR88" s="791" t="s">
        <v>10730</v>
      </c>
      <c r="CS88" s="433" t="s">
        <v>3905</v>
      </c>
      <c r="CT88" s="852"/>
      <c r="CU88" s="106"/>
      <c r="CV88" s="467"/>
      <c r="CW88" s="467"/>
      <c r="CX88" s="458" t="s">
        <v>3725</v>
      </c>
      <c r="CY88" s="458" t="s">
        <v>8947</v>
      </c>
      <c r="CZ88" s="467"/>
      <c r="DA88" s="467"/>
      <c r="DB88" s="458" t="s">
        <v>10443</v>
      </c>
      <c r="DC88" s="458" t="s">
        <v>1843</v>
      </c>
      <c r="DD88" s="458" t="s">
        <v>10731</v>
      </c>
      <c r="DE88" s="458" t="s">
        <v>10732</v>
      </c>
      <c r="DF88" s="853"/>
      <c r="DG88" s="853"/>
      <c r="DH88" s="853"/>
      <c r="DI88" s="686"/>
      <c r="DJ88" s="855"/>
      <c r="DK88" s="855"/>
      <c r="DL88" s="686"/>
      <c r="DM88" s="686"/>
      <c r="DN88" s="686"/>
      <c r="DO88" s="855"/>
      <c r="DP88" s="855"/>
      <c r="DQ88" s="855"/>
      <c r="DR88" s="686"/>
      <c r="DS88" s="686"/>
      <c r="DT88" s="855"/>
      <c r="DU88" s="686"/>
      <c r="DV88" s="855"/>
      <c r="DW88" s="855"/>
      <c r="DX88" s="481" t="s">
        <v>4014</v>
      </c>
      <c r="DY88" s="855"/>
      <c r="DZ88" s="855"/>
      <c r="EA88" s="686"/>
      <c r="EB88" s="855"/>
      <c r="EC88" s="855"/>
      <c r="ED88" s="1039"/>
    </row>
    <row r="89">
      <c r="A89" s="244" t="s">
        <v>10733</v>
      </c>
      <c r="B89" s="245" t="s">
        <v>10734</v>
      </c>
      <c r="C89" s="246" t="s">
        <v>271</v>
      </c>
      <c r="D89" s="247" t="s">
        <v>271</v>
      </c>
      <c r="E89" s="248" t="s">
        <v>271</v>
      </c>
      <c r="F89" s="249" t="s">
        <v>274</v>
      </c>
      <c r="G89" s="245" t="s">
        <v>1056</v>
      </c>
      <c r="H89" s="286" t="s">
        <v>10735</v>
      </c>
      <c r="I89" s="286" t="s">
        <v>10393</v>
      </c>
      <c r="J89" s="286" t="s">
        <v>10501</v>
      </c>
      <c r="K89" s="286" t="s">
        <v>727</v>
      </c>
      <c r="L89" s="286" t="s">
        <v>6467</v>
      </c>
      <c r="M89" s="286" t="s">
        <v>10736</v>
      </c>
      <c r="N89" s="286" t="s">
        <v>10737</v>
      </c>
      <c r="O89" s="286" t="s">
        <v>3908</v>
      </c>
      <c r="P89" s="286" t="s">
        <v>10738</v>
      </c>
      <c r="Q89" s="320"/>
      <c r="R89" s="320"/>
      <c r="S89" s="286" t="s">
        <v>10739</v>
      </c>
      <c r="T89" s="286"/>
      <c r="U89" s="286" t="s">
        <v>6445</v>
      </c>
      <c r="V89" s="320"/>
      <c r="W89" s="106"/>
      <c r="X89" s="286" t="s">
        <v>10740</v>
      </c>
      <c r="Y89" s="286"/>
      <c r="Z89" s="286" t="s">
        <v>10230</v>
      </c>
      <c r="AA89" s="286" t="s">
        <v>10741</v>
      </c>
      <c r="AB89" s="286" t="s">
        <v>10742</v>
      </c>
      <c r="AC89" s="286" t="s">
        <v>10405</v>
      </c>
      <c r="AD89" s="286" t="s">
        <v>1640</v>
      </c>
      <c r="AE89" s="286"/>
      <c r="AF89" s="286" t="s">
        <v>849</v>
      </c>
      <c r="AG89" s="286" t="s">
        <v>4823</v>
      </c>
      <c r="AH89" s="320"/>
      <c r="AI89" s="320"/>
      <c r="AJ89" s="286" t="s">
        <v>7462</v>
      </c>
      <c r="AK89" s="320"/>
      <c r="AL89" s="105"/>
      <c r="AM89" s="286" t="s">
        <v>6444</v>
      </c>
      <c r="AN89" s="286" t="s">
        <v>3567</v>
      </c>
      <c r="AO89" s="320"/>
      <c r="AP89" s="320"/>
      <c r="AQ89" s="320"/>
      <c r="AR89" s="320"/>
      <c r="AS89" s="320"/>
      <c r="AT89" s="320"/>
      <c r="AU89" s="286" t="s">
        <v>3579</v>
      </c>
      <c r="AV89" s="286" t="s">
        <v>10111</v>
      </c>
      <c r="AW89" s="320"/>
      <c r="AX89" s="320"/>
      <c r="AY89" s="286" t="s">
        <v>8910</v>
      </c>
      <c r="AZ89" s="320"/>
      <c r="BA89" s="320"/>
      <c r="BB89" s="286" t="s">
        <v>10743</v>
      </c>
      <c r="BC89" s="286" t="s">
        <v>472</v>
      </c>
      <c r="BD89" s="286" t="s">
        <v>9527</v>
      </c>
      <c r="BE89" s="286" t="s">
        <v>6049</v>
      </c>
      <c r="BF89" s="286" t="s">
        <v>5344</v>
      </c>
      <c r="BG89" s="286"/>
      <c r="BH89" s="320"/>
      <c r="BI89" s="286" t="s">
        <v>6238</v>
      </c>
      <c r="BJ89" s="286" t="s">
        <v>10744</v>
      </c>
      <c r="BK89" s="286"/>
      <c r="BL89" s="286" t="s">
        <v>2778</v>
      </c>
      <c r="BM89" s="286" t="s">
        <v>10745</v>
      </c>
      <c r="BN89" s="286" t="s">
        <v>10111</v>
      </c>
      <c r="BO89" s="320"/>
      <c r="BP89" s="320"/>
      <c r="BQ89" s="824"/>
      <c r="BR89" s="286"/>
      <c r="BS89" s="286" t="s">
        <v>6465</v>
      </c>
      <c r="BT89" s="286" t="s">
        <v>10591</v>
      </c>
      <c r="BU89" s="257" t="s">
        <v>3784</v>
      </c>
      <c r="BV89" s="286" t="s">
        <v>10746</v>
      </c>
      <c r="BW89" s="257" t="s">
        <v>3840</v>
      </c>
      <c r="BX89" s="286" t="s">
        <v>9975</v>
      </c>
      <c r="BY89" s="286" t="s">
        <v>10747</v>
      </c>
      <c r="BZ89" s="320"/>
      <c r="CA89" s="257" t="s">
        <v>498</v>
      </c>
      <c r="CB89" s="286" t="s">
        <v>10748</v>
      </c>
      <c r="CC89" s="286" t="s">
        <v>2004</v>
      </c>
      <c r="CD89" s="286" t="s">
        <v>891</v>
      </c>
      <c r="CE89" s="320"/>
      <c r="CF89" s="824"/>
      <c r="CG89" s="286" t="s">
        <v>8206</v>
      </c>
      <c r="CH89" s="286" t="s">
        <v>2675</v>
      </c>
      <c r="CI89" s="286" t="s">
        <v>9428</v>
      </c>
      <c r="CJ89" s="286" t="s">
        <v>10749</v>
      </c>
      <c r="CK89" s="286"/>
      <c r="CL89" s="286"/>
      <c r="CM89" s="286" t="s">
        <v>10750</v>
      </c>
      <c r="CN89" s="286" t="s">
        <v>10203</v>
      </c>
      <c r="CO89" s="286" t="s">
        <v>422</v>
      </c>
      <c r="CP89" s="320"/>
      <c r="CQ89" s="320"/>
      <c r="CR89" s="320"/>
      <c r="CS89" s="286" t="s">
        <v>10751</v>
      </c>
      <c r="CT89" s="320"/>
      <c r="CU89" s="106"/>
      <c r="CV89" s="286" t="s">
        <v>195</v>
      </c>
      <c r="CW89" s="286" t="s">
        <v>10752</v>
      </c>
      <c r="CX89" s="286" t="s">
        <v>2328</v>
      </c>
      <c r="CY89" s="286" t="s">
        <v>1706</v>
      </c>
      <c r="CZ89" s="286" t="s">
        <v>10753</v>
      </c>
      <c r="DA89" s="286" t="s">
        <v>4100</v>
      </c>
      <c r="DB89" s="286" t="s">
        <v>10754</v>
      </c>
      <c r="DC89" s="286" t="s">
        <v>1105</v>
      </c>
      <c r="DD89" s="320"/>
      <c r="DE89" s="320"/>
      <c r="DF89" s="320"/>
      <c r="DG89" s="320"/>
      <c r="DH89" s="320"/>
      <c r="DI89" s="320"/>
      <c r="DJ89" s="320"/>
      <c r="DK89" s="320"/>
      <c r="DL89" s="320"/>
      <c r="DM89" s="286" t="s">
        <v>1710</v>
      </c>
      <c r="DN89" s="320"/>
      <c r="DO89" s="320"/>
      <c r="DP89" s="320"/>
      <c r="DQ89" s="320"/>
      <c r="DR89" s="286"/>
      <c r="DS89" s="286" t="s">
        <v>9649</v>
      </c>
      <c r="DT89" s="320"/>
      <c r="DU89" s="286" t="s">
        <v>10755</v>
      </c>
      <c r="DV89" s="286" t="s">
        <v>10756</v>
      </c>
      <c r="DW89" s="286" t="s">
        <v>9989</v>
      </c>
      <c r="DX89" s="320"/>
      <c r="DY89" s="320"/>
      <c r="DZ89" s="286" t="s">
        <v>3472</v>
      </c>
      <c r="EA89" s="286" t="s">
        <v>2819</v>
      </c>
      <c r="EB89" s="320"/>
      <c r="EC89" s="320"/>
      <c r="ED89" s="862"/>
    </row>
    <row r="90">
      <c r="A90" s="1790" t="s">
        <v>10757</v>
      </c>
      <c r="B90" s="1791" t="s">
        <v>10758</v>
      </c>
      <c r="C90" s="1792" t="s">
        <v>271</v>
      </c>
      <c r="D90" s="1793" t="s">
        <v>271</v>
      </c>
      <c r="E90" s="1794" t="s">
        <v>271</v>
      </c>
      <c r="F90" s="1795" t="s">
        <v>1428</v>
      </c>
      <c r="G90" s="1791" t="s">
        <v>4669</v>
      </c>
      <c r="H90" s="1796" t="s">
        <v>2282</v>
      </c>
      <c r="I90" s="1797" t="s">
        <v>10759</v>
      </c>
      <c r="J90" s="1796" t="s">
        <v>10760</v>
      </c>
      <c r="K90" s="1796" t="s">
        <v>8834</v>
      </c>
      <c r="L90" s="1796" t="s">
        <v>9639</v>
      </c>
      <c r="M90" s="1796" t="s">
        <v>10761</v>
      </c>
      <c r="N90" s="1797" t="s">
        <v>10762</v>
      </c>
      <c r="O90" s="1796" t="s">
        <v>1066</v>
      </c>
      <c r="P90" s="1798" t="s">
        <v>10763</v>
      </c>
      <c r="Q90" s="1798" t="s">
        <v>939</v>
      </c>
      <c r="R90" s="1798" t="s">
        <v>5371</v>
      </c>
      <c r="S90" s="1798" t="s">
        <v>10068</v>
      </c>
      <c r="T90" s="1798" t="s">
        <v>3710</v>
      </c>
      <c r="U90" s="1798" t="s">
        <v>7130</v>
      </c>
      <c r="V90" s="1796" t="s">
        <v>7995</v>
      </c>
      <c r="W90" s="1799"/>
      <c r="X90" s="1800" t="s">
        <v>9653</v>
      </c>
      <c r="Y90" s="1800"/>
      <c r="Z90" s="1800" t="s">
        <v>10764</v>
      </c>
      <c r="AA90" s="1801" t="s">
        <v>1710</v>
      </c>
      <c r="AB90" s="1801" t="s">
        <v>2296</v>
      </c>
      <c r="AC90" s="1800" t="s">
        <v>2873</v>
      </c>
      <c r="AD90" s="1801" t="s">
        <v>10765</v>
      </c>
      <c r="AE90" s="1800"/>
      <c r="AF90" s="1800" t="s">
        <v>10766</v>
      </c>
      <c r="AG90" s="1802" t="s">
        <v>593</v>
      </c>
      <c r="AH90" s="1800" t="s">
        <v>10079</v>
      </c>
      <c r="AI90" s="1803" t="s">
        <v>4772</v>
      </c>
      <c r="AJ90" s="399" t="s">
        <v>8955</v>
      </c>
      <c r="AK90" s="1803" t="s">
        <v>10767</v>
      </c>
      <c r="AL90" s="1804"/>
      <c r="AM90" s="1805" t="s">
        <v>6770</v>
      </c>
      <c r="AN90" s="1805" t="s">
        <v>4590</v>
      </c>
      <c r="AO90" s="1805" t="s">
        <v>10768</v>
      </c>
      <c r="AP90" s="1806" t="s">
        <v>9671</v>
      </c>
      <c r="AQ90" s="1806" t="s">
        <v>455</v>
      </c>
      <c r="AR90" s="1806" t="s">
        <v>1901</v>
      </c>
      <c r="AS90" s="1805" t="s">
        <v>8824</v>
      </c>
      <c r="AT90" s="1806" t="s">
        <v>10769</v>
      </c>
      <c r="AU90" s="1806" t="s">
        <v>3845</v>
      </c>
      <c r="AV90" s="1807" t="s">
        <v>9415</v>
      </c>
      <c r="AW90" s="1805" t="s">
        <v>5282</v>
      </c>
      <c r="AX90" s="1806" t="s">
        <v>735</v>
      </c>
      <c r="AY90" s="1806" t="s">
        <v>3131</v>
      </c>
      <c r="AZ90" s="1806" t="s">
        <v>10770</v>
      </c>
      <c r="BA90" s="1808"/>
      <c r="BB90" s="1809" t="s">
        <v>3893</v>
      </c>
      <c r="BC90" s="1810" t="s">
        <v>10771</v>
      </c>
      <c r="BD90" s="1809" t="s">
        <v>2216</v>
      </c>
      <c r="BE90" s="1811" t="s">
        <v>463</v>
      </c>
      <c r="BF90" s="1809" t="s">
        <v>10772</v>
      </c>
      <c r="BG90" s="1809" t="s">
        <v>6116</v>
      </c>
      <c r="BH90" s="1809" t="s">
        <v>10537</v>
      </c>
      <c r="BI90" s="1809" t="s">
        <v>5327</v>
      </c>
      <c r="BJ90" s="1809" t="s">
        <v>10773</v>
      </c>
      <c r="BK90" s="581"/>
      <c r="BL90" s="1811" t="s">
        <v>9393</v>
      </c>
      <c r="BM90" s="1812"/>
      <c r="BN90" s="1812"/>
      <c r="BO90" s="1812"/>
      <c r="BP90" s="1812"/>
      <c r="BQ90" s="1813"/>
      <c r="BR90" s="1814"/>
      <c r="BS90" s="1815" t="s">
        <v>5034</v>
      </c>
      <c r="BT90" s="1816" t="s">
        <v>10774</v>
      </c>
      <c r="BU90" s="1815" t="s">
        <v>9623</v>
      </c>
      <c r="BV90" s="1816" t="s">
        <v>10537</v>
      </c>
      <c r="BW90" s="1816" t="s">
        <v>4732</v>
      </c>
      <c r="BX90" s="1816" t="s">
        <v>10775</v>
      </c>
      <c r="BY90" s="1817" t="s">
        <v>10776</v>
      </c>
      <c r="BZ90" s="1814"/>
      <c r="CA90" s="1818" t="s">
        <v>10777</v>
      </c>
      <c r="CB90" s="1814"/>
      <c r="CC90" s="1814"/>
      <c r="CD90" s="1814"/>
      <c r="CE90" s="1814"/>
      <c r="CF90" s="1819"/>
      <c r="CG90" s="1820" t="s">
        <v>10778</v>
      </c>
      <c r="CH90" s="1821" t="s">
        <v>801</v>
      </c>
      <c r="CI90" s="1822" t="s">
        <v>4117</v>
      </c>
      <c r="CJ90" s="1821" t="s">
        <v>6307</v>
      </c>
      <c r="CK90" s="1821"/>
      <c r="CL90" s="1821" t="s">
        <v>8859</v>
      </c>
      <c r="CM90" s="1821" t="s">
        <v>2531</v>
      </c>
      <c r="CN90" s="1821" t="s">
        <v>4040</v>
      </c>
      <c r="CO90" s="1822" t="s">
        <v>5508</v>
      </c>
      <c r="CP90" s="1821"/>
      <c r="CQ90" s="1822" t="s">
        <v>2772</v>
      </c>
      <c r="CR90" s="1822" t="s">
        <v>10779</v>
      </c>
      <c r="CS90" s="1823"/>
      <c r="CT90" s="1823"/>
      <c r="CU90" s="1799"/>
      <c r="CV90" s="1824" t="s">
        <v>10650</v>
      </c>
      <c r="CW90" s="1825" t="s">
        <v>8807</v>
      </c>
      <c r="CX90" s="1826" t="s">
        <v>1395</v>
      </c>
      <c r="CY90" s="1825" t="s">
        <v>10780</v>
      </c>
      <c r="CZ90" s="1826" t="s">
        <v>7395</v>
      </c>
      <c r="DA90" s="1824" t="s">
        <v>2303</v>
      </c>
      <c r="DB90" s="1827" t="s">
        <v>10781</v>
      </c>
      <c r="DC90" s="1828" t="s">
        <v>1594</v>
      </c>
      <c r="DD90" s="1829"/>
      <c r="DE90" s="1829"/>
      <c r="DF90" s="1829"/>
      <c r="DG90" s="1829"/>
      <c r="DH90" s="1829"/>
      <c r="DI90" s="1830" t="s">
        <v>6803</v>
      </c>
      <c r="DJ90" s="1831"/>
      <c r="DK90" s="1830" t="s">
        <v>10782</v>
      </c>
      <c r="DL90" s="1830"/>
      <c r="DM90" s="1832" t="s">
        <v>10783</v>
      </c>
      <c r="DN90" s="1830" t="s">
        <v>2010</v>
      </c>
      <c r="DO90" s="1830" t="s">
        <v>10784</v>
      </c>
      <c r="DP90" s="1830" t="s">
        <v>8213</v>
      </c>
      <c r="DQ90" s="1830" t="s">
        <v>10785</v>
      </c>
      <c r="DR90" s="1830" t="s">
        <v>10786</v>
      </c>
      <c r="DS90" s="1833" t="s">
        <v>10787</v>
      </c>
      <c r="DT90" s="1830" t="s">
        <v>9898</v>
      </c>
      <c r="DU90" s="1830" t="s">
        <v>10788</v>
      </c>
      <c r="DV90" s="1834"/>
      <c r="DW90" s="1832" t="s">
        <v>5361</v>
      </c>
      <c r="DX90" s="1831"/>
      <c r="DY90" s="1832" t="s">
        <v>1272</v>
      </c>
      <c r="DZ90" s="1830" t="s">
        <v>581</v>
      </c>
      <c r="EA90" s="1834"/>
      <c r="EB90" s="1830" t="s">
        <v>2138</v>
      </c>
      <c r="EC90" s="1834"/>
      <c r="ED90" s="473" t="s">
        <v>10789</v>
      </c>
    </row>
    <row r="91">
      <c r="A91" s="1727" t="s">
        <v>10790</v>
      </c>
      <c r="B91" s="245" t="s">
        <v>10791</v>
      </c>
      <c r="C91" s="246" t="s">
        <v>171</v>
      </c>
      <c r="D91" s="247" t="s">
        <v>271</v>
      </c>
      <c r="E91" s="248" t="s">
        <v>171</v>
      </c>
      <c r="F91" s="249" t="s">
        <v>204</v>
      </c>
      <c r="G91" s="245" t="s">
        <v>1234</v>
      </c>
      <c r="H91" s="351" t="s">
        <v>10383</v>
      </c>
      <c r="I91" s="288" t="s">
        <v>6516</v>
      </c>
      <c r="J91" s="257" t="s">
        <v>10792</v>
      </c>
      <c r="K91" s="257" t="s">
        <v>9568</v>
      </c>
      <c r="L91" s="351" t="s">
        <v>810</v>
      </c>
      <c r="M91" s="351"/>
      <c r="N91" s="351"/>
      <c r="O91" s="351" t="s">
        <v>9823</v>
      </c>
      <c r="P91" s="351" t="s">
        <v>4055</v>
      </c>
      <c r="Q91" s="320"/>
      <c r="R91" s="320"/>
      <c r="S91" s="320"/>
      <c r="T91" s="320"/>
      <c r="U91" s="320"/>
      <c r="V91" s="320"/>
      <c r="W91" s="106"/>
      <c r="X91" s="881" t="s">
        <v>3491</v>
      </c>
      <c r="Y91" s="351"/>
      <c r="Z91" s="351" t="s">
        <v>10209</v>
      </c>
      <c r="AA91" s="351" t="s">
        <v>10083</v>
      </c>
      <c r="AB91" s="881"/>
      <c r="AC91" s="351"/>
      <c r="AD91" s="351"/>
      <c r="AE91" s="320"/>
      <c r="AF91" s="351" t="s">
        <v>10793</v>
      </c>
      <c r="AG91" s="351" t="s">
        <v>4550</v>
      </c>
      <c r="AH91" s="320"/>
      <c r="AI91" s="320"/>
      <c r="AJ91" s="351"/>
      <c r="AK91" s="320"/>
      <c r="AL91" s="105"/>
      <c r="AM91" s="351"/>
      <c r="AN91" s="257" t="s">
        <v>3205</v>
      </c>
      <c r="AO91" s="320"/>
      <c r="AP91" s="320"/>
      <c r="AQ91" s="286"/>
      <c r="AR91" s="286"/>
      <c r="AS91" s="320"/>
      <c r="AT91" s="320"/>
      <c r="AU91" s="351"/>
      <c r="AV91" s="351" t="s">
        <v>9843</v>
      </c>
      <c r="AW91" s="351" t="s">
        <v>5305</v>
      </c>
      <c r="AX91" s="320"/>
      <c r="AY91" s="320"/>
      <c r="AZ91" s="320"/>
      <c r="BA91" s="320"/>
      <c r="BB91" s="351"/>
      <c r="BC91" s="351"/>
      <c r="BD91" s="351" t="s">
        <v>4239</v>
      </c>
      <c r="BE91" s="351"/>
      <c r="BF91" s="351"/>
      <c r="BG91" s="351"/>
      <c r="BH91" s="320"/>
      <c r="BI91" s="351" t="s">
        <v>4978</v>
      </c>
      <c r="BJ91" s="320"/>
      <c r="BK91" s="351"/>
      <c r="BL91" s="351"/>
      <c r="BM91" s="320"/>
      <c r="BN91" s="286" t="s">
        <v>607</v>
      </c>
      <c r="BO91" s="351"/>
      <c r="BP91" s="320"/>
      <c r="BQ91" s="824"/>
      <c r="BR91" s="257" t="s">
        <v>482</v>
      </c>
      <c r="BS91" s="251" t="s">
        <v>10794</v>
      </c>
      <c r="BT91" s="261" t="s">
        <v>8663</v>
      </c>
      <c r="BU91" s="257" t="s">
        <v>9413</v>
      </c>
      <c r="BV91" s="257" t="s">
        <v>2678</v>
      </c>
      <c r="BW91" s="257" t="s">
        <v>941</v>
      </c>
      <c r="BX91" s="257" t="s">
        <v>495</v>
      </c>
      <c r="BY91" s="351" t="s">
        <v>10795</v>
      </c>
      <c r="BZ91" s="1835" t="s">
        <v>10796</v>
      </c>
      <c r="CA91" s="257" t="s">
        <v>5575</v>
      </c>
      <c r="CB91" s="257" t="s">
        <v>10797</v>
      </c>
      <c r="CC91" s="257" t="s">
        <v>10798</v>
      </c>
      <c r="CD91" s="881" t="s">
        <v>5039</v>
      </c>
      <c r="CE91" s="320"/>
      <c r="CF91" s="824"/>
      <c r="CG91" s="351" t="s">
        <v>6824</v>
      </c>
      <c r="CH91" s="351"/>
      <c r="CI91" s="351"/>
      <c r="CJ91" s="351"/>
      <c r="CK91" s="351" t="s">
        <v>534</v>
      </c>
      <c r="CL91" s="351"/>
      <c r="CM91" s="351"/>
      <c r="CN91" s="351" t="s">
        <v>5295</v>
      </c>
      <c r="CO91" s="351" t="s">
        <v>2257</v>
      </c>
      <c r="CP91" s="758"/>
      <c r="CQ91" s="320"/>
      <c r="CR91" s="320"/>
      <c r="CS91" s="320"/>
      <c r="CT91" s="320"/>
      <c r="CU91" s="106"/>
      <c r="CV91" s="351" t="s">
        <v>2782</v>
      </c>
      <c r="CW91" s="351"/>
      <c r="CX91" s="1836" t="s">
        <v>2101</v>
      </c>
      <c r="CY91" s="351"/>
      <c r="CZ91" s="351"/>
      <c r="DA91" s="351" t="s">
        <v>8116</v>
      </c>
      <c r="DB91" s="351"/>
      <c r="DC91" s="881" t="s">
        <v>685</v>
      </c>
      <c r="DD91" s="320"/>
      <c r="DE91" s="320"/>
      <c r="DF91" s="320"/>
      <c r="DG91" s="320"/>
      <c r="DH91" s="320"/>
      <c r="DI91" s="351"/>
      <c r="DJ91" s="320"/>
      <c r="DK91" s="320"/>
      <c r="DL91" s="351"/>
      <c r="DM91" s="351"/>
      <c r="DN91" s="351"/>
      <c r="DO91" s="320"/>
      <c r="DP91" s="320"/>
      <c r="DQ91" s="320"/>
      <c r="DR91" s="351" t="s">
        <v>7489</v>
      </c>
      <c r="DS91" s="351" t="s">
        <v>9797</v>
      </c>
      <c r="DT91" s="320"/>
      <c r="DU91" s="351"/>
      <c r="DV91" s="286" t="s">
        <v>4751</v>
      </c>
      <c r="DW91" s="320"/>
      <c r="DX91" s="320"/>
      <c r="DY91" s="320"/>
      <c r="DZ91" s="320"/>
      <c r="EA91" s="351"/>
      <c r="EB91" s="320"/>
      <c r="EC91" s="320"/>
      <c r="ED91" s="862"/>
    </row>
    <row r="92">
      <c r="A92" s="1837" t="s">
        <v>10799</v>
      </c>
      <c r="B92" s="378" t="s">
        <v>10800</v>
      </c>
      <c r="C92" s="379" t="s">
        <v>271</v>
      </c>
      <c r="D92" s="380" t="s">
        <v>271</v>
      </c>
      <c r="E92" s="381" t="s">
        <v>271</v>
      </c>
      <c r="F92" s="382" t="s">
        <v>3718</v>
      </c>
      <c r="G92" s="378" t="s">
        <v>1729</v>
      </c>
      <c r="H92" s="835"/>
      <c r="I92" s="390" t="s">
        <v>5931</v>
      </c>
      <c r="J92" s="390" t="s">
        <v>3375</v>
      </c>
      <c r="K92" s="390" t="s">
        <v>727</v>
      </c>
      <c r="L92" s="390" t="s">
        <v>4113</v>
      </c>
      <c r="M92" s="390" t="s">
        <v>10801</v>
      </c>
      <c r="N92" s="390" t="s">
        <v>2791</v>
      </c>
      <c r="O92" s="390" t="s">
        <v>1102</v>
      </c>
      <c r="P92" s="390" t="s">
        <v>1464</v>
      </c>
      <c r="Q92" s="835"/>
      <c r="R92" s="835"/>
      <c r="S92" s="835"/>
      <c r="T92" s="835"/>
      <c r="U92" s="835"/>
      <c r="V92" s="835"/>
      <c r="W92" s="106"/>
      <c r="X92" s="399" t="s">
        <v>10802</v>
      </c>
      <c r="Y92" s="837"/>
      <c r="Z92" s="837"/>
      <c r="AA92" s="399" t="s">
        <v>4606</v>
      </c>
      <c r="AB92" s="399" t="s">
        <v>6388</v>
      </c>
      <c r="AC92" s="399" t="s">
        <v>8855</v>
      </c>
      <c r="AD92" s="399" t="s">
        <v>2609</v>
      </c>
      <c r="AE92" s="837"/>
      <c r="AF92" s="837"/>
      <c r="AG92" s="399" t="s">
        <v>4823</v>
      </c>
      <c r="AH92" s="837"/>
      <c r="AI92" s="837"/>
      <c r="AJ92" s="837"/>
      <c r="AK92" s="837"/>
      <c r="AL92" s="105"/>
      <c r="AM92" s="839"/>
      <c r="AN92" s="839"/>
      <c r="AO92" s="839"/>
      <c r="AP92" s="839"/>
      <c r="AQ92" s="839"/>
      <c r="AR92" s="839"/>
      <c r="AS92" s="839"/>
      <c r="AT92" s="839"/>
      <c r="AU92" s="407" t="s">
        <v>529</v>
      </c>
      <c r="AV92" s="407" t="s">
        <v>8233</v>
      </c>
      <c r="AW92" s="839"/>
      <c r="AX92" s="839"/>
      <c r="AY92" s="839"/>
      <c r="AZ92" s="839"/>
      <c r="BA92" s="839"/>
      <c r="BB92" s="580"/>
      <c r="BC92" s="417" t="s">
        <v>10803</v>
      </c>
      <c r="BD92" s="417" t="s">
        <v>9086</v>
      </c>
      <c r="BE92" s="417" t="s">
        <v>598</v>
      </c>
      <c r="BF92" s="417" t="s">
        <v>8835</v>
      </c>
      <c r="BG92" s="580"/>
      <c r="BH92" s="580"/>
      <c r="BI92" s="417" t="s">
        <v>1162</v>
      </c>
      <c r="BJ92" s="580"/>
      <c r="BK92" s="417" t="s">
        <v>5179</v>
      </c>
      <c r="BL92" s="417" t="s">
        <v>4451</v>
      </c>
      <c r="BM92" s="580"/>
      <c r="BN92" s="580"/>
      <c r="BO92" s="580"/>
      <c r="BP92" s="580"/>
      <c r="BQ92" s="845"/>
      <c r="BR92" s="422" t="s">
        <v>2016</v>
      </c>
      <c r="BS92" s="422" t="s">
        <v>9184</v>
      </c>
      <c r="BT92" s="422" t="s">
        <v>3076</v>
      </c>
      <c r="BU92" s="422" t="s">
        <v>10804</v>
      </c>
      <c r="BV92" s="849"/>
      <c r="BW92" s="422" t="s">
        <v>4033</v>
      </c>
      <c r="BX92" s="589" t="s">
        <v>10805</v>
      </c>
      <c r="BY92" s="849"/>
      <c r="BZ92" s="422" t="s">
        <v>10806</v>
      </c>
      <c r="CA92" s="422" t="s">
        <v>4657</v>
      </c>
      <c r="CB92" s="849"/>
      <c r="CC92" s="849"/>
      <c r="CD92" s="849"/>
      <c r="CE92" s="849"/>
      <c r="CF92" s="851"/>
      <c r="CG92" s="852"/>
      <c r="CH92" s="433" t="s">
        <v>2650</v>
      </c>
      <c r="CI92" s="852"/>
      <c r="CJ92" s="593" t="s">
        <v>10807</v>
      </c>
      <c r="CK92" s="593"/>
      <c r="CL92" s="593"/>
      <c r="CM92" s="852"/>
      <c r="CN92" s="433" t="s">
        <v>10035</v>
      </c>
      <c r="CO92" s="433" t="s">
        <v>9508</v>
      </c>
      <c r="CP92" s="852"/>
      <c r="CQ92" s="852"/>
      <c r="CR92" s="852"/>
      <c r="CS92" s="852"/>
      <c r="CT92" s="852"/>
      <c r="CU92" s="106"/>
      <c r="CV92" s="458" t="s">
        <v>10808</v>
      </c>
      <c r="CW92" s="1634" t="str">
        <f>HYPERLINK("https://youtu.be/E3G9EWGMU-8?t=986", "14.55")</f>
        <v>14.55</v>
      </c>
      <c r="CX92" s="458" t="s">
        <v>10013</v>
      </c>
      <c r="CY92" s="458" t="s">
        <v>4403</v>
      </c>
      <c r="CZ92" s="458" t="s">
        <v>2253</v>
      </c>
      <c r="DA92" s="853"/>
      <c r="DB92" s="458" t="s">
        <v>5346</v>
      </c>
      <c r="DC92" s="458" t="s">
        <v>3770</v>
      </c>
      <c r="DD92" s="853"/>
      <c r="DE92" s="853"/>
      <c r="DF92" s="853"/>
      <c r="DG92" s="853"/>
      <c r="DH92" s="853"/>
      <c r="DI92" s="481" t="s">
        <v>502</v>
      </c>
      <c r="DJ92" s="855"/>
      <c r="DK92" s="855"/>
      <c r="DL92" s="855"/>
      <c r="DM92" s="481" t="s">
        <v>1768</v>
      </c>
      <c r="DN92" s="855"/>
      <c r="DO92" s="855"/>
      <c r="DP92" s="855"/>
      <c r="DQ92" s="855"/>
      <c r="DR92" s="481" t="s">
        <v>9567</v>
      </c>
      <c r="DS92" s="481" t="s">
        <v>9414</v>
      </c>
      <c r="DT92" s="855"/>
      <c r="DU92" s="855"/>
      <c r="DV92" s="855"/>
      <c r="DW92" s="855"/>
      <c r="DX92" s="855"/>
      <c r="DY92" s="855"/>
      <c r="DZ92" s="855"/>
      <c r="EA92" s="685" t="s">
        <v>3949</v>
      </c>
      <c r="EB92" s="481" t="s">
        <v>9555</v>
      </c>
      <c r="EC92" s="855"/>
      <c r="ED92" s="473" t="s">
        <v>5689</v>
      </c>
    </row>
    <row r="93">
      <c r="A93" s="244" t="s">
        <v>3650</v>
      </c>
      <c r="B93" s="245" t="s">
        <v>10809</v>
      </c>
      <c r="C93" s="246" t="s">
        <v>271</v>
      </c>
      <c r="D93" s="247" t="s">
        <v>271</v>
      </c>
      <c r="E93" s="248" t="s">
        <v>271</v>
      </c>
      <c r="F93" s="249" t="s">
        <v>178</v>
      </c>
      <c r="G93" s="245" t="s">
        <v>7404</v>
      </c>
      <c r="H93" s="286" t="s">
        <v>6448</v>
      </c>
      <c r="I93" s="286" t="s">
        <v>10810</v>
      </c>
      <c r="J93" s="286" t="s">
        <v>4701</v>
      </c>
      <c r="K93" s="286" t="s">
        <v>10674</v>
      </c>
      <c r="L93" s="286" t="s">
        <v>4988</v>
      </c>
      <c r="M93" s="320"/>
      <c r="N93" s="286" t="s">
        <v>6333</v>
      </c>
      <c r="O93" s="286" t="s">
        <v>10561</v>
      </c>
      <c r="P93" s="286" t="s">
        <v>10811</v>
      </c>
      <c r="Q93" s="286" t="s">
        <v>1211</v>
      </c>
      <c r="R93" s="320"/>
      <c r="S93" s="286" t="s">
        <v>3404</v>
      </c>
      <c r="T93" s="320"/>
      <c r="U93" s="320"/>
      <c r="V93" s="286" t="s">
        <v>10812</v>
      </c>
      <c r="W93" s="106"/>
      <c r="X93" s="286" t="s">
        <v>10813</v>
      </c>
      <c r="Y93" s="286"/>
      <c r="Z93" s="286" t="s">
        <v>10814</v>
      </c>
      <c r="AA93" s="286" t="s">
        <v>644</v>
      </c>
      <c r="AB93" s="286" t="s">
        <v>10815</v>
      </c>
      <c r="AC93" s="286" t="s">
        <v>10816</v>
      </c>
      <c r="AD93" s="286" t="s">
        <v>7736</v>
      </c>
      <c r="AE93" s="286" t="s">
        <v>10598</v>
      </c>
      <c r="AF93" s="286" t="s">
        <v>3048</v>
      </c>
      <c r="AG93" s="286" t="s">
        <v>10533</v>
      </c>
      <c r="AH93" s="286" t="s">
        <v>4654</v>
      </c>
      <c r="AI93" s="286"/>
      <c r="AJ93" s="257" t="s">
        <v>10817</v>
      </c>
      <c r="AK93" s="286" t="s">
        <v>10818</v>
      </c>
      <c r="AL93" s="105"/>
      <c r="AM93" s="286" t="s">
        <v>10140</v>
      </c>
      <c r="AN93" s="286" t="s">
        <v>1188</v>
      </c>
      <c r="AO93" s="286" t="s">
        <v>10819</v>
      </c>
      <c r="AP93" s="286" t="s">
        <v>1784</v>
      </c>
      <c r="AQ93" s="286" t="s">
        <v>5176</v>
      </c>
      <c r="AR93" s="286"/>
      <c r="AS93" s="286" t="s">
        <v>5117</v>
      </c>
      <c r="AT93" s="286" t="s">
        <v>10820</v>
      </c>
      <c r="AU93" s="286" t="s">
        <v>9378</v>
      </c>
      <c r="AV93" s="257" t="s">
        <v>10821</v>
      </c>
      <c r="AW93" s="286" t="s">
        <v>5681</v>
      </c>
      <c r="AX93" s="320"/>
      <c r="AY93" s="286" t="s">
        <v>3559</v>
      </c>
      <c r="AZ93" s="286" t="s">
        <v>10822</v>
      </c>
      <c r="BA93" s="286"/>
      <c r="BB93" s="320"/>
      <c r="BC93" s="286" t="s">
        <v>3530</v>
      </c>
      <c r="BD93" s="286" t="s">
        <v>4291</v>
      </c>
      <c r="BE93" s="286" t="s">
        <v>4620</v>
      </c>
      <c r="BF93" s="286" t="s">
        <v>10823</v>
      </c>
      <c r="BG93" s="286" t="s">
        <v>717</v>
      </c>
      <c r="BH93" s="320"/>
      <c r="BI93" s="286" t="s">
        <v>1236</v>
      </c>
      <c r="BJ93" s="286" t="s">
        <v>1628</v>
      </c>
      <c r="BK93" s="286" t="s">
        <v>10824</v>
      </c>
      <c r="BL93" s="286" t="s">
        <v>10825</v>
      </c>
      <c r="BM93" s="320"/>
      <c r="BN93" s="286" t="s">
        <v>9902</v>
      </c>
      <c r="BO93" s="286" t="s">
        <v>9294</v>
      </c>
      <c r="BP93" s="286" t="s">
        <v>10826</v>
      </c>
      <c r="BQ93" s="286"/>
      <c r="BR93" s="320"/>
      <c r="BS93" s="320"/>
      <c r="BT93" s="286" t="s">
        <v>10827</v>
      </c>
      <c r="BU93" s="286" t="s">
        <v>8840</v>
      </c>
      <c r="BV93" s="286" t="s">
        <v>5577</v>
      </c>
      <c r="BW93" s="286" t="s">
        <v>9668</v>
      </c>
      <c r="BX93" s="320"/>
      <c r="BY93" s="286" t="s">
        <v>10828</v>
      </c>
      <c r="BZ93" s="320"/>
      <c r="CA93" s="286" t="s">
        <v>8808</v>
      </c>
      <c r="CB93" s="286" t="s">
        <v>10829</v>
      </c>
      <c r="CC93" s="286" t="s">
        <v>2615</v>
      </c>
      <c r="CD93" s="286" t="s">
        <v>1175</v>
      </c>
      <c r="CE93" s="257" t="s">
        <v>10830</v>
      </c>
      <c r="CF93" s="324"/>
      <c r="CG93" s="286" t="s">
        <v>10831</v>
      </c>
      <c r="CH93" s="286" t="s">
        <v>2666</v>
      </c>
      <c r="CI93" s="320"/>
      <c r="CJ93" s="320"/>
      <c r="CK93" s="320"/>
      <c r="CL93" s="320" t="s">
        <v>9831</v>
      </c>
      <c r="CM93" s="320"/>
      <c r="CN93" s="286" t="s">
        <v>10832</v>
      </c>
      <c r="CO93" s="286" t="s">
        <v>9981</v>
      </c>
      <c r="CP93" s="320"/>
      <c r="CQ93" s="286" t="s">
        <v>773</v>
      </c>
      <c r="CR93" s="320"/>
      <c r="CS93" s="320"/>
      <c r="CT93" s="257" t="s">
        <v>10833</v>
      </c>
      <c r="CU93" s="106"/>
      <c r="CV93" s="286" t="s">
        <v>4394</v>
      </c>
      <c r="CW93" s="257" t="s">
        <v>9193</v>
      </c>
      <c r="CX93" s="286" t="s">
        <v>4586</v>
      </c>
      <c r="CY93" s="286" t="s">
        <v>4488</v>
      </c>
      <c r="CZ93" s="286" t="s">
        <v>10834</v>
      </c>
      <c r="DA93" s="320"/>
      <c r="DB93" s="320"/>
      <c r="DC93" s="286" t="s">
        <v>2203</v>
      </c>
      <c r="DD93" s="257" t="s">
        <v>5858</v>
      </c>
      <c r="DE93" s="286" t="s">
        <v>3710</v>
      </c>
      <c r="DF93" s="320"/>
      <c r="DG93" s="286" t="s">
        <v>3506</v>
      </c>
      <c r="DH93" s="286"/>
      <c r="DI93" s="320"/>
      <c r="DJ93" s="286" t="s">
        <v>10509</v>
      </c>
      <c r="DK93" s="320"/>
      <c r="DL93" s="286"/>
      <c r="DM93" s="286" t="s">
        <v>10702</v>
      </c>
      <c r="DN93" s="286" t="s">
        <v>2539</v>
      </c>
      <c r="DO93" s="257" t="s">
        <v>8806</v>
      </c>
      <c r="DP93" s="286" t="s">
        <v>9778</v>
      </c>
      <c r="DQ93" s="286" t="s">
        <v>9287</v>
      </c>
      <c r="DR93" s="286" t="s">
        <v>4278</v>
      </c>
      <c r="DS93" s="320"/>
      <c r="DT93" s="286" t="s">
        <v>10835</v>
      </c>
      <c r="DU93" s="286" t="s">
        <v>7401</v>
      </c>
      <c r="DV93" s="286" t="s">
        <v>10836</v>
      </c>
      <c r="DW93" s="286" t="s">
        <v>4746</v>
      </c>
      <c r="DX93" s="286" t="s">
        <v>7636</v>
      </c>
      <c r="DY93" s="286" t="s">
        <v>4605</v>
      </c>
      <c r="DZ93" s="286" t="s">
        <v>10047</v>
      </c>
      <c r="EA93" s="286" t="s">
        <v>10122</v>
      </c>
      <c r="EB93" s="286" t="s">
        <v>10837</v>
      </c>
      <c r="EC93" s="286" t="s">
        <v>2235</v>
      </c>
      <c r="ED93" s="862" t="s">
        <v>10838</v>
      </c>
    </row>
    <row r="94">
      <c r="A94" s="1838" t="s">
        <v>10839</v>
      </c>
      <c r="B94" s="378" t="s">
        <v>10840</v>
      </c>
      <c r="C94" s="379" t="s">
        <v>271</v>
      </c>
      <c r="D94" s="380" t="s">
        <v>271</v>
      </c>
      <c r="E94" s="381" t="s">
        <v>271</v>
      </c>
      <c r="F94" s="382" t="s">
        <v>567</v>
      </c>
      <c r="G94" s="378" t="s">
        <v>3952</v>
      </c>
      <c r="H94" s="835"/>
      <c r="I94" s="835"/>
      <c r="J94" s="541" t="s">
        <v>10841</v>
      </c>
      <c r="K94" s="541" t="s">
        <v>4204</v>
      </c>
      <c r="L94" s="541" t="s">
        <v>6110</v>
      </c>
      <c r="M94" s="541" t="s">
        <v>10842</v>
      </c>
      <c r="N94" s="541" t="s">
        <v>5636</v>
      </c>
      <c r="O94" s="541" t="s">
        <v>9550</v>
      </c>
      <c r="P94" s="390" t="s">
        <v>1486</v>
      </c>
      <c r="Q94" s="835"/>
      <c r="R94" s="835"/>
      <c r="S94" s="835"/>
      <c r="T94" s="835"/>
      <c r="U94" s="835"/>
      <c r="V94" s="541" t="s">
        <v>10843</v>
      </c>
      <c r="W94" s="106"/>
      <c r="X94" s="1133" t="s">
        <v>10844</v>
      </c>
      <c r="Y94" s="670"/>
      <c r="Z94" s="670" t="s">
        <v>1892</v>
      </c>
      <c r="AA94" s="399" t="s">
        <v>10579</v>
      </c>
      <c r="AB94" s="399" t="s">
        <v>1845</v>
      </c>
      <c r="AC94" s="399" t="s">
        <v>9311</v>
      </c>
      <c r="AD94" s="1133" t="s">
        <v>10507</v>
      </c>
      <c r="AE94" s="670"/>
      <c r="AF94" s="669" t="s">
        <v>10000</v>
      </c>
      <c r="AG94" s="399" t="s">
        <v>7544</v>
      </c>
      <c r="AH94" s="837"/>
      <c r="AI94" s="837"/>
      <c r="AJ94" s="670" t="s">
        <v>2180</v>
      </c>
      <c r="AK94" s="670" t="s">
        <v>10845</v>
      </c>
      <c r="AL94" s="105"/>
      <c r="AM94" s="839"/>
      <c r="AN94" s="839"/>
      <c r="AO94" s="839"/>
      <c r="AP94" s="839"/>
      <c r="AQ94" s="570" t="s">
        <v>625</v>
      </c>
      <c r="AR94" s="570"/>
      <c r="AS94" s="839"/>
      <c r="AT94" s="839"/>
      <c r="AU94" s="570" t="s">
        <v>4032</v>
      </c>
      <c r="AV94" s="1019" t="s">
        <v>5359</v>
      </c>
      <c r="AW94" s="839"/>
      <c r="AX94" s="839"/>
      <c r="AY94" s="407" t="s">
        <v>1031</v>
      </c>
      <c r="AZ94" s="570" t="s">
        <v>10846</v>
      </c>
      <c r="BA94" s="570"/>
      <c r="BB94" s="581" t="s">
        <v>7945</v>
      </c>
      <c r="BC94" s="581" t="s">
        <v>8194</v>
      </c>
      <c r="BD94" s="581" t="s">
        <v>9086</v>
      </c>
      <c r="BE94" s="417" t="s">
        <v>749</v>
      </c>
      <c r="BF94" s="581" t="s">
        <v>4479</v>
      </c>
      <c r="BG94" s="580"/>
      <c r="BH94" s="580"/>
      <c r="BI94" s="1228" t="s">
        <v>9521</v>
      </c>
      <c r="BJ94" s="580"/>
      <c r="BK94" s="581" t="s">
        <v>7161</v>
      </c>
      <c r="BL94" s="580"/>
      <c r="BM94" s="581"/>
      <c r="BN94" s="581" t="s">
        <v>2772</v>
      </c>
      <c r="BO94" s="581" t="s">
        <v>6117</v>
      </c>
      <c r="BP94" s="580"/>
      <c r="BQ94" s="845"/>
      <c r="BR94" s="849"/>
      <c r="BS94" s="589" t="s">
        <v>9175</v>
      </c>
      <c r="BT94" s="421" t="s">
        <v>10110</v>
      </c>
      <c r="BU94" s="589" t="s">
        <v>8679</v>
      </c>
      <c r="BV94" s="589" t="s">
        <v>10847</v>
      </c>
      <c r="BW94" s="589" t="s">
        <v>9668</v>
      </c>
      <c r="BX94" s="849"/>
      <c r="BY94" s="849"/>
      <c r="BZ94" s="849"/>
      <c r="CA94" s="422" t="s">
        <v>10777</v>
      </c>
      <c r="CB94" s="422" t="s">
        <v>10848</v>
      </c>
      <c r="CC94" s="849"/>
      <c r="CD94" s="422" t="s">
        <v>1146</v>
      </c>
      <c r="CE94" s="589" t="s">
        <v>10849</v>
      </c>
      <c r="CF94" s="589"/>
      <c r="CG94" s="593" t="s">
        <v>1915</v>
      </c>
      <c r="CH94" s="433" t="s">
        <v>865</v>
      </c>
      <c r="CI94" s="593" t="s">
        <v>5485</v>
      </c>
      <c r="CJ94" s="593" t="s">
        <v>10850</v>
      </c>
      <c r="CK94" s="593"/>
      <c r="CL94" s="593"/>
      <c r="CM94" s="852"/>
      <c r="CN94" s="593" t="s">
        <v>10718</v>
      </c>
      <c r="CO94" s="433" t="s">
        <v>9508</v>
      </c>
      <c r="CP94" s="852"/>
      <c r="CQ94" s="593"/>
      <c r="CR94" s="852"/>
      <c r="CS94" s="852"/>
      <c r="CT94" s="593" t="s">
        <v>10851</v>
      </c>
      <c r="CU94" s="106"/>
      <c r="CV94" s="683" t="s">
        <v>7130</v>
      </c>
      <c r="CW94" s="853"/>
      <c r="CX94" s="1159" t="s">
        <v>5273</v>
      </c>
      <c r="CY94" s="683" t="s">
        <v>2755</v>
      </c>
      <c r="CZ94" s="683" t="s">
        <v>7977</v>
      </c>
      <c r="DA94" s="683" t="s">
        <v>10852</v>
      </c>
      <c r="DB94" s="1159" t="s">
        <v>2075</v>
      </c>
      <c r="DC94" s="683" t="s">
        <v>5651</v>
      </c>
      <c r="DD94" s="1159" t="s">
        <v>7724</v>
      </c>
      <c r="DE94" s="853"/>
      <c r="DF94" s="853"/>
      <c r="DG94" s="458" t="s">
        <v>8022</v>
      </c>
      <c r="DH94" s="467"/>
      <c r="DI94" s="855"/>
      <c r="DJ94" s="855"/>
      <c r="DK94" s="855"/>
      <c r="DL94" s="685"/>
      <c r="DM94" s="855"/>
      <c r="DN94" s="685" t="s">
        <v>10853</v>
      </c>
      <c r="DO94" s="855"/>
      <c r="DP94" s="855"/>
      <c r="DQ94" s="855"/>
      <c r="DR94" s="685" t="s">
        <v>6081</v>
      </c>
      <c r="DS94" s="855"/>
      <c r="DT94" s="685" t="s">
        <v>736</v>
      </c>
      <c r="DU94" s="855"/>
      <c r="DV94" s="855"/>
      <c r="DW94" s="855"/>
      <c r="DX94" s="855"/>
      <c r="DY94" s="855"/>
      <c r="DZ94" s="855"/>
      <c r="EA94" s="685" t="s">
        <v>1184</v>
      </c>
      <c r="EB94" s="855"/>
      <c r="EC94" s="855"/>
      <c r="ED94" s="1039" t="s">
        <v>10854</v>
      </c>
    </row>
    <row r="95">
      <c r="A95" s="1839" t="s">
        <v>10855</v>
      </c>
      <c r="B95" s="245" t="s">
        <v>10856</v>
      </c>
      <c r="C95" s="246" t="s">
        <v>271</v>
      </c>
      <c r="D95" s="247" t="s">
        <v>271</v>
      </c>
      <c r="E95" s="248" t="s">
        <v>271</v>
      </c>
      <c r="F95" s="249" t="s">
        <v>233</v>
      </c>
      <c r="G95" s="245" t="s">
        <v>2442</v>
      </c>
      <c r="H95" s="286" t="s">
        <v>10200</v>
      </c>
      <c r="I95" s="257" t="s">
        <v>10857</v>
      </c>
      <c r="J95" s="286" t="s">
        <v>10047</v>
      </c>
      <c r="K95" s="286" t="s">
        <v>9455</v>
      </c>
      <c r="L95" s="278" t="s">
        <v>243</v>
      </c>
      <c r="M95" s="320"/>
      <c r="N95" s="320"/>
      <c r="O95" s="278" t="s">
        <v>4707</v>
      </c>
      <c r="P95" s="286" t="s">
        <v>1472</v>
      </c>
      <c r="Q95" s="320"/>
      <c r="R95" s="286"/>
      <c r="S95" s="286"/>
      <c r="T95" s="320"/>
      <c r="U95" s="320"/>
      <c r="V95" s="320"/>
      <c r="W95" s="106"/>
      <c r="X95" s="286" t="s">
        <v>9345</v>
      </c>
      <c r="Y95" s="320"/>
      <c r="Z95" s="320"/>
      <c r="AA95" s="286" t="s">
        <v>2339</v>
      </c>
      <c r="AB95" s="286" t="s">
        <v>3676</v>
      </c>
      <c r="AC95" s="351" t="s">
        <v>10858</v>
      </c>
      <c r="AD95" s="320"/>
      <c r="AE95" s="320"/>
      <c r="AF95" s="320"/>
      <c r="AG95" s="286" t="s">
        <v>2086</v>
      </c>
      <c r="AH95" s="320"/>
      <c r="AI95" s="320"/>
      <c r="AJ95" s="320"/>
      <c r="AK95" s="320"/>
      <c r="AL95" s="105"/>
      <c r="AM95" s="320"/>
      <c r="AN95" s="320"/>
      <c r="AO95" s="320"/>
      <c r="AP95" s="320"/>
      <c r="AQ95" s="320"/>
      <c r="AR95" s="320"/>
      <c r="AS95" s="320"/>
      <c r="AT95" s="320"/>
      <c r="AU95" s="316" t="str">
        <f>HYPERLINK("https://clips.twitch.tv/SpinelessSnappyCocoaPunchTrees","19.81")</f>
        <v>19.81</v>
      </c>
      <c r="AV95" s="286" t="s">
        <v>2541</v>
      </c>
      <c r="AW95" s="320"/>
      <c r="AX95" s="320"/>
      <c r="AY95" s="320"/>
      <c r="AZ95" s="320"/>
      <c r="BA95" s="320"/>
      <c r="BB95" s="286" t="s">
        <v>10859</v>
      </c>
      <c r="BC95" s="286" t="s">
        <v>535</v>
      </c>
      <c r="BD95" s="320"/>
      <c r="BE95" s="286" t="s">
        <v>4579</v>
      </c>
      <c r="BF95" s="286" t="s">
        <v>3710</v>
      </c>
      <c r="BG95" s="320"/>
      <c r="BH95" s="320"/>
      <c r="BI95" s="286" t="s">
        <v>7670</v>
      </c>
      <c r="BJ95" s="286" t="s">
        <v>7618</v>
      </c>
      <c r="BK95" s="286"/>
      <c r="BL95" s="286" t="s">
        <v>9490</v>
      </c>
      <c r="BM95" s="320"/>
      <c r="BN95" s="320"/>
      <c r="BO95" s="320"/>
      <c r="BP95" s="320"/>
      <c r="BQ95" s="824"/>
      <c r="BR95" s="351" t="s">
        <v>10860</v>
      </c>
      <c r="BS95" s="278" t="s">
        <v>3696</v>
      </c>
      <c r="BT95" s="286" t="s">
        <v>10861</v>
      </c>
      <c r="BU95" s="286" t="s">
        <v>2388</v>
      </c>
      <c r="BV95" s="320"/>
      <c r="BW95" s="286" t="s">
        <v>10862</v>
      </c>
      <c r="BX95" s="320"/>
      <c r="BY95" s="320"/>
      <c r="BZ95" s="320"/>
      <c r="CA95" s="320"/>
      <c r="CB95" s="320"/>
      <c r="CC95" s="320"/>
      <c r="CD95" s="320"/>
      <c r="CE95" s="320"/>
      <c r="CF95" s="824"/>
      <c r="CG95" s="286" t="s">
        <v>3248</v>
      </c>
      <c r="CH95" s="278" t="s">
        <v>752</v>
      </c>
      <c r="CI95" s="320"/>
      <c r="CJ95" s="1840" t="s">
        <v>10863</v>
      </c>
      <c r="CK95" s="1840" t="s">
        <v>5589</v>
      </c>
      <c r="CL95" s="320"/>
      <c r="CM95" s="286" t="s">
        <v>5230</v>
      </c>
      <c r="CN95" s="286" t="s">
        <v>2110</v>
      </c>
      <c r="CO95" s="862" t="s">
        <v>5696</v>
      </c>
      <c r="CP95" s="320"/>
      <c r="CQ95" s="320"/>
      <c r="CR95" s="320"/>
      <c r="CS95" s="320"/>
      <c r="CT95" s="320"/>
      <c r="CU95" s="106"/>
      <c r="CV95" s="286" t="s">
        <v>10864</v>
      </c>
      <c r="CW95" s="320"/>
      <c r="CX95" s="278" t="s">
        <v>4035</v>
      </c>
      <c r="CY95" s="320"/>
      <c r="CZ95" s="320"/>
      <c r="DA95" s="286" t="s">
        <v>5682</v>
      </c>
      <c r="DB95" s="320"/>
      <c r="DC95" s="320"/>
      <c r="DD95" s="320"/>
      <c r="DE95" s="320"/>
      <c r="DF95" s="320"/>
      <c r="DG95" s="320"/>
      <c r="DH95" s="320"/>
      <c r="DI95" s="286" t="s">
        <v>10865</v>
      </c>
      <c r="DJ95" s="320"/>
      <c r="DK95" s="320"/>
      <c r="DL95" s="320"/>
      <c r="DM95" s="320"/>
      <c r="DN95" s="320"/>
      <c r="DO95" s="320"/>
      <c r="DP95" s="320"/>
      <c r="DQ95" s="320"/>
      <c r="DR95" s="320"/>
      <c r="DS95" s="320"/>
      <c r="DT95" s="320"/>
      <c r="DU95" s="320"/>
      <c r="DV95" s="320"/>
      <c r="DW95" s="320"/>
      <c r="DX95" s="320"/>
      <c r="DY95" s="320"/>
      <c r="DZ95" s="320"/>
      <c r="EA95" s="320"/>
      <c r="EB95" s="320"/>
      <c r="EC95" s="320"/>
      <c r="ED95" s="862"/>
    </row>
    <row r="96">
      <c r="A96" s="1841" t="s">
        <v>10866</v>
      </c>
      <c r="B96" s="378" t="s">
        <v>10867</v>
      </c>
      <c r="C96" s="379" t="s">
        <v>271</v>
      </c>
      <c r="D96" s="380" t="s">
        <v>171</v>
      </c>
      <c r="E96" s="381" t="s">
        <v>271</v>
      </c>
      <c r="F96" s="382" t="s">
        <v>3415</v>
      </c>
      <c r="G96" s="378" t="s">
        <v>8701</v>
      </c>
      <c r="H96" s="541" t="s">
        <v>876</v>
      </c>
      <c r="I96" s="390" t="s">
        <v>6629</v>
      </c>
      <c r="J96" s="390" t="s">
        <v>1230</v>
      </c>
      <c r="K96" s="390" t="s">
        <v>686</v>
      </c>
      <c r="L96" s="390" t="s">
        <v>9644</v>
      </c>
      <c r="M96" s="390" t="s">
        <v>9943</v>
      </c>
      <c r="N96" s="390" t="s">
        <v>2480</v>
      </c>
      <c r="O96" s="390" t="s">
        <v>1088</v>
      </c>
      <c r="P96" s="390" t="s">
        <v>1445</v>
      </c>
      <c r="Q96" s="390" t="s">
        <v>10868</v>
      </c>
      <c r="R96" s="835"/>
      <c r="S96" s="390" t="s">
        <v>3991</v>
      </c>
      <c r="T96" s="390" t="s">
        <v>6925</v>
      </c>
      <c r="U96" s="835"/>
      <c r="V96" s="541" t="s">
        <v>10869</v>
      </c>
      <c r="W96" s="106"/>
      <c r="X96" s="399" t="s">
        <v>4911</v>
      </c>
      <c r="Y96" s="837"/>
      <c r="Z96" s="837"/>
      <c r="AA96" s="399" t="s">
        <v>4055</v>
      </c>
      <c r="AB96" s="669" t="s">
        <v>10870</v>
      </c>
      <c r="AC96" s="399" t="s">
        <v>3467</v>
      </c>
      <c r="AD96" s="670" t="s">
        <v>7471</v>
      </c>
      <c r="AE96" s="837"/>
      <c r="AF96" s="399" t="s">
        <v>10000</v>
      </c>
      <c r="AG96" s="399" t="s">
        <v>10871</v>
      </c>
      <c r="AH96" s="837"/>
      <c r="AI96" s="670" t="s">
        <v>1793</v>
      </c>
      <c r="AJ96" s="670" t="s">
        <v>2925</v>
      </c>
      <c r="AK96" s="837"/>
      <c r="AL96" s="105"/>
      <c r="AM96" s="570" t="s">
        <v>10872</v>
      </c>
      <c r="AN96" s="570" t="s">
        <v>8803</v>
      </c>
      <c r="AO96" s="839"/>
      <c r="AP96" s="570" t="s">
        <v>10873</v>
      </c>
      <c r="AQ96" s="839"/>
      <c r="AR96" s="839"/>
      <c r="AS96" s="839"/>
      <c r="AT96" s="570" t="s">
        <v>439</v>
      </c>
      <c r="AU96" s="407" t="s">
        <v>2171</v>
      </c>
      <c r="AV96" s="407" t="s">
        <v>232</v>
      </c>
      <c r="AW96" s="407" t="s">
        <v>4878</v>
      </c>
      <c r="AX96" s="839"/>
      <c r="AY96" s="407" t="s">
        <v>10476</v>
      </c>
      <c r="AZ96" s="839"/>
      <c r="BA96" s="839"/>
      <c r="BB96" s="581" t="s">
        <v>8702</v>
      </c>
      <c r="BC96" s="581" t="s">
        <v>887</v>
      </c>
      <c r="BD96" s="581" t="s">
        <v>6238</v>
      </c>
      <c r="BE96" s="417" t="s">
        <v>9360</v>
      </c>
      <c r="BF96" s="417" t="s">
        <v>5203</v>
      </c>
      <c r="BG96" s="580"/>
      <c r="BH96" s="580"/>
      <c r="BI96" s="417" t="s">
        <v>4970</v>
      </c>
      <c r="BJ96" s="580"/>
      <c r="BK96" s="417" t="s">
        <v>8266</v>
      </c>
      <c r="BL96" s="417" t="s">
        <v>9490</v>
      </c>
      <c r="BM96" s="580"/>
      <c r="BN96" s="417" t="s">
        <v>1237</v>
      </c>
      <c r="BO96" s="580"/>
      <c r="BP96" s="580"/>
      <c r="BQ96" s="845"/>
      <c r="BR96" s="422" t="s">
        <v>1002</v>
      </c>
      <c r="BS96" s="849"/>
      <c r="BT96" s="589" t="s">
        <v>10874</v>
      </c>
      <c r="BU96" s="422" t="s">
        <v>4644</v>
      </c>
      <c r="BV96" s="849"/>
      <c r="BW96" s="849"/>
      <c r="BX96" s="849"/>
      <c r="BY96" s="589" t="s">
        <v>10875</v>
      </c>
      <c r="BZ96" s="1024" t="s">
        <v>3389</v>
      </c>
      <c r="CA96" s="422" t="s">
        <v>10876</v>
      </c>
      <c r="CB96" s="422" t="s">
        <v>10877</v>
      </c>
      <c r="CC96" s="589" t="s">
        <v>10732</v>
      </c>
      <c r="CD96" s="422" t="s">
        <v>10338</v>
      </c>
      <c r="CE96" s="849"/>
      <c r="CF96" s="851"/>
      <c r="CG96" s="433" t="s">
        <v>10878</v>
      </c>
      <c r="CH96" s="433" t="s">
        <v>4035</v>
      </c>
      <c r="CI96" s="593" t="s">
        <v>10879</v>
      </c>
      <c r="CJ96" s="433" t="s">
        <v>3852</v>
      </c>
      <c r="CK96" s="434"/>
      <c r="CL96" s="433" t="s">
        <v>10880</v>
      </c>
      <c r="CM96" s="433" t="s">
        <v>5556</v>
      </c>
      <c r="CN96" s="593" t="s">
        <v>10881</v>
      </c>
      <c r="CO96" s="433" t="s">
        <v>608</v>
      </c>
      <c r="CP96" s="852"/>
      <c r="CQ96" s="852"/>
      <c r="CR96" s="434"/>
      <c r="CS96" s="433" t="s">
        <v>3710</v>
      </c>
      <c r="CT96" s="852"/>
      <c r="CU96" s="106"/>
      <c r="CV96" s="1606" t="s">
        <v>7209</v>
      </c>
      <c r="CW96" s="853"/>
      <c r="CX96" s="683" t="s">
        <v>5273</v>
      </c>
      <c r="CY96" s="458" t="s">
        <v>2286</v>
      </c>
      <c r="CZ96" s="853"/>
      <c r="DA96" s="683" t="s">
        <v>3745</v>
      </c>
      <c r="DB96" s="683" t="s">
        <v>10882</v>
      </c>
      <c r="DC96" s="458" t="s">
        <v>9306</v>
      </c>
      <c r="DD96" s="853"/>
      <c r="DE96" s="683" t="s">
        <v>10883</v>
      </c>
      <c r="DF96" s="458" t="s">
        <v>10884</v>
      </c>
      <c r="DG96" s="853"/>
      <c r="DH96" s="853"/>
      <c r="DI96" s="855"/>
      <c r="DJ96" s="855"/>
      <c r="DK96" s="855"/>
      <c r="DL96" s="855"/>
      <c r="DM96" s="855"/>
      <c r="DN96" s="855"/>
      <c r="DO96" s="481" t="s">
        <v>4411</v>
      </c>
      <c r="DP96" s="685" t="s">
        <v>9919</v>
      </c>
      <c r="DQ96" s="685" t="s">
        <v>10885</v>
      </c>
      <c r="DR96" s="855"/>
      <c r="DS96" s="855"/>
      <c r="DT96" s="685" t="s">
        <v>1490</v>
      </c>
      <c r="DU96" s="685" t="s">
        <v>1094</v>
      </c>
      <c r="DV96" s="855"/>
      <c r="DW96" s="685" t="s">
        <v>4746</v>
      </c>
      <c r="DX96" s="855"/>
      <c r="DY96" s="855"/>
      <c r="DZ96" s="855"/>
      <c r="EA96" s="599" t="s">
        <v>4729</v>
      </c>
      <c r="EB96" s="855"/>
      <c r="EC96" s="855"/>
      <c r="ED96" s="1039"/>
    </row>
    <row r="97">
      <c r="A97" s="1842" t="s">
        <v>3970</v>
      </c>
      <c r="B97" s="245" t="s">
        <v>10886</v>
      </c>
      <c r="C97" s="246" t="s">
        <v>271</v>
      </c>
      <c r="D97" s="247" t="s">
        <v>171</v>
      </c>
      <c r="E97" s="248" t="s">
        <v>271</v>
      </c>
      <c r="F97" s="249" t="s">
        <v>3718</v>
      </c>
      <c r="G97" s="245" t="s">
        <v>3817</v>
      </c>
      <c r="H97" s="257" t="s">
        <v>10129</v>
      </c>
      <c r="I97" s="881" t="s">
        <v>247</v>
      </c>
      <c r="J97" s="257" t="s">
        <v>10887</v>
      </c>
      <c r="K97" s="257" t="s">
        <v>10888</v>
      </c>
      <c r="L97" s="257" t="s">
        <v>10889</v>
      </c>
      <c r="M97" s="257" t="s">
        <v>10890</v>
      </c>
      <c r="N97" s="257" t="s">
        <v>10891</v>
      </c>
      <c r="O97" s="257" t="s">
        <v>10892</v>
      </c>
      <c r="P97" s="881" t="s">
        <v>1486</v>
      </c>
      <c r="Q97" s="881" t="s">
        <v>6885</v>
      </c>
      <c r="R97" s="257" t="s">
        <v>9841</v>
      </c>
      <c r="S97" s="257" t="s">
        <v>10821</v>
      </c>
      <c r="T97" s="320"/>
      <c r="U97" s="257" t="s">
        <v>2701</v>
      </c>
      <c r="V97" s="257" t="s">
        <v>10893</v>
      </c>
      <c r="W97" s="106"/>
      <c r="X97" s="881" t="s">
        <v>9686</v>
      </c>
      <c r="Y97" s="881"/>
      <c r="Z97" s="881" t="s">
        <v>10894</v>
      </c>
      <c r="AA97" s="881" t="s">
        <v>1231</v>
      </c>
      <c r="AB97" s="881" t="s">
        <v>6719</v>
      </c>
      <c r="AC97" s="881" t="s">
        <v>10895</v>
      </c>
      <c r="AD97" s="881" t="s">
        <v>2801</v>
      </c>
      <c r="AE97" s="286"/>
      <c r="AF97" s="257" t="s">
        <v>3993</v>
      </c>
      <c r="AG97" s="257" t="s">
        <v>10896</v>
      </c>
      <c r="AH97" s="257" t="s">
        <v>10897</v>
      </c>
      <c r="AI97" s="286"/>
      <c r="AJ97" s="257" t="s">
        <v>4688</v>
      </c>
      <c r="AK97" s="257" t="s">
        <v>7026</v>
      </c>
      <c r="AL97" s="105"/>
      <c r="AM97" s="257" t="s">
        <v>9239</v>
      </c>
      <c r="AN97" s="257" t="s">
        <v>263</v>
      </c>
      <c r="AO97" s="320"/>
      <c r="AP97" s="320"/>
      <c r="AQ97" s="320"/>
      <c r="AR97" s="320"/>
      <c r="AS97" s="320"/>
      <c r="AT97" s="320"/>
      <c r="AU97" s="881" t="s">
        <v>5670</v>
      </c>
      <c r="AV97" s="257" t="s">
        <v>10898</v>
      </c>
      <c r="AW97" s="257" t="s">
        <v>10899</v>
      </c>
      <c r="AX97" s="257" t="s">
        <v>3843</v>
      </c>
      <c r="AY97" s="257" t="s">
        <v>653</v>
      </c>
      <c r="AZ97" s="320"/>
      <c r="BA97" s="320"/>
      <c r="BB97" s="881" t="s">
        <v>1109</v>
      </c>
      <c r="BC97" s="257" t="s">
        <v>10900</v>
      </c>
      <c r="BD97" s="881" t="s">
        <v>9545</v>
      </c>
      <c r="BE97" s="881" t="s">
        <v>5655</v>
      </c>
      <c r="BF97" s="257" t="s">
        <v>2293</v>
      </c>
      <c r="BG97" s="257" t="s">
        <v>10901</v>
      </c>
      <c r="BH97" s="257" t="s">
        <v>6083</v>
      </c>
      <c r="BI97" s="881" t="s">
        <v>884</v>
      </c>
      <c r="BJ97" s="286" t="s">
        <v>10902</v>
      </c>
      <c r="BK97" s="320"/>
      <c r="BL97" s="881" t="s">
        <v>2848</v>
      </c>
      <c r="BM97" s="320"/>
      <c r="BN97" s="257" t="s">
        <v>446</v>
      </c>
      <c r="BO97" s="320"/>
      <c r="BP97" s="286" t="s">
        <v>10903</v>
      </c>
      <c r="BQ97" s="824"/>
      <c r="BR97" s="257" t="s">
        <v>10904</v>
      </c>
      <c r="BS97" s="881" t="s">
        <v>10905</v>
      </c>
      <c r="BT97" s="881" t="s">
        <v>10906</v>
      </c>
      <c r="BU97" s="257" t="s">
        <v>10907</v>
      </c>
      <c r="BV97" s="881" t="s">
        <v>6692</v>
      </c>
      <c r="BW97" s="881" t="s">
        <v>4715</v>
      </c>
      <c r="BX97" s="257" t="s">
        <v>8007</v>
      </c>
      <c r="BY97" s="881" t="s">
        <v>10908</v>
      </c>
      <c r="BZ97" s="320"/>
      <c r="CA97" s="881" t="s">
        <v>10909</v>
      </c>
      <c r="CB97" s="257" t="s">
        <v>10910</v>
      </c>
      <c r="CC97" s="320"/>
      <c r="CD97" s="320"/>
      <c r="CE97" s="320"/>
      <c r="CF97" s="824"/>
      <c r="CG97" s="257" t="s">
        <v>10911</v>
      </c>
      <c r="CH97" s="257" t="s">
        <v>966</v>
      </c>
      <c r="CI97" s="257" t="s">
        <v>1223</v>
      </c>
      <c r="CJ97" s="286" t="s">
        <v>10912</v>
      </c>
      <c r="CK97" s="286"/>
      <c r="CL97" s="1630" t="s">
        <v>10913</v>
      </c>
      <c r="CM97" s="286" t="s">
        <v>10914</v>
      </c>
      <c r="CN97" s="257" t="s">
        <v>4828</v>
      </c>
      <c r="CO97" s="257" t="s">
        <v>5508</v>
      </c>
      <c r="CP97" s="320"/>
      <c r="CQ97" s="320"/>
      <c r="CR97" s="320"/>
      <c r="CS97" s="320"/>
      <c r="CT97" s="257" t="s">
        <v>10915</v>
      </c>
      <c r="CU97" s="106"/>
      <c r="CV97" s="257" t="s">
        <v>2976</v>
      </c>
      <c r="CW97" s="881" t="s">
        <v>10318</v>
      </c>
      <c r="CX97" s="881" t="s">
        <v>10522</v>
      </c>
      <c r="CY97" s="881" t="s">
        <v>9641</v>
      </c>
      <c r="CZ97" s="257" t="s">
        <v>10916</v>
      </c>
      <c r="DA97" s="881" t="s">
        <v>8830</v>
      </c>
      <c r="DB97" s="881" t="s">
        <v>10917</v>
      </c>
      <c r="DC97" s="881" t="s">
        <v>9578</v>
      </c>
      <c r="DD97" s="320"/>
      <c r="DE97" s="320"/>
      <c r="DF97" s="320"/>
      <c r="DG97" s="257" t="s">
        <v>1619</v>
      </c>
      <c r="DH97" s="351"/>
      <c r="DI97" s="286" t="s">
        <v>6192</v>
      </c>
      <c r="DJ97" s="320"/>
      <c r="DK97" s="320"/>
      <c r="DL97" s="320"/>
      <c r="DM97" s="263" t="s">
        <v>516</v>
      </c>
      <c r="DN97" s="257" t="s">
        <v>2142</v>
      </c>
      <c r="DO97" s="320"/>
      <c r="DP97" s="320"/>
      <c r="DQ97" s="320"/>
      <c r="DR97" s="286" t="s">
        <v>9627</v>
      </c>
      <c r="DS97" s="286" t="s">
        <v>9605</v>
      </c>
      <c r="DT97" s="320"/>
      <c r="DU97" s="257" t="s">
        <v>8825</v>
      </c>
      <c r="DV97" s="320"/>
      <c r="DW97" s="286" t="s">
        <v>3808</v>
      </c>
      <c r="DX97" s="320"/>
      <c r="DY97" s="257" t="s">
        <v>2637</v>
      </c>
      <c r="DZ97" s="286" t="s">
        <v>8316</v>
      </c>
      <c r="EA97" s="320"/>
      <c r="EB97" s="320"/>
      <c r="EC97" s="320"/>
      <c r="ED97" s="316" t="s">
        <v>9418</v>
      </c>
    </row>
    <row r="98">
      <c r="A98" s="1843" t="s">
        <v>2437</v>
      </c>
      <c r="B98" s="378" t="s">
        <v>10918</v>
      </c>
      <c r="C98" s="379" t="s">
        <v>271</v>
      </c>
      <c r="D98" s="380" t="s">
        <v>171</v>
      </c>
      <c r="E98" s="381" t="s">
        <v>171</v>
      </c>
      <c r="F98" s="382" t="s">
        <v>1428</v>
      </c>
      <c r="G98" s="378" t="s">
        <v>3718</v>
      </c>
      <c r="H98" s="541" t="s">
        <v>990</v>
      </c>
      <c r="I98" s="541" t="s">
        <v>10919</v>
      </c>
      <c r="J98" s="541" t="s">
        <v>10920</v>
      </c>
      <c r="K98" s="1121" t="s">
        <v>9568</v>
      </c>
      <c r="L98" s="390" t="s">
        <v>2949</v>
      </c>
      <c r="M98" s="835"/>
      <c r="N98" s="835"/>
      <c r="O98" s="835"/>
      <c r="P98" s="390" t="s">
        <v>1140</v>
      </c>
      <c r="Q98" s="835"/>
      <c r="R98" s="835"/>
      <c r="S98" s="390" t="s">
        <v>1115</v>
      </c>
      <c r="T98" s="835"/>
      <c r="U98" s="835"/>
      <c r="V98" s="390" t="s">
        <v>7554</v>
      </c>
      <c r="W98" s="106"/>
      <c r="X98" s="399" t="s">
        <v>894</v>
      </c>
      <c r="Y98" s="402"/>
      <c r="Z98" s="399" t="s">
        <v>8919</v>
      </c>
      <c r="AA98" s="399" t="s">
        <v>2326</v>
      </c>
      <c r="AB98" s="399" t="s">
        <v>1958</v>
      </c>
      <c r="AC98" s="399" t="s">
        <v>5305</v>
      </c>
      <c r="AD98" s="837"/>
      <c r="AE98" s="837"/>
      <c r="AF98" s="837"/>
      <c r="AG98" s="399" t="s">
        <v>10212</v>
      </c>
      <c r="AH98" s="837"/>
      <c r="AI98" s="837"/>
      <c r="AJ98" s="837"/>
      <c r="AK98" s="837"/>
      <c r="AL98" s="105"/>
      <c r="AM98" s="839"/>
      <c r="AN98" s="839"/>
      <c r="AO98" s="839"/>
      <c r="AP98" s="407" t="s">
        <v>2812</v>
      </c>
      <c r="AQ98" s="839"/>
      <c r="AR98" s="407" t="s">
        <v>457</v>
      </c>
      <c r="AS98" s="839"/>
      <c r="AT98" s="839"/>
      <c r="AU98" s="839"/>
      <c r="AV98" s="839"/>
      <c r="AW98" s="407" t="s">
        <v>9843</v>
      </c>
      <c r="AX98" s="839"/>
      <c r="AY98" s="839"/>
      <c r="AZ98" s="839"/>
      <c r="BA98" s="839"/>
      <c r="BB98" s="580"/>
      <c r="BC98" s="581" t="s">
        <v>10585</v>
      </c>
      <c r="BD98" s="417" t="s">
        <v>9121</v>
      </c>
      <c r="BE98" s="417" t="s">
        <v>3766</v>
      </c>
      <c r="BF98" s="580"/>
      <c r="BG98" s="580"/>
      <c r="BH98" s="580"/>
      <c r="BI98" s="417" t="s">
        <v>2235</v>
      </c>
      <c r="BJ98" s="581" t="s">
        <v>10921</v>
      </c>
      <c r="BK98" s="580"/>
      <c r="BL98" s="580"/>
      <c r="BM98" s="580"/>
      <c r="BN98" s="417" t="s">
        <v>2761</v>
      </c>
      <c r="BO98" s="580"/>
      <c r="BP98" s="417" t="s">
        <v>10922</v>
      </c>
      <c r="BQ98" s="845"/>
      <c r="BR98" s="422" t="s">
        <v>10923</v>
      </c>
      <c r="BS98" s="849"/>
      <c r="BT98" s="849"/>
      <c r="BU98" s="422" t="s">
        <v>10924</v>
      </c>
      <c r="BV98" s="849"/>
      <c r="BW98" s="589" t="s">
        <v>10925</v>
      </c>
      <c r="BX98" s="849"/>
      <c r="BY98" s="422" t="s">
        <v>10926</v>
      </c>
      <c r="BZ98" s="849"/>
      <c r="CA98" s="849"/>
      <c r="CB98" s="422" t="s">
        <v>10497</v>
      </c>
      <c r="CC98" s="849"/>
      <c r="CD98" s="849"/>
      <c r="CE98" s="422" t="s">
        <v>3511</v>
      </c>
      <c r="CF98" s="851"/>
      <c r="CG98" s="852"/>
      <c r="CH98" s="433" t="s">
        <v>1226</v>
      </c>
      <c r="CI98" s="852"/>
      <c r="CJ98" s="852"/>
      <c r="CK98" s="852"/>
      <c r="CL98" s="852"/>
      <c r="CM98" s="852"/>
      <c r="CN98" s="852"/>
      <c r="CO98" s="433" t="s">
        <v>9448</v>
      </c>
      <c r="CP98" s="852"/>
      <c r="CQ98" s="852"/>
      <c r="CR98" s="852"/>
      <c r="CS98" s="852"/>
      <c r="CT98" s="433" t="s">
        <v>2601</v>
      </c>
      <c r="CU98" s="106"/>
      <c r="CV98" s="683" t="s">
        <v>1785</v>
      </c>
      <c r="CW98" s="683" t="s">
        <v>10927</v>
      </c>
      <c r="CX98" s="683" t="s">
        <v>10928</v>
      </c>
      <c r="CY98" s="853"/>
      <c r="CZ98" s="683" t="s">
        <v>10929</v>
      </c>
      <c r="DA98" s="853"/>
      <c r="DB98" s="458" t="s">
        <v>5841</v>
      </c>
      <c r="DC98" s="853"/>
      <c r="DD98" s="853"/>
      <c r="DE98" s="853"/>
      <c r="DF98" s="683" t="s">
        <v>1066</v>
      </c>
      <c r="DG98" s="853"/>
      <c r="DH98" s="853"/>
      <c r="DI98" s="855"/>
      <c r="DJ98" s="855"/>
      <c r="DK98" s="855"/>
      <c r="DL98" s="481" t="s">
        <v>3401</v>
      </c>
      <c r="DM98" s="479" t="s">
        <v>516</v>
      </c>
      <c r="DN98" s="855"/>
      <c r="DO98" s="481" t="s">
        <v>1414</v>
      </c>
      <c r="DP98" s="603" t="s">
        <v>3298</v>
      </c>
      <c r="DQ98" s="481" t="s">
        <v>10930</v>
      </c>
      <c r="DR98" s="855"/>
      <c r="DS98" s="855"/>
      <c r="DT98" s="855"/>
      <c r="DU98" s="685" t="s">
        <v>10591</v>
      </c>
      <c r="DV98" s="855"/>
      <c r="DW98" s="685" t="s">
        <v>4804</v>
      </c>
      <c r="DX98" s="855"/>
      <c r="DY98" s="855"/>
      <c r="DZ98" s="855"/>
      <c r="EA98" s="855"/>
      <c r="EB98" s="855"/>
      <c r="EC98" s="855"/>
      <c r="ED98" s="1039"/>
    </row>
    <row r="99">
      <c r="A99" s="1844" t="s">
        <v>10931</v>
      </c>
      <c r="B99" s="1731" t="s">
        <v>10932</v>
      </c>
      <c r="C99" s="1732" t="s">
        <v>271</v>
      </c>
      <c r="D99" s="1733" t="s">
        <v>271</v>
      </c>
      <c r="E99" s="1734" t="s">
        <v>271</v>
      </c>
      <c r="F99" s="1735" t="s">
        <v>178</v>
      </c>
      <c r="G99" s="1731" t="s">
        <v>1911</v>
      </c>
      <c r="H99" s="1168"/>
      <c r="I99" s="1168"/>
      <c r="J99" s="1168"/>
      <c r="K99" s="1737" t="s">
        <v>750</v>
      </c>
      <c r="L99" s="1695"/>
      <c r="M99" s="1168"/>
      <c r="N99" s="1845" t="s">
        <v>10933</v>
      </c>
      <c r="O99" s="496" t="str">
        <f>HYPERLINK("https://youtu.be/4C3xQ7A4UhU","38.19")</f>
        <v>38.19</v>
      </c>
      <c r="P99" s="496" t="str">
        <f>HYPERLINK("https://www.youtube.com/watch?v=-VtDfPtntro&amp;feature=youtu.be","16.00")</f>
        <v>16.00</v>
      </c>
      <c r="Q99" s="1168"/>
      <c r="R99" s="1168"/>
      <c r="S99" s="1168"/>
      <c r="T99" s="1168"/>
      <c r="U99" s="1168"/>
      <c r="V99" s="1168"/>
      <c r="W99" s="494"/>
      <c r="X99" s="1168"/>
      <c r="Y99" s="495"/>
      <c r="Z99" s="496" t="str">
        <f>HYPERLINK("https://clips.twitch.tv/AdventurousTawdryOxDoggo","16.51")</f>
        <v>16.51</v>
      </c>
      <c r="AA99" s="1695" t="s">
        <v>10934</v>
      </c>
      <c r="AB99" s="1695" t="s">
        <v>2491</v>
      </c>
      <c r="AC99" s="1846" t="s">
        <v>10935</v>
      </c>
      <c r="AD99" s="1168"/>
      <c r="AE99" s="1168"/>
      <c r="AF99" s="1845" t="s">
        <v>442</v>
      </c>
      <c r="AG99" s="1846" t="s">
        <v>665</v>
      </c>
      <c r="AH99" s="1168"/>
      <c r="AI99" s="1168"/>
      <c r="AJ99" s="1168"/>
      <c r="AK99" s="1168"/>
      <c r="AL99" s="501"/>
      <c r="AM99" s="1168"/>
      <c r="AN99" s="1168"/>
      <c r="AO99" s="1168"/>
      <c r="AP99" s="1168"/>
      <c r="AQ99" s="1168"/>
      <c r="AR99" s="1168"/>
      <c r="AS99" s="1168"/>
      <c r="AT99" s="1168"/>
      <c r="AU99" s="1695" t="s">
        <v>1834</v>
      </c>
      <c r="AV99" s="1695" t="s">
        <v>10936</v>
      </c>
      <c r="AW99" s="1168"/>
      <c r="AX99" s="1168"/>
      <c r="AY99" s="1168"/>
      <c r="AZ99" s="1168"/>
      <c r="BA99" s="1168"/>
      <c r="BB99" s="1168"/>
      <c r="BC99" s="1695"/>
      <c r="BD99" s="1695"/>
      <c r="BE99" s="1695"/>
      <c r="BF99" s="1846" t="s">
        <v>990</v>
      </c>
      <c r="BG99" s="1168"/>
      <c r="BH99" s="1168"/>
      <c r="BI99" s="1846" t="s">
        <v>6607</v>
      </c>
      <c r="BJ99" s="1168"/>
      <c r="BK99" s="1168"/>
      <c r="BL99" s="496" t="str">
        <f>HYPERLINK("https://clips.twitch.tv/LitigiousAlluringClintPeoplesChamp","12.27")</f>
        <v>12.27</v>
      </c>
      <c r="BM99" s="1168"/>
      <c r="BN99" s="1168"/>
      <c r="BO99" s="1168"/>
      <c r="BP99" s="1168"/>
      <c r="BQ99" s="1847"/>
      <c r="BR99" s="1168"/>
      <c r="BS99" s="1168"/>
      <c r="BT99" s="1168"/>
      <c r="BU99" s="1695"/>
      <c r="BV99" s="1168"/>
      <c r="BW99" s="496" t="str">
        <f>HYPERLINK("https://www.youtube.com/watch?v=M4YsVEbtlSY&amp;feature=youtu.be","20.70")</f>
        <v>20.70</v>
      </c>
      <c r="BX99" s="1168"/>
      <c r="BY99" s="1695"/>
      <c r="BZ99" s="1168"/>
      <c r="CA99" s="1168"/>
      <c r="CB99" s="1168"/>
      <c r="CC99" s="1168"/>
      <c r="CD99" s="1168"/>
      <c r="CE99" s="1168"/>
      <c r="CF99" s="1847"/>
      <c r="CG99" s="1695"/>
      <c r="CH99" s="496" t="str">
        <f>HYPERLINK("https://youtu.be/WrtP8ZKcFfA","27.54")</f>
        <v>27.54</v>
      </c>
      <c r="CI99" s="1168"/>
      <c r="CJ99" s="1168"/>
      <c r="CK99" s="1168"/>
      <c r="CL99" s="1168"/>
      <c r="CM99" s="1168"/>
      <c r="CN99" s="1845" t="s">
        <v>4136</v>
      </c>
      <c r="CO99" s="496" t="str">
        <f>HYPERLINK("https://www.youtube.com/watch?v=7vxyeq3ZJvE&amp;feature=youtu.be","15.49")</f>
        <v>15.49</v>
      </c>
      <c r="CP99" s="1168"/>
      <c r="CQ99" s="1168"/>
      <c r="CR99" s="1168"/>
      <c r="CS99" s="1168"/>
      <c r="CT99" s="1168"/>
      <c r="CU99" s="494"/>
      <c r="CV99" s="1168"/>
      <c r="CW99" s="1168"/>
      <c r="CX99" s="1168"/>
      <c r="CY99" s="1168"/>
      <c r="CZ99" s="1168"/>
      <c r="DA99" s="1168"/>
      <c r="DB99" s="1168"/>
      <c r="DC99" s="1845" t="s">
        <v>3395</v>
      </c>
      <c r="DD99" s="1168"/>
      <c r="DE99" s="1168"/>
      <c r="DF99" s="1168"/>
      <c r="DG99" s="1168"/>
      <c r="DH99" s="1168"/>
      <c r="DI99" s="1168"/>
      <c r="DJ99" s="1168"/>
      <c r="DK99" s="1168"/>
      <c r="DL99" s="1168"/>
      <c r="DM99" s="1168"/>
      <c r="DN99" s="1168"/>
      <c r="DO99" s="1168"/>
      <c r="DP99" s="1168"/>
      <c r="DQ99" s="1168"/>
      <c r="DR99" s="1168"/>
      <c r="DS99" s="1168"/>
      <c r="DT99" s="1168"/>
      <c r="DU99" s="1168"/>
      <c r="DV99" s="1168"/>
      <c r="DW99" s="1168"/>
      <c r="DX99" s="1168"/>
      <c r="DY99" s="1168"/>
      <c r="DZ99" s="1168"/>
      <c r="EA99" s="1168"/>
      <c r="EB99" s="1168"/>
      <c r="EC99" s="1168"/>
      <c r="ED99" s="1846"/>
    </row>
    <row r="100">
      <c r="A100" s="1848" t="s">
        <v>10937</v>
      </c>
      <c r="B100" s="378" t="s">
        <v>10938</v>
      </c>
      <c r="C100" s="379" t="s">
        <v>271</v>
      </c>
      <c r="D100" s="380" t="s">
        <v>171</v>
      </c>
      <c r="E100" s="381" t="s">
        <v>271</v>
      </c>
      <c r="F100" s="382" t="s">
        <v>176</v>
      </c>
      <c r="G100" s="378" t="s">
        <v>716</v>
      </c>
      <c r="H100" s="1700" t="s">
        <v>506</v>
      </c>
      <c r="I100" s="1788" t="s">
        <v>6479</v>
      </c>
      <c r="J100" s="1121" t="s">
        <v>1764</v>
      </c>
      <c r="K100" s="1121" t="s">
        <v>10939</v>
      </c>
      <c r="L100" s="1121" t="s">
        <v>10940</v>
      </c>
      <c r="M100" s="1700"/>
      <c r="N100" s="1700" t="s">
        <v>10554</v>
      </c>
      <c r="O100" s="1700" t="s">
        <v>868</v>
      </c>
      <c r="P100" s="1121" t="s">
        <v>1486</v>
      </c>
      <c r="Q100" s="835"/>
      <c r="R100" s="835"/>
      <c r="S100" s="835"/>
      <c r="T100" s="835"/>
      <c r="U100" s="835"/>
      <c r="V100" s="835"/>
      <c r="W100" s="106"/>
      <c r="X100" s="402" t="s">
        <v>10199</v>
      </c>
      <c r="Y100" s="402"/>
      <c r="Z100" s="399" t="s">
        <v>5165</v>
      </c>
      <c r="AA100" s="402" t="s">
        <v>10941</v>
      </c>
      <c r="AB100" s="1133" t="s">
        <v>10942</v>
      </c>
      <c r="AC100" s="402" t="s">
        <v>4300</v>
      </c>
      <c r="AD100" s="402" t="s">
        <v>4697</v>
      </c>
      <c r="AE100" s="837"/>
      <c r="AF100" s="399" t="s">
        <v>1085</v>
      </c>
      <c r="AG100" s="402" t="s">
        <v>5608</v>
      </c>
      <c r="AH100" s="837"/>
      <c r="AI100" s="837"/>
      <c r="AJ100" s="402"/>
      <c r="AK100" s="837"/>
      <c r="AL100" s="105"/>
      <c r="AM100" s="413"/>
      <c r="AN100" s="413"/>
      <c r="AO100" s="839"/>
      <c r="AP100" s="839"/>
      <c r="AQ100" s="570"/>
      <c r="AR100" s="570"/>
      <c r="AS100" s="839"/>
      <c r="AT100" s="839"/>
      <c r="AU100" s="413" t="s">
        <v>9365</v>
      </c>
      <c r="AV100" s="413"/>
      <c r="AW100" s="413"/>
      <c r="AX100" s="839"/>
      <c r="AY100" s="839"/>
      <c r="AZ100" s="839"/>
      <c r="BA100" s="839"/>
      <c r="BB100" s="1633"/>
      <c r="BC100" s="1633" t="s">
        <v>10943</v>
      </c>
      <c r="BD100" s="1633" t="s">
        <v>9527</v>
      </c>
      <c r="BE100" s="1633" t="s">
        <v>5570</v>
      </c>
      <c r="BF100" s="1633"/>
      <c r="BG100" s="1633" t="s">
        <v>7976</v>
      </c>
      <c r="BH100" s="580"/>
      <c r="BI100" s="1633" t="s">
        <v>1162</v>
      </c>
      <c r="BJ100" s="580"/>
      <c r="BK100" s="1633"/>
      <c r="BL100" s="1633" t="s">
        <v>10944</v>
      </c>
      <c r="BM100" s="580"/>
      <c r="BN100" s="580"/>
      <c r="BO100" s="1633"/>
      <c r="BP100" s="580"/>
      <c r="BQ100" s="845"/>
      <c r="BR100" s="424" t="s">
        <v>10945</v>
      </c>
      <c r="BS100" s="424" t="s">
        <v>2066</v>
      </c>
      <c r="BT100" s="424" t="s">
        <v>10163</v>
      </c>
      <c r="BU100" s="424"/>
      <c r="BV100" s="424"/>
      <c r="BW100" s="424" t="s">
        <v>4715</v>
      </c>
      <c r="BX100" s="849"/>
      <c r="BY100" s="424" t="s">
        <v>5040</v>
      </c>
      <c r="BZ100" s="424"/>
      <c r="CA100" s="424"/>
      <c r="CB100" s="849"/>
      <c r="CC100" s="849"/>
      <c r="CD100" s="589" t="s">
        <v>10946</v>
      </c>
      <c r="CE100" s="849"/>
      <c r="CF100" s="851"/>
      <c r="CG100" s="434" t="s">
        <v>926</v>
      </c>
      <c r="CH100" s="434" t="s">
        <v>3906</v>
      </c>
      <c r="CI100" s="434" t="s">
        <v>3419</v>
      </c>
      <c r="CJ100" s="434"/>
      <c r="CK100" s="434"/>
      <c r="CL100" s="434" t="s">
        <v>10947</v>
      </c>
      <c r="CM100" s="434" t="s">
        <v>4376</v>
      </c>
      <c r="CN100" s="433" t="s">
        <v>5317</v>
      </c>
      <c r="CO100" s="434" t="s">
        <v>3845</v>
      </c>
      <c r="CP100" s="1849" t="s">
        <v>10948</v>
      </c>
      <c r="CQ100" s="852"/>
      <c r="CR100" s="852"/>
      <c r="CS100" s="852"/>
      <c r="CT100" s="852"/>
      <c r="CU100" s="106"/>
      <c r="CV100" s="467" t="s">
        <v>6527</v>
      </c>
      <c r="CW100" s="467" t="s">
        <v>10439</v>
      </c>
      <c r="CX100" s="467" t="s">
        <v>10832</v>
      </c>
      <c r="CY100" s="467" t="s">
        <v>5010</v>
      </c>
      <c r="CZ100" s="467"/>
      <c r="DA100" s="467" t="s">
        <v>10949</v>
      </c>
      <c r="DB100" s="467" t="s">
        <v>10625</v>
      </c>
      <c r="DC100" s="467" t="s">
        <v>3804</v>
      </c>
      <c r="DD100" s="853"/>
      <c r="DE100" s="853"/>
      <c r="DF100" s="853"/>
      <c r="DG100" s="853"/>
      <c r="DH100" s="853"/>
      <c r="DI100" s="686"/>
      <c r="DJ100" s="855"/>
      <c r="DK100" s="855"/>
      <c r="DL100" s="686"/>
      <c r="DM100" s="599" t="s">
        <v>516</v>
      </c>
      <c r="DN100" s="686"/>
      <c r="DO100" s="855"/>
      <c r="DP100" s="855"/>
      <c r="DQ100" s="855"/>
      <c r="DR100" s="686" t="s">
        <v>10950</v>
      </c>
      <c r="DS100" s="686" t="s">
        <v>9880</v>
      </c>
      <c r="DT100" s="855"/>
      <c r="DU100" s="686"/>
      <c r="DV100" s="855"/>
      <c r="DW100" s="685" t="s">
        <v>10265</v>
      </c>
      <c r="DX100" s="855"/>
      <c r="DY100" s="855"/>
      <c r="DZ100" s="855"/>
      <c r="EA100" s="686"/>
      <c r="EB100" s="855"/>
      <c r="EC100" s="855"/>
      <c r="ED100" s="1039"/>
    </row>
    <row r="101">
      <c r="A101" s="244" t="s">
        <v>10951</v>
      </c>
      <c r="B101" s="245" t="s">
        <v>10952</v>
      </c>
      <c r="C101" s="246" t="s">
        <v>271</v>
      </c>
      <c r="D101" s="247" t="s">
        <v>271</v>
      </c>
      <c r="E101" s="248" t="s">
        <v>271</v>
      </c>
      <c r="F101" s="249" t="s">
        <v>203</v>
      </c>
      <c r="G101" s="245" t="s">
        <v>3441</v>
      </c>
      <c r="H101" s="320"/>
      <c r="I101" s="286" t="s">
        <v>5440</v>
      </c>
      <c r="J101" s="286" t="s">
        <v>600</v>
      </c>
      <c r="K101" s="286" t="s">
        <v>714</v>
      </c>
      <c r="L101" s="916" t="s">
        <v>10953</v>
      </c>
      <c r="M101" s="320"/>
      <c r="N101" s="286" t="s">
        <v>3337</v>
      </c>
      <c r="O101" s="286" t="s">
        <v>10954</v>
      </c>
      <c r="P101" s="286" t="s">
        <v>1486</v>
      </c>
      <c r="Q101" s="320"/>
      <c r="R101" s="320"/>
      <c r="S101" s="320"/>
      <c r="T101" s="320"/>
      <c r="U101" s="320"/>
      <c r="V101" s="320"/>
      <c r="W101" s="106"/>
      <c r="X101" s="286" t="s">
        <v>10955</v>
      </c>
      <c r="Y101" s="286"/>
      <c r="Z101" s="286" t="s">
        <v>4818</v>
      </c>
      <c r="AA101" s="286" t="s">
        <v>10956</v>
      </c>
      <c r="AB101" s="286" t="s">
        <v>2477</v>
      </c>
      <c r="AC101" s="257" t="s">
        <v>438</v>
      </c>
      <c r="AD101" s="286" t="s">
        <v>10957</v>
      </c>
      <c r="AE101" s="320"/>
      <c r="AF101" s="320"/>
      <c r="AG101" s="320"/>
      <c r="AH101" s="320"/>
      <c r="AI101" s="320"/>
      <c r="AJ101" s="320"/>
      <c r="AK101" s="320"/>
      <c r="AL101" s="105"/>
      <c r="AM101" s="320"/>
      <c r="AN101" s="320"/>
      <c r="AO101" s="320"/>
      <c r="AP101" s="320"/>
      <c r="AQ101" s="320"/>
      <c r="AR101" s="320"/>
      <c r="AS101" s="320"/>
      <c r="AT101" s="320"/>
      <c r="AU101" s="320"/>
      <c r="AV101" s="320"/>
      <c r="AW101" s="320"/>
      <c r="AX101" s="320"/>
      <c r="AY101" s="320"/>
      <c r="AZ101" s="320"/>
      <c r="BA101" s="320"/>
      <c r="BB101" s="320"/>
      <c r="BC101" s="320"/>
      <c r="BD101" s="320"/>
      <c r="BE101" s="881" t="s">
        <v>2096</v>
      </c>
      <c r="BF101" s="320"/>
      <c r="BG101" s="257" t="s">
        <v>5673</v>
      </c>
      <c r="BH101" s="320"/>
      <c r="BI101" s="257" t="s">
        <v>1741</v>
      </c>
      <c r="BJ101" s="320"/>
      <c r="BK101" s="320"/>
      <c r="BL101" s="320"/>
      <c r="BM101" s="320"/>
      <c r="BN101" s="320"/>
      <c r="BO101" s="320"/>
      <c r="BP101" s="320"/>
      <c r="BQ101" s="824"/>
      <c r="BR101" s="320"/>
      <c r="BS101" s="286" t="s">
        <v>4065</v>
      </c>
      <c r="BT101" s="286" t="s">
        <v>10958</v>
      </c>
      <c r="BU101" s="286" t="s">
        <v>9963</v>
      </c>
      <c r="BV101" s="286" t="s">
        <v>10959</v>
      </c>
      <c r="BW101" s="286" t="s">
        <v>9989</v>
      </c>
      <c r="BX101" s="320"/>
      <c r="BY101" s="320"/>
      <c r="BZ101" s="286" t="s">
        <v>10960</v>
      </c>
      <c r="CA101" s="320"/>
      <c r="CB101" s="320"/>
      <c r="CC101" s="320"/>
      <c r="CD101" s="320"/>
      <c r="CE101" s="320"/>
      <c r="CF101" s="824"/>
      <c r="CG101" s="286" t="s">
        <v>2991</v>
      </c>
      <c r="CH101" s="257" t="s">
        <v>1971</v>
      </c>
      <c r="CI101" s="320"/>
      <c r="CJ101" s="320"/>
      <c r="CK101" s="320"/>
      <c r="CL101" s="320"/>
      <c r="CM101" s="320"/>
      <c r="CN101" s="881" t="s">
        <v>9628</v>
      </c>
      <c r="CO101" s="320"/>
      <c r="CP101" s="320"/>
      <c r="CQ101" s="320"/>
      <c r="CR101" s="320"/>
      <c r="CS101" s="320"/>
      <c r="CT101" s="320"/>
      <c r="CU101" s="106"/>
      <c r="CV101" s="286" t="s">
        <v>3405</v>
      </c>
      <c r="CW101" s="320"/>
      <c r="CX101" s="320"/>
      <c r="CY101" s="320"/>
      <c r="CZ101" s="286" t="s">
        <v>5937</v>
      </c>
      <c r="DA101" s="320"/>
      <c r="DB101" s="257" t="s">
        <v>10961</v>
      </c>
      <c r="DC101" s="320"/>
      <c r="DD101" s="320"/>
      <c r="DE101" s="320"/>
      <c r="DF101" s="320"/>
      <c r="DG101" s="320"/>
      <c r="DH101" s="320"/>
      <c r="DI101" s="320"/>
      <c r="DJ101" s="320"/>
      <c r="DK101" s="320"/>
      <c r="DL101" s="320"/>
      <c r="DM101" s="320"/>
      <c r="DN101" s="320"/>
      <c r="DO101" s="320"/>
      <c r="DP101" s="320"/>
      <c r="DQ101" s="320"/>
      <c r="DR101" s="320"/>
      <c r="DS101" s="320"/>
      <c r="DT101" s="320"/>
      <c r="DU101" s="320"/>
      <c r="DV101" s="320"/>
      <c r="DW101" s="320"/>
      <c r="DX101" s="320"/>
      <c r="DY101" s="320"/>
      <c r="DZ101" s="320"/>
      <c r="EA101" s="320"/>
      <c r="EB101" s="320"/>
      <c r="EC101" s="320"/>
      <c r="ED101" s="862"/>
    </row>
    <row r="102">
      <c r="A102" s="1850" t="s">
        <v>10962</v>
      </c>
      <c r="B102" s="378" t="s">
        <v>10963</v>
      </c>
      <c r="C102" s="379" t="s">
        <v>271</v>
      </c>
      <c r="D102" s="380" t="s">
        <v>271</v>
      </c>
      <c r="E102" s="381" t="s">
        <v>271</v>
      </c>
      <c r="F102" s="382" t="s">
        <v>171</v>
      </c>
      <c r="G102" s="378" t="s">
        <v>3718</v>
      </c>
      <c r="H102" s="1538"/>
      <c r="I102" s="1538" t="s">
        <v>4371</v>
      </c>
      <c r="J102" s="1538" t="s">
        <v>3375</v>
      </c>
      <c r="K102" s="1538" t="s">
        <v>10016</v>
      </c>
      <c r="L102" s="1538" t="s">
        <v>10964</v>
      </c>
      <c r="M102" s="1538"/>
      <c r="N102" s="1538" t="s">
        <v>9597</v>
      </c>
      <c r="O102" s="1538" t="s">
        <v>4845</v>
      </c>
      <c r="P102" s="1538" t="s">
        <v>1490</v>
      </c>
      <c r="Q102" s="1851"/>
      <c r="R102" s="1851"/>
      <c r="S102" s="1851"/>
      <c r="T102" s="1851"/>
      <c r="U102" s="1851"/>
      <c r="V102" s="1851"/>
      <c r="W102" s="106"/>
      <c r="X102" s="1287" t="s">
        <v>10297</v>
      </c>
      <c r="Y102" s="1287"/>
      <c r="Z102" s="1287" t="s">
        <v>1105</v>
      </c>
      <c r="AA102" s="1287" t="s">
        <v>5696</v>
      </c>
      <c r="AB102" s="1287" t="s">
        <v>4052</v>
      </c>
      <c r="AC102" s="1287" t="s">
        <v>10578</v>
      </c>
      <c r="AD102" s="1287" t="s">
        <v>3276</v>
      </c>
      <c r="AE102" s="1852"/>
      <c r="AF102" s="1287" t="s">
        <v>10965</v>
      </c>
      <c r="AG102" s="1287" t="s">
        <v>10966</v>
      </c>
      <c r="AH102" s="1852"/>
      <c r="AI102" s="1852"/>
      <c r="AJ102" s="1287"/>
      <c r="AK102" s="1852"/>
      <c r="AL102" s="1853"/>
      <c r="AM102" s="1714"/>
      <c r="AN102" s="1714"/>
      <c r="AO102" s="1854"/>
      <c r="AP102" s="1854"/>
      <c r="AQ102" s="1855"/>
      <c r="AR102" s="1855"/>
      <c r="AS102" s="1854"/>
      <c r="AT102" s="1854"/>
      <c r="AU102" s="1714" t="s">
        <v>9908</v>
      </c>
      <c r="AV102" s="1714" t="s">
        <v>10967</v>
      </c>
      <c r="AW102" s="1714"/>
      <c r="AX102" s="1854"/>
      <c r="AY102" s="1854"/>
      <c r="AZ102" s="1854"/>
      <c r="BA102" s="1854"/>
      <c r="BB102" s="674" t="s">
        <v>10331</v>
      </c>
      <c r="BC102" s="674" t="s">
        <v>10968</v>
      </c>
      <c r="BD102" s="674" t="s">
        <v>2216</v>
      </c>
      <c r="BE102" s="674" t="s">
        <v>10900</v>
      </c>
      <c r="BF102" s="674"/>
      <c r="BG102" s="674"/>
      <c r="BH102" s="1856"/>
      <c r="BI102" s="1857" t="s">
        <v>2244</v>
      </c>
      <c r="BJ102" s="1858" t="s">
        <v>7374</v>
      </c>
      <c r="BK102" s="674"/>
      <c r="BL102" s="674"/>
      <c r="BM102" s="1856"/>
      <c r="BN102" s="1856"/>
      <c r="BO102" s="674"/>
      <c r="BP102" s="1856"/>
      <c r="BQ102" s="1859"/>
      <c r="BR102" s="1706" t="s">
        <v>10969</v>
      </c>
      <c r="BS102" s="1706" t="s">
        <v>9852</v>
      </c>
      <c r="BT102" s="1706" t="s">
        <v>10958</v>
      </c>
      <c r="BU102" s="1706" t="s">
        <v>10853</v>
      </c>
      <c r="BV102" s="1706" t="s">
        <v>1967</v>
      </c>
      <c r="BW102" s="1706" t="s">
        <v>5421</v>
      </c>
      <c r="BX102" s="1860"/>
      <c r="BY102" s="1706" t="s">
        <v>10970</v>
      </c>
      <c r="BZ102" s="1706"/>
      <c r="CA102" s="1706" t="s">
        <v>10971</v>
      </c>
      <c r="CB102" s="1860"/>
      <c r="CC102" s="1860"/>
      <c r="CD102" s="1860"/>
      <c r="CE102" s="1860"/>
      <c r="CF102" s="1861"/>
      <c r="CG102" s="1627" t="s">
        <v>6088</v>
      </c>
      <c r="CH102" s="1627" t="s">
        <v>2676</v>
      </c>
      <c r="CI102" s="1627"/>
      <c r="CJ102" s="428" t="s">
        <v>8147</v>
      </c>
      <c r="CK102" s="1862"/>
      <c r="CL102" s="1627"/>
      <c r="CM102" s="1627"/>
      <c r="CN102" s="1627" t="s">
        <v>3702</v>
      </c>
      <c r="CO102" s="1627" t="s">
        <v>2209</v>
      </c>
      <c r="CP102" s="1863"/>
      <c r="CQ102" s="1864"/>
      <c r="CR102" s="1864"/>
      <c r="CS102" s="1864"/>
      <c r="CT102" s="1864"/>
      <c r="CU102" s="1865"/>
      <c r="CV102" s="1030" t="s">
        <v>5765</v>
      </c>
      <c r="CW102" s="1030" t="s">
        <v>648</v>
      </c>
      <c r="CX102" s="1030" t="s">
        <v>5358</v>
      </c>
      <c r="CY102" s="1030" t="s">
        <v>4200</v>
      </c>
      <c r="CZ102" s="1030" t="s">
        <v>7794</v>
      </c>
      <c r="DA102" s="1030" t="s">
        <v>10505</v>
      </c>
      <c r="DB102" s="1030" t="s">
        <v>10972</v>
      </c>
      <c r="DC102" s="1030" t="s">
        <v>10550</v>
      </c>
      <c r="DD102" s="1866"/>
      <c r="DE102" s="1866"/>
      <c r="DF102" s="1866"/>
      <c r="DG102" s="1866"/>
      <c r="DH102" s="1866"/>
      <c r="DI102" s="1039"/>
      <c r="DJ102" s="1867"/>
      <c r="DK102" s="1867"/>
      <c r="DL102" s="1039"/>
      <c r="DM102" s="1039"/>
      <c r="DN102" s="1039"/>
      <c r="DO102" s="1867"/>
      <c r="DP102" s="1867"/>
      <c r="DQ102" s="1867"/>
      <c r="DR102" s="1039" t="s">
        <v>9838</v>
      </c>
      <c r="DS102" s="1039" t="s">
        <v>10606</v>
      </c>
      <c r="DT102" s="1867"/>
      <c r="DU102" s="1039"/>
      <c r="DV102" s="1867"/>
      <c r="DW102" s="1867"/>
      <c r="DX102" s="1867"/>
      <c r="DY102" s="1867"/>
      <c r="DZ102" s="1867"/>
      <c r="EA102" s="1039"/>
      <c r="EB102" s="1867"/>
      <c r="EC102" s="1867"/>
      <c r="ED102" s="1039"/>
    </row>
    <row r="103">
      <c r="A103" s="1868" t="s">
        <v>10973</v>
      </c>
      <c r="B103" s="245" t="s">
        <v>10974</v>
      </c>
      <c r="C103" s="246" t="s">
        <v>271</v>
      </c>
      <c r="D103" s="247" t="s">
        <v>271</v>
      </c>
      <c r="E103" s="248" t="s">
        <v>271</v>
      </c>
      <c r="F103" s="249" t="s">
        <v>171</v>
      </c>
      <c r="G103" s="245" t="s">
        <v>3952</v>
      </c>
      <c r="H103" s="286" t="s">
        <v>2736</v>
      </c>
      <c r="I103" s="286" t="s">
        <v>5426</v>
      </c>
      <c r="J103" s="286" t="s">
        <v>10975</v>
      </c>
      <c r="K103" s="286" t="s">
        <v>10976</v>
      </c>
      <c r="L103" s="286" t="s">
        <v>9644</v>
      </c>
      <c r="M103" s="286" t="s">
        <v>10977</v>
      </c>
      <c r="N103" s="286" t="s">
        <v>6151</v>
      </c>
      <c r="O103" s="286" t="s">
        <v>1092</v>
      </c>
      <c r="P103" s="286" t="s">
        <v>1876</v>
      </c>
      <c r="Q103" s="320"/>
      <c r="R103" s="320"/>
      <c r="S103" s="286" t="s">
        <v>3247</v>
      </c>
      <c r="T103" s="320"/>
      <c r="U103" s="286" t="s">
        <v>2347</v>
      </c>
      <c r="V103" s="320"/>
      <c r="W103" s="106"/>
      <c r="X103" s="286" t="s">
        <v>8554</v>
      </c>
      <c r="Y103" s="286"/>
      <c r="Z103" s="286" t="s">
        <v>7973</v>
      </c>
      <c r="AA103" s="286" t="s">
        <v>1004</v>
      </c>
      <c r="AB103" s="286" t="s">
        <v>6095</v>
      </c>
      <c r="AC103" s="1483" t="s">
        <v>7882</v>
      </c>
      <c r="AD103" s="286" t="s">
        <v>10596</v>
      </c>
      <c r="AE103" s="320"/>
      <c r="AF103" s="320"/>
      <c r="AG103" s="286" t="s">
        <v>2274</v>
      </c>
      <c r="AH103" s="320"/>
      <c r="AI103" s="320"/>
      <c r="AJ103" s="320"/>
      <c r="AK103" s="320"/>
      <c r="AL103" s="105"/>
      <c r="AM103" s="286" t="s">
        <v>9346</v>
      </c>
      <c r="AN103" s="286" t="s">
        <v>824</v>
      </c>
      <c r="AO103" s="320"/>
      <c r="AP103" s="320"/>
      <c r="AQ103" s="320"/>
      <c r="AR103" s="320"/>
      <c r="AS103" s="286" t="s">
        <v>4338</v>
      </c>
      <c r="AT103" s="320"/>
      <c r="AU103" s="286" t="s">
        <v>3833</v>
      </c>
      <c r="AV103" s="286" t="s">
        <v>7039</v>
      </c>
      <c r="AW103" s="286" t="s">
        <v>937</v>
      </c>
      <c r="AX103" s="320"/>
      <c r="AY103" s="286" t="s">
        <v>10978</v>
      </c>
      <c r="AZ103" s="286" t="s">
        <v>10979</v>
      </c>
      <c r="BA103" s="286"/>
      <c r="BB103" s="286" t="s">
        <v>10980</v>
      </c>
      <c r="BC103" s="286" t="s">
        <v>10981</v>
      </c>
      <c r="BD103" s="286" t="s">
        <v>4291</v>
      </c>
      <c r="BE103" s="286" t="s">
        <v>4254</v>
      </c>
      <c r="BF103" s="286" t="s">
        <v>9698</v>
      </c>
      <c r="BG103" s="286" t="s">
        <v>1572</v>
      </c>
      <c r="BH103" s="286" t="s">
        <v>5876</v>
      </c>
      <c r="BI103" s="286" t="s">
        <v>391</v>
      </c>
      <c r="BJ103" s="320"/>
      <c r="BK103" s="286" t="s">
        <v>5097</v>
      </c>
      <c r="BL103" s="286" t="s">
        <v>4455</v>
      </c>
      <c r="BM103" s="320"/>
      <c r="BN103" s="320"/>
      <c r="BO103" s="286"/>
      <c r="BP103" s="320"/>
      <c r="BQ103" s="824"/>
      <c r="BR103" s="320"/>
      <c r="BS103" s="320"/>
      <c r="BT103" s="286" t="s">
        <v>10982</v>
      </c>
      <c r="BU103" s="286" t="s">
        <v>9176</v>
      </c>
      <c r="BV103" s="320"/>
      <c r="BW103" s="286" t="s">
        <v>10005</v>
      </c>
      <c r="BX103" s="320"/>
      <c r="BY103" s="320"/>
      <c r="BZ103" s="320"/>
      <c r="CA103" s="286" t="s">
        <v>9451</v>
      </c>
      <c r="CB103" s="320"/>
      <c r="CC103" s="286" t="s">
        <v>10983</v>
      </c>
      <c r="CD103" s="320"/>
      <c r="CE103" s="320"/>
      <c r="CF103" s="824"/>
      <c r="CG103" s="286" t="s">
        <v>10984</v>
      </c>
      <c r="CH103" s="286" t="s">
        <v>2679</v>
      </c>
      <c r="CI103" s="286" t="s">
        <v>1115</v>
      </c>
      <c r="CJ103" s="286"/>
      <c r="CK103" s="286"/>
      <c r="CL103" s="286" t="s">
        <v>10985</v>
      </c>
      <c r="CM103" s="286" t="s">
        <v>5721</v>
      </c>
      <c r="CN103" s="1695" t="s">
        <v>4781</v>
      </c>
      <c r="CO103" s="286" t="s">
        <v>9750</v>
      </c>
      <c r="CP103" s="320"/>
      <c r="CQ103" s="320"/>
      <c r="CR103" s="286"/>
      <c r="CS103" s="286" t="s">
        <v>10986</v>
      </c>
      <c r="CT103" s="320"/>
      <c r="CU103" s="106"/>
      <c r="CV103" s="286" t="s">
        <v>2337</v>
      </c>
      <c r="CW103" s="286" t="s">
        <v>710</v>
      </c>
      <c r="CX103" s="286" t="s">
        <v>10987</v>
      </c>
      <c r="CY103" s="286" t="s">
        <v>6711</v>
      </c>
      <c r="CZ103" s="320"/>
      <c r="DA103" s="286" t="s">
        <v>1184</v>
      </c>
      <c r="DB103" s="286" t="s">
        <v>10988</v>
      </c>
      <c r="DC103" s="286" t="s">
        <v>566</v>
      </c>
      <c r="DD103" s="320"/>
      <c r="DE103" s="320"/>
      <c r="DF103" s="286" t="s">
        <v>10040</v>
      </c>
      <c r="DG103" s="286" t="s">
        <v>5127</v>
      </c>
      <c r="DH103" s="286"/>
      <c r="DI103" s="320"/>
      <c r="DJ103" s="320"/>
      <c r="DK103" s="320"/>
      <c r="DL103" s="286"/>
      <c r="DM103" s="286" t="s">
        <v>10989</v>
      </c>
      <c r="DN103" s="286" t="s">
        <v>10990</v>
      </c>
      <c r="DO103" s="320"/>
      <c r="DP103" s="320"/>
      <c r="DQ103" s="320"/>
      <c r="DR103" s="320"/>
      <c r="DS103" s="320"/>
      <c r="DT103" s="286" t="s">
        <v>9265</v>
      </c>
      <c r="DU103" s="286" t="s">
        <v>10991</v>
      </c>
      <c r="DV103" s="320"/>
      <c r="DW103" s="320"/>
      <c r="DX103" s="320"/>
      <c r="DY103" s="320"/>
      <c r="DZ103" s="320"/>
      <c r="EA103" s="320"/>
      <c r="EB103" s="320"/>
      <c r="EC103" s="320"/>
      <c r="ED103" s="862"/>
    </row>
    <row r="104">
      <c r="A104" s="1869" t="s">
        <v>3195</v>
      </c>
      <c r="B104" s="378" t="s">
        <v>10992</v>
      </c>
      <c r="C104" s="379" t="s">
        <v>271</v>
      </c>
      <c r="D104" s="380" t="s">
        <v>271</v>
      </c>
      <c r="E104" s="381" t="s">
        <v>271</v>
      </c>
      <c r="F104" s="382" t="s">
        <v>270</v>
      </c>
      <c r="G104" s="378" t="s">
        <v>10993</v>
      </c>
      <c r="H104" s="390" t="s">
        <v>10994</v>
      </c>
      <c r="I104" s="390" t="s">
        <v>5174</v>
      </c>
      <c r="J104" s="390" t="s">
        <v>1220</v>
      </c>
      <c r="K104" s="541" t="s">
        <v>2305</v>
      </c>
      <c r="L104" s="541" t="s">
        <v>5168</v>
      </c>
      <c r="M104" s="541" t="s">
        <v>10995</v>
      </c>
      <c r="N104" s="541" t="s">
        <v>10996</v>
      </c>
      <c r="O104" s="541" t="s">
        <v>7780</v>
      </c>
      <c r="P104" s="390" t="s">
        <v>2230</v>
      </c>
      <c r="Q104" s="541" t="s">
        <v>288</v>
      </c>
      <c r="R104" s="835"/>
      <c r="S104" s="541" t="s">
        <v>4733</v>
      </c>
      <c r="T104" s="835"/>
      <c r="U104" s="541" t="s">
        <v>617</v>
      </c>
      <c r="V104" s="1538" t="s">
        <v>10997</v>
      </c>
      <c r="W104" s="777"/>
      <c r="X104" s="670" t="s">
        <v>4897</v>
      </c>
      <c r="Y104" s="908"/>
      <c r="Z104" s="908" t="s">
        <v>3579</v>
      </c>
      <c r="AA104" s="670" t="s">
        <v>10998</v>
      </c>
      <c r="AB104" s="670" t="s">
        <v>158</v>
      </c>
      <c r="AC104" s="670" t="s">
        <v>2870</v>
      </c>
      <c r="AD104" s="670" t="s">
        <v>7684</v>
      </c>
      <c r="AE104" s="837"/>
      <c r="AF104" s="670" t="s">
        <v>483</v>
      </c>
      <c r="AG104" s="670" t="s">
        <v>2393</v>
      </c>
      <c r="AH104" s="670" t="s">
        <v>9483</v>
      </c>
      <c r="AI104" s="670"/>
      <c r="AJ104" s="670" t="s">
        <v>4564</v>
      </c>
      <c r="AK104" s="1287" t="s">
        <v>10999</v>
      </c>
      <c r="AL104" s="105"/>
      <c r="AM104" s="570" t="s">
        <v>6921</v>
      </c>
      <c r="AN104" s="570" t="s">
        <v>11000</v>
      </c>
      <c r="AO104" s="570" t="s">
        <v>6868</v>
      </c>
      <c r="AP104" s="570" t="s">
        <v>4910</v>
      </c>
      <c r="AQ104" s="570" t="s">
        <v>10159</v>
      </c>
      <c r="AR104" s="570" t="s">
        <v>1525</v>
      </c>
      <c r="AS104" s="839"/>
      <c r="AT104" s="570" t="s">
        <v>11001</v>
      </c>
      <c r="AU104" s="407" t="s">
        <v>2201</v>
      </c>
      <c r="AV104" s="570" t="s">
        <v>9880</v>
      </c>
      <c r="AW104" s="570" t="s">
        <v>10405</v>
      </c>
      <c r="AX104" s="839"/>
      <c r="AY104" s="406" t="str">
        <f>HYPERLINK("https://clips.twitch.tv/PeppyAbstruseSmoothieCurseLit","39.09")</f>
        <v>39.09</v>
      </c>
      <c r="AZ104" s="570" t="s">
        <v>11002</v>
      </c>
      <c r="BA104" s="570"/>
      <c r="BB104" s="581" t="s">
        <v>4161</v>
      </c>
      <c r="BC104" s="581" t="s">
        <v>11003</v>
      </c>
      <c r="BD104" s="581" t="s">
        <v>1608</v>
      </c>
      <c r="BE104" s="581" t="s">
        <v>9450</v>
      </c>
      <c r="BF104" s="581" t="s">
        <v>7684</v>
      </c>
      <c r="BG104" s="581" t="s">
        <v>10126</v>
      </c>
      <c r="BH104" s="580"/>
      <c r="BI104" s="414" t="str">
        <f>HYPERLINK("https://clips.twitch.tv/SavagePeacefulEagleWOOP","29.65")</f>
        <v>29.65</v>
      </c>
      <c r="BJ104" s="580"/>
      <c r="BK104" s="580"/>
      <c r="BL104" s="417" t="s">
        <v>8764</v>
      </c>
      <c r="BM104" s="581" t="s">
        <v>11004</v>
      </c>
      <c r="BN104" s="414" t="str">
        <f>HYPERLINK("https://clips.twitch.tv/PeacefulSavoryAlfalfa4Head","35.58")</f>
        <v>35.58</v>
      </c>
      <c r="BO104" s="580"/>
      <c r="BP104" s="581" t="s">
        <v>11005</v>
      </c>
      <c r="BQ104" s="845"/>
      <c r="BR104" s="589" t="s">
        <v>11006</v>
      </c>
      <c r="BS104" s="589"/>
      <c r="BT104" s="589" t="s">
        <v>10591</v>
      </c>
      <c r="BU104" s="589" t="s">
        <v>6251</v>
      </c>
      <c r="BV104" s="849"/>
      <c r="BW104" s="590" t="s">
        <v>1458</v>
      </c>
      <c r="BX104" s="849"/>
      <c r="BY104" s="849"/>
      <c r="BZ104" s="589" t="s">
        <v>10194</v>
      </c>
      <c r="CA104" s="589" t="s">
        <v>509</v>
      </c>
      <c r="CB104" s="422" t="s">
        <v>1988</v>
      </c>
      <c r="CC104" s="589" t="s">
        <v>11007</v>
      </c>
      <c r="CD104" s="589" t="s">
        <v>3990</v>
      </c>
      <c r="CE104" s="589" t="s">
        <v>11008</v>
      </c>
      <c r="CF104" s="1150"/>
      <c r="CG104" s="593" t="s">
        <v>4635</v>
      </c>
      <c r="CH104" s="593" t="s">
        <v>5935</v>
      </c>
      <c r="CI104" s="593" t="s">
        <v>1192</v>
      </c>
      <c r="CJ104" s="593" t="s">
        <v>11009</v>
      </c>
      <c r="CK104" s="593"/>
      <c r="CL104" s="593" t="s">
        <v>705</v>
      </c>
      <c r="CM104" s="852"/>
      <c r="CN104" s="593" t="s">
        <v>4584</v>
      </c>
      <c r="CO104" s="593" t="s">
        <v>5135</v>
      </c>
      <c r="CP104" s="593" t="s">
        <v>11010</v>
      </c>
      <c r="CQ104" s="593" t="s">
        <v>11011</v>
      </c>
      <c r="CR104" s="593"/>
      <c r="CS104" s="593" t="s">
        <v>11012</v>
      </c>
      <c r="CT104" s="593" t="s">
        <v>3255</v>
      </c>
      <c r="CU104" s="106"/>
      <c r="CV104" s="683" t="s">
        <v>4089</v>
      </c>
      <c r="CW104" s="683" t="s">
        <v>4596</v>
      </c>
      <c r="CX104" s="458" t="s">
        <v>11013</v>
      </c>
      <c r="CY104" s="683" t="s">
        <v>2759</v>
      </c>
      <c r="CZ104" s="853"/>
      <c r="DA104" s="683" t="s">
        <v>10501</v>
      </c>
      <c r="DB104" s="683" t="s">
        <v>11014</v>
      </c>
      <c r="DC104" s="683" t="s">
        <v>5508</v>
      </c>
      <c r="DD104" s="683" t="s">
        <v>11015</v>
      </c>
      <c r="DE104" s="683" t="s">
        <v>1830</v>
      </c>
      <c r="DF104" s="683" t="s">
        <v>874</v>
      </c>
      <c r="DG104" s="683" t="s">
        <v>11016</v>
      </c>
      <c r="DH104" s="683"/>
      <c r="DI104" s="855"/>
      <c r="DJ104" s="855"/>
      <c r="DK104" s="855"/>
      <c r="DL104" s="855"/>
      <c r="DM104" s="685" t="s">
        <v>10941</v>
      </c>
      <c r="DN104" s="685" t="s">
        <v>11017</v>
      </c>
      <c r="DO104" s="473" t="str">
        <f>HYPERLINK("https://clips.twitch.tv/CutePoliteCiderSwiftRage","21.16")</f>
        <v>21.16</v>
      </c>
      <c r="DP104" s="685" t="s">
        <v>11018</v>
      </c>
      <c r="DQ104" s="855"/>
      <c r="DR104" s="855"/>
      <c r="DS104" s="855"/>
      <c r="DT104" s="685" t="s">
        <v>10713</v>
      </c>
      <c r="DU104" s="685" t="s">
        <v>11019</v>
      </c>
      <c r="DV104" s="685" t="s">
        <v>7060</v>
      </c>
      <c r="DW104" s="685" t="s">
        <v>695</v>
      </c>
      <c r="DX104" s="685" t="s">
        <v>4199</v>
      </c>
      <c r="DY104" s="685" t="s">
        <v>2819</v>
      </c>
      <c r="DZ104" s="685" t="s">
        <v>11020</v>
      </c>
      <c r="EA104" s="685" t="s">
        <v>10936</v>
      </c>
      <c r="EB104" s="685" t="s">
        <v>509</v>
      </c>
      <c r="EC104" s="685" t="s">
        <v>3932</v>
      </c>
      <c r="ED104" s="1039" t="s">
        <v>11021</v>
      </c>
    </row>
    <row r="105">
      <c r="A105" s="244" t="s">
        <v>7251</v>
      </c>
      <c r="B105" s="245" t="s">
        <v>11022</v>
      </c>
      <c r="C105" s="246" t="s">
        <v>271</v>
      </c>
      <c r="D105" s="247" t="s">
        <v>271</v>
      </c>
      <c r="E105" s="248" t="s">
        <v>271</v>
      </c>
      <c r="F105" s="249" t="s">
        <v>233</v>
      </c>
      <c r="G105" s="245" t="s">
        <v>2131</v>
      </c>
      <c r="H105" s="286" t="s">
        <v>4195</v>
      </c>
      <c r="I105" s="320"/>
      <c r="J105" s="286" t="s">
        <v>11023</v>
      </c>
      <c r="K105" s="286" t="s">
        <v>10976</v>
      </c>
      <c r="L105" s="286" t="s">
        <v>2252</v>
      </c>
      <c r="M105" s="286" t="s">
        <v>7527</v>
      </c>
      <c r="N105" s="286" t="s">
        <v>5182</v>
      </c>
      <c r="O105" s="286" t="s">
        <v>4140</v>
      </c>
      <c r="P105" s="286" t="s">
        <v>4084</v>
      </c>
      <c r="Q105" s="320"/>
      <c r="R105" s="320"/>
      <c r="S105" s="320"/>
      <c r="T105" s="320"/>
      <c r="U105" s="320"/>
      <c r="V105" s="320"/>
      <c r="W105" s="106"/>
      <c r="X105" s="320"/>
      <c r="Y105" s="286"/>
      <c r="Z105" s="286" t="s">
        <v>2329</v>
      </c>
      <c r="AA105" s="286" t="s">
        <v>5608</v>
      </c>
      <c r="AB105" s="278" t="s">
        <v>6804</v>
      </c>
      <c r="AC105" s="286" t="s">
        <v>5853</v>
      </c>
      <c r="AD105" s="286" t="s">
        <v>4376</v>
      </c>
      <c r="AE105" s="320"/>
      <c r="AF105" s="320"/>
      <c r="AG105" s="286" t="s">
        <v>2086</v>
      </c>
      <c r="AH105" s="320"/>
      <c r="AI105" s="320"/>
      <c r="AJ105" s="320"/>
      <c r="AK105" s="320"/>
      <c r="AL105" s="105"/>
      <c r="AM105" s="320"/>
      <c r="AN105" s="320"/>
      <c r="AO105" s="320"/>
      <c r="AP105" s="320"/>
      <c r="AQ105" s="320"/>
      <c r="AR105" s="320"/>
      <c r="AS105" s="320"/>
      <c r="AT105" s="320"/>
      <c r="AU105" s="316" t="str">
        <f>HYPERLINK("https://clips.twitch.tv/WiseAntsyAsparagusCoolStoryBro","18.27")</f>
        <v>18.27</v>
      </c>
      <c r="AV105" s="286" t="s">
        <v>8910</v>
      </c>
      <c r="AW105" s="320"/>
      <c r="AX105" s="320"/>
      <c r="AY105" s="320"/>
      <c r="AZ105" s="320"/>
      <c r="BA105" s="320"/>
      <c r="BB105" s="320"/>
      <c r="BC105" s="286" t="s">
        <v>10210</v>
      </c>
      <c r="BD105" s="286" t="s">
        <v>4291</v>
      </c>
      <c r="BE105" s="286" t="s">
        <v>5089</v>
      </c>
      <c r="BF105" s="286"/>
      <c r="BG105" s="286" t="s">
        <v>11024</v>
      </c>
      <c r="BH105" s="320"/>
      <c r="BI105" s="316" t="str">
        <f>HYPERLINK("https://www.youtube.com/watch?v=D3qit_yrtB8&amp;feature=youtu.be","27.76")</f>
        <v>27.76</v>
      </c>
      <c r="BJ105" s="286" t="s">
        <v>7448</v>
      </c>
      <c r="BK105" s="286"/>
      <c r="BL105" s="286" t="s">
        <v>11025</v>
      </c>
      <c r="BM105" s="320"/>
      <c r="BN105" s="286" t="s">
        <v>4579</v>
      </c>
      <c r="BO105" s="320"/>
      <c r="BP105" s="320"/>
      <c r="BQ105" s="824"/>
      <c r="BR105" s="320"/>
      <c r="BS105" s="286" t="s">
        <v>4345</v>
      </c>
      <c r="BT105" s="286" t="s">
        <v>11026</v>
      </c>
      <c r="BU105" s="286" t="s">
        <v>10542</v>
      </c>
      <c r="BV105" s="320"/>
      <c r="BW105" s="286" t="s">
        <v>2446</v>
      </c>
      <c r="BX105" s="320"/>
      <c r="BY105" s="286" t="s">
        <v>2844</v>
      </c>
      <c r="BZ105" s="320"/>
      <c r="CA105" s="286" t="s">
        <v>2156</v>
      </c>
      <c r="CB105" s="286" t="s">
        <v>11027</v>
      </c>
      <c r="CC105" s="320"/>
      <c r="CD105" s="320"/>
      <c r="CE105" s="320"/>
      <c r="CF105" s="824"/>
      <c r="CG105" s="286" t="s">
        <v>6103</v>
      </c>
      <c r="CH105" s="278" t="s">
        <v>5367</v>
      </c>
      <c r="CI105" s="286"/>
      <c r="CJ105" s="320"/>
      <c r="CK105" s="320"/>
      <c r="CL105" s="320" t="s">
        <v>760</v>
      </c>
      <c r="CM105" s="320"/>
      <c r="CN105" s="278" t="s">
        <v>6596</v>
      </c>
      <c r="CO105" s="286" t="s">
        <v>11028</v>
      </c>
      <c r="CP105" s="320"/>
      <c r="CQ105" s="320"/>
      <c r="CR105" s="320"/>
      <c r="CS105" s="320"/>
      <c r="CT105" s="320"/>
      <c r="CU105" s="106"/>
      <c r="CV105" s="286" t="s">
        <v>3883</v>
      </c>
      <c r="CW105" s="286"/>
      <c r="CX105" s="286" t="s">
        <v>10043</v>
      </c>
      <c r="CY105" s="320"/>
      <c r="CZ105" s="320"/>
      <c r="DA105" s="320"/>
      <c r="DB105" s="286" t="s">
        <v>11029</v>
      </c>
      <c r="DC105" s="286" t="s">
        <v>1878</v>
      </c>
      <c r="DD105" s="320"/>
      <c r="DE105" s="320"/>
      <c r="DF105" s="320"/>
      <c r="DG105" s="320"/>
      <c r="DH105" s="320"/>
      <c r="DI105" s="320"/>
      <c r="DJ105" s="320"/>
      <c r="DK105" s="320"/>
      <c r="DL105" s="320"/>
      <c r="DM105" s="320"/>
      <c r="DN105" s="320"/>
      <c r="DO105" s="320"/>
      <c r="DP105" s="320"/>
      <c r="DQ105" s="320"/>
      <c r="DR105" s="320"/>
      <c r="DS105" s="320"/>
      <c r="DT105" s="320"/>
      <c r="DU105" s="320"/>
      <c r="DV105" s="320"/>
      <c r="DW105" s="320"/>
      <c r="DX105" s="320"/>
      <c r="DY105" s="320"/>
      <c r="DZ105" s="320"/>
      <c r="EA105" s="320"/>
      <c r="EB105" s="320"/>
      <c r="EC105" s="320"/>
      <c r="ED105" s="862"/>
    </row>
    <row r="106">
      <c r="A106" s="1870" t="s">
        <v>3013</v>
      </c>
      <c r="B106" s="1871" t="s">
        <v>11030</v>
      </c>
      <c r="C106" s="1872" t="s">
        <v>271</v>
      </c>
      <c r="D106" s="1873" t="s">
        <v>271</v>
      </c>
      <c r="E106" s="1874" t="s">
        <v>271</v>
      </c>
      <c r="F106" s="1875" t="s">
        <v>178</v>
      </c>
      <c r="G106" s="1871" t="s">
        <v>1055</v>
      </c>
      <c r="H106" s="1538" t="s">
        <v>2919</v>
      </c>
      <c r="I106" s="1538" t="s">
        <v>7489</v>
      </c>
      <c r="J106" s="387" t="s">
        <v>11031</v>
      </c>
      <c r="K106" s="1538" t="s">
        <v>676</v>
      </c>
      <c r="L106" s="387" t="s">
        <v>11032</v>
      </c>
      <c r="M106" s="1538" t="s">
        <v>11033</v>
      </c>
      <c r="N106" s="1538" t="s">
        <v>11034</v>
      </c>
      <c r="O106" s="1538" t="s">
        <v>11035</v>
      </c>
      <c r="P106" s="1538" t="s">
        <v>11036</v>
      </c>
      <c r="Q106" s="1851"/>
      <c r="R106" s="1851"/>
      <c r="S106" s="387" t="s">
        <v>11037</v>
      </c>
      <c r="T106" s="1851"/>
      <c r="U106" s="937" t="s">
        <v>4802</v>
      </c>
      <c r="V106" s="1851"/>
      <c r="W106" s="1865"/>
      <c r="X106" s="1287" t="s">
        <v>3474</v>
      </c>
      <c r="Y106" s="1287"/>
      <c r="Z106" s="1287" t="s">
        <v>2209</v>
      </c>
      <c r="AA106" s="1287" t="s">
        <v>11028</v>
      </c>
      <c r="AB106" s="1287"/>
      <c r="AC106" s="1287" t="s">
        <v>11038</v>
      </c>
      <c r="AD106" s="1287" t="s">
        <v>3942</v>
      </c>
      <c r="AE106" s="1852"/>
      <c r="AF106" s="1287"/>
      <c r="AG106" s="1287"/>
      <c r="AH106" s="1852"/>
      <c r="AI106" s="1852"/>
      <c r="AJ106" s="1287" t="s">
        <v>5941</v>
      </c>
      <c r="AK106" s="1852"/>
      <c r="AL106" s="1853"/>
      <c r="AM106" s="1714"/>
      <c r="AN106" s="1714"/>
      <c r="AO106" s="1855" t="s">
        <v>3022</v>
      </c>
      <c r="AP106" s="1855"/>
      <c r="AQ106" s="1855"/>
      <c r="AR106" s="1855"/>
      <c r="AS106" s="1854"/>
      <c r="AT106" s="1854"/>
      <c r="AU106" s="1714"/>
      <c r="AV106" s="1714" t="s">
        <v>11039</v>
      </c>
      <c r="AW106" s="1714"/>
      <c r="AX106" s="1854"/>
      <c r="AY106" s="406" t="s">
        <v>1512</v>
      </c>
      <c r="AZ106" s="1854"/>
      <c r="BA106" s="1854"/>
      <c r="BB106" s="674"/>
      <c r="BC106" s="674" t="s">
        <v>11040</v>
      </c>
      <c r="BD106" s="674" t="s">
        <v>11041</v>
      </c>
      <c r="BE106" s="674" t="s">
        <v>11042</v>
      </c>
      <c r="BF106" s="674" t="s">
        <v>11043</v>
      </c>
      <c r="BG106" s="674"/>
      <c r="BH106" s="1856"/>
      <c r="BI106" s="674" t="s">
        <v>11044</v>
      </c>
      <c r="BJ106" s="1856"/>
      <c r="BK106" s="674" t="s">
        <v>11045</v>
      </c>
      <c r="BL106" s="674"/>
      <c r="BM106" s="1856"/>
      <c r="BN106" s="1858" t="s">
        <v>10090</v>
      </c>
      <c r="BO106" s="674" t="s">
        <v>9652</v>
      </c>
      <c r="BP106" s="1856"/>
      <c r="BQ106" s="1859"/>
      <c r="BR106" s="1706"/>
      <c r="BS106" s="1706" t="s">
        <v>11046</v>
      </c>
      <c r="BT106" s="1706" t="s">
        <v>10256</v>
      </c>
      <c r="BU106" s="1706" t="s">
        <v>11047</v>
      </c>
      <c r="BV106" s="421" t="s">
        <v>2935</v>
      </c>
      <c r="BW106" s="1706" t="s">
        <v>11048</v>
      </c>
      <c r="BX106" s="1860"/>
      <c r="BY106" s="1706"/>
      <c r="BZ106" s="1706"/>
      <c r="CA106" s="1706"/>
      <c r="CB106" s="1876" t="s">
        <v>3036</v>
      </c>
      <c r="CC106" s="1876" t="s">
        <v>11049</v>
      </c>
      <c r="CD106" s="1876" t="s">
        <v>1190</v>
      </c>
      <c r="CE106" s="1860"/>
      <c r="CF106" s="1861"/>
      <c r="CG106" s="1627" t="s">
        <v>11050</v>
      </c>
      <c r="CH106" s="1627" t="s">
        <v>11051</v>
      </c>
      <c r="CI106" s="1627" t="s">
        <v>11052</v>
      </c>
      <c r="CJ106" s="428" t="s">
        <v>11053</v>
      </c>
      <c r="CK106" s="1627" t="s">
        <v>1513</v>
      </c>
      <c r="CL106" s="1627"/>
      <c r="CM106" s="1627"/>
      <c r="CN106" s="1627" t="s">
        <v>11054</v>
      </c>
      <c r="CO106" s="1877">
        <v>19.7</v>
      </c>
      <c r="CP106" s="1863"/>
      <c r="CQ106" s="1878" t="s">
        <v>11055</v>
      </c>
      <c r="CR106" s="1864"/>
      <c r="CS106" s="1878" t="s">
        <v>11056</v>
      </c>
      <c r="CT106" s="1864"/>
      <c r="CU106" s="1865"/>
      <c r="CV106" s="1030" t="s">
        <v>11057</v>
      </c>
      <c r="CW106" s="1030" t="s">
        <v>10638</v>
      </c>
      <c r="CX106" s="1030" t="s">
        <v>11058</v>
      </c>
      <c r="CY106" s="1030" t="s">
        <v>11059</v>
      </c>
      <c r="CZ106" s="1030" t="s">
        <v>11060</v>
      </c>
      <c r="DA106" s="1030" t="s">
        <v>11061</v>
      </c>
      <c r="DB106" s="1030"/>
      <c r="DC106" s="1030"/>
      <c r="DD106" s="1866"/>
      <c r="DE106" s="1879" t="s">
        <v>10399</v>
      </c>
      <c r="DF106" s="1879" t="s">
        <v>4324</v>
      </c>
      <c r="DG106" s="1866"/>
      <c r="DH106" s="1866"/>
      <c r="DI106" s="1039" t="s">
        <v>11062</v>
      </c>
      <c r="DJ106" s="1867"/>
      <c r="DK106" s="1867"/>
      <c r="DL106" s="1039"/>
      <c r="DM106" s="1039"/>
      <c r="DN106" s="1039"/>
      <c r="DO106" s="1867"/>
      <c r="DP106" s="1867"/>
      <c r="DQ106" s="1867"/>
      <c r="DR106" s="1039" t="s">
        <v>11063</v>
      </c>
      <c r="DS106" s="1039" t="s">
        <v>11064</v>
      </c>
      <c r="DT106" s="1867"/>
      <c r="DU106" s="1039"/>
      <c r="DV106" s="473" t="s">
        <v>11065</v>
      </c>
      <c r="DW106" s="1867"/>
      <c r="DX106" s="1867"/>
      <c r="DY106" s="1867"/>
      <c r="DZ106" s="1867"/>
      <c r="EA106" s="1039" t="s">
        <v>11066</v>
      </c>
      <c r="EB106" s="1867"/>
      <c r="EC106" s="1880" t="s">
        <v>11067</v>
      </c>
      <c r="ED106" s="1039"/>
    </row>
    <row r="107">
      <c r="A107" s="244" t="s">
        <v>11068</v>
      </c>
      <c r="B107" s="245" t="s">
        <v>11069</v>
      </c>
      <c r="C107" s="246" t="s">
        <v>271</v>
      </c>
      <c r="D107" s="247" t="s">
        <v>271</v>
      </c>
      <c r="E107" s="248" t="s">
        <v>271</v>
      </c>
      <c r="F107" s="249" t="s">
        <v>176</v>
      </c>
      <c r="G107" s="245" t="s">
        <v>855</v>
      </c>
      <c r="H107" s="286" t="s">
        <v>9476</v>
      </c>
      <c r="I107" s="286" t="s">
        <v>5019</v>
      </c>
      <c r="J107" s="286" t="s">
        <v>11070</v>
      </c>
      <c r="K107" s="286" t="s">
        <v>10291</v>
      </c>
      <c r="L107" s="286" t="s">
        <v>11071</v>
      </c>
      <c r="M107" s="286" t="s">
        <v>11072</v>
      </c>
      <c r="N107" s="286" t="s">
        <v>11073</v>
      </c>
      <c r="O107" s="286" t="s">
        <v>11074</v>
      </c>
      <c r="P107" s="286" t="s">
        <v>1472</v>
      </c>
      <c r="Q107" s="320"/>
      <c r="R107" s="320"/>
      <c r="S107" s="320"/>
      <c r="T107" s="320"/>
      <c r="U107" s="320"/>
      <c r="V107" s="320"/>
      <c r="W107" s="106"/>
      <c r="X107" s="286" t="s">
        <v>9999</v>
      </c>
      <c r="Y107" s="286"/>
      <c r="Z107" s="286" t="s">
        <v>10025</v>
      </c>
      <c r="AA107" s="286" t="s">
        <v>10871</v>
      </c>
      <c r="AB107" s="316" t="str">
        <f>HYPERLINK("https://youtu.be/qJ6N4MrS6B4","48.05")</f>
        <v>48.05</v>
      </c>
      <c r="AC107" s="286" t="s">
        <v>5327</v>
      </c>
      <c r="AD107" s="316" t="str">
        <f>HYPERLINK("https://www.twitch.tv/videos/230818041","57.20")</f>
        <v>57.20</v>
      </c>
      <c r="AE107" s="320"/>
      <c r="AF107" s="286" t="s">
        <v>8215</v>
      </c>
      <c r="AG107" s="286" t="s">
        <v>10763</v>
      </c>
      <c r="AH107" s="320"/>
      <c r="AI107" s="320"/>
      <c r="AJ107" s="320"/>
      <c r="AK107" s="320"/>
      <c r="AL107" s="105"/>
      <c r="AM107" s="320"/>
      <c r="AN107" s="320"/>
      <c r="AO107" s="320"/>
      <c r="AP107" s="320"/>
      <c r="AQ107" s="320"/>
      <c r="AR107" s="320"/>
      <c r="AS107" s="320"/>
      <c r="AT107" s="320"/>
      <c r="AU107" s="286" t="s">
        <v>3605</v>
      </c>
      <c r="AV107" s="286" t="s">
        <v>9604</v>
      </c>
      <c r="AW107" s="320"/>
      <c r="AX107" s="320"/>
      <c r="AY107" s="320"/>
      <c r="AZ107" s="320"/>
      <c r="BA107" s="320"/>
      <c r="BB107" s="286"/>
      <c r="BC107" s="286" t="s">
        <v>2490</v>
      </c>
      <c r="BD107" s="316" t="str">
        <f>HYPERLINK("https://youtu.be/jzNyA3Lqtt4","28.84")</f>
        <v>28.84</v>
      </c>
      <c r="BE107" s="286" t="s">
        <v>11075</v>
      </c>
      <c r="BF107" s="286" t="s">
        <v>2492</v>
      </c>
      <c r="BG107" s="320"/>
      <c r="BH107" s="320"/>
      <c r="BI107" s="286" t="s">
        <v>7670</v>
      </c>
      <c r="BJ107" s="320"/>
      <c r="BK107" s="286" t="s">
        <v>6314</v>
      </c>
      <c r="BL107" s="286" t="s">
        <v>2816</v>
      </c>
      <c r="BM107" s="320"/>
      <c r="BN107" s="320"/>
      <c r="BO107" s="320"/>
      <c r="BP107" s="320"/>
      <c r="BQ107" s="824"/>
      <c r="BR107" s="288"/>
      <c r="BS107" s="320"/>
      <c r="BT107" s="286" t="s">
        <v>11076</v>
      </c>
      <c r="BU107" s="286" t="s">
        <v>11077</v>
      </c>
      <c r="BV107" s="286" t="s">
        <v>3383</v>
      </c>
      <c r="BW107" s="316" t="str">
        <f>HYPERLINK("https://www.youtube.com/watch?v=HaeMpTna7bY","21.54")</f>
        <v>21.54</v>
      </c>
      <c r="BX107" s="320"/>
      <c r="BY107" s="278"/>
      <c r="BZ107" s="278"/>
      <c r="CA107" s="320"/>
      <c r="CB107" s="320"/>
      <c r="CC107" s="320"/>
      <c r="CD107" s="320"/>
      <c r="CE107" s="320"/>
      <c r="CF107" s="824"/>
      <c r="CG107" s="286" t="s">
        <v>7945</v>
      </c>
      <c r="CH107" s="286" t="s">
        <v>1077</v>
      </c>
      <c r="CI107" s="286" t="s">
        <v>3548</v>
      </c>
      <c r="CJ107" s="320"/>
      <c r="CK107" s="320"/>
      <c r="CL107" s="320"/>
      <c r="CM107" s="286" t="s">
        <v>10286</v>
      </c>
      <c r="CN107" s="286" t="s">
        <v>10013</v>
      </c>
      <c r="CO107" s="320"/>
      <c r="CP107" s="320"/>
      <c r="CQ107" s="320"/>
      <c r="CR107" s="320"/>
      <c r="CS107" s="320"/>
      <c r="CT107" s="320"/>
      <c r="CU107" s="106"/>
      <c r="CV107" s="286" t="s">
        <v>4395</v>
      </c>
      <c r="CW107" s="320"/>
      <c r="CX107" s="286" t="s">
        <v>11078</v>
      </c>
      <c r="CY107" s="286" t="s">
        <v>11079</v>
      </c>
      <c r="CZ107" s="286"/>
      <c r="DA107" s="288"/>
      <c r="DB107" s="286" t="s">
        <v>11080</v>
      </c>
      <c r="DC107" s="286" t="s">
        <v>1848</v>
      </c>
      <c r="DD107" s="320"/>
      <c r="DE107" s="320"/>
      <c r="DF107" s="320"/>
      <c r="DG107" s="320"/>
      <c r="DH107" s="320"/>
      <c r="DI107" s="320"/>
      <c r="DJ107" s="320"/>
      <c r="DK107" s="320"/>
      <c r="DL107" s="320"/>
      <c r="DM107" s="320"/>
      <c r="DN107" s="320"/>
      <c r="DO107" s="320"/>
      <c r="DP107" s="320"/>
      <c r="DQ107" s="320"/>
      <c r="DR107" s="286" t="s">
        <v>11081</v>
      </c>
      <c r="DS107" s="286"/>
      <c r="DT107" s="320"/>
      <c r="DU107" s="320"/>
      <c r="DV107" s="320"/>
      <c r="DW107" s="320"/>
      <c r="DX107" s="320"/>
      <c r="DY107" s="320"/>
      <c r="DZ107" s="320"/>
      <c r="EA107" s="320"/>
      <c r="EB107" s="320"/>
      <c r="EC107" s="320"/>
      <c r="ED107" s="862"/>
    </row>
    <row r="108">
      <c r="A108" s="540" t="s">
        <v>4159</v>
      </c>
      <c r="B108" s="378" t="s">
        <v>11082</v>
      </c>
      <c r="C108" s="379" t="s">
        <v>271</v>
      </c>
      <c r="D108" s="380" t="s">
        <v>271</v>
      </c>
      <c r="E108" s="381" t="s">
        <v>271</v>
      </c>
      <c r="F108" s="382" t="s">
        <v>274</v>
      </c>
      <c r="G108" s="378" t="s">
        <v>401</v>
      </c>
      <c r="H108" s="541" t="s">
        <v>4065</v>
      </c>
      <c r="I108" s="541" t="s">
        <v>7127</v>
      </c>
      <c r="J108" s="541" t="s">
        <v>11083</v>
      </c>
      <c r="K108" s="541" t="s">
        <v>10472</v>
      </c>
      <c r="L108" s="541" t="s">
        <v>2527</v>
      </c>
      <c r="M108" s="835"/>
      <c r="N108" s="541" t="s">
        <v>10517</v>
      </c>
      <c r="O108" s="541" t="s">
        <v>3987</v>
      </c>
      <c r="P108" s="541" t="s">
        <v>2230</v>
      </c>
      <c r="Q108" s="835"/>
      <c r="R108" s="835"/>
      <c r="S108" s="835"/>
      <c r="T108" s="835"/>
      <c r="U108" s="835"/>
      <c r="V108" s="835"/>
      <c r="W108" s="106"/>
      <c r="X108" s="670" t="s">
        <v>10817</v>
      </c>
      <c r="Y108" s="670"/>
      <c r="Z108" s="670" t="s">
        <v>9908</v>
      </c>
      <c r="AA108" s="670" t="s">
        <v>11084</v>
      </c>
      <c r="AB108" s="670" t="s">
        <v>10870</v>
      </c>
      <c r="AC108" s="837"/>
      <c r="AD108" s="670" t="s">
        <v>2635</v>
      </c>
      <c r="AE108" s="837"/>
      <c r="AF108" s="670" t="s">
        <v>9855</v>
      </c>
      <c r="AG108" s="670" t="s">
        <v>2509</v>
      </c>
      <c r="AH108" s="837"/>
      <c r="AI108" s="837"/>
      <c r="AJ108" s="837"/>
      <c r="AK108" s="837"/>
      <c r="AL108" s="105"/>
      <c r="AM108" s="570" t="s">
        <v>10357</v>
      </c>
      <c r="AN108" s="839"/>
      <c r="AO108" s="839"/>
      <c r="AP108" s="839"/>
      <c r="AQ108" s="839"/>
      <c r="AR108" s="839"/>
      <c r="AS108" s="839"/>
      <c r="AT108" s="839"/>
      <c r="AU108" s="839"/>
      <c r="AV108" s="570" t="s">
        <v>11085</v>
      </c>
      <c r="AW108" s="570" t="s">
        <v>10821</v>
      </c>
      <c r="AX108" s="839"/>
      <c r="AY108" s="839"/>
      <c r="AZ108" s="839"/>
      <c r="BA108" s="839"/>
      <c r="BB108" s="581" t="s">
        <v>8510</v>
      </c>
      <c r="BC108" s="580"/>
      <c r="BD108" s="581" t="s">
        <v>11086</v>
      </c>
      <c r="BE108" s="581" t="s">
        <v>10958</v>
      </c>
      <c r="BF108" s="417" t="s">
        <v>10399</v>
      </c>
      <c r="BG108" s="581" t="s">
        <v>4654</v>
      </c>
      <c r="BH108" s="580"/>
      <c r="BI108" s="581" t="s">
        <v>9527</v>
      </c>
      <c r="BJ108" s="581" t="s">
        <v>6063</v>
      </c>
      <c r="BK108" s="581" t="s">
        <v>6930</v>
      </c>
      <c r="BL108" s="580"/>
      <c r="BM108" s="580"/>
      <c r="BN108" s="580"/>
      <c r="BO108" s="580"/>
      <c r="BP108" s="580"/>
      <c r="BQ108" s="845"/>
      <c r="BR108" s="589" t="s">
        <v>2483</v>
      </c>
      <c r="BS108" s="849"/>
      <c r="BT108" s="589" t="s">
        <v>11087</v>
      </c>
      <c r="BU108" s="589" t="s">
        <v>11088</v>
      </c>
      <c r="BV108" s="849"/>
      <c r="BW108" s="589" t="s">
        <v>11089</v>
      </c>
      <c r="BX108" s="849"/>
      <c r="BY108" s="849"/>
      <c r="BZ108" s="589" t="s">
        <v>10194</v>
      </c>
      <c r="CA108" s="849"/>
      <c r="CB108" s="849"/>
      <c r="CC108" s="849"/>
      <c r="CD108" s="849"/>
      <c r="CE108" s="849"/>
      <c r="CF108" s="851"/>
      <c r="CG108" s="593" t="s">
        <v>6711</v>
      </c>
      <c r="CH108" s="593" t="s">
        <v>524</v>
      </c>
      <c r="CI108" s="852"/>
      <c r="CJ108" s="593" t="s">
        <v>11090</v>
      </c>
      <c r="CK108" s="593"/>
      <c r="CL108" s="593"/>
      <c r="CM108" s="593" t="s">
        <v>11091</v>
      </c>
      <c r="CN108" s="433" t="s">
        <v>3796</v>
      </c>
      <c r="CO108" s="852"/>
      <c r="CP108" s="852"/>
      <c r="CQ108" s="852"/>
      <c r="CR108" s="852"/>
      <c r="CS108" s="852"/>
      <c r="CT108" s="852"/>
      <c r="CU108" s="106"/>
      <c r="CV108" s="683" t="s">
        <v>9599</v>
      </c>
      <c r="CW108" s="683" t="s">
        <v>4606</v>
      </c>
      <c r="CX108" s="683" t="s">
        <v>10013</v>
      </c>
      <c r="CY108" s="683" t="s">
        <v>9644</v>
      </c>
      <c r="CZ108" s="853"/>
      <c r="DA108" s="458" t="s">
        <v>1689</v>
      </c>
      <c r="DB108" s="683" t="s">
        <v>11092</v>
      </c>
      <c r="DC108" s="683" t="s">
        <v>452</v>
      </c>
      <c r="DD108" s="853"/>
      <c r="DE108" s="853"/>
      <c r="DF108" s="853"/>
      <c r="DG108" s="853"/>
      <c r="DH108" s="853"/>
      <c r="DI108" s="855"/>
      <c r="DJ108" s="855"/>
      <c r="DK108" s="855"/>
      <c r="DL108" s="855"/>
      <c r="DM108" s="855"/>
      <c r="DN108" s="855"/>
      <c r="DO108" s="855"/>
      <c r="DP108" s="855"/>
      <c r="DQ108" s="855"/>
      <c r="DR108" s="685" t="s">
        <v>6578</v>
      </c>
      <c r="DS108" s="685"/>
      <c r="DT108" s="855"/>
      <c r="DU108" s="855"/>
      <c r="DV108" s="855"/>
      <c r="DW108" s="855"/>
      <c r="DX108" s="855"/>
      <c r="DY108" s="685" t="s">
        <v>2037</v>
      </c>
      <c r="DZ108" s="855"/>
      <c r="EA108" s="855"/>
      <c r="EB108" s="855"/>
      <c r="EC108" s="855"/>
      <c r="ED108" s="1039"/>
    </row>
    <row r="109">
      <c r="A109" s="244" t="s">
        <v>11093</v>
      </c>
      <c r="B109" s="245" t="s">
        <v>11094</v>
      </c>
      <c r="C109" s="246" t="s">
        <v>271</v>
      </c>
      <c r="D109" s="247" t="s">
        <v>271</v>
      </c>
      <c r="E109" s="248" t="s">
        <v>271</v>
      </c>
      <c r="F109" s="249" t="s">
        <v>171</v>
      </c>
      <c r="G109" s="245" t="s">
        <v>2442</v>
      </c>
      <c r="H109" s="286" t="s">
        <v>11095</v>
      </c>
      <c r="I109" s="286" t="s">
        <v>10438</v>
      </c>
      <c r="J109" s="286" t="s">
        <v>11096</v>
      </c>
      <c r="K109" s="278" t="s">
        <v>10547</v>
      </c>
      <c r="L109" s="286" t="s">
        <v>11097</v>
      </c>
      <c r="M109" s="320"/>
      <c r="N109" s="286" t="s">
        <v>2652</v>
      </c>
      <c r="O109" s="286" t="s">
        <v>1177</v>
      </c>
      <c r="P109" s="286" t="s">
        <v>10519</v>
      </c>
      <c r="Q109" s="286" t="s">
        <v>11098</v>
      </c>
      <c r="R109" s="286"/>
      <c r="S109" s="286" t="s">
        <v>605</v>
      </c>
      <c r="T109" s="320"/>
      <c r="U109" s="286" t="s">
        <v>9350</v>
      </c>
      <c r="V109" s="286" t="s">
        <v>11099</v>
      </c>
      <c r="W109" s="106"/>
      <c r="X109" s="286" t="s">
        <v>2567</v>
      </c>
      <c r="Y109" s="278"/>
      <c r="Z109" s="278" t="s">
        <v>9537</v>
      </c>
      <c r="AA109" s="286" t="s">
        <v>4557</v>
      </c>
      <c r="AB109" s="286" t="s">
        <v>10942</v>
      </c>
      <c r="AC109" s="286" t="s">
        <v>3794</v>
      </c>
      <c r="AD109" s="286" t="s">
        <v>10521</v>
      </c>
      <c r="AE109" s="286" t="s">
        <v>2639</v>
      </c>
      <c r="AF109" s="286" t="s">
        <v>3048</v>
      </c>
      <c r="AG109" s="278" t="s">
        <v>3226</v>
      </c>
      <c r="AH109" s="320"/>
      <c r="AI109" s="288"/>
      <c r="AJ109" s="316" t="str">
        <f>HYPERLINK("https://www.youtube.com/watch?v=KtPfnnrz_CQ","1:01.05")</f>
        <v>1:01.05</v>
      </c>
      <c r="AK109" s="320"/>
      <c r="AL109" s="105"/>
      <c r="AM109" s="286" t="s">
        <v>7780</v>
      </c>
      <c r="AN109" s="320"/>
      <c r="AO109" s="320"/>
      <c r="AP109" s="320"/>
      <c r="AQ109" s="320"/>
      <c r="AR109" s="320"/>
      <c r="AS109" s="320"/>
      <c r="AT109" s="320"/>
      <c r="AU109" s="278"/>
      <c r="AV109" s="320"/>
      <c r="AW109" s="320"/>
      <c r="AX109" s="320"/>
      <c r="AY109" s="286" t="s">
        <v>1239</v>
      </c>
      <c r="AZ109" s="320"/>
      <c r="BA109" s="320"/>
      <c r="BB109" s="286" t="s">
        <v>8799</v>
      </c>
      <c r="BC109" s="286" t="s">
        <v>7817</v>
      </c>
      <c r="BD109" s="286" t="s">
        <v>2244</v>
      </c>
      <c r="BE109" s="286" t="s">
        <v>11100</v>
      </c>
      <c r="BF109" s="320"/>
      <c r="BG109" s="320"/>
      <c r="BH109" s="320"/>
      <c r="BI109" s="286" t="s">
        <v>11101</v>
      </c>
      <c r="BJ109" s="320"/>
      <c r="BK109" s="320"/>
      <c r="BL109" s="320"/>
      <c r="BM109" s="320"/>
      <c r="BN109" s="286" t="s">
        <v>11102</v>
      </c>
      <c r="BO109" s="286" t="s">
        <v>9652</v>
      </c>
      <c r="BP109" s="320"/>
      <c r="BQ109" s="824"/>
      <c r="BR109" s="320"/>
      <c r="BS109" s="286"/>
      <c r="BT109" s="286" t="s">
        <v>1993</v>
      </c>
      <c r="BU109" s="286" t="s">
        <v>769</v>
      </c>
      <c r="BV109" s="320"/>
      <c r="BW109" s="320"/>
      <c r="BX109" s="320"/>
      <c r="BY109" s="320"/>
      <c r="BZ109" s="320"/>
      <c r="CA109" s="320"/>
      <c r="CB109" s="320"/>
      <c r="CC109" s="320"/>
      <c r="CD109" s="320"/>
      <c r="CE109" s="320"/>
      <c r="CF109" s="824"/>
      <c r="CG109" s="320"/>
      <c r="CH109" s="278"/>
      <c r="CI109" s="320"/>
      <c r="CJ109" s="320"/>
      <c r="CK109" s="320"/>
      <c r="CL109" s="320"/>
      <c r="CM109" s="320"/>
      <c r="CN109" s="320"/>
      <c r="CO109" s="320"/>
      <c r="CP109" s="320"/>
      <c r="CQ109" s="320"/>
      <c r="CR109" s="320"/>
      <c r="CS109" s="320"/>
      <c r="CT109" s="320"/>
      <c r="CU109" s="106"/>
      <c r="CV109" s="320"/>
      <c r="CW109" s="320"/>
      <c r="CX109" s="286" t="s">
        <v>11103</v>
      </c>
      <c r="CY109" s="320"/>
      <c r="CZ109" s="320"/>
      <c r="DA109" s="320"/>
      <c r="DB109" s="286" t="s">
        <v>1703</v>
      </c>
      <c r="DC109" s="320"/>
      <c r="DD109" s="320"/>
      <c r="DE109" s="320"/>
      <c r="DF109" s="320"/>
      <c r="DG109" s="320"/>
      <c r="DH109" s="320"/>
      <c r="DI109" s="320"/>
      <c r="DJ109" s="320"/>
      <c r="DK109" s="320"/>
      <c r="DL109" s="320"/>
      <c r="DM109" s="320"/>
      <c r="DN109" s="320"/>
      <c r="DO109" s="286" t="s">
        <v>8806</v>
      </c>
      <c r="DP109" s="286" t="s">
        <v>11104</v>
      </c>
      <c r="DQ109" s="278"/>
      <c r="DR109" s="320"/>
      <c r="DS109" s="320"/>
      <c r="DT109" s="320"/>
      <c r="DU109" s="320"/>
      <c r="DV109" s="320"/>
      <c r="DW109" s="320"/>
      <c r="DX109" s="320"/>
      <c r="DY109" s="320"/>
      <c r="DZ109" s="320"/>
      <c r="EA109" s="320"/>
      <c r="EB109" s="320"/>
      <c r="EC109" s="320"/>
      <c r="ED109" s="862"/>
    </row>
    <row r="110">
      <c r="A110" s="540" t="s">
        <v>11105</v>
      </c>
      <c r="B110" s="378" t="s">
        <v>11106</v>
      </c>
      <c r="C110" s="379" t="s">
        <v>271</v>
      </c>
      <c r="D110" s="380" t="s">
        <v>271</v>
      </c>
      <c r="E110" s="381" t="s">
        <v>271</v>
      </c>
      <c r="F110" s="382" t="s">
        <v>271</v>
      </c>
      <c r="G110" s="378" t="s">
        <v>2064</v>
      </c>
      <c r="H110" s="835"/>
      <c r="I110" s="541" t="s">
        <v>5013</v>
      </c>
      <c r="J110" s="541" t="s">
        <v>11107</v>
      </c>
      <c r="K110" s="541" t="s">
        <v>4204</v>
      </c>
      <c r="L110" s="541" t="s">
        <v>907</v>
      </c>
      <c r="M110" s="835"/>
      <c r="N110" s="541" t="s">
        <v>10914</v>
      </c>
      <c r="O110" s="541" t="s">
        <v>9360</v>
      </c>
      <c r="P110" s="541" t="s">
        <v>1479</v>
      </c>
      <c r="Q110" s="835"/>
      <c r="R110" s="835"/>
      <c r="S110" s="835"/>
      <c r="T110" s="835"/>
      <c r="U110" s="835"/>
      <c r="V110" s="835"/>
      <c r="W110" s="106"/>
      <c r="X110" s="670" t="s">
        <v>9861</v>
      </c>
      <c r="Y110" s="670"/>
      <c r="Z110" s="670" t="s">
        <v>10558</v>
      </c>
      <c r="AA110" s="670" t="s">
        <v>10351</v>
      </c>
      <c r="AB110" s="670" t="s">
        <v>2949</v>
      </c>
      <c r="AC110" s="670" t="s">
        <v>10500</v>
      </c>
      <c r="AD110" s="670" t="s">
        <v>11108</v>
      </c>
      <c r="AE110" s="837"/>
      <c r="AF110" s="670" t="s">
        <v>3071</v>
      </c>
      <c r="AG110" s="670" t="s">
        <v>1082</v>
      </c>
      <c r="AH110" s="837"/>
      <c r="AI110" s="837"/>
      <c r="AJ110" s="837"/>
      <c r="AK110" s="837"/>
      <c r="AL110" s="105"/>
      <c r="AM110" s="839"/>
      <c r="AN110" s="839"/>
      <c r="AO110" s="839"/>
      <c r="AP110" s="839"/>
      <c r="AQ110" s="839"/>
      <c r="AR110" s="839"/>
      <c r="AS110" s="839"/>
      <c r="AT110" s="839"/>
      <c r="AU110" s="570" t="s">
        <v>10520</v>
      </c>
      <c r="AV110" s="570" t="s">
        <v>5305</v>
      </c>
      <c r="AW110" s="839"/>
      <c r="AX110" s="839"/>
      <c r="AY110" s="839"/>
      <c r="AZ110" s="839"/>
      <c r="BA110" s="839"/>
      <c r="BB110" s="581" t="s">
        <v>10584</v>
      </c>
      <c r="BC110" s="581" t="s">
        <v>707</v>
      </c>
      <c r="BD110" s="580"/>
      <c r="BE110" s="581" t="s">
        <v>10561</v>
      </c>
      <c r="BF110" s="581" t="s">
        <v>5985</v>
      </c>
      <c r="BG110" s="580"/>
      <c r="BH110" s="580"/>
      <c r="BI110" s="581" t="s">
        <v>9905</v>
      </c>
      <c r="BJ110" s="581" t="s">
        <v>11109</v>
      </c>
      <c r="BK110" s="580"/>
      <c r="BL110" s="581" t="s">
        <v>4895</v>
      </c>
      <c r="BM110" s="580"/>
      <c r="BN110" s="580"/>
      <c r="BO110" s="580"/>
      <c r="BP110" s="580"/>
      <c r="BQ110" s="845"/>
      <c r="BR110" s="589" t="s">
        <v>11110</v>
      </c>
      <c r="BS110" s="589" t="s">
        <v>5970</v>
      </c>
      <c r="BT110" s="589" t="s">
        <v>4437</v>
      </c>
      <c r="BU110" s="589" t="s">
        <v>11111</v>
      </c>
      <c r="BV110" s="589" t="s">
        <v>2887</v>
      </c>
      <c r="BW110" s="589" t="s">
        <v>11112</v>
      </c>
      <c r="BX110" s="849"/>
      <c r="BY110" s="589" t="s">
        <v>11113</v>
      </c>
      <c r="BZ110" s="849"/>
      <c r="CA110" s="849"/>
      <c r="CB110" s="849"/>
      <c r="CC110" s="849"/>
      <c r="CD110" s="849"/>
      <c r="CE110" s="849"/>
      <c r="CF110" s="851"/>
      <c r="CG110" s="593" t="s">
        <v>7185</v>
      </c>
      <c r="CH110" s="593" t="s">
        <v>2906</v>
      </c>
      <c r="CI110" s="593" t="s">
        <v>4193</v>
      </c>
      <c r="CJ110" s="593" t="s">
        <v>8026</v>
      </c>
      <c r="CK110" s="593"/>
      <c r="CL110" s="593"/>
      <c r="CM110" s="593" t="s">
        <v>3662</v>
      </c>
      <c r="CN110" s="593" t="s">
        <v>2006</v>
      </c>
      <c r="CO110" s="593" t="s">
        <v>11114</v>
      </c>
      <c r="CP110" s="852"/>
      <c r="CQ110" s="852"/>
      <c r="CR110" s="852"/>
      <c r="CS110" s="852"/>
      <c r="CT110" s="852"/>
      <c r="CU110" s="106"/>
      <c r="CV110" s="683" t="s">
        <v>7171</v>
      </c>
      <c r="CW110" s="853"/>
      <c r="CX110" s="683" t="s">
        <v>11115</v>
      </c>
      <c r="CY110" s="683" t="s">
        <v>7474</v>
      </c>
      <c r="CZ110" s="683" t="s">
        <v>11116</v>
      </c>
      <c r="DA110" s="853"/>
      <c r="DB110" s="683" t="s">
        <v>11117</v>
      </c>
      <c r="DC110" s="683" t="s">
        <v>11118</v>
      </c>
      <c r="DD110" s="853"/>
      <c r="DE110" s="853"/>
      <c r="DF110" s="853"/>
      <c r="DG110" s="853"/>
      <c r="DH110" s="853"/>
      <c r="DI110" s="855"/>
      <c r="DJ110" s="855"/>
      <c r="DK110" s="855"/>
      <c r="DL110" s="855"/>
      <c r="DM110" s="855"/>
      <c r="DN110" s="855"/>
      <c r="DO110" s="855"/>
      <c r="DP110" s="855"/>
      <c r="DQ110" s="855"/>
      <c r="DR110" s="855"/>
      <c r="DS110" s="855"/>
      <c r="DT110" s="855"/>
      <c r="DU110" s="855"/>
      <c r="DV110" s="855"/>
      <c r="DW110" s="855"/>
      <c r="DX110" s="855"/>
      <c r="DY110" s="855"/>
      <c r="DZ110" s="855"/>
      <c r="EA110" s="855"/>
      <c r="EB110" s="855"/>
      <c r="EC110" s="855"/>
      <c r="ED110" s="1039"/>
    </row>
    <row r="111">
      <c r="A111" s="1881" t="s">
        <v>168</v>
      </c>
      <c r="B111" s="245" t="s">
        <v>11119</v>
      </c>
      <c r="C111" s="246" t="s">
        <v>271</v>
      </c>
      <c r="D111" s="247" t="s">
        <v>271</v>
      </c>
      <c r="E111" s="248" t="s">
        <v>271</v>
      </c>
      <c r="F111" s="249" t="s">
        <v>1791</v>
      </c>
      <c r="G111" s="245" t="s">
        <v>11120</v>
      </c>
      <c r="H111" s="257" t="s">
        <v>11121</v>
      </c>
      <c r="I111" s="257" t="s">
        <v>5224</v>
      </c>
      <c r="J111" s="257" t="s">
        <v>10920</v>
      </c>
      <c r="K111" s="257" t="s">
        <v>679</v>
      </c>
      <c r="L111" s="257" t="s">
        <v>10373</v>
      </c>
      <c r="M111" s="286" t="s">
        <v>3658</v>
      </c>
      <c r="N111" s="286" t="s">
        <v>7703</v>
      </c>
      <c r="O111" s="881" t="s">
        <v>481</v>
      </c>
      <c r="P111" s="257" t="s">
        <v>1472</v>
      </c>
      <c r="Q111" s="320"/>
      <c r="R111" s="320"/>
      <c r="S111" s="286" t="s">
        <v>9890</v>
      </c>
      <c r="T111" s="320"/>
      <c r="U111" s="257" t="s">
        <v>11122</v>
      </c>
      <c r="V111" s="320"/>
      <c r="W111" s="106"/>
      <c r="X111" s="881" t="s">
        <v>10817</v>
      </c>
      <c r="Y111" s="881"/>
      <c r="Z111" s="881" t="s">
        <v>10230</v>
      </c>
      <c r="AA111" s="257" t="s">
        <v>1361</v>
      </c>
      <c r="AB111" s="286" t="s">
        <v>4683</v>
      </c>
      <c r="AC111" s="257" t="s">
        <v>456</v>
      </c>
      <c r="AD111" s="881" t="s">
        <v>7111</v>
      </c>
      <c r="AE111" s="320"/>
      <c r="AF111" s="286" t="s">
        <v>6655</v>
      </c>
      <c r="AG111" s="881" t="s">
        <v>3226</v>
      </c>
      <c r="AH111" s="286" t="s">
        <v>5616</v>
      </c>
      <c r="AI111" s="320"/>
      <c r="AJ111" s="257" t="s">
        <v>3709</v>
      </c>
      <c r="AK111" s="320"/>
      <c r="AL111" s="105"/>
      <c r="AM111" s="286" t="s">
        <v>10585</v>
      </c>
      <c r="AN111" s="286" t="s">
        <v>4305</v>
      </c>
      <c r="AO111" s="320"/>
      <c r="AP111" s="286" t="s">
        <v>6349</v>
      </c>
      <c r="AQ111" s="286" t="s">
        <v>11123</v>
      </c>
      <c r="AR111" s="286" t="s">
        <v>11124</v>
      </c>
      <c r="AS111" s="257" t="s">
        <v>6941</v>
      </c>
      <c r="AT111" s="320"/>
      <c r="AU111" s="862" t="s">
        <v>10121</v>
      </c>
      <c r="AV111" s="881" t="s">
        <v>10739</v>
      </c>
      <c r="AW111" s="257" t="s">
        <v>11125</v>
      </c>
      <c r="AX111" s="320"/>
      <c r="AY111" s="286" t="s">
        <v>11126</v>
      </c>
      <c r="AZ111" s="320"/>
      <c r="BA111" s="320"/>
      <c r="BB111" s="286" t="s">
        <v>3015</v>
      </c>
      <c r="BC111" s="286" t="s">
        <v>535</v>
      </c>
      <c r="BD111" s="257" t="s">
        <v>10716</v>
      </c>
      <c r="BE111" s="286" t="s">
        <v>6535</v>
      </c>
      <c r="BF111" s="286" t="s">
        <v>6439</v>
      </c>
      <c r="BG111" s="286" t="s">
        <v>9416</v>
      </c>
      <c r="BH111" s="286" t="s">
        <v>7862</v>
      </c>
      <c r="BI111" s="286" t="s">
        <v>10035</v>
      </c>
      <c r="BJ111" s="286" t="s">
        <v>11127</v>
      </c>
      <c r="BK111" s="286"/>
      <c r="BL111" s="286" t="s">
        <v>9898</v>
      </c>
      <c r="BM111" s="320"/>
      <c r="BN111" s="257" t="s">
        <v>3073</v>
      </c>
      <c r="BO111" s="257" t="s">
        <v>5956</v>
      </c>
      <c r="BP111" s="286" t="s">
        <v>11128</v>
      </c>
      <c r="BQ111" s="824"/>
      <c r="BR111" s="320"/>
      <c r="BS111" s="320"/>
      <c r="BT111" s="286" t="s">
        <v>11129</v>
      </c>
      <c r="BU111" s="286" t="s">
        <v>11130</v>
      </c>
      <c r="BV111" s="286" t="s">
        <v>11131</v>
      </c>
      <c r="BW111" s="286" t="s">
        <v>11132</v>
      </c>
      <c r="BX111" s="320"/>
      <c r="BY111" s="286" t="s">
        <v>10961</v>
      </c>
      <c r="BZ111" s="320"/>
      <c r="CA111" s="286" t="s">
        <v>11133</v>
      </c>
      <c r="CB111" s="286" t="s">
        <v>11134</v>
      </c>
      <c r="CC111" s="257" t="s">
        <v>11135</v>
      </c>
      <c r="CD111" s="257" t="s">
        <v>11136</v>
      </c>
      <c r="CE111" s="320"/>
      <c r="CF111" s="824"/>
      <c r="CG111" s="286" t="s">
        <v>11137</v>
      </c>
      <c r="CH111" s="286" t="s">
        <v>3363</v>
      </c>
      <c r="CI111" s="286" t="s">
        <v>11138</v>
      </c>
      <c r="CJ111" s="286" t="s">
        <v>11139</v>
      </c>
      <c r="CK111" s="286"/>
      <c r="CL111" s="286"/>
      <c r="CM111" s="320"/>
      <c r="CN111" s="286" t="s">
        <v>4860</v>
      </c>
      <c r="CO111" s="286" t="s">
        <v>9981</v>
      </c>
      <c r="CP111" s="320"/>
      <c r="CQ111" s="320"/>
      <c r="CR111" s="320"/>
      <c r="CS111" s="257" t="s">
        <v>2618</v>
      </c>
      <c r="CT111" s="320"/>
      <c r="CU111" s="106"/>
      <c r="CV111" s="881" t="s">
        <v>4786</v>
      </c>
      <c r="CW111" s="257" t="s">
        <v>11140</v>
      </c>
      <c r="CX111" s="286" t="s">
        <v>11141</v>
      </c>
      <c r="CY111" s="286" t="s">
        <v>11142</v>
      </c>
      <c r="CZ111" s="320"/>
      <c r="DA111" s="320"/>
      <c r="DB111" s="881" t="s">
        <v>11143</v>
      </c>
      <c r="DC111" s="286" t="s">
        <v>2711</v>
      </c>
      <c r="DD111" s="320"/>
      <c r="DE111" s="257" t="s">
        <v>717</v>
      </c>
      <c r="DF111" s="320"/>
      <c r="DG111" s="320"/>
      <c r="DH111" s="320"/>
      <c r="DI111" s="286" t="s">
        <v>11144</v>
      </c>
      <c r="DJ111" s="320"/>
      <c r="DK111" s="320"/>
      <c r="DL111" s="320"/>
      <c r="DM111" s="286" t="s">
        <v>2257</v>
      </c>
      <c r="DN111" s="320"/>
      <c r="DO111" s="320"/>
      <c r="DP111" s="257" t="s">
        <v>11145</v>
      </c>
      <c r="DQ111" s="320"/>
      <c r="DR111" s="286" t="s">
        <v>1142</v>
      </c>
      <c r="DS111" s="286" t="s">
        <v>3363</v>
      </c>
      <c r="DT111" s="286" t="s">
        <v>11146</v>
      </c>
      <c r="DU111" s="320"/>
      <c r="DV111" s="286" t="s">
        <v>5913</v>
      </c>
      <c r="DW111" s="257" t="s">
        <v>9914</v>
      </c>
      <c r="DX111" s="320"/>
      <c r="DY111" s="320"/>
      <c r="DZ111" s="320"/>
      <c r="EA111" s="320"/>
      <c r="EB111" s="320"/>
      <c r="EC111" s="320"/>
      <c r="ED111" s="862"/>
    </row>
    <row r="112">
      <c r="A112" s="540" t="s">
        <v>11147</v>
      </c>
      <c r="B112" s="378" t="s">
        <v>11148</v>
      </c>
      <c r="C112" s="379" t="s">
        <v>271</v>
      </c>
      <c r="D112" s="380" t="s">
        <v>271</v>
      </c>
      <c r="E112" s="381" t="s">
        <v>271</v>
      </c>
      <c r="F112" s="382" t="s">
        <v>2442</v>
      </c>
      <c r="G112" s="378" t="s">
        <v>2064</v>
      </c>
      <c r="H112" s="835"/>
      <c r="I112" s="666" t="s">
        <v>9941</v>
      </c>
      <c r="J112" s="666" t="s">
        <v>10946</v>
      </c>
      <c r="K112" s="666" t="s">
        <v>694</v>
      </c>
      <c r="L112" s="666" t="s">
        <v>11071</v>
      </c>
      <c r="M112" s="835"/>
      <c r="N112" s="387" t="str">
        <f>HYPERLINK("https://youtu.be/d2hHmu07X1I","1:16.18")</f>
        <v>1:16.18</v>
      </c>
      <c r="O112" s="387" t="str">
        <f>HYPERLINK("https://youtu.be/bOfs2E8VD7U","41.72")</f>
        <v>41.72</v>
      </c>
      <c r="P112" s="387" t="str">
        <f>HYPERLINK("https://youtu.be/ttNW88fKd-Q","16.17")</f>
        <v>16.17</v>
      </c>
      <c r="Q112" s="835"/>
      <c r="R112" s="835"/>
      <c r="S112" s="835"/>
      <c r="T112" s="835"/>
      <c r="U112" s="835"/>
      <c r="V112" s="835"/>
      <c r="W112" s="106"/>
      <c r="X112" s="395" t="str">
        <f>HYPERLINK("https://youtu.be/Mzuts7ESj1E","55.33")</f>
        <v>55.33</v>
      </c>
      <c r="Y112" s="397"/>
      <c r="Z112" s="395" t="str">
        <f>HYPERLINK("https://youtu.be/L7K3YzloRgk","18.81")</f>
        <v>18.81</v>
      </c>
      <c r="AA112" s="395" t="str">
        <f>HYPERLINK("https://youtu.be/rAxoTDa4EfI","16.08")</f>
        <v>16.08</v>
      </c>
      <c r="AB112" s="395" t="str">
        <f>HYPERLINK("https://youtu.be/ZrjpL0iD02w","50.39")</f>
        <v>50.39</v>
      </c>
      <c r="AC112" s="395" t="str">
        <f>HYPERLINK("https://youtu.be/sa6u4O9MT1M","32.66")</f>
        <v>32.66</v>
      </c>
      <c r="AD112" s="395" t="str">
        <f>HYPERLINK("https://youtu.be/GozrT86fqbM","58.70")</f>
        <v>58.70</v>
      </c>
      <c r="AE112" s="837"/>
      <c r="AF112" s="395" t="str">
        <f>HYPERLINK("https://youtu.be/PVFUWugsyg8","1:33.34")</f>
        <v>1:33.34</v>
      </c>
      <c r="AG112" s="395" t="str">
        <f>HYPERLINK("https://youtu.be/NldxLPYEXu8","16.20")</f>
        <v>16.20</v>
      </c>
      <c r="AH112" s="837"/>
      <c r="AI112" s="837"/>
      <c r="AJ112" s="837"/>
      <c r="AK112" s="837"/>
      <c r="AL112" s="105"/>
      <c r="AM112" s="839"/>
      <c r="AN112" s="839"/>
      <c r="AO112" s="839"/>
      <c r="AP112" s="839"/>
      <c r="AQ112" s="839"/>
      <c r="AR112" s="839"/>
      <c r="AS112" s="839"/>
      <c r="AT112" s="839"/>
      <c r="AU112" s="839" t="s">
        <v>283</v>
      </c>
      <c r="AV112" s="573" t="s">
        <v>10423</v>
      </c>
      <c r="AW112" s="839"/>
      <c r="AX112" s="839"/>
      <c r="AY112" s="839"/>
      <c r="AZ112" s="839"/>
      <c r="BA112" s="839"/>
      <c r="BB112" s="414" t="str">
        <f>HYPERLINK("https://youtu.be/FVUrPTSxMUI","58.48")</f>
        <v>58.48</v>
      </c>
      <c r="BC112" s="414" t="str">
        <f>HYPERLINK("https://youtu.be/udpjU0UJxjs","44.66")</f>
        <v>44.66</v>
      </c>
      <c r="BD112" s="580"/>
      <c r="BE112" s="414" t="str">
        <f>HYPERLINK("https://youtu.be/Tcy-nguijJ0","42.63")</f>
        <v>42.63</v>
      </c>
      <c r="BF112" s="414" t="str">
        <f>HYPERLINK("https://youtu.be/G5KP-Cm26MY","57.13")</f>
        <v>57.13</v>
      </c>
      <c r="BG112" s="580"/>
      <c r="BH112" s="580"/>
      <c r="BI112" s="414" t="str">
        <f>HYPERLINK("https://youtu.be/IM1EGP9Yw_I","30.52")</f>
        <v>30.52</v>
      </c>
      <c r="BJ112" s="414" t="str">
        <f>HYPERLINK("https://youtu.be/LziEUjbbRpI","1:38.20")</f>
        <v>1:38.20</v>
      </c>
      <c r="BK112" s="1882"/>
      <c r="BL112" s="414" t="str">
        <f>HYPERLINK("https://youtu.be/s2PuD6GykFw","13.17")</f>
        <v>13.17</v>
      </c>
      <c r="BM112" s="580"/>
      <c r="BN112" s="580"/>
      <c r="BO112" s="580"/>
      <c r="BP112" s="580"/>
      <c r="BQ112" s="845"/>
      <c r="BR112" s="785"/>
      <c r="BS112" s="421" t="str">
        <f>HYPERLINK("https://youtu.be/6w-myNoajJg","58.38")</f>
        <v>58.38</v>
      </c>
      <c r="BT112" s="421" t="str">
        <f>HYPERLINK("https://youtu.be/gKxrYjtW2uU","37.09")</f>
        <v>37.09</v>
      </c>
      <c r="BU112" s="421" t="str">
        <f>HYPERLINK("https://youtu.be/ZaAyA8XkdIg","27.59")</f>
        <v>27.59</v>
      </c>
      <c r="BV112" s="421" t="str">
        <f>HYPERLINK("https://youtu.be/A-AjGNT9Akw","1:01.41")</f>
        <v>1:01.41</v>
      </c>
      <c r="BW112" s="421" t="str">
        <f>HYPERLINK("https://youtu.be/OZdwQtQ-2Ik","24.84")</f>
        <v>24.84</v>
      </c>
      <c r="BX112" s="849"/>
      <c r="BY112" s="421" t="str">
        <f>HYPERLINK("https://youtu.be/NPeVhJzT7Z8","2:25.25")</f>
        <v>2:25.25</v>
      </c>
      <c r="BZ112" s="849"/>
      <c r="CA112" s="421" t="str">
        <f>HYPERLINK("https://youtu.be/BawHjdQYAtM","26.95")</f>
        <v>26.95</v>
      </c>
      <c r="CB112" s="849"/>
      <c r="CC112" s="849"/>
      <c r="CD112" s="849"/>
      <c r="CE112" s="849"/>
      <c r="CF112" s="851"/>
      <c r="CG112" s="428" t="str">
        <f>HYPERLINK("https://youtu.be/62NhTLPVKjw","1:00.91")</f>
        <v>1:00.91</v>
      </c>
      <c r="CH112" s="428" t="str">
        <f>HYPERLINK("https://youtu.be/EBdeVZy-Uj8","31.85")</f>
        <v>31.85</v>
      </c>
      <c r="CI112" s="428" t="str">
        <f>HYPERLINK("https://youtu.be/F7o8tiqYcoQ","36.53")</f>
        <v>36.53</v>
      </c>
      <c r="CJ112" s="428" t="str">
        <f>HYPERLINK("https://youtu.be/F-20O1FDNbI","1:45.11")</f>
        <v>1:45.11</v>
      </c>
      <c r="CK112" s="431"/>
      <c r="CL112" s="431"/>
      <c r="CM112" s="428" t="str">
        <f>HYPERLINK("https://youtu.be/laXVd0bt5ls","59.39")</f>
        <v>59.39</v>
      </c>
      <c r="CN112" s="428" t="str">
        <f>HYPERLINK("https://youtu.be/bbQZUGvQ660","33.64")</f>
        <v>33.64</v>
      </c>
      <c r="CO112" s="428" t="str">
        <f>HYPERLINK("https://youtu.be/qmCJrcHmGv0","18.97")</f>
        <v>18.97</v>
      </c>
      <c r="CP112" s="852"/>
      <c r="CQ112" s="852"/>
      <c r="CR112" s="852"/>
      <c r="CS112" s="852"/>
      <c r="CT112" s="852"/>
      <c r="CU112" s="106"/>
      <c r="CV112" s="1030" t="s">
        <v>11149</v>
      </c>
      <c r="CW112" s="853"/>
      <c r="CX112" s="444" t="str">
        <f>HYPERLINK("https://youtu.be/2KJZjpdxuJ4","34.36")</f>
        <v>34.36</v>
      </c>
      <c r="CY112" s="444" t="str">
        <f>HYPERLINK("https://youtu.be/cSzurkVRqKk","47.30")</f>
        <v>47.30</v>
      </c>
      <c r="CZ112" s="795"/>
      <c r="DA112" s="853"/>
      <c r="DB112" s="444" t="str">
        <f>HYPERLINK("https://youtu.be/pJSyxtrpIkc","2:09.20")</f>
        <v>2:09.20</v>
      </c>
      <c r="DC112" s="444" t="str">
        <f>HYPERLINK("https://youtu.be/UyQIhy-_kf8","19.15")</f>
        <v>19.15</v>
      </c>
      <c r="DD112" s="853"/>
      <c r="DE112" s="853"/>
      <c r="DF112" s="853"/>
      <c r="DG112" s="853"/>
      <c r="DH112" s="853"/>
      <c r="DI112" s="855"/>
      <c r="DJ112" s="855"/>
      <c r="DK112" s="855"/>
      <c r="DL112" s="855"/>
      <c r="DM112" s="855"/>
      <c r="DN112" s="855"/>
      <c r="DO112" s="855"/>
      <c r="DP112" s="855"/>
      <c r="DQ112" s="855"/>
      <c r="DR112" s="473" t="str">
        <f>HYPERLINK("https://youtu.be/e2gZuoa_caE","1:35.31")</f>
        <v>1:35.31</v>
      </c>
      <c r="DS112" s="477"/>
      <c r="DT112" s="855"/>
      <c r="DU112" s="855"/>
      <c r="DV112" s="855"/>
      <c r="DW112" s="855"/>
      <c r="DX112" s="855"/>
      <c r="DY112" s="855"/>
      <c r="DZ112" s="855"/>
      <c r="EA112" s="855"/>
      <c r="EB112" s="855"/>
      <c r="EC112" s="855"/>
      <c r="ED112" s="1039"/>
    </row>
    <row r="113">
      <c r="A113" s="244" t="s">
        <v>7695</v>
      </c>
      <c r="B113" s="245" t="s">
        <v>11150</v>
      </c>
      <c r="C113" s="246" t="s">
        <v>271</v>
      </c>
      <c r="D113" s="247" t="s">
        <v>271</v>
      </c>
      <c r="E113" s="248" t="s">
        <v>271</v>
      </c>
      <c r="F113" s="249" t="s">
        <v>171</v>
      </c>
      <c r="G113" s="245" t="s">
        <v>2387</v>
      </c>
      <c r="H113" s="320"/>
      <c r="I113" s="286" t="s">
        <v>5836</v>
      </c>
      <c r="J113" s="257" t="s">
        <v>11151</v>
      </c>
      <c r="K113" s="286" t="s">
        <v>10629</v>
      </c>
      <c r="L113" s="881" t="s">
        <v>1889</v>
      </c>
      <c r="M113" s="320"/>
      <c r="N113" s="286" t="s">
        <v>4972</v>
      </c>
      <c r="O113" s="286" t="s">
        <v>4254</v>
      </c>
      <c r="P113" s="286" t="s">
        <v>10083</v>
      </c>
      <c r="Q113" s="320"/>
      <c r="R113" s="320"/>
      <c r="S113" s="320"/>
      <c r="T113" s="320"/>
      <c r="U113" s="320"/>
      <c r="V113" s="320"/>
      <c r="W113" s="106"/>
      <c r="X113" s="286" t="s">
        <v>6030</v>
      </c>
      <c r="Y113" s="286"/>
      <c r="Z113" s="286" t="s">
        <v>1892</v>
      </c>
      <c r="AA113" s="286" t="s">
        <v>9877</v>
      </c>
      <c r="AB113" s="286" t="s">
        <v>11152</v>
      </c>
      <c r="AC113" s="286" t="s">
        <v>1434</v>
      </c>
      <c r="AD113" s="286" t="s">
        <v>7125</v>
      </c>
      <c r="AE113" s="320"/>
      <c r="AF113" s="320"/>
      <c r="AG113" s="286" t="s">
        <v>1445</v>
      </c>
      <c r="AH113" s="320"/>
      <c r="AI113" s="320"/>
      <c r="AJ113" s="320"/>
      <c r="AK113" s="320"/>
      <c r="AL113" s="105"/>
      <c r="AM113" s="320"/>
      <c r="AN113" s="320"/>
      <c r="AO113" s="320"/>
      <c r="AP113" s="320"/>
      <c r="AQ113" s="320"/>
      <c r="AR113" s="320"/>
      <c r="AS113" s="320"/>
      <c r="AT113" s="320"/>
      <c r="AU113" s="286" t="s">
        <v>9981</v>
      </c>
      <c r="AV113" s="286" t="s">
        <v>11153</v>
      </c>
      <c r="AW113" s="320"/>
      <c r="AX113" s="320"/>
      <c r="AY113" s="320"/>
      <c r="AZ113" s="320"/>
      <c r="BA113" s="320"/>
      <c r="BB113" s="286" t="s">
        <v>4429</v>
      </c>
      <c r="BC113" s="286" t="s">
        <v>1066</v>
      </c>
      <c r="BD113" s="286" t="s">
        <v>10716</v>
      </c>
      <c r="BE113" s="286" t="s">
        <v>9360</v>
      </c>
      <c r="BF113" s="286" t="s">
        <v>4215</v>
      </c>
      <c r="BG113" s="320"/>
      <c r="BH113" s="320"/>
      <c r="BI113" s="286" t="s">
        <v>8397</v>
      </c>
      <c r="BJ113" s="286" t="s">
        <v>11154</v>
      </c>
      <c r="BK113" s="286" t="s">
        <v>2762</v>
      </c>
      <c r="BL113" s="286" t="s">
        <v>10652</v>
      </c>
      <c r="BM113" s="320"/>
      <c r="BN113" s="320"/>
      <c r="BO113" s="320"/>
      <c r="BP113" s="320"/>
      <c r="BQ113" s="824"/>
      <c r="BR113" s="320"/>
      <c r="BS113" s="320"/>
      <c r="BT113" s="286" t="s">
        <v>11155</v>
      </c>
      <c r="BU113" s="286" t="s">
        <v>11156</v>
      </c>
      <c r="BV113" s="320"/>
      <c r="BW113" s="286" t="s">
        <v>11157</v>
      </c>
      <c r="BX113" s="320"/>
      <c r="BY113" s="320"/>
      <c r="BZ113" s="320"/>
      <c r="CA113" s="320"/>
      <c r="CB113" s="320"/>
      <c r="CC113" s="320"/>
      <c r="CD113" s="320"/>
      <c r="CE113" s="320"/>
      <c r="CF113" s="824"/>
      <c r="CG113" s="286" t="s">
        <v>5269</v>
      </c>
      <c r="CH113" s="286" t="s">
        <v>9593</v>
      </c>
      <c r="CI113" s="320"/>
      <c r="CJ113" s="320"/>
      <c r="CK113" s="320"/>
      <c r="CL113" s="320"/>
      <c r="CM113" s="286" t="s">
        <v>6990</v>
      </c>
      <c r="CN113" s="286" t="s">
        <v>5317</v>
      </c>
      <c r="CO113" s="320"/>
      <c r="CP113" s="320"/>
      <c r="CQ113" s="320"/>
      <c r="CR113" s="320"/>
      <c r="CS113" s="320"/>
      <c r="CT113" s="320"/>
      <c r="CU113" s="106"/>
      <c r="CV113" s="320"/>
      <c r="CW113" s="320"/>
      <c r="CX113" s="286" t="s">
        <v>5315</v>
      </c>
      <c r="CY113" s="320"/>
      <c r="CZ113" s="320"/>
      <c r="DA113" s="320"/>
      <c r="DB113" s="320"/>
      <c r="DC113" s="320"/>
      <c r="DD113" s="320"/>
      <c r="DE113" s="320"/>
      <c r="DF113" s="320"/>
      <c r="DG113" s="320"/>
      <c r="DH113" s="320"/>
      <c r="DI113" s="320"/>
      <c r="DJ113" s="320"/>
      <c r="DK113" s="320"/>
      <c r="DL113" s="320"/>
      <c r="DM113" s="320"/>
      <c r="DN113" s="320"/>
      <c r="DO113" s="320"/>
      <c r="DP113" s="320"/>
      <c r="DQ113" s="320"/>
      <c r="DR113" s="320"/>
      <c r="DS113" s="320"/>
      <c r="DT113" s="320"/>
      <c r="DU113" s="320"/>
      <c r="DV113" s="320"/>
      <c r="DW113" s="320"/>
      <c r="DX113" s="320"/>
      <c r="DY113" s="320"/>
      <c r="DZ113" s="320"/>
      <c r="EA113" s="320"/>
      <c r="EB113" s="320"/>
      <c r="EC113" s="320"/>
      <c r="ED113" s="862"/>
    </row>
    <row r="114">
      <c r="A114" s="540" t="s">
        <v>11158</v>
      </c>
      <c r="B114" s="378" t="s">
        <v>11159</v>
      </c>
      <c r="C114" s="379" t="s">
        <v>271</v>
      </c>
      <c r="D114" s="380" t="s">
        <v>271</v>
      </c>
      <c r="E114" s="381" t="s">
        <v>271</v>
      </c>
      <c r="F114" s="382" t="s">
        <v>171</v>
      </c>
      <c r="G114" s="378" t="s">
        <v>1234</v>
      </c>
      <c r="H114" s="541"/>
      <c r="I114" s="541" t="s">
        <v>11160</v>
      </c>
      <c r="J114" s="541" t="s">
        <v>11161</v>
      </c>
      <c r="K114" s="541" t="s">
        <v>10007</v>
      </c>
      <c r="L114" s="541" t="s">
        <v>6109</v>
      </c>
      <c r="M114" s="387" t="str">
        <f>HYPERLINK("https://www.twitch.tv/videos/204820156","2:20.22")</f>
        <v>2:20.22</v>
      </c>
      <c r="N114" s="541" t="s">
        <v>4169</v>
      </c>
      <c r="O114" s="541" t="s">
        <v>4366</v>
      </c>
      <c r="P114" s="1796" t="s">
        <v>1436</v>
      </c>
      <c r="Q114" s="541"/>
      <c r="R114" s="541"/>
      <c r="S114" s="541"/>
      <c r="T114" s="541"/>
      <c r="U114" s="541"/>
      <c r="V114" s="835"/>
      <c r="W114" s="106"/>
      <c r="X114" s="670" t="s">
        <v>3241</v>
      </c>
      <c r="Y114" s="1287"/>
      <c r="Z114" s="1287" t="s">
        <v>1557</v>
      </c>
      <c r="AA114" s="670" t="s">
        <v>1710</v>
      </c>
      <c r="AB114" s="670" t="s">
        <v>10942</v>
      </c>
      <c r="AC114" s="670" t="s">
        <v>10500</v>
      </c>
      <c r="AD114" s="670" t="s">
        <v>5851</v>
      </c>
      <c r="AE114" s="670"/>
      <c r="AF114" s="670" t="s">
        <v>3004</v>
      </c>
      <c r="AG114" s="670" t="s">
        <v>10871</v>
      </c>
      <c r="AH114" s="670"/>
      <c r="AI114" s="670"/>
      <c r="AJ114" s="670"/>
      <c r="AK114" s="837"/>
      <c r="AL114" s="105"/>
      <c r="AM114" s="839"/>
      <c r="AN114" s="570"/>
      <c r="AO114" s="839"/>
      <c r="AP114" s="570"/>
      <c r="AQ114" s="839"/>
      <c r="AR114" s="839"/>
      <c r="AS114" s="839"/>
      <c r="AT114" s="570"/>
      <c r="AU114" s="570" t="s">
        <v>3845</v>
      </c>
      <c r="AV114" s="570" t="s">
        <v>9998</v>
      </c>
      <c r="AW114" s="839"/>
      <c r="AX114" s="570"/>
      <c r="AY114" s="570"/>
      <c r="AZ114" s="570"/>
      <c r="BA114" s="570"/>
      <c r="BB114" s="581" t="s">
        <v>6925</v>
      </c>
      <c r="BC114" s="581" t="s">
        <v>3473</v>
      </c>
      <c r="BD114" s="581" t="s">
        <v>8875</v>
      </c>
      <c r="BE114" s="581" t="s">
        <v>10630</v>
      </c>
      <c r="BF114" s="581" t="s">
        <v>5943</v>
      </c>
      <c r="BG114" s="581"/>
      <c r="BH114" s="581"/>
      <c r="BI114" s="581" t="s">
        <v>1971</v>
      </c>
      <c r="BJ114" s="580"/>
      <c r="BK114" s="581" t="s">
        <v>11162</v>
      </c>
      <c r="BL114" s="581"/>
      <c r="BM114" s="581"/>
      <c r="BN114" s="581"/>
      <c r="BO114" s="581"/>
      <c r="BP114" s="581"/>
      <c r="BQ114" s="1145"/>
      <c r="BR114" s="589"/>
      <c r="BS114" s="589"/>
      <c r="BT114" s="589" t="s">
        <v>11163</v>
      </c>
      <c r="BU114" s="589"/>
      <c r="BV114" s="589" t="s">
        <v>3646</v>
      </c>
      <c r="BW114" s="589" t="s">
        <v>11164</v>
      </c>
      <c r="BX114" s="589"/>
      <c r="BY114" s="589"/>
      <c r="BZ114" s="589" t="s">
        <v>4333</v>
      </c>
      <c r="CA114" s="589" t="s">
        <v>4123</v>
      </c>
      <c r="CB114" s="589"/>
      <c r="CC114" s="589"/>
      <c r="CD114" s="589"/>
      <c r="CE114" s="589"/>
      <c r="CF114" s="1150"/>
      <c r="CG114" s="593" t="s">
        <v>8187</v>
      </c>
      <c r="CH114" s="593" t="s">
        <v>5682</v>
      </c>
      <c r="CI114" s="593"/>
      <c r="CJ114" s="593"/>
      <c r="CK114" s="593"/>
      <c r="CL114" s="593"/>
      <c r="CM114" s="593" t="s">
        <v>3437</v>
      </c>
      <c r="CN114" s="593" t="s">
        <v>552</v>
      </c>
      <c r="CO114" s="593" t="s">
        <v>10121</v>
      </c>
      <c r="CP114" s="593"/>
      <c r="CQ114" s="593"/>
      <c r="CR114" s="593"/>
      <c r="CS114" s="593"/>
      <c r="CT114" s="593"/>
      <c r="CU114" s="106"/>
      <c r="CV114" s="683" t="s">
        <v>6653</v>
      </c>
      <c r="CW114" s="683" t="s">
        <v>4550</v>
      </c>
      <c r="CX114" s="683" t="s">
        <v>10967</v>
      </c>
      <c r="CY114" s="683" t="s">
        <v>4346</v>
      </c>
      <c r="CZ114" s="683" t="s">
        <v>11165</v>
      </c>
      <c r="DA114" s="683"/>
      <c r="DB114" s="683" t="s">
        <v>11166</v>
      </c>
      <c r="DC114" s="683" t="s">
        <v>5591</v>
      </c>
      <c r="DD114" s="683"/>
      <c r="DE114" s="683"/>
      <c r="DF114" s="683"/>
      <c r="DG114" s="683"/>
      <c r="DH114" s="683"/>
      <c r="DI114" s="685"/>
      <c r="DJ114" s="685"/>
      <c r="DK114" s="685"/>
      <c r="DL114" s="685"/>
      <c r="DM114" s="685"/>
      <c r="DN114" s="685"/>
      <c r="DO114" s="685"/>
      <c r="DP114" s="685"/>
      <c r="DQ114" s="685"/>
      <c r="DR114" s="685"/>
      <c r="DS114" s="685"/>
      <c r="DT114" s="685"/>
      <c r="DU114" s="685"/>
      <c r="DV114" s="685"/>
      <c r="DW114" s="685"/>
      <c r="DX114" s="685"/>
      <c r="DY114" s="685"/>
      <c r="DZ114" s="685"/>
      <c r="EA114" s="685"/>
      <c r="EB114" s="685"/>
      <c r="EC114" s="685"/>
      <c r="ED114" s="1039"/>
    </row>
    <row r="115">
      <c r="A115" s="487" t="s">
        <v>11167</v>
      </c>
      <c r="B115" s="245" t="s">
        <v>11168</v>
      </c>
      <c r="C115" s="246" t="s">
        <v>271</v>
      </c>
      <c r="D115" s="247" t="s">
        <v>271</v>
      </c>
      <c r="E115" s="248" t="s">
        <v>271</v>
      </c>
      <c r="F115" s="249" t="s">
        <v>176</v>
      </c>
      <c r="G115" s="245" t="s">
        <v>1725</v>
      </c>
      <c r="H115" s="286" t="s">
        <v>3241</v>
      </c>
      <c r="I115" s="1883" t="s">
        <v>6441</v>
      </c>
      <c r="J115" s="286" t="s">
        <v>11169</v>
      </c>
      <c r="K115" s="257" t="s">
        <v>9568</v>
      </c>
      <c r="L115" s="286" t="s">
        <v>5039</v>
      </c>
      <c r="M115" s="320"/>
      <c r="N115" s="320"/>
      <c r="O115" s="286" t="s">
        <v>735</v>
      </c>
      <c r="P115" s="286" t="s">
        <v>422</v>
      </c>
      <c r="Q115" s="320"/>
      <c r="R115" s="320"/>
      <c r="S115" s="286" t="s">
        <v>9449</v>
      </c>
      <c r="T115" s="320"/>
      <c r="U115" s="320"/>
      <c r="V115" s="320"/>
      <c r="W115" s="106"/>
      <c r="X115" s="257" t="s">
        <v>9731</v>
      </c>
      <c r="Y115" s="278"/>
      <c r="Z115" s="278" t="s">
        <v>3772</v>
      </c>
      <c r="AA115" s="278" t="s">
        <v>10351</v>
      </c>
      <c r="AB115" s="278" t="s">
        <v>5988</v>
      </c>
      <c r="AC115" s="286" t="s">
        <v>11170</v>
      </c>
      <c r="AD115" s="286" t="s">
        <v>5071</v>
      </c>
      <c r="AE115" s="320"/>
      <c r="AF115" s="286" t="s">
        <v>7154</v>
      </c>
      <c r="AG115" s="286" t="s">
        <v>1431</v>
      </c>
      <c r="AH115" s="320"/>
      <c r="AI115" s="320"/>
      <c r="AJ115" s="320"/>
      <c r="AK115" s="320"/>
      <c r="AL115" s="105"/>
      <c r="AM115" s="320"/>
      <c r="AN115" s="320"/>
      <c r="AO115" s="320"/>
      <c r="AP115" s="320"/>
      <c r="AQ115" s="320"/>
      <c r="AR115" s="320"/>
      <c r="AS115" s="320"/>
      <c r="AT115" s="320"/>
      <c r="AU115" s="286" t="s">
        <v>5560</v>
      </c>
      <c r="AV115" s="316" t="str">
        <f>HYPERLINK("https://clips.twitch.tv/RepleteObedientChickenPicoMause","29.05")</f>
        <v>29.05</v>
      </c>
      <c r="AW115" s="320"/>
      <c r="AX115" s="320"/>
      <c r="AY115" s="320"/>
      <c r="AZ115" s="320"/>
      <c r="BA115" s="320"/>
      <c r="BB115" s="320"/>
      <c r="BC115" s="320"/>
      <c r="BD115" s="286" t="s">
        <v>573</v>
      </c>
      <c r="BE115" s="286" t="s">
        <v>3182</v>
      </c>
      <c r="BF115" s="286" t="s">
        <v>6990</v>
      </c>
      <c r="BG115" s="320"/>
      <c r="BH115" s="320"/>
      <c r="BI115" s="1778" t="s">
        <v>3932</v>
      </c>
      <c r="BJ115" s="320"/>
      <c r="BK115" s="320"/>
      <c r="BL115" s="320"/>
      <c r="BM115" s="320"/>
      <c r="BN115" s="320"/>
      <c r="BO115" s="320"/>
      <c r="BP115" s="320"/>
      <c r="BQ115" s="824"/>
      <c r="BR115" s="286"/>
      <c r="BS115" s="320"/>
      <c r="BT115" s="286" t="s">
        <v>11087</v>
      </c>
      <c r="BU115" s="286" t="s">
        <v>509</v>
      </c>
      <c r="BV115" s="320"/>
      <c r="BW115" s="257" t="s">
        <v>4176</v>
      </c>
      <c r="BX115" s="320"/>
      <c r="BY115" s="320"/>
      <c r="BZ115" s="320"/>
      <c r="CA115" s="320"/>
      <c r="CB115" s="320"/>
      <c r="CC115" s="286" t="s">
        <v>11171</v>
      </c>
      <c r="CD115" s="286"/>
      <c r="CE115" s="320"/>
      <c r="CF115" s="824"/>
      <c r="CG115" s="286" t="s">
        <v>11172</v>
      </c>
      <c r="CH115" s="320"/>
      <c r="CI115" s="320"/>
      <c r="CJ115" s="320"/>
      <c r="CK115" s="320"/>
      <c r="CL115" s="320"/>
      <c r="CM115" s="320"/>
      <c r="CN115" s="511" t="s">
        <v>4100</v>
      </c>
      <c r="CO115" s="286"/>
      <c r="CP115" s="320"/>
      <c r="CQ115" s="320"/>
      <c r="CR115" s="320"/>
      <c r="CS115" s="320"/>
      <c r="CT115" s="320"/>
      <c r="CU115" s="106"/>
      <c r="CV115" s="286" t="s">
        <v>10214</v>
      </c>
      <c r="CW115" s="286" t="s">
        <v>10547</v>
      </c>
      <c r="CX115" s="278" t="s">
        <v>9971</v>
      </c>
      <c r="CY115" s="286" t="s">
        <v>4088</v>
      </c>
      <c r="CZ115" s="286" t="s">
        <v>9567</v>
      </c>
      <c r="DA115" s="320"/>
      <c r="DB115" s="286" t="s">
        <v>10248</v>
      </c>
      <c r="DC115" s="286" t="s">
        <v>7360</v>
      </c>
      <c r="DD115" s="320"/>
      <c r="DE115" s="320"/>
      <c r="DF115" s="320"/>
      <c r="DG115" s="320"/>
      <c r="DH115" s="320"/>
      <c r="DI115" s="286" t="s">
        <v>1083</v>
      </c>
      <c r="DJ115" s="320"/>
      <c r="DK115" s="320"/>
      <c r="DL115" s="320"/>
      <c r="DM115" s="320"/>
      <c r="DN115" s="320"/>
      <c r="DO115" s="320"/>
      <c r="DP115" s="320"/>
      <c r="DQ115" s="320"/>
      <c r="DR115" s="320"/>
      <c r="DS115" s="320"/>
      <c r="DT115" s="320"/>
      <c r="DU115" s="320"/>
      <c r="DV115" s="320"/>
      <c r="DW115" s="320"/>
      <c r="DX115" s="286"/>
      <c r="DY115" s="320"/>
      <c r="DZ115" s="320"/>
      <c r="EA115" s="320"/>
      <c r="EB115" s="320"/>
      <c r="EC115" s="320"/>
      <c r="ED115" s="862"/>
    </row>
    <row r="116">
      <c r="A116" s="540" t="s">
        <v>89</v>
      </c>
      <c r="B116" s="378" t="s">
        <v>11173</v>
      </c>
      <c r="C116" s="1884" t="s">
        <v>271</v>
      </c>
      <c r="D116" s="1885" t="s">
        <v>271</v>
      </c>
      <c r="E116" s="1886" t="s">
        <v>271</v>
      </c>
      <c r="F116" s="382" t="s">
        <v>394</v>
      </c>
      <c r="G116" s="1887" t="s">
        <v>1055</v>
      </c>
      <c r="H116" s="835"/>
      <c r="I116" s="1888" t="s">
        <v>5460</v>
      </c>
      <c r="J116" s="541" t="s">
        <v>11174</v>
      </c>
      <c r="K116" s="1889" t="s">
        <v>11175</v>
      </c>
      <c r="L116" s="1888" t="s">
        <v>5873</v>
      </c>
      <c r="M116" s="541" t="s">
        <v>6385</v>
      </c>
      <c r="N116" s="541" t="s">
        <v>10725</v>
      </c>
      <c r="O116" s="1890" t="s">
        <v>9796</v>
      </c>
      <c r="P116" s="1890" t="s">
        <v>10885</v>
      </c>
      <c r="Q116" s="835"/>
      <c r="R116" s="835"/>
      <c r="S116" s="1890" t="s">
        <v>10861</v>
      </c>
      <c r="T116" s="835"/>
      <c r="U116" s="835"/>
      <c r="V116" s="835"/>
      <c r="W116" s="106"/>
      <c r="X116" s="1891" t="s">
        <v>3863</v>
      </c>
      <c r="Y116" s="908"/>
      <c r="Z116" s="1892" t="s">
        <v>2156</v>
      </c>
      <c r="AA116" s="670" t="s">
        <v>1479</v>
      </c>
      <c r="AB116" s="1893" t="s">
        <v>5934</v>
      </c>
      <c r="AC116" s="1891" t="s">
        <v>6672</v>
      </c>
      <c r="AD116" s="670" t="s">
        <v>11176</v>
      </c>
      <c r="AE116" s="837"/>
      <c r="AF116" s="837"/>
      <c r="AG116" s="1893" t="s">
        <v>662</v>
      </c>
      <c r="AH116" s="837"/>
      <c r="AI116" s="837"/>
      <c r="AJ116" s="670" t="s">
        <v>4688</v>
      </c>
      <c r="AK116" s="1893" t="s">
        <v>11177</v>
      </c>
      <c r="AL116" s="105"/>
      <c r="AM116" s="839"/>
      <c r="AN116" s="1894" t="s">
        <v>1772</v>
      </c>
      <c r="AO116" s="1894" t="s">
        <v>11178</v>
      </c>
      <c r="AP116" s="839"/>
      <c r="AQ116" s="1894" t="s">
        <v>3847</v>
      </c>
      <c r="AR116" s="570"/>
      <c r="AS116" s="839"/>
      <c r="AT116" s="839"/>
      <c r="AU116" s="1894" t="s">
        <v>11114</v>
      </c>
      <c r="AV116" s="1894" t="s">
        <v>11179</v>
      </c>
      <c r="AW116" s="839"/>
      <c r="AX116" s="839"/>
      <c r="AY116" s="1894" t="s">
        <v>11180</v>
      </c>
      <c r="AZ116" s="839"/>
      <c r="BA116" s="839"/>
      <c r="BB116" s="1145" t="s">
        <v>11181</v>
      </c>
      <c r="BC116" s="1145" t="s">
        <v>3983</v>
      </c>
      <c r="BD116" s="1145" t="s">
        <v>10716</v>
      </c>
      <c r="BE116" s="1895" t="s">
        <v>2751</v>
      </c>
      <c r="BF116" s="581" t="s">
        <v>4211</v>
      </c>
      <c r="BG116" s="580"/>
      <c r="BH116" s="580"/>
      <c r="BI116" s="1145" t="s">
        <v>2666</v>
      </c>
      <c r="BJ116" s="1896"/>
      <c r="BK116" s="1145" t="s">
        <v>11182</v>
      </c>
      <c r="BL116" s="1145" t="s">
        <v>11183</v>
      </c>
      <c r="BM116" s="581"/>
      <c r="BN116" s="417" t="s">
        <v>2772</v>
      </c>
      <c r="BO116" s="580"/>
      <c r="BP116" s="580"/>
      <c r="BQ116" s="845"/>
      <c r="BR116" s="1150" t="s">
        <v>5882</v>
      </c>
      <c r="BS116" s="589" t="s">
        <v>11184</v>
      </c>
      <c r="BT116" s="1150" t="s">
        <v>4194</v>
      </c>
      <c r="BU116" s="849"/>
      <c r="BV116" s="589" t="s">
        <v>10649</v>
      </c>
      <c r="BW116" s="1897" t="s">
        <v>3937</v>
      </c>
      <c r="BX116" s="1150" t="s">
        <v>11185</v>
      </c>
      <c r="BY116" s="1898" t="s">
        <v>1505</v>
      </c>
      <c r="BZ116" s="1898" t="s">
        <v>11186</v>
      </c>
      <c r="CA116" s="422" t="s">
        <v>9914</v>
      </c>
      <c r="CB116" s="849"/>
      <c r="CC116" s="849"/>
      <c r="CD116" s="1150" t="s">
        <v>9515</v>
      </c>
      <c r="CE116" s="849"/>
      <c r="CF116" s="851"/>
      <c r="CG116" s="1899" t="s">
        <v>7479</v>
      </c>
      <c r="CH116" s="1899" t="s">
        <v>11187</v>
      </c>
      <c r="CI116" s="852"/>
      <c r="CJ116" s="852"/>
      <c r="CK116" s="852"/>
      <c r="CL116" s="852"/>
      <c r="CM116" s="852"/>
      <c r="CN116" s="1899" t="s">
        <v>1335</v>
      </c>
      <c r="CO116" s="1899" t="s">
        <v>10511</v>
      </c>
      <c r="CP116" s="852"/>
      <c r="CQ116" s="852"/>
      <c r="CR116" s="852"/>
      <c r="CS116" s="852"/>
      <c r="CT116" s="852"/>
      <c r="CU116" s="106"/>
      <c r="CV116" s="1900" t="s">
        <v>2347</v>
      </c>
      <c r="CW116" s="853"/>
      <c r="CX116" s="444" t="s">
        <v>8444</v>
      </c>
      <c r="CY116" s="683"/>
      <c r="CZ116" s="1901" t="s">
        <v>11188</v>
      </c>
      <c r="DA116" s="853"/>
      <c r="DB116" s="1902" t="s">
        <v>11189</v>
      </c>
      <c r="DC116" s="1901" t="s">
        <v>11190</v>
      </c>
      <c r="DD116" s="853"/>
      <c r="DE116" s="853"/>
      <c r="DF116" s="683"/>
      <c r="DG116" s="853"/>
      <c r="DH116" s="853"/>
      <c r="DI116" s="855"/>
      <c r="DJ116" s="855"/>
      <c r="DK116" s="855"/>
      <c r="DL116" s="685"/>
      <c r="DM116" s="481" t="s">
        <v>1768</v>
      </c>
      <c r="DN116" s="1903" t="s">
        <v>11191</v>
      </c>
      <c r="DO116" s="1903" t="s">
        <v>4411</v>
      </c>
      <c r="DP116" s="1903" t="s">
        <v>11192</v>
      </c>
      <c r="DQ116" s="855"/>
      <c r="DR116" s="855"/>
      <c r="DS116" s="855"/>
      <c r="DT116" s="855"/>
      <c r="DU116" s="855"/>
      <c r="DV116" s="855"/>
      <c r="DW116" s="855"/>
      <c r="DX116" s="855"/>
      <c r="DY116" s="855"/>
      <c r="DZ116" s="1904" t="s">
        <v>991</v>
      </c>
      <c r="EA116" s="1903" t="s">
        <v>9797</v>
      </c>
      <c r="EB116" s="855"/>
      <c r="EC116" s="855"/>
      <c r="ED116" s="1039"/>
    </row>
    <row r="117">
      <c r="A117" s="1712" t="s">
        <v>3505</v>
      </c>
      <c r="B117" s="245" t="s">
        <v>11193</v>
      </c>
      <c r="C117" s="246" t="s">
        <v>271</v>
      </c>
      <c r="D117" s="247" t="s">
        <v>271</v>
      </c>
      <c r="E117" s="248" t="s">
        <v>271</v>
      </c>
      <c r="F117" s="249" t="s">
        <v>4181</v>
      </c>
      <c r="G117" s="245" t="s">
        <v>10993</v>
      </c>
      <c r="H117" s="286" t="s">
        <v>9906</v>
      </c>
      <c r="I117" s="286" t="s">
        <v>2384</v>
      </c>
      <c r="J117" s="286" t="s">
        <v>11194</v>
      </c>
      <c r="K117" s="286" t="s">
        <v>3152</v>
      </c>
      <c r="L117" s="286" t="s">
        <v>3491</v>
      </c>
      <c r="M117" s="320"/>
      <c r="N117" s="286" t="s">
        <v>9848</v>
      </c>
      <c r="O117" s="286" t="s">
        <v>3472</v>
      </c>
      <c r="P117" s="257" t="s">
        <v>1464</v>
      </c>
      <c r="Q117" s="286" t="s">
        <v>3120</v>
      </c>
      <c r="R117" s="320"/>
      <c r="S117" s="257" t="s">
        <v>9523</v>
      </c>
      <c r="T117" s="320"/>
      <c r="U117" s="286" t="s">
        <v>11195</v>
      </c>
      <c r="V117" s="257" t="s">
        <v>3809</v>
      </c>
      <c r="W117" s="106"/>
      <c r="X117" s="286" t="s">
        <v>10452</v>
      </c>
      <c r="Y117" s="286"/>
      <c r="Z117" s="286" t="s">
        <v>3567</v>
      </c>
      <c r="AA117" s="286" t="s">
        <v>5056</v>
      </c>
      <c r="AB117" s="286" t="s">
        <v>2169</v>
      </c>
      <c r="AC117" s="286" t="s">
        <v>10197</v>
      </c>
      <c r="AD117" s="286" t="s">
        <v>11196</v>
      </c>
      <c r="AE117" s="286"/>
      <c r="AF117" s="286" t="s">
        <v>6097</v>
      </c>
      <c r="AG117" s="257" t="s">
        <v>4609</v>
      </c>
      <c r="AH117" s="286" t="s">
        <v>9556</v>
      </c>
      <c r="AI117" s="351"/>
      <c r="AJ117" s="257" t="s">
        <v>9720</v>
      </c>
      <c r="AK117" s="286" t="s">
        <v>11197</v>
      </c>
      <c r="AL117" s="105"/>
      <c r="AM117" s="286" t="s">
        <v>10050</v>
      </c>
      <c r="AN117" s="286" t="s">
        <v>4590</v>
      </c>
      <c r="AO117" s="320"/>
      <c r="AP117" s="257" t="s">
        <v>11198</v>
      </c>
      <c r="AQ117" s="286" t="s">
        <v>4019</v>
      </c>
      <c r="AR117" s="286"/>
      <c r="AS117" s="286" t="s">
        <v>11199</v>
      </c>
      <c r="AT117" s="286" t="s">
        <v>11200</v>
      </c>
      <c r="AU117" s="257" t="s">
        <v>3570</v>
      </c>
      <c r="AV117" s="286" t="s">
        <v>11201</v>
      </c>
      <c r="AW117" s="286" t="s">
        <v>11202</v>
      </c>
      <c r="AX117" s="320"/>
      <c r="AY117" s="257" t="s">
        <v>6994</v>
      </c>
      <c r="AZ117" s="286" t="s">
        <v>11203</v>
      </c>
      <c r="BA117" s="286"/>
      <c r="BB117" s="320"/>
      <c r="BC117" s="286" t="s">
        <v>11204</v>
      </c>
      <c r="BD117" s="286" t="s">
        <v>9998</v>
      </c>
      <c r="BE117" s="286" t="s">
        <v>3514</v>
      </c>
      <c r="BF117" s="286" t="s">
        <v>3176</v>
      </c>
      <c r="BG117" s="286" t="s">
        <v>9881</v>
      </c>
      <c r="BH117" s="320"/>
      <c r="BI117" s="286" t="s">
        <v>11205</v>
      </c>
      <c r="BJ117" s="286" t="s">
        <v>4344</v>
      </c>
      <c r="BK117" s="320"/>
      <c r="BL117" s="511" t="s">
        <v>11183</v>
      </c>
      <c r="BM117" s="286" t="s">
        <v>6390</v>
      </c>
      <c r="BN117" s="286" t="s">
        <v>773</v>
      </c>
      <c r="BO117" s="320"/>
      <c r="BP117" s="286" t="s">
        <v>11206</v>
      </c>
      <c r="BQ117" s="286"/>
      <c r="BR117" s="320"/>
      <c r="BS117" s="286" t="s">
        <v>11207</v>
      </c>
      <c r="BT117" s="286" t="s">
        <v>605</v>
      </c>
      <c r="BU117" s="286" t="s">
        <v>1994</v>
      </c>
      <c r="BV117" s="286" t="s">
        <v>2754</v>
      </c>
      <c r="BW117" s="286" t="s">
        <v>11208</v>
      </c>
      <c r="BX117" s="320"/>
      <c r="BY117" s="257" t="s">
        <v>9800</v>
      </c>
      <c r="BZ117" s="320"/>
      <c r="CA117" s="257" t="s">
        <v>9260</v>
      </c>
      <c r="CB117" s="257" t="s">
        <v>11209</v>
      </c>
      <c r="CC117" s="257" t="s">
        <v>11210</v>
      </c>
      <c r="CD117" s="286" t="s">
        <v>9586</v>
      </c>
      <c r="CE117" s="286" t="s">
        <v>3819</v>
      </c>
      <c r="CF117" s="286"/>
      <c r="CG117" s="286" t="s">
        <v>3860</v>
      </c>
      <c r="CH117" s="286" t="s">
        <v>9952</v>
      </c>
      <c r="CI117" s="286" t="s">
        <v>1638</v>
      </c>
      <c r="CJ117" s="286" t="s">
        <v>11211</v>
      </c>
      <c r="CK117" s="286"/>
      <c r="CL117" s="286"/>
      <c r="CM117" s="286" t="s">
        <v>11212</v>
      </c>
      <c r="CN117" s="881" t="s">
        <v>4591</v>
      </c>
      <c r="CO117" s="257" t="s">
        <v>10083</v>
      </c>
      <c r="CP117" s="320"/>
      <c r="CQ117" s="286" t="s">
        <v>11213</v>
      </c>
      <c r="CR117" s="320"/>
      <c r="CS117" s="320"/>
      <c r="CT117" s="286" t="s">
        <v>5742</v>
      </c>
      <c r="CU117" s="106"/>
      <c r="CV117" s="286" t="s">
        <v>201</v>
      </c>
      <c r="CW117" s="286" t="s">
        <v>10752</v>
      </c>
      <c r="CX117" s="286" t="s">
        <v>9864</v>
      </c>
      <c r="CY117" s="286" t="s">
        <v>1303</v>
      </c>
      <c r="CZ117" s="320"/>
      <c r="DA117" s="320"/>
      <c r="DB117" s="257" t="s">
        <v>8262</v>
      </c>
      <c r="DC117" s="257" t="s">
        <v>1268</v>
      </c>
      <c r="DD117" s="286" t="s">
        <v>11214</v>
      </c>
      <c r="DE117" s="286" t="s">
        <v>6109</v>
      </c>
      <c r="DF117" s="286" t="s">
        <v>11215</v>
      </c>
      <c r="DG117" s="286" t="s">
        <v>11216</v>
      </c>
      <c r="DH117" s="286"/>
      <c r="DI117" s="286" t="s">
        <v>10396</v>
      </c>
      <c r="DJ117" s="286"/>
      <c r="DK117" s="286" t="s">
        <v>11217</v>
      </c>
      <c r="DL117" s="286"/>
      <c r="DM117" s="286" t="s">
        <v>1678</v>
      </c>
      <c r="DN117" s="286" t="s">
        <v>3932</v>
      </c>
      <c r="DO117" s="511" t="s">
        <v>11218</v>
      </c>
      <c r="DP117" s="286" t="s">
        <v>10377</v>
      </c>
      <c r="DQ117" s="320"/>
      <c r="DR117" s="286" t="s">
        <v>1776</v>
      </c>
      <c r="DS117" s="286" t="s">
        <v>11219</v>
      </c>
      <c r="DT117" s="286" t="s">
        <v>10160</v>
      </c>
      <c r="DU117" s="286" t="s">
        <v>9997</v>
      </c>
      <c r="DV117" s="286" t="s">
        <v>4086</v>
      </c>
      <c r="DW117" s="286" t="s">
        <v>4659</v>
      </c>
      <c r="DX117" s="286" t="s">
        <v>10410</v>
      </c>
      <c r="DY117" s="286" t="s">
        <v>4244</v>
      </c>
      <c r="DZ117" s="286" t="s">
        <v>844</v>
      </c>
      <c r="EA117" s="286" t="s">
        <v>1948</v>
      </c>
      <c r="EB117" s="286" t="s">
        <v>573</v>
      </c>
      <c r="EC117" s="286" t="s">
        <v>4100</v>
      </c>
      <c r="ED117" s="862" t="s">
        <v>11220</v>
      </c>
    </row>
    <row r="118">
      <c r="A118" s="540" t="s">
        <v>11221</v>
      </c>
      <c r="B118" s="378" t="s">
        <v>11222</v>
      </c>
      <c r="C118" s="379" t="s">
        <v>271</v>
      </c>
      <c r="D118" s="380" t="s">
        <v>271</v>
      </c>
      <c r="E118" s="381" t="s">
        <v>271</v>
      </c>
      <c r="F118" s="382" t="s">
        <v>271</v>
      </c>
      <c r="G118" s="378" t="s">
        <v>8906</v>
      </c>
      <c r="H118" s="541" t="s">
        <v>5034</v>
      </c>
      <c r="I118" s="541" t="s">
        <v>9305</v>
      </c>
      <c r="J118" s="541" t="s">
        <v>7896</v>
      </c>
      <c r="K118" s="541" t="s">
        <v>4338</v>
      </c>
      <c r="L118" s="541" t="s">
        <v>201</v>
      </c>
      <c r="M118" s="541" t="s">
        <v>11223</v>
      </c>
      <c r="N118" s="541" t="s">
        <v>7528</v>
      </c>
      <c r="O118" s="541" t="s">
        <v>1023</v>
      </c>
      <c r="P118" s="541" t="s">
        <v>7548</v>
      </c>
      <c r="Q118" s="835"/>
      <c r="R118" s="835"/>
      <c r="S118" s="541" t="s">
        <v>8663</v>
      </c>
      <c r="T118" s="835"/>
      <c r="U118" s="541" t="s">
        <v>4118</v>
      </c>
      <c r="V118" s="835"/>
      <c r="W118" s="106"/>
      <c r="X118" s="670" t="s">
        <v>11224</v>
      </c>
      <c r="Y118" s="670"/>
      <c r="Z118" s="670" t="s">
        <v>3562</v>
      </c>
      <c r="AA118" s="670" t="s">
        <v>1816</v>
      </c>
      <c r="AB118" s="670" t="s">
        <v>5713</v>
      </c>
      <c r="AC118" s="670" t="s">
        <v>11225</v>
      </c>
      <c r="AD118" s="670" t="s">
        <v>11226</v>
      </c>
      <c r="AE118" s="670" t="s">
        <v>7859</v>
      </c>
      <c r="AF118" s="670" t="s">
        <v>5333</v>
      </c>
      <c r="AG118" s="670" t="s">
        <v>10533</v>
      </c>
      <c r="AH118" s="670" t="s">
        <v>5932</v>
      </c>
      <c r="AI118" s="670"/>
      <c r="AJ118" s="670" t="s">
        <v>4691</v>
      </c>
      <c r="AK118" s="670" t="s">
        <v>7140</v>
      </c>
      <c r="AL118" s="105"/>
      <c r="AM118" s="570" t="s">
        <v>6184</v>
      </c>
      <c r="AN118" s="570" t="s">
        <v>5573</v>
      </c>
      <c r="AO118" s="839"/>
      <c r="AP118" s="839"/>
      <c r="AQ118" s="839"/>
      <c r="AR118" s="839"/>
      <c r="AS118" s="570" t="s">
        <v>10366</v>
      </c>
      <c r="AT118" s="839"/>
      <c r="AU118" s="570" t="s">
        <v>11227</v>
      </c>
      <c r="AV118" s="570" t="s">
        <v>11228</v>
      </c>
      <c r="AW118" s="839"/>
      <c r="AX118" s="839"/>
      <c r="AY118" s="839"/>
      <c r="AZ118" s="839"/>
      <c r="BA118" s="839"/>
      <c r="BB118" s="581" t="s">
        <v>11229</v>
      </c>
      <c r="BC118" s="581" t="s">
        <v>11230</v>
      </c>
      <c r="BD118" s="581" t="s">
        <v>4291</v>
      </c>
      <c r="BE118" s="581" t="s">
        <v>9375</v>
      </c>
      <c r="BF118" s="581" t="s">
        <v>11231</v>
      </c>
      <c r="BG118" s="581" t="s">
        <v>1607</v>
      </c>
      <c r="BH118" s="581" t="s">
        <v>10649</v>
      </c>
      <c r="BI118" s="581" t="s">
        <v>5312</v>
      </c>
      <c r="BJ118" s="581" t="s">
        <v>3060</v>
      </c>
      <c r="BK118" s="581"/>
      <c r="BL118" s="581" t="s">
        <v>11232</v>
      </c>
      <c r="BM118" s="580"/>
      <c r="BN118" s="581" t="s">
        <v>7636</v>
      </c>
      <c r="BO118" s="581" t="s">
        <v>8355</v>
      </c>
      <c r="BP118" s="580"/>
      <c r="BQ118" s="845"/>
      <c r="BR118" s="589"/>
      <c r="BS118" s="589" t="s">
        <v>2309</v>
      </c>
      <c r="BT118" s="589" t="s">
        <v>9605</v>
      </c>
      <c r="BU118" s="589" t="s">
        <v>9269</v>
      </c>
      <c r="BV118" s="589" t="s">
        <v>11233</v>
      </c>
      <c r="BW118" s="589" t="s">
        <v>557</v>
      </c>
      <c r="BX118" s="589" t="s">
        <v>11234</v>
      </c>
      <c r="BY118" s="849"/>
      <c r="BZ118" s="589" t="s">
        <v>11235</v>
      </c>
      <c r="CA118" s="589" t="s">
        <v>11236</v>
      </c>
      <c r="CB118" s="849"/>
      <c r="CC118" s="589" t="s">
        <v>11237</v>
      </c>
      <c r="CD118" s="589" t="s">
        <v>653</v>
      </c>
      <c r="CE118" s="849"/>
      <c r="CF118" s="851"/>
      <c r="CG118" s="593" t="s">
        <v>1915</v>
      </c>
      <c r="CH118" s="593" t="s">
        <v>2666</v>
      </c>
      <c r="CI118" s="593" t="s">
        <v>1167</v>
      </c>
      <c r="CJ118" s="593" t="s">
        <v>11238</v>
      </c>
      <c r="CK118" s="593"/>
      <c r="CL118" s="593" t="s">
        <v>681</v>
      </c>
      <c r="CM118" s="593" t="s">
        <v>11239</v>
      </c>
      <c r="CN118" s="593" t="s">
        <v>4839</v>
      </c>
      <c r="CO118" s="593" t="s">
        <v>5670</v>
      </c>
      <c r="CP118" s="593" t="s">
        <v>8183</v>
      </c>
      <c r="CQ118" s="593" t="s">
        <v>1833</v>
      </c>
      <c r="CR118" s="593"/>
      <c r="CS118" s="593" t="s">
        <v>11137</v>
      </c>
      <c r="CT118" s="852"/>
      <c r="CU118" s="106"/>
      <c r="CV118" s="683" t="s">
        <v>11240</v>
      </c>
      <c r="CW118" s="683" t="s">
        <v>11241</v>
      </c>
      <c r="CX118" s="683" t="s">
        <v>9935</v>
      </c>
      <c r="CY118" s="683" t="s">
        <v>6399</v>
      </c>
      <c r="CZ118" s="683" t="s">
        <v>11242</v>
      </c>
      <c r="DA118" s="683" t="s">
        <v>10327</v>
      </c>
      <c r="DB118" s="683" t="s">
        <v>11243</v>
      </c>
      <c r="DC118" s="683" t="s">
        <v>3833</v>
      </c>
      <c r="DD118" s="683" t="s">
        <v>8209</v>
      </c>
      <c r="DE118" s="683" t="s">
        <v>4814</v>
      </c>
      <c r="DF118" s="853"/>
      <c r="DG118" s="853"/>
      <c r="DH118" s="853"/>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1039"/>
    </row>
    <row r="119">
      <c r="A119" s="244" t="s">
        <v>11244</v>
      </c>
      <c r="B119" s="245" t="s">
        <v>11245</v>
      </c>
      <c r="C119" s="246" t="s">
        <v>271</v>
      </c>
      <c r="D119" s="247" t="s">
        <v>271</v>
      </c>
      <c r="E119" s="248" t="s">
        <v>271</v>
      </c>
      <c r="F119" s="249" t="s">
        <v>274</v>
      </c>
      <c r="G119" s="245" t="s">
        <v>1729</v>
      </c>
      <c r="H119" s="286" t="s">
        <v>2589</v>
      </c>
      <c r="I119" s="286" t="s">
        <v>6774</v>
      </c>
      <c r="J119" s="286" t="s">
        <v>3901</v>
      </c>
      <c r="K119" s="286" t="s">
        <v>679</v>
      </c>
      <c r="L119" s="286" t="s">
        <v>2399</v>
      </c>
      <c r="M119" s="286" t="s">
        <v>11246</v>
      </c>
      <c r="N119" s="286" t="s">
        <v>6589</v>
      </c>
      <c r="O119" s="286" t="s">
        <v>481</v>
      </c>
      <c r="P119" s="286" t="s">
        <v>685</v>
      </c>
      <c r="Q119" s="320"/>
      <c r="R119" s="320"/>
      <c r="S119" s="320"/>
      <c r="T119" s="320"/>
      <c r="U119" s="320"/>
      <c r="V119" s="320"/>
      <c r="W119" s="106"/>
      <c r="X119" s="286" t="s">
        <v>11247</v>
      </c>
      <c r="Y119" s="288"/>
      <c r="Z119" s="316" t="str">
        <f>HYPERLINK("https://clips.twitch.tv/RudeLuckyBananaSMOrc","17.25")</f>
        <v>17.25</v>
      </c>
      <c r="AA119" s="286" t="s">
        <v>2329</v>
      </c>
      <c r="AB119" s="286" t="s">
        <v>5618</v>
      </c>
      <c r="AC119" s="316" t="str">
        <f>HYPERLINK("https://www.youtube.com/watch?v=2hvItIHk4rM&amp;feature=youtu.be","30.45")</f>
        <v>30.45</v>
      </c>
      <c r="AD119" s="286" t="s">
        <v>2422</v>
      </c>
      <c r="AE119" s="286" t="s">
        <v>7543</v>
      </c>
      <c r="AF119" s="286" t="s">
        <v>11248</v>
      </c>
      <c r="AG119" s="286" t="s">
        <v>236</v>
      </c>
      <c r="AH119" s="320"/>
      <c r="AI119" s="320"/>
      <c r="AJ119" s="320"/>
      <c r="AK119" s="320"/>
      <c r="AL119" s="105"/>
      <c r="AM119" s="320"/>
      <c r="AN119" s="320"/>
      <c r="AO119" s="320"/>
      <c r="AP119" s="320"/>
      <c r="AQ119" s="320"/>
      <c r="AR119" s="320"/>
      <c r="AS119" s="320"/>
      <c r="AT119" s="320"/>
      <c r="AU119" s="286" t="s">
        <v>263</v>
      </c>
      <c r="AV119" s="286" t="s">
        <v>11249</v>
      </c>
      <c r="AW119" s="320"/>
      <c r="AX119" s="320"/>
      <c r="AY119" s="320"/>
      <c r="AZ119" s="320"/>
      <c r="BA119" s="320"/>
      <c r="BB119" s="286" t="s">
        <v>11250</v>
      </c>
      <c r="BC119" s="286" t="s">
        <v>3473</v>
      </c>
      <c r="BD119" s="286" t="s">
        <v>4299</v>
      </c>
      <c r="BE119" s="320"/>
      <c r="BF119" s="320"/>
      <c r="BG119" s="320"/>
      <c r="BH119" s="320"/>
      <c r="BI119" s="320"/>
      <c r="BJ119" s="320"/>
      <c r="BK119" s="286" t="s">
        <v>11251</v>
      </c>
      <c r="BL119" s="320"/>
      <c r="BM119" s="320"/>
      <c r="BN119" s="320"/>
      <c r="BO119" s="320"/>
      <c r="BP119" s="320"/>
      <c r="BQ119" s="824"/>
      <c r="BR119" s="286" t="s">
        <v>11252</v>
      </c>
      <c r="BS119" s="286" t="s">
        <v>5621</v>
      </c>
      <c r="BT119" s="286" t="s">
        <v>3628</v>
      </c>
      <c r="BU119" s="286" t="s">
        <v>4763</v>
      </c>
      <c r="BV119" s="286" t="s">
        <v>10658</v>
      </c>
      <c r="BW119" s="316" t="str">
        <f>HYPERLINK("https://www.youtube.com/watch?v=9KMv5u5AP-g&amp;feature=youtu.be","24.60")</f>
        <v>24.60</v>
      </c>
      <c r="BX119" s="286" t="s">
        <v>11253</v>
      </c>
      <c r="BY119" s="320"/>
      <c r="BZ119" s="286" t="s">
        <v>11254</v>
      </c>
      <c r="CA119" s="286" t="s">
        <v>980</v>
      </c>
      <c r="CB119" s="320"/>
      <c r="CC119" s="320"/>
      <c r="CD119" s="320"/>
      <c r="CE119" s="320"/>
      <c r="CF119" s="824"/>
      <c r="CG119" s="286" t="s">
        <v>1627</v>
      </c>
      <c r="CH119" s="286" t="s">
        <v>11255</v>
      </c>
      <c r="CI119" s="286" t="s">
        <v>1048</v>
      </c>
      <c r="CJ119" s="286" t="s">
        <v>11256</v>
      </c>
      <c r="CK119" s="286"/>
      <c r="CL119" s="286" t="s">
        <v>2727</v>
      </c>
      <c r="CM119" s="286" t="s">
        <v>11257</v>
      </c>
      <c r="CN119" s="286" t="s">
        <v>9257</v>
      </c>
      <c r="CO119" s="286" t="s">
        <v>5560</v>
      </c>
      <c r="CP119" s="320"/>
      <c r="CQ119" s="320"/>
      <c r="CR119" s="320"/>
      <c r="CS119" s="320"/>
      <c r="CT119" s="320"/>
      <c r="CU119" s="106"/>
      <c r="CV119" s="286" t="s">
        <v>4089</v>
      </c>
      <c r="CW119" s="286" t="s">
        <v>9694</v>
      </c>
      <c r="CX119" s="286" t="s">
        <v>10446</v>
      </c>
      <c r="CY119" s="286" t="s">
        <v>6109</v>
      </c>
      <c r="CZ119" s="286" t="s">
        <v>8206</v>
      </c>
      <c r="DA119" s="286" t="s">
        <v>3904</v>
      </c>
      <c r="DB119" s="286" t="s">
        <v>3877</v>
      </c>
      <c r="DC119" s="286" t="s">
        <v>3609</v>
      </c>
      <c r="DD119" s="320"/>
      <c r="DE119" s="320"/>
      <c r="DF119" s="320"/>
      <c r="DG119" s="320"/>
      <c r="DH119" s="320"/>
      <c r="DI119" s="320"/>
      <c r="DJ119" s="320"/>
      <c r="DK119" s="320"/>
      <c r="DL119" s="320"/>
      <c r="DM119" s="320"/>
      <c r="DN119" s="320"/>
      <c r="DO119" s="320"/>
      <c r="DP119" s="320"/>
      <c r="DQ119" s="320"/>
      <c r="DR119" s="320"/>
      <c r="DS119" s="320"/>
      <c r="DT119" s="320"/>
      <c r="DU119" s="320"/>
      <c r="DV119" s="320"/>
      <c r="DW119" s="320"/>
      <c r="DX119" s="320"/>
      <c r="DY119" s="320"/>
      <c r="DZ119" s="320"/>
      <c r="EA119" s="320"/>
      <c r="EB119" s="320"/>
      <c r="EC119" s="320"/>
      <c r="ED119" s="862"/>
    </row>
    <row r="120">
      <c r="A120" s="1905" t="s">
        <v>7998</v>
      </c>
      <c r="B120" s="378" t="s">
        <v>11258</v>
      </c>
      <c r="C120" s="379" t="s">
        <v>271</v>
      </c>
      <c r="D120" s="380" t="s">
        <v>271</v>
      </c>
      <c r="E120" s="381" t="s">
        <v>271</v>
      </c>
      <c r="F120" s="382" t="s">
        <v>271</v>
      </c>
      <c r="G120" s="378" t="s">
        <v>11259</v>
      </c>
      <c r="H120" s="541" t="s">
        <v>11260</v>
      </c>
      <c r="I120" s="541" t="s">
        <v>6604</v>
      </c>
      <c r="J120" s="541" t="s">
        <v>4583</v>
      </c>
      <c r="K120" s="541" t="s">
        <v>11261</v>
      </c>
      <c r="L120" s="541" t="s">
        <v>1583</v>
      </c>
      <c r="M120" s="835"/>
      <c r="N120" s="541" t="s">
        <v>11262</v>
      </c>
      <c r="O120" s="541" t="s">
        <v>1051</v>
      </c>
      <c r="P120" s="541" t="s">
        <v>662</v>
      </c>
      <c r="Q120" s="835"/>
      <c r="R120" s="835"/>
      <c r="S120" s="541" t="s">
        <v>2504</v>
      </c>
      <c r="T120" s="835"/>
      <c r="U120" s="835"/>
      <c r="V120" s="835"/>
      <c r="W120" s="106"/>
      <c r="X120" s="670" t="s">
        <v>2533</v>
      </c>
      <c r="Y120" s="670"/>
      <c r="Z120" s="670" t="s">
        <v>830</v>
      </c>
      <c r="AA120" s="670" t="s">
        <v>1624</v>
      </c>
      <c r="AB120" s="670" t="s">
        <v>4864</v>
      </c>
      <c r="AC120" s="670" t="s">
        <v>11263</v>
      </c>
      <c r="AD120" s="670" t="s">
        <v>11264</v>
      </c>
      <c r="AE120" s="837"/>
      <c r="AF120" s="670" t="s">
        <v>849</v>
      </c>
      <c r="AG120" s="670" t="s">
        <v>4551</v>
      </c>
      <c r="AH120" s="837"/>
      <c r="AI120" s="837"/>
      <c r="AJ120" s="670" t="s">
        <v>4679</v>
      </c>
      <c r="AK120" s="837"/>
      <c r="AL120" s="105"/>
      <c r="AM120" s="570" t="s">
        <v>818</v>
      </c>
      <c r="AN120" s="570" t="s">
        <v>10146</v>
      </c>
      <c r="AO120" s="839"/>
      <c r="AP120" s="839"/>
      <c r="AQ120" s="839"/>
      <c r="AR120" s="839"/>
      <c r="AS120" s="570" t="s">
        <v>11265</v>
      </c>
      <c r="AT120" s="839"/>
      <c r="AU120" s="570" t="s">
        <v>5679</v>
      </c>
      <c r="AV120" s="570" t="s">
        <v>3913</v>
      </c>
      <c r="AW120" s="570" t="s">
        <v>3704</v>
      </c>
      <c r="AX120" s="839"/>
      <c r="AY120" s="570" t="s">
        <v>11263</v>
      </c>
      <c r="AZ120" s="839"/>
      <c r="BA120" s="839"/>
      <c r="BB120" s="581" t="s">
        <v>6542</v>
      </c>
      <c r="BC120" s="581" t="s">
        <v>522</v>
      </c>
      <c r="BD120" s="581" t="s">
        <v>11266</v>
      </c>
      <c r="BE120" s="581" t="s">
        <v>3163</v>
      </c>
      <c r="BF120" s="581" t="s">
        <v>7122</v>
      </c>
      <c r="BG120" s="581" t="s">
        <v>11267</v>
      </c>
      <c r="BH120" s="581" t="s">
        <v>10720</v>
      </c>
      <c r="BI120" s="581" t="s">
        <v>2374</v>
      </c>
      <c r="BJ120" s="581" t="s">
        <v>5380</v>
      </c>
      <c r="BK120" s="581" t="s">
        <v>11268</v>
      </c>
      <c r="BL120" s="581" t="s">
        <v>11269</v>
      </c>
      <c r="BM120" s="580"/>
      <c r="BN120" s="581" t="s">
        <v>2374</v>
      </c>
      <c r="BO120" s="581" t="s">
        <v>10048</v>
      </c>
      <c r="BP120" s="580"/>
      <c r="BQ120" s="845"/>
      <c r="BR120" s="589" t="s">
        <v>11270</v>
      </c>
      <c r="BS120" s="849"/>
      <c r="BT120" s="589" t="s">
        <v>10591</v>
      </c>
      <c r="BU120" s="589" t="s">
        <v>11271</v>
      </c>
      <c r="BV120" s="589" t="s">
        <v>5201</v>
      </c>
      <c r="BW120" s="589" t="s">
        <v>11272</v>
      </c>
      <c r="BX120" s="849"/>
      <c r="BY120" s="589" t="s">
        <v>10223</v>
      </c>
      <c r="BZ120" s="589" t="s">
        <v>11273</v>
      </c>
      <c r="CA120" s="589" t="s">
        <v>11274</v>
      </c>
      <c r="CB120" s="849"/>
      <c r="CC120" s="849"/>
      <c r="CD120" s="849"/>
      <c r="CE120" s="849"/>
      <c r="CF120" s="851"/>
      <c r="CG120" s="593" t="s">
        <v>11275</v>
      </c>
      <c r="CH120" s="593" t="s">
        <v>4199</v>
      </c>
      <c r="CI120" s="593" t="s">
        <v>4186</v>
      </c>
      <c r="CJ120" s="593" t="s">
        <v>11276</v>
      </c>
      <c r="CK120" s="593"/>
      <c r="CL120" s="593" t="s">
        <v>10418</v>
      </c>
      <c r="CM120" s="593" t="s">
        <v>11277</v>
      </c>
      <c r="CN120" s="593" t="s">
        <v>11278</v>
      </c>
      <c r="CO120" s="593" t="s">
        <v>1865</v>
      </c>
      <c r="CP120" s="852"/>
      <c r="CQ120" s="593" t="s">
        <v>11279</v>
      </c>
      <c r="CR120" s="852"/>
      <c r="CS120" s="852"/>
      <c r="CT120" s="852"/>
      <c r="CU120" s="106"/>
      <c r="CV120" s="683" t="s">
        <v>5456</v>
      </c>
      <c r="CW120" s="683" t="s">
        <v>11280</v>
      </c>
      <c r="CX120" s="683" t="s">
        <v>3313</v>
      </c>
      <c r="CY120" s="683" t="s">
        <v>9999</v>
      </c>
      <c r="CZ120" s="683" t="s">
        <v>11281</v>
      </c>
      <c r="DA120" s="683" t="s">
        <v>8036</v>
      </c>
      <c r="DB120" s="683" t="s">
        <v>6416</v>
      </c>
      <c r="DC120" s="683" t="s">
        <v>5610</v>
      </c>
      <c r="DD120" s="853"/>
      <c r="DE120" s="853"/>
      <c r="DF120" s="683" t="s">
        <v>1079</v>
      </c>
      <c r="DG120" s="853"/>
      <c r="DH120" s="853"/>
      <c r="DI120" s="685" t="s">
        <v>9389</v>
      </c>
      <c r="DJ120" s="855"/>
      <c r="DK120" s="685" t="s">
        <v>6081</v>
      </c>
      <c r="DL120" s="685"/>
      <c r="DM120" s="685" t="s">
        <v>1710</v>
      </c>
      <c r="DN120" s="685" t="s">
        <v>4315</v>
      </c>
      <c r="DO120" s="685" t="s">
        <v>11282</v>
      </c>
      <c r="DP120" s="685" t="s">
        <v>11283</v>
      </c>
      <c r="DQ120" s="685" t="s">
        <v>11284</v>
      </c>
      <c r="DR120" s="685" t="s">
        <v>7272</v>
      </c>
      <c r="DS120" s="685" t="s">
        <v>4045</v>
      </c>
      <c r="DT120" s="685" t="s">
        <v>5560</v>
      </c>
      <c r="DU120" s="855"/>
      <c r="DV120" s="855"/>
      <c r="DW120" s="685" t="s">
        <v>769</v>
      </c>
      <c r="DX120" s="855"/>
      <c r="DY120" s="685" t="s">
        <v>1883</v>
      </c>
      <c r="DZ120" s="685" t="s">
        <v>2761</v>
      </c>
      <c r="EA120" s="685" t="s">
        <v>7880</v>
      </c>
      <c r="EB120" s="855"/>
      <c r="EC120" s="685" t="s">
        <v>3773</v>
      </c>
      <c r="ED120" s="1906" t="s">
        <v>11285</v>
      </c>
    </row>
    <row r="121">
      <c r="A121" s="244" t="s">
        <v>11286</v>
      </c>
      <c r="B121" s="245" t="s">
        <v>11287</v>
      </c>
      <c r="C121" s="246" t="s">
        <v>271</v>
      </c>
      <c r="D121" s="247" t="s">
        <v>271</v>
      </c>
      <c r="E121" s="248" t="s">
        <v>271</v>
      </c>
      <c r="F121" s="249" t="s">
        <v>274</v>
      </c>
      <c r="G121" s="245" t="s">
        <v>3343</v>
      </c>
      <c r="H121" s="881" t="s">
        <v>4610</v>
      </c>
      <c r="I121" s="881" t="s">
        <v>5328</v>
      </c>
      <c r="J121" s="881" t="s">
        <v>11288</v>
      </c>
      <c r="K121" s="881" t="s">
        <v>672</v>
      </c>
      <c r="L121" s="881" t="s">
        <v>10587</v>
      </c>
      <c r="M121" s="881" t="s">
        <v>11289</v>
      </c>
      <c r="N121" s="881" t="s">
        <v>7986</v>
      </c>
      <c r="O121" s="881" t="s">
        <v>4860</v>
      </c>
      <c r="P121" s="257" t="s">
        <v>1892</v>
      </c>
      <c r="Q121" s="257" t="s">
        <v>11290</v>
      </c>
      <c r="R121" s="320"/>
      <c r="S121" s="320"/>
      <c r="T121" s="320"/>
      <c r="U121" s="320"/>
      <c r="V121" s="320"/>
      <c r="W121" s="106"/>
      <c r="X121" s="881" t="s">
        <v>11291</v>
      </c>
      <c r="Y121" s="881"/>
      <c r="Z121" s="881" t="s">
        <v>10263</v>
      </c>
      <c r="AA121" s="881" t="s">
        <v>3827</v>
      </c>
      <c r="AB121" s="881" t="s">
        <v>4689</v>
      </c>
      <c r="AC121" s="881" t="s">
        <v>11292</v>
      </c>
      <c r="AD121" s="881" t="s">
        <v>11293</v>
      </c>
      <c r="AE121" s="286"/>
      <c r="AF121" s="286" t="s">
        <v>1080</v>
      </c>
      <c r="AG121" s="257" t="s">
        <v>3848</v>
      </c>
      <c r="AH121" s="286" t="s">
        <v>953</v>
      </c>
      <c r="AI121" s="286"/>
      <c r="AJ121" s="286" t="s">
        <v>7954</v>
      </c>
      <c r="AK121" s="320"/>
      <c r="AL121" s="105"/>
      <c r="AM121" s="320"/>
      <c r="AN121" s="286" t="s">
        <v>770</v>
      </c>
      <c r="AO121" s="320"/>
      <c r="AP121" s="320"/>
      <c r="AQ121" s="320"/>
      <c r="AR121" s="320"/>
      <c r="AS121" s="286" t="s">
        <v>11294</v>
      </c>
      <c r="AT121" s="320"/>
      <c r="AU121" s="286" t="s">
        <v>5463</v>
      </c>
      <c r="AV121" s="286" t="s">
        <v>11115</v>
      </c>
      <c r="AW121" s="320"/>
      <c r="AX121" s="320"/>
      <c r="AY121" s="320"/>
      <c r="AZ121" s="320"/>
      <c r="BA121" s="320"/>
      <c r="BB121" s="286" t="s">
        <v>5210</v>
      </c>
      <c r="BC121" s="881" t="s">
        <v>3907</v>
      </c>
      <c r="BD121" s="881" t="s">
        <v>2216</v>
      </c>
      <c r="BE121" s="286" t="s">
        <v>1303</v>
      </c>
      <c r="BF121" s="286" t="s">
        <v>7736</v>
      </c>
      <c r="BG121" s="286" t="s">
        <v>11295</v>
      </c>
      <c r="BH121" s="286" t="s">
        <v>11296</v>
      </c>
      <c r="BI121" s="286" t="s">
        <v>11297</v>
      </c>
      <c r="BJ121" s="320"/>
      <c r="BK121" s="286" t="s">
        <v>5652</v>
      </c>
      <c r="BL121" s="286" t="s">
        <v>2257</v>
      </c>
      <c r="BM121" s="320"/>
      <c r="BN121" s="286" t="s">
        <v>3313</v>
      </c>
      <c r="BO121" s="286" t="s">
        <v>872</v>
      </c>
      <c r="BP121" s="286" t="s">
        <v>11298</v>
      </c>
      <c r="BQ121" s="286"/>
      <c r="BR121" s="286"/>
      <c r="BS121" s="286" t="s">
        <v>10286</v>
      </c>
      <c r="BT121" s="286" t="s">
        <v>2602</v>
      </c>
      <c r="BU121" s="286" t="s">
        <v>11299</v>
      </c>
      <c r="BV121" s="286" t="s">
        <v>7977</v>
      </c>
      <c r="BW121" s="286" t="s">
        <v>10565</v>
      </c>
      <c r="BX121" s="320"/>
      <c r="BY121" s="286" t="s">
        <v>11300</v>
      </c>
      <c r="BZ121" s="286" t="s">
        <v>11301</v>
      </c>
      <c r="CA121" s="286" t="s">
        <v>11302</v>
      </c>
      <c r="CB121" s="320"/>
      <c r="CC121" s="320"/>
      <c r="CD121" s="320"/>
      <c r="CE121" s="320"/>
      <c r="CF121" s="824"/>
      <c r="CG121" s="286" t="s">
        <v>11303</v>
      </c>
      <c r="CH121" s="286" t="s">
        <v>11304</v>
      </c>
      <c r="CI121" s="286" t="s">
        <v>7798</v>
      </c>
      <c r="CJ121" s="286" t="s">
        <v>6564</v>
      </c>
      <c r="CK121" s="286"/>
      <c r="CL121" s="286" t="s">
        <v>10418</v>
      </c>
      <c r="CM121" s="286" t="s">
        <v>6393</v>
      </c>
      <c r="CN121" s="286" t="s">
        <v>4005</v>
      </c>
      <c r="CO121" s="286" t="s">
        <v>8805</v>
      </c>
      <c r="CP121" s="320"/>
      <c r="CQ121" s="320"/>
      <c r="CR121" s="320"/>
      <c r="CS121" s="320"/>
      <c r="CT121" s="320"/>
      <c r="CU121" s="106"/>
      <c r="CV121" s="286" t="s">
        <v>5394</v>
      </c>
      <c r="CW121" s="286" t="s">
        <v>9772</v>
      </c>
      <c r="CX121" s="286" t="s">
        <v>11305</v>
      </c>
      <c r="CY121" s="286" t="s">
        <v>5231</v>
      </c>
      <c r="CZ121" s="286" t="s">
        <v>11306</v>
      </c>
      <c r="DA121" s="286" t="s">
        <v>2666</v>
      </c>
      <c r="DB121" s="286" t="s">
        <v>11307</v>
      </c>
      <c r="DC121" s="286" t="s">
        <v>9814</v>
      </c>
      <c r="DD121" s="320"/>
      <c r="DE121" s="320"/>
      <c r="DF121" s="320"/>
      <c r="DG121" s="286" t="s">
        <v>11308</v>
      </c>
      <c r="DH121" s="286"/>
      <c r="DI121" s="286" t="s">
        <v>9356</v>
      </c>
      <c r="DJ121" s="320"/>
      <c r="DK121" s="320"/>
      <c r="DL121" s="286"/>
      <c r="DM121" s="320"/>
      <c r="DN121" s="286" t="s">
        <v>11309</v>
      </c>
      <c r="DO121" s="286" t="s">
        <v>10183</v>
      </c>
      <c r="DP121" s="286" t="s">
        <v>4402</v>
      </c>
      <c r="DQ121" s="320"/>
      <c r="DR121" s="286" t="s">
        <v>11310</v>
      </c>
      <c r="DS121" s="286"/>
      <c r="DT121" s="320"/>
      <c r="DU121" s="320"/>
      <c r="DV121" s="286" t="s">
        <v>9733</v>
      </c>
      <c r="DW121" s="320"/>
      <c r="DX121" s="320"/>
      <c r="DY121" s="320"/>
      <c r="DZ121" s="286" t="s">
        <v>9387</v>
      </c>
      <c r="EA121" s="320"/>
      <c r="EB121" s="320"/>
      <c r="EC121" s="320"/>
      <c r="ED121" s="862" t="s">
        <v>11311</v>
      </c>
    </row>
    <row r="122">
      <c r="A122" s="1907" t="s">
        <v>4208</v>
      </c>
      <c r="B122" s="378" t="s">
        <v>11312</v>
      </c>
      <c r="C122" s="379" t="s">
        <v>271</v>
      </c>
      <c r="D122" s="380" t="s">
        <v>271</v>
      </c>
      <c r="E122" s="381" t="s">
        <v>271</v>
      </c>
      <c r="F122" s="382" t="s">
        <v>2784</v>
      </c>
      <c r="G122" s="378" t="s">
        <v>1055</v>
      </c>
      <c r="H122" s="1700"/>
      <c r="I122" s="387" t="s">
        <v>11313</v>
      </c>
      <c r="J122" s="390" t="s">
        <v>9422</v>
      </c>
      <c r="K122" s="390" t="s">
        <v>3152</v>
      </c>
      <c r="L122" s="390" t="s">
        <v>11314</v>
      </c>
      <c r="M122" s="390" t="s">
        <v>6353</v>
      </c>
      <c r="N122" s="390" t="s">
        <v>5700</v>
      </c>
      <c r="O122" s="390" t="s">
        <v>889</v>
      </c>
      <c r="P122" s="390" t="s">
        <v>11315</v>
      </c>
      <c r="Q122" s="835"/>
      <c r="R122" s="835"/>
      <c r="S122" s="835"/>
      <c r="T122" s="835"/>
      <c r="U122" s="835"/>
      <c r="V122" s="835"/>
      <c r="W122" s="106"/>
      <c r="X122" s="399" t="s">
        <v>11316</v>
      </c>
      <c r="Y122" s="399" t="s">
        <v>5390</v>
      </c>
      <c r="Z122" s="399" t="s">
        <v>3602</v>
      </c>
      <c r="AA122" s="399" t="s">
        <v>11317</v>
      </c>
      <c r="AB122" s="399" t="s">
        <v>8185</v>
      </c>
      <c r="AC122" s="399" t="s">
        <v>4202</v>
      </c>
      <c r="AD122" s="399" t="s">
        <v>6688</v>
      </c>
      <c r="AE122" s="399" t="s">
        <v>3132</v>
      </c>
      <c r="AF122" s="399" t="s">
        <v>7864</v>
      </c>
      <c r="AG122" s="399" t="s">
        <v>10763</v>
      </c>
      <c r="AH122" s="837"/>
      <c r="AI122" s="837"/>
      <c r="AJ122" s="402"/>
      <c r="AK122" s="837"/>
      <c r="AL122" s="105"/>
      <c r="AM122" s="413"/>
      <c r="AN122" s="413"/>
      <c r="AO122" s="839"/>
      <c r="AP122" s="839"/>
      <c r="AQ122" s="570"/>
      <c r="AR122" s="570"/>
      <c r="AS122" s="839"/>
      <c r="AT122" s="839"/>
      <c r="AU122" s="407" t="s">
        <v>11318</v>
      </c>
      <c r="AV122" s="407" t="s">
        <v>11319</v>
      </c>
      <c r="AW122" s="413"/>
      <c r="AX122" s="839"/>
      <c r="AY122" s="839"/>
      <c r="AZ122" s="839"/>
      <c r="BA122" s="839"/>
      <c r="BB122" s="417" t="s">
        <v>9910</v>
      </c>
      <c r="BC122" s="417" t="s">
        <v>1074</v>
      </c>
      <c r="BD122" s="417" t="s">
        <v>9843</v>
      </c>
      <c r="BE122" s="417" t="s">
        <v>374</v>
      </c>
      <c r="BF122" s="417" t="s">
        <v>11320</v>
      </c>
      <c r="BG122" s="1633"/>
      <c r="BH122" s="580"/>
      <c r="BI122" s="417" t="s">
        <v>3906</v>
      </c>
      <c r="BJ122" s="580"/>
      <c r="BK122" s="417" t="s">
        <v>11321</v>
      </c>
      <c r="BL122" s="417" t="s">
        <v>7340</v>
      </c>
      <c r="BM122" s="580"/>
      <c r="BN122" s="580"/>
      <c r="BO122" s="1633"/>
      <c r="BP122" s="580"/>
      <c r="BQ122" s="845"/>
      <c r="BR122" s="422" t="s">
        <v>11322</v>
      </c>
      <c r="BS122" s="422" t="s">
        <v>11323</v>
      </c>
      <c r="BT122" s="422" t="s">
        <v>11324</v>
      </c>
      <c r="BU122" s="422" t="s">
        <v>11325</v>
      </c>
      <c r="BV122" s="422" t="s">
        <v>5876</v>
      </c>
      <c r="BW122" s="422" t="s">
        <v>985</v>
      </c>
      <c r="BX122" s="422" t="s">
        <v>11326</v>
      </c>
      <c r="BY122" s="424"/>
      <c r="BZ122" s="422" t="s">
        <v>11327</v>
      </c>
      <c r="CA122" s="422" t="s">
        <v>10565</v>
      </c>
      <c r="CB122" s="849"/>
      <c r="CC122" s="849"/>
      <c r="CD122" s="589"/>
      <c r="CE122" s="849"/>
      <c r="CF122" s="851"/>
      <c r="CG122" s="433" t="s">
        <v>10644</v>
      </c>
      <c r="CH122" s="433" t="s">
        <v>9296</v>
      </c>
      <c r="CI122" s="433" t="s">
        <v>847</v>
      </c>
      <c r="CJ122" s="433" t="s">
        <v>6868</v>
      </c>
      <c r="CK122" s="433" t="s">
        <v>2016</v>
      </c>
      <c r="CL122" s="433" t="s">
        <v>11328</v>
      </c>
      <c r="CM122" s="433" t="s">
        <v>11229</v>
      </c>
      <c r="CN122" s="433" t="s">
        <v>9902</v>
      </c>
      <c r="CO122" s="433" t="s">
        <v>5508</v>
      </c>
      <c r="CP122" s="1789"/>
      <c r="CQ122" s="852"/>
      <c r="CR122" s="852"/>
      <c r="CS122" s="852"/>
      <c r="CT122" s="852"/>
      <c r="CU122" s="106"/>
      <c r="CV122" s="458" t="s">
        <v>3182</v>
      </c>
      <c r="CW122" s="458" t="s">
        <v>5470</v>
      </c>
      <c r="CX122" s="458" t="s">
        <v>446</v>
      </c>
      <c r="CY122" s="458" t="s">
        <v>5068</v>
      </c>
      <c r="CZ122" s="458" t="s">
        <v>11329</v>
      </c>
      <c r="DA122" s="458" t="s">
        <v>11330</v>
      </c>
      <c r="DB122" s="458" t="s">
        <v>1061</v>
      </c>
      <c r="DC122" s="458" t="s">
        <v>11190</v>
      </c>
      <c r="DD122" s="853"/>
      <c r="DE122" s="853"/>
      <c r="DF122" s="853"/>
      <c r="DG122" s="853"/>
      <c r="DH122" s="853"/>
      <c r="DI122" s="686"/>
      <c r="DJ122" s="855"/>
      <c r="DK122" s="855"/>
      <c r="DL122" s="686"/>
      <c r="DM122" s="686" t="s">
        <v>11331</v>
      </c>
      <c r="DN122" s="686"/>
      <c r="DO122" s="855"/>
      <c r="DP122" s="855"/>
      <c r="DQ122" s="855"/>
      <c r="DR122" s="481" t="s">
        <v>11332</v>
      </c>
      <c r="DS122" s="481" t="s">
        <v>11333</v>
      </c>
      <c r="DT122" s="855"/>
      <c r="DU122" s="686"/>
      <c r="DV122" s="855"/>
      <c r="DW122" s="855"/>
      <c r="DX122" s="855"/>
      <c r="DY122" s="855"/>
      <c r="DZ122" s="855"/>
      <c r="EA122" s="686"/>
      <c r="EB122" s="855"/>
      <c r="EC122" s="855"/>
      <c r="ED122" s="1039" t="s">
        <v>11334</v>
      </c>
    </row>
    <row r="123">
      <c r="A123" s="244" t="s">
        <v>11335</v>
      </c>
      <c r="B123" s="245" t="s">
        <v>11336</v>
      </c>
      <c r="C123" s="246" t="s">
        <v>271</v>
      </c>
      <c r="D123" s="247" t="s">
        <v>271</v>
      </c>
      <c r="E123" s="248" t="s">
        <v>271</v>
      </c>
      <c r="F123" s="249" t="s">
        <v>361</v>
      </c>
      <c r="G123" s="245" t="s">
        <v>4181</v>
      </c>
      <c r="H123" s="320"/>
      <c r="I123" s="286" t="s">
        <v>10207</v>
      </c>
      <c r="J123" s="320"/>
      <c r="K123" s="316" t="str">
        <f>HYPERLINK("https://www.youtube.com/watch?v=fhmkEG98u50","13.86")</f>
        <v>13.86</v>
      </c>
      <c r="L123" s="320" t="s">
        <v>6170</v>
      </c>
      <c r="M123" s="320"/>
      <c r="N123" s="320"/>
      <c r="O123" s="316" t="s">
        <v>10080</v>
      </c>
      <c r="P123" s="320"/>
      <c r="Q123" s="320"/>
      <c r="R123" s="320"/>
      <c r="S123" s="320"/>
      <c r="T123" s="320"/>
      <c r="U123" s="320"/>
      <c r="V123" s="320"/>
      <c r="W123" s="106"/>
      <c r="X123" s="320"/>
      <c r="Y123" s="320"/>
      <c r="Z123" s="320"/>
      <c r="AA123" s="320"/>
      <c r="AB123" s="320"/>
      <c r="AC123" s="257" t="s">
        <v>7939</v>
      </c>
      <c r="AD123" s="320"/>
      <c r="AE123" s="320"/>
      <c r="AF123" s="320"/>
      <c r="AG123" s="320"/>
      <c r="AH123" s="320"/>
      <c r="AI123" s="320"/>
      <c r="AJ123" s="320"/>
      <c r="AK123" s="320"/>
      <c r="AL123" s="105"/>
      <c r="AM123" s="320"/>
      <c r="AN123" s="320"/>
      <c r="AO123" s="320"/>
      <c r="AP123" s="320"/>
      <c r="AQ123" s="320"/>
      <c r="AR123" s="320"/>
      <c r="AS123" s="320"/>
      <c r="AT123" s="320"/>
      <c r="AU123" s="320"/>
      <c r="AV123" s="320"/>
      <c r="AW123" s="320"/>
      <c r="AX123" s="320"/>
      <c r="AY123" s="320"/>
      <c r="AZ123" s="320"/>
      <c r="BA123" s="320"/>
      <c r="BB123" s="320"/>
      <c r="BC123" s="320"/>
      <c r="BD123" s="320"/>
      <c r="BE123" s="1483" t="s">
        <v>4695</v>
      </c>
      <c r="BF123" s="286" t="s">
        <v>9293</v>
      </c>
      <c r="BG123" s="320"/>
      <c r="BH123" s="320"/>
      <c r="BI123" s="316" t="str">
        <f>HYPERLINK("https://www.youtube.com/watch?v=mubp31A-xCY","27.82")</f>
        <v>27.82</v>
      </c>
      <c r="BJ123" s="316" t="str">
        <f>HYPERLINK("https://www.youtube.com/watch?v=cbuANo-Xzpo&amp;t","1:20.58")</f>
        <v>1:20.58</v>
      </c>
      <c r="BK123" s="288"/>
      <c r="BL123" s="320"/>
      <c r="BM123" s="320"/>
      <c r="BN123" s="320"/>
      <c r="BO123" s="320"/>
      <c r="BP123" s="320"/>
      <c r="BQ123" s="824"/>
      <c r="BR123" s="320"/>
      <c r="BS123" s="320"/>
      <c r="BT123" s="316" t="str">
        <f>HYPERLINK("https://www.youtube.com/watch?v=pigHYi4moow","34.65")</f>
        <v>34.65</v>
      </c>
      <c r="BU123" s="320"/>
      <c r="BV123" s="320"/>
      <c r="BW123" s="316" t="str">
        <f>HYPERLINK("https://www.youtube.com/watch?v=GasWvSHyFBE","21.04")</f>
        <v>21.04</v>
      </c>
      <c r="BX123" s="320"/>
      <c r="BY123" s="278" t="s">
        <v>7886</v>
      </c>
      <c r="BZ123" s="320"/>
      <c r="CA123" s="320"/>
      <c r="CB123" s="320"/>
      <c r="CC123" s="320"/>
      <c r="CD123" s="320"/>
      <c r="CE123" s="320"/>
      <c r="CF123" s="824"/>
      <c r="CG123" s="278" t="s">
        <v>4897</v>
      </c>
      <c r="CH123" s="316" t="str">
        <f>HYPERLINK("https://www.youtube.com/watch?v=ZbtOKdesyr0","28.46")</f>
        <v>28.46</v>
      </c>
      <c r="CI123" s="320"/>
      <c r="CJ123" s="320"/>
      <c r="CK123" s="320"/>
      <c r="CL123" s="320"/>
      <c r="CM123" s="320"/>
      <c r="CN123" s="316" t="str">
        <f>HYPERLINK("https://www.youtube.com/watch?v=mHHDMjmyFKc","30.19")</f>
        <v>30.19</v>
      </c>
      <c r="CO123" s="320"/>
      <c r="CP123" s="320"/>
      <c r="CQ123" s="320"/>
      <c r="CR123" s="320"/>
      <c r="CS123" s="320"/>
      <c r="CT123" s="320"/>
      <c r="CU123" s="106"/>
      <c r="CV123" s="320"/>
      <c r="CW123" s="320"/>
      <c r="CX123" s="320"/>
      <c r="CY123" s="320"/>
      <c r="CZ123" s="320"/>
      <c r="DA123" s="320"/>
      <c r="DB123" s="320"/>
      <c r="DC123" s="320"/>
      <c r="DD123" s="320"/>
      <c r="DE123" s="320"/>
      <c r="DF123" s="320"/>
      <c r="DG123" s="320"/>
      <c r="DH123" s="320"/>
      <c r="DI123" s="320"/>
      <c r="DJ123" s="320"/>
      <c r="DK123" s="320"/>
      <c r="DL123" s="320"/>
      <c r="DM123" s="320"/>
      <c r="DN123" s="320"/>
      <c r="DO123" s="320"/>
      <c r="DP123" s="320"/>
      <c r="DQ123" s="320"/>
      <c r="DR123" s="320"/>
      <c r="DS123" s="320"/>
      <c r="DT123" s="320"/>
      <c r="DU123" s="320"/>
      <c r="DV123" s="320"/>
      <c r="DW123" s="320"/>
      <c r="DX123" s="320"/>
      <c r="DY123" s="320"/>
      <c r="DZ123" s="320"/>
      <c r="EA123" s="320"/>
      <c r="EB123" s="320"/>
      <c r="EC123" s="320"/>
      <c r="ED123" s="862"/>
    </row>
    <row r="124">
      <c r="A124" s="1484" t="s">
        <v>8133</v>
      </c>
      <c r="B124" s="378" t="s">
        <v>11337</v>
      </c>
      <c r="C124" s="379" t="s">
        <v>271</v>
      </c>
      <c r="D124" s="380" t="s">
        <v>271</v>
      </c>
      <c r="E124" s="381" t="s">
        <v>271</v>
      </c>
      <c r="F124" s="382" t="s">
        <v>274</v>
      </c>
      <c r="G124" s="378" t="s">
        <v>1519</v>
      </c>
      <c r="H124" s="541"/>
      <c r="I124" s="541" t="s">
        <v>11338</v>
      </c>
      <c r="J124" s="390" t="s">
        <v>601</v>
      </c>
      <c r="K124" s="390" t="s">
        <v>681</v>
      </c>
      <c r="L124" s="541" t="s">
        <v>6527</v>
      </c>
      <c r="M124" s="835"/>
      <c r="N124" s="541" t="s">
        <v>1259</v>
      </c>
      <c r="O124" s="541" t="s">
        <v>4440</v>
      </c>
      <c r="P124" s="390" t="s">
        <v>10418</v>
      </c>
      <c r="Q124" s="835"/>
      <c r="R124" s="835"/>
      <c r="S124" s="835"/>
      <c r="T124" s="835"/>
      <c r="U124" s="835"/>
      <c r="V124" s="835"/>
      <c r="W124" s="106"/>
      <c r="X124" s="670" t="s">
        <v>9677</v>
      </c>
      <c r="Y124" s="670"/>
      <c r="Z124" s="670" t="s">
        <v>5569</v>
      </c>
      <c r="AA124" s="670" t="s">
        <v>10764</v>
      </c>
      <c r="AB124" s="670" t="s">
        <v>4200</v>
      </c>
      <c r="AC124" s="670" t="s">
        <v>1925</v>
      </c>
      <c r="AD124" s="670" t="s">
        <v>11339</v>
      </c>
      <c r="AE124" s="670"/>
      <c r="AF124" s="1356" t="s">
        <v>11340</v>
      </c>
      <c r="AG124" s="670" t="s">
        <v>11341</v>
      </c>
      <c r="AH124" s="837"/>
      <c r="AI124" s="837"/>
      <c r="AJ124" s="837"/>
      <c r="AK124" s="837"/>
      <c r="AL124" s="105"/>
      <c r="AM124" s="839"/>
      <c r="AN124" s="839"/>
      <c r="AO124" s="839"/>
      <c r="AP124" s="839"/>
      <c r="AQ124" s="839"/>
      <c r="AR124" s="839"/>
      <c r="AS124" s="839"/>
      <c r="AT124" s="839"/>
      <c r="AU124" s="570" t="s">
        <v>2176</v>
      </c>
      <c r="AV124" s="570" t="s">
        <v>4244</v>
      </c>
      <c r="AW124" s="839"/>
      <c r="AX124" s="839"/>
      <c r="AY124" s="839"/>
      <c r="AZ124" s="839"/>
      <c r="BA124" s="839"/>
      <c r="BB124" s="581" t="s">
        <v>2935</v>
      </c>
      <c r="BC124" s="581" t="s">
        <v>11342</v>
      </c>
      <c r="BD124" s="581" t="s">
        <v>6238</v>
      </c>
      <c r="BE124" s="581" t="s">
        <v>1054</v>
      </c>
      <c r="BF124" s="581" t="s">
        <v>6967</v>
      </c>
      <c r="BG124" s="581" t="s">
        <v>5164</v>
      </c>
      <c r="BH124" s="580"/>
      <c r="BI124" s="1228" t="s">
        <v>1162</v>
      </c>
      <c r="BJ124" s="581" t="s">
        <v>276</v>
      </c>
      <c r="BK124" s="581" t="s">
        <v>11343</v>
      </c>
      <c r="BL124" s="581" t="s">
        <v>11344</v>
      </c>
      <c r="BM124" s="580"/>
      <c r="BN124" s="580"/>
      <c r="BO124" s="580"/>
      <c r="BP124" s="580"/>
      <c r="BQ124" s="845"/>
      <c r="BR124" s="589" t="s">
        <v>11345</v>
      </c>
      <c r="BS124" s="589" t="s">
        <v>9794</v>
      </c>
      <c r="BT124" s="589" t="s">
        <v>10874</v>
      </c>
      <c r="BU124" s="589" t="s">
        <v>11130</v>
      </c>
      <c r="BV124" s="589" t="s">
        <v>5184</v>
      </c>
      <c r="BW124" s="589" t="s">
        <v>10708</v>
      </c>
      <c r="BX124" s="849"/>
      <c r="BY124" s="589" t="s">
        <v>2939</v>
      </c>
      <c r="BZ124" s="589" t="s">
        <v>11346</v>
      </c>
      <c r="CA124" s="849"/>
      <c r="CB124" s="849"/>
      <c r="CC124" s="849"/>
      <c r="CD124" s="849"/>
      <c r="CE124" s="849"/>
      <c r="CF124" s="851"/>
      <c r="CG124" s="593" t="s">
        <v>11347</v>
      </c>
      <c r="CH124" s="593" t="s">
        <v>1942</v>
      </c>
      <c r="CI124" s="593" t="s">
        <v>10378</v>
      </c>
      <c r="CJ124" s="593" t="s">
        <v>11348</v>
      </c>
      <c r="CK124" s="593"/>
      <c r="CL124" s="593"/>
      <c r="CM124" s="593" t="s">
        <v>11349</v>
      </c>
      <c r="CN124" s="593" t="s">
        <v>5362</v>
      </c>
      <c r="CO124" s="593" t="s">
        <v>10971</v>
      </c>
      <c r="CP124" s="852"/>
      <c r="CQ124" s="852"/>
      <c r="CR124" s="852"/>
      <c r="CS124" s="852"/>
      <c r="CT124" s="852"/>
      <c r="CU124" s="106"/>
      <c r="CV124" s="683" t="s">
        <v>6808</v>
      </c>
      <c r="CW124" s="683" t="s">
        <v>10351</v>
      </c>
      <c r="CX124" s="683" t="s">
        <v>2772</v>
      </c>
      <c r="CY124" s="683" t="s">
        <v>5878</v>
      </c>
      <c r="CZ124" s="683" t="s">
        <v>11350</v>
      </c>
      <c r="DA124" s="683" t="s">
        <v>11351</v>
      </c>
      <c r="DB124" s="683" t="s">
        <v>10781</v>
      </c>
      <c r="DC124" s="683" t="s">
        <v>11352</v>
      </c>
      <c r="DD124" s="853"/>
      <c r="DE124" s="853"/>
      <c r="DF124" s="853"/>
      <c r="DG124" s="853"/>
      <c r="DH124" s="853"/>
      <c r="DI124" s="855"/>
      <c r="DJ124" s="855"/>
      <c r="DK124" s="855"/>
      <c r="DL124" s="855"/>
      <c r="DM124" s="855"/>
      <c r="DN124" s="855"/>
      <c r="DO124" s="855"/>
      <c r="DP124" s="855"/>
      <c r="DQ124" s="855"/>
      <c r="DR124" s="685" t="s">
        <v>11353</v>
      </c>
      <c r="DS124" s="855"/>
      <c r="DT124" s="855"/>
      <c r="DU124" s="855"/>
      <c r="DV124" s="855"/>
      <c r="DW124" s="855"/>
      <c r="DX124" s="855"/>
      <c r="DY124" s="855"/>
      <c r="DZ124" s="855"/>
      <c r="EA124" s="855"/>
      <c r="EB124" s="855"/>
      <c r="EC124" s="855"/>
      <c r="ED124" s="1039"/>
    </row>
    <row r="125">
      <c r="A125" s="1908" t="s">
        <v>11354</v>
      </c>
      <c r="B125" s="245" t="s">
        <v>11355</v>
      </c>
      <c r="C125" s="246" t="s">
        <v>271</v>
      </c>
      <c r="D125" s="247" t="s">
        <v>271</v>
      </c>
      <c r="E125" s="248" t="s">
        <v>271</v>
      </c>
      <c r="F125" s="249" t="s">
        <v>271</v>
      </c>
      <c r="G125" s="245" t="s">
        <v>1920</v>
      </c>
      <c r="H125" s="286" t="s">
        <v>2282</v>
      </c>
      <c r="I125" s="286" t="s">
        <v>11356</v>
      </c>
      <c r="J125" s="286" t="s">
        <v>11169</v>
      </c>
      <c r="K125" s="286" t="s">
        <v>700</v>
      </c>
      <c r="L125" s="286" t="s">
        <v>6719</v>
      </c>
      <c r="M125" s="286" t="s">
        <v>11357</v>
      </c>
      <c r="N125" s="286" t="s">
        <v>11358</v>
      </c>
      <c r="O125" s="286" t="s">
        <v>4121</v>
      </c>
      <c r="P125" s="286" t="s">
        <v>11359</v>
      </c>
      <c r="Q125" s="320"/>
      <c r="R125" s="320"/>
      <c r="S125" s="320"/>
      <c r="T125" s="320"/>
      <c r="U125" s="320"/>
      <c r="V125" s="320"/>
      <c r="W125" s="106"/>
      <c r="X125" s="286" t="s">
        <v>9986</v>
      </c>
      <c r="Y125" s="286"/>
      <c r="Z125" s="286" t="s">
        <v>1941</v>
      </c>
      <c r="AA125" s="286" t="s">
        <v>593</v>
      </c>
      <c r="AB125" s="286" t="s">
        <v>2225</v>
      </c>
      <c r="AC125" s="286" t="s">
        <v>10787</v>
      </c>
      <c r="AD125" s="286" t="s">
        <v>5077</v>
      </c>
      <c r="AE125" s="286"/>
      <c r="AF125" s="286" t="s">
        <v>3287</v>
      </c>
      <c r="AG125" s="286" t="s">
        <v>3235</v>
      </c>
      <c r="AH125" s="320"/>
      <c r="AI125" s="320"/>
      <c r="AJ125" s="320"/>
      <c r="AK125" s="320"/>
      <c r="AL125" s="105"/>
      <c r="AM125" s="320"/>
      <c r="AN125" s="320"/>
      <c r="AO125" s="320"/>
      <c r="AP125" s="320"/>
      <c r="AQ125" s="320"/>
      <c r="AR125" s="320"/>
      <c r="AS125" s="320"/>
      <c r="AT125" s="320"/>
      <c r="AU125" s="286" t="s">
        <v>9750</v>
      </c>
      <c r="AV125" s="286" t="s">
        <v>4926</v>
      </c>
      <c r="AW125" s="320"/>
      <c r="AX125" s="320"/>
      <c r="AY125" s="320"/>
      <c r="AZ125" s="320"/>
      <c r="BA125" s="320"/>
      <c r="BB125" s="286" t="s">
        <v>11360</v>
      </c>
      <c r="BC125" s="286" t="s">
        <v>11342</v>
      </c>
      <c r="BD125" s="286" t="s">
        <v>4291</v>
      </c>
      <c r="BE125" s="286" t="s">
        <v>6132</v>
      </c>
      <c r="BF125" s="286" t="s">
        <v>3769</v>
      </c>
      <c r="BG125" s="286" t="s">
        <v>4085</v>
      </c>
      <c r="BH125" s="286" t="s">
        <v>7476</v>
      </c>
      <c r="BI125" s="286" t="s">
        <v>9740</v>
      </c>
      <c r="BJ125" s="320"/>
      <c r="BK125" s="286" t="s">
        <v>11361</v>
      </c>
      <c r="BL125" s="286" t="s">
        <v>4464</v>
      </c>
      <c r="BM125" s="320"/>
      <c r="BN125" s="320"/>
      <c r="BO125" s="320"/>
      <c r="BP125" s="320"/>
      <c r="BQ125" s="824"/>
      <c r="BR125" s="286" t="s">
        <v>7639</v>
      </c>
      <c r="BS125" s="286" t="s">
        <v>2492</v>
      </c>
      <c r="BT125" s="286" t="s">
        <v>9334</v>
      </c>
      <c r="BU125" s="286" t="s">
        <v>11362</v>
      </c>
      <c r="BV125" s="286" t="s">
        <v>11363</v>
      </c>
      <c r="BW125" s="286" t="s">
        <v>4565</v>
      </c>
      <c r="BX125" s="286" t="s">
        <v>11364</v>
      </c>
      <c r="BY125" s="320"/>
      <c r="BZ125" s="286" t="s">
        <v>11365</v>
      </c>
      <c r="CA125" s="286" t="s">
        <v>11366</v>
      </c>
      <c r="CB125" s="320"/>
      <c r="CC125" s="320"/>
      <c r="CD125" s="320"/>
      <c r="CE125" s="320"/>
      <c r="CF125" s="824"/>
      <c r="CG125" s="286" t="s">
        <v>11367</v>
      </c>
      <c r="CH125" s="286" t="s">
        <v>11202</v>
      </c>
      <c r="CI125" s="286" t="s">
        <v>8890</v>
      </c>
      <c r="CJ125" s="286" t="s">
        <v>11368</v>
      </c>
      <c r="CK125" s="286"/>
      <c r="CL125" s="286" t="s">
        <v>11369</v>
      </c>
      <c r="CM125" s="286" t="s">
        <v>11370</v>
      </c>
      <c r="CN125" s="286" t="s">
        <v>10874</v>
      </c>
      <c r="CO125" s="286" t="s">
        <v>3235</v>
      </c>
      <c r="CP125" s="320"/>
      <c r="CQ125" s="320"/>
      <c r="CR125" s="320"/>
      <c r="CS125" s="320"/>
      <c r="CT125" s="320"/>
      <c r="CU125" s="106"/>
      <c r="CV125" s="286" t="s">
        <v>4229</v>
      </c>
      <c r="CW125" s="286" t="s">
        <v>1004</v>
      </c>
      <c r="CX125" s="286" t="s">
        <v>9842</v>
      </c>
      <c r="CY125" s="286" t="s">
        <v>5697</v>
      </c>
      <c r="CZ125" s="286" t="s">
        <v>11154</v>
      </c>
      <c r="DA125" s="286" t="s">
        <v>10802</v>
      </c>
      <c r="DB125" s="286" t="s">
        <v>11371</v>
      </c>
      <c r="DC125" s="286" t="s">
        <v>10273</v>
      </c>
      <c r="DD125" s="320"/>
      <c r="DE125" s="320"/>
      <c r="DF125" s="320"/>
      <c r="DG125" s="320"/>
      <c r="DH125" s="320"/>
      <c r="DI125" s="286" t="s">
        <v>11372</v>
      </c>
      <c r="DJ125" s="320"/>
      <c r="DK125" s="320"/>
      <c r="DL125" s="320"/>
      <c r="DM125" s="320"/>
      <c r="DN125" s="320"/>
      <c r="DO125" s="320"/>
      <c r="DP125" s="320"/>
      <c r="DQ125" s="320"/>
      <c r="DR125" s="286" t="s">
        <v>7154</v>
      </c>
      <c r="DS125" s="286" t="s">
        <v>2613</v>
      </c>
      <c r="DT125" s="320"/>
      <c r="DU125" s="320"/>
      <c r="DV125" s="320"/>
      <c r="DW125" s="320"/>
      <c r="DX125" s="320"/>
      <c r="DY125" s="320"/>
      <c r="DZ125" s="320"/>
      <c r="EA125" s="320"/>
      <c r="EB125" s="320"/>
      <c r="EC125" s="320"/>
      <c r="ED125" s="1629"/>
    </row>
    <row r="126">
      <c r="A126" s="1841" t="s">
        <v>11373</v>
      </c>
      <c r="B126" s="378" t="s">
        <v>11374</v>
      </c>
      <c r="C126" s="379" t="s">
        <v>271</v>
      </c>
      <c r="D126" s="380" t="s">
        <v>271</v>
      </c>
      <c r="E126" s="381" t="s">
        <v>271</v>
      </c>
      <c r="F126" s="382" t="s">
        <v>176</v>
      </c>
      <c r="G126" s="378" t="s">
        <v>716</v>
      </c>
      <c r="H126" s="541"/>
      <c r="I126" s="541" t="s">
        <v>7293</v>
      </c>
      <c r="J126" s="541" t="s">
        <v>11155</v>
      </c>
      <c r="K126" s="541" t="s">
        <v>690</v>
      </c>
      <c r="L126" s="390" t="s">
        <v>6204</v>
      </c>
      <c r="M126" s="835"/>
      <c r="N126" s="835"/>
      <c r="O126" s="835"/>
      <c r="P126" s="541" t="s">
        <v>11375</v>
      </c>
      <c r="Q126" s="835"/>
      <c r="R126" s="835"/>
      <c r="S126" s="541" t="s">
        <v>10423</v>
      </c>
      <c r="T126" s="835"/>
      <c r="U126" s="541" t="s">
        <v>4223</v>
      </c>
      <c r="V126" s="835"/>
      <c r="W126" s="106"/>
      <c r="X126" s="670" t="s">
        <v>4161</v>
      </c>
      <c r="Y126" s="670"/>
      <c r="Z126" s="670" t="s">
        <v>3455</v>
      </c>
      <c r="AA126" s="670" t="s">
        <v>11315</v>
      </c>
      <c r="AB126" s="837"/>
      <c r="AC126" s="670" t="s">
        <v>446</v>
      </c>
      <c r="AD126" s="837"/>
      <c r="AE126" s="837"/>
      <c r="AF126" s="837"/>
      <c r="AG126" s="670" t="s">
        <v>2335</v>
      </c>
      <c r="AH126" s="670" t="s">
        <v>3451</v>
      </c>
      <c r="AI126" s="837"/>
      <c r="AJ126" s="670" t="s">
        <v>6546</v>
      </c>
      <c r="AK126" s="670" t="s">
        <v>11376</v>
      </c>
      <c r="AL126" s="105"/>
      <c r="AM126" s="570" t="s">
        <v>10006</v>
      </c>
      <c r="AN126" s="570" t="s">
        <v>4649</v>
      </c>
      <c r="AO126" s="839"/>
      <c r="AP126" s="839"/>
      <c r="AQ126" s="839"/>
      <c r="AR126" s="839"/>
      <c r="AS126" s="839"/>
      <c r="AT126" s="839"/>
      <c r="AU126" s="570" t="s">
        <v>11227</v>
      </c>
      <c r="AV126" s="570" t="s">
        <v>3796</v>
      </c>
      <c r="AW126" s="839"/>
      <c r="AX126" s="839"/>
      <c r="AY126" s="570" t="s">
        <v>4322</v>
      </c>
      <c r="AZ126" s="839"/>
      <c r="BA126" s="839"/>
      <c r="BB126" s="580"/>
      <c r="BC126" s="674" t="s">
        <v>502</v>
      </c>
      <c r="BD126" s="581" t="s">
        <v>805</v>
      </c>
      <c r="BE126" s="581" t="s">
        <v>3163</v>
      </c>
      <c r="BF126" s="580"/>
      <c r="BG126" s="581" t="s">
        <v>10468</v>
      </c>
      <c r="BH126" s="580"/>
      <c r="BI126" s="581" t="s">
        <v>656</v>
      </c>
      <c r="BJ126" s="580"/>
      <c r="BK126" s="580"/>
      <c r="BL126" s="581" t="s">
        <v>11377</v>
      </c>
      <c r="BM126" s="580"/>
      <c r="BN126" s="580"/>
      <c r="BO126" s="580"/>
      <c r="BP126" s="580"/>
      <c r="BQ126" s="845"/>
      <c r="BR126" s="849"/>
      <c r="BS126" s="849"/>
      <c r="BT126" s="589" t="s">
        <v>6006</v>
      </c>
      <c r="BU126" s="589" t="s">
        <v>10804</v>
      </c>
      <c r="BV126" s="849"/>
      <c r="BW126" s="589" t="s">
        <v>11378</v>
      </c>
      <c r="BX126" s="849"/>
      <c r="BY126" s="849"/>
      <c r="BZ126" s="849"/>
      <c r="CA126" s="589" t="s">
        <v>1536</v>
      </c>
      <c r="CB126" s="849"/>
      <c r="CC126" s="849"/>
      <c r="CD126" s="849"/>
      <c r="CE126" s="849"/>
      <c r="CF126" s="851"/>
      <c r="CG126" s="593" t="s">
        <v>1636</v>
      </c>
      <c r="CH126" s="433" t="s">
        <v>3715</v>
      </c>
      <c r="CI126" s="593" t="s">
        <v>11379</v>
      </c>
      <c r="CJ126" s="593" t="s">
        <v>11380</v>
      </c>
      <c r="CK126" s="593"/>
      <c r="CL126" s="593" t="s">
        <v>417</v>
      </c>
      <c r="CM126" s="593" t="s">
        <v>11381</v>
      </c>
      <c r="CN126" s="593" t="s">
        <v>9334</v>
      </c>
      <c r="CO126" s="593" t="s">
        <v>2194</v>
      </c>
      <c r="CP126" s="852"/>
      <c r="CQ126" s="852"/>
      <c r="CR126" s="852"/>
      <c r="CS126" s="852"/>
      <c r="CT126" s="852"/>
      <c r="CU126" s="106"/>
      <c r="CV126" s="683" t="s">
        <v>4995</v>
      </c>
      <c r="CW126" s="853"/>
      <c r="CX126" s="683" t="s">
        <v>11382</v>
      </c>
      <c r="CY126" s="853"/>
      <c r="CZ126" s="853"/>
      <c r="DA126" s="853"/>
      <c r="DB126" s="683"/>
      <c r="DC126" s="683" t="s">
        <v>10072</v>
      </c>
      <c r="DD126" s="853"/>
      <c r="DE126" s="853"/>
      <c r="DF126" s="853"/>
      <c r="DG126" s="853"/>
      <c r="DH126" s="853"/>
      <c r="DI126" s="685" t="s">
        <v>6192</v>
      </c>
      <c r="DJ126" s="855"/>
      <c r="DK126" s="855"/>
      <c r="DL126" s="855"/>
      <c r="DM126" s="855"/>
      <c r="DN126" s="855"/>
      <c r="DO126" s="855"/>
      <c r="DP126" s="855"/>
      <c r="DQ126" s="855"/>
      <c r="DR126" s="855"/>
      <c r="DS126" s="855"/>
      <c r="DT126" s="855"/>
      <c r="DU126" s="481" t="s">
        <v>11383</v>
      </c>
      <c r="DV126" s="685" t="s">
        <v>11384</v>
      </c>
      <c r="DW126" s="855"/>
      <c r="DX126" s="685" t="s">
        <v>11385</v>
      </c>
      <c r="DY126" s="855"/>
      <c r="DZ126" s="685" t="s">
        <v>11386</v>
      </c>
      <c r="EA126" s="481" t="s">
        <v>3900</v>
      </c>
      <c r="EB126" s="855"/>
      <c r="EC126" s="855"/>
      <c r="ED126" s="1039" t="s">
        <v>11387</v>
      </c>
    </row>
    <row r="127">
      <c r="A127" s="1909" t="s">
        <v>11388</v>
      </c>
      <c r="B127" s="245" t="s">
        <v>11389</v>
      </c>
      <c r="C127" s="246" t="s">
        <v>271</v>
      </c>
      <c r="D127" s="247" t="s">
        <v>271</v>
      </c>
      <c r="E127" s="248" t="s">
        <v>271</v>
      </c>
      <c r="F127" s="249" t="s">
        <v>271</v>
      </c>
      <c r="G127" s="245" t="s">
        <v>1729</v>
      </c>
      <c r="H127" s="286" t="s">
        <v>4686</v>
      </c>
      <c r="I127" s="286" t="s">
        <v>2401</v>
      </c>
      <c r="J127" s="286" t="s">
        <v>11390</v>
      </c>
      <c r="K127" s="286" t="s">
        <v>11261</v>
      </c>
      <c r="L127" s="286" t="s">
        <v>9516</v>
      </c>
      <c r="M127" s="320"/>
      <c r="N127" s="286" t="s">
        <v>873</v>
      </c>
      <c r="O127" s="286" t="s">
        <v>2761</v>
      </c>
      <c r="P127" s="286" t="s">
        <v>4543</v>
      </c>
      <c r="Q127" s="320"/>
      <c r="R127" s="320"/>
      <c r="S127" s="320"/>
      <c r="T127" s="320"/>
      <c r="U127" s="320"/>
      <c r="V127" s="320"/>
      <c r="W127" s="106"/>
      <c r="X127" s="286" t="s">
        <v>9380</v>
      </c>
      <c r="Y127" s="286"/>
      <c r="Z127" s="286" t="s">
        <v>1843</v>
      </c>
      <c r="AA127" s="286" t="s">
        <v>2335</v>
      </c>
      <c r="AB127" s="286" t="s">
        <v>7814</v>
      </c>
      <c r="AC127" s="286" t="s">
        <v>10447</v>
      </c>
      <c r="AD127" s="286" t="s">
        <v>4635</v>
      </c>
      <c r="AE127" s="320"/>
      <c r="AF127" s="286" t="s">
        <v>7178</v>
      </c>
      <c r="AG127" s="286" t="s">
        <v>485</v>
      </c>
      <c r="AH127" s="320"/>
      <c r="AI127" s="320"/>
      <c r="AJ127" s="320"/>
      <c r="AK127" s="320"/>
      <c r="AL127" s="105"/>
      <c r="AM127" s="320"/>
      <c r="AN127" s="286" t="s">
        <v>1894</v>
      </c>
      <c r="AO127" s="320"/>
      <c r="AP127" s="320"/>
      <c r="AQ127" s="320"/>
      <c r="AR127" s="320"/>
      <c r="AS127" s="320"/>
      <c r="AT127" s="320"/>
      <c r="AU127" s="286" t="s">
        <v>7166</v>
      </c>
      <c r="AV127" s="286" t="s">
        <v>846</v>
      </c>
      <c r="AW127" s="320"/>
      <c r="AX127" s="320"/>
      <c r="AY127" s="320"/>
      <c r="AZ127" s="320"/>
      <c r="BA127" s="320"/>
      <c r="BB127" s="286" t="s">
        <v>10493</v>
      </c>
      <c r="BC127" s="286" t="s">
        <v>1999</v>
      </c>
      <c r="BD127" s="286" t="s">
        <v>10100</v>
      </c>
      <c r="BE127" s="286" t="s">
        <v>5848</v>
      </c>
      <c r="BF127" s="286" t="s">
        <v>6278</v>
      </c>
      <c r="BG127" s="320"/>
      <c r="BH127" s="1910"/>
      <c r="BI127" s="286" t="s">
        <v>2650</v>
      </c>
      <c r="BJ127" s="286" t="s">
        <v>7296</v>
      </c>
      <c r="BK127" s="320"/>
      <c r="BL127" s="286" t="s">
        <v>10622</v>
      </c>
      <c r="BM127" s="320"/>
      <c r="BN127" s="320"/>
      <c r="BO127" s="320"/>
      <c r="BP127" s="320"/>
      <c r="BQ127" s="824"/>
      <c r="BR127" s="286" t="s">
        <v>5380</v>
      </c>
      <c r="BS127" s="286" t="s">
        <v>3700</v>
      </c>
      <c r="BT127" s="286" t="s">
        <v>1230</v>
      </c>
      <c r="BU127" s="286" t="s">
        <v>7670</v>
      </c>
      <c r="BV127" s="286" t="s">
        <v>4219</v>
      </c>
      <c r="BW127" s="286" t="s">
        <v>11391</v>
      </c>
      <c r="BX127" s="286"/>
      <c r="BY127" s="286" t="s">
        <v>7690</v>
      </c>
      <c r="BZ127" s="320"/>
      <c r="CA127" s="286" t="s">
        <v>9214</v>
      </c>
      <c r="CB127" s="320"/>
      <c r="CC127" s="320"/>
      <c r="CD127" s="320"/>
      <c r="CE127" s="320"/>
      <c r="CF127" s="824"/>
      <c r="CG127" s="286" t="s">
        <v>11392</v>
      </c>
      <c r="CH127" s="286" t="s">
        <v>7900</v>
      </c>
      <c r="CI127" s="320"/>
      <c r="CJ127" s="320"/>
      <c r="CK127" s="320"/>
      <c r="CL127" s="320"/>
      <c r="CM127" s="286" t="s">
        <v>11393</v>
      </c>
      <c r="CN127" s="286" t="s">
        <v>3559</v>
      </c>
      <c r="CO127" s="286" t="s">
        <v>5670</v>
      </c>
      <c r="CP127" s="320"/>
      <c r="CQ127" s="320"/>
      <c r="CR127" s="320"/>
      <c r="CS127" s="320"/>
      <c r="CT127" s="320"/>
      <c r="CU127" s="106"/>
      <c r="CV127" s="286" t="s">
        <v>386</v>
      </c>
      <c r="CW127" s="286" t="s">
        <v>9614</v>
      </c>
      <c r="CX127" s="286" t="s">
        <v>4199</v>
      </c>
      <c r="CY127" s="286" t="s">
        <v>166</v>
      </c>
      <c r="CZ127" s="286" t="s">
        <v>5502</v>
      </c>
      <c r="DA127" s="320"/>
      <c r="DB127" s="286" t="s">
        <v>10972</v>
      </c>
      <c r="DC127" s="286" t="s">
        <v>566</v>
      </c>
      <c r="DD127" s="320"/>
      <c r="DE127" s="320"/>
      <c r="DF127" s="320"/>
      <c r="DG127" s="320"/>
      <c r="DH127" s="320"/>
      <c r="DI127" s="320"/>
      <c r="DJ127" s="320"/>
      <c r="DK127" s="320"/>
      <c r="DL127" s="320"/>
      <c r="DM127" s="320"/>
      <c r="DN127" s="320"/>
      <c r="DO127" s="320"/>
      <c r="DP127" s="320"/>
      <c r="DQ127" s="320"/>
      <c r="DR127" s="286" t="s">
        <v>11394</v>
      </c>
      <c r="DS127" s="286" t="s">
        <v>11395</v>
      </c>
      <c r="DT127" s="320"/>
      <c r="DU127" s="320"/>
      <c r="DV127" s="320"/>
      <c r="DW127" s="320"/>
      <c r="DX127" s="320"/>
      <c r="DY127" s="320"/>
      <c r="DZ127" s="320"/>
      <c r="EA127" s="320"/>
      <c r="EB127" s="320"/>
      <c r="EC127" s="320"/>
      <c r="ED127" s="862"/>
    </row>
    <row r="128">
      <c r="A128" s="1911" t="s">
        <v>11396</v>
      </c>
      <c r="B128" s="378" t="s">
        <v>11397</v>
      </c>
      <c r="C128" s="379" t="s">
        <v>271</v>
      </c>
      <c r="D128" s="380" t="s">
        <v>171</v>
      </c>
      <c r="E128" s="381" t="s">
        <v>271</v>
      </c>
      <c r="F128" s="382" t="s">
        <v>2132</v>
      </c>
      <c r="G128" s="378" t="s">
        <v>1904</v>
      </c>
      <c r="H128" s="835"/>
      <c r="I128" s="390" t="s">
        <v>11398</v>
      </c>
      <c r="J128" s="390" t="s">
        <v>10389</v>
      </c>
      <c r="K128" s="390" t="s">
        <v>3003</v>
      </c>
      <c r="L128" s="390" t="s">
        <v>9372</v>
      </c>
      <c r="M128" s="390" t="s">
        <v>4869</v>
      </c>
      <c r="N128" s="390" t="s">
        <v>7821</v>
      </c>
      <c r="O128" s="390" t="s">
        <v>1106</v>
      </c>
      <c r="P128" s="541" t="s">
        <v>236</v>
      </c>
      <c r="Q128" s="835"/>
      <c r="R128" s="835"/>
      <c r="S128" s="835"/>
      <c r="T128" s="835"/>
      <c r="U128" s="835"/>
      <c r="V128" s="835"/>
      <c r="W128" s="106"/>
      <c r="X128" s="399" t="s">
        <v>9781</v>
      </c>
      <c r="Y128" s="402"/>
      <c r="Z128" s="399" t="s">
        <v>9378</v>
      </c>
      <c r="AA128" s="1133" t="s">
        <v>11399</v>
      </c>
      <c r="AB128" s="670" t="s">
        <v>11400</v>
      </c>
      <c r="AC128" s="399" t="s">
        <v>2688</v>
      </c>
      <c r="AD128" s="1133" t="s">
        <v>9967</v>
      </c>
      <c r="AE128" s="837"/>
      <c r="AF128" s="1133" t="s">
        <v>11401</v>
      </c>
      <c r="AG128" s="399" t="s">
        <v>593</v>
      </c>
      <c r="AH128" s="837"/>
      <c r="AI128" s="837"/>
      <c r="AJ128" s="837"/>
      <c r="AK128" s="837"/>
      <c r="AL128" s="105"/>
      <c r="AM128" s="839"/>
      <c r="AN128" s="839"/>
      <c r="AO128" s="839"/>
      <c r="AP128" s="839"/>
      <c r="AQ128" s="839"/>
      <c r="AR128" s="839"/>
      <c r="AS128" s="839"/>
      <c r="AT128" s="839"/>
      <c r="AU128" s="407" t="s">
        <v>9750</v>
      </c>
      <c r="AV128" s="407" t="s">
        <v>2105</v>
      </c>
      <c r="AW128" s="839"/>
      <c r="AX128" s="839"/>
      <c r="AY128" s="839"/>
      <c r="AZ128" s="839"/>
      <c r="BA128" s="839"/>
      <c r="BB128" s="417" t="s">
        <v>11402</v>
      </c>
      <c r="BC128" s="1228" t="s">
        <v>10388</v>
      </c>
      <c r="BD128" s="1228" t="s">
        <v>1942</v>
      </c>
      <c r="BE128" s="417" t="s">
        <v>9903</v>
      </c>
      <c r="BF128" s="417" t="s">
        <v>4213</v>
      </c>
      <c r="BG128" s="580"/>
      <c r="BH128" s="580"/>
      <c r="BI128" s="417" t="s">
        <v>3899</v>
      </c>
      <c r="BJ128" s="580"/>
      <c r="BK128" s="581" t="s">
        <v>11403</v>
      </c>
      <c r="BL128" s="1228" t="s">
        <v>11404</v>
      </c>
      <c r="BM128" s="580"/>
      <c r="BN128" s="580"/>
      <c r="BO128" s="580"/>
      <c r="BP128" s="580"/>
      <c r="BQ128" s="845"/>
      <c r="BR128" s="422" t="s">
        <v>11405</v>
      </c>
      <c r="BS128" s="589" t="s">
        <v>11406</v>
      </c>
      <c r="BT128" s="589" t="s">
        <v>11407</v>
      </c>
      <c r="BU128" s="589" t="s">
        <v>5684</v>
      </c>
      <c r="BV128" s="589" t="s">
        <v>10831</v>
      </c>
      <c r="BW128" s="589" t="s">
        <v>527</v>
      </c>
      <c r="BX128" s="589" t="s">
        <v>11408</v>
      </c>
      <c r="BY128" s="849"/>
      <c r="BZ128" s="422" t="s">
        <v>11409</v>
      </c>
      <c r="CA128" s="589" t="s">
        <v>11410</v>
      </c>
      <c r="CB128" s="849"/>
      <c r="CC128" s="849"/>
      <c r="CD128" s="849"/>
      <c r="CE128" s="849"/>
      <c r="CF128" s="851"/>
      <c r="CG128" s="593" t="s">
        <v>11411</v>
      </c>
      <c r="CH128" s="433" t="s">
        <v>4589</v>
      </c>
      <c r="CI128" s="433" t="s">
        <v>11412</v>
      </c>
      <c r="CJ128" s="433" t="s">
        <v>11413</v>
      </c>
      <c r="CK128" s="434"/>
      <c r="CL128" s="433" t="s">
        <v>2250</v>
      </c>
      <c r="CM128" s="593" t="s">
        <v>5386</v>
      </c>
      <c r="CN128" s="433" t="s">
        <v>1111</v>
      </c>
      <c r="CO128" s="593" t="s">
        <v>799</v>
      </c>
      <c r="CP128" s="852"/>
      <c r="CQ128" s="852"/>
      <c r="CR128" s="852"/>
      <c r="CS128" s="852"/>
      <c r="CT128" s="852"/>
      <c r="CU128" s="106"/>
      <c r="CV128" s="458" t="s">
        <v>11414</v>
      </c>
      <c r="CW128" s="458" t="s">
        <v>11415</v>
      </c>
      <c r="CX128" s="458" t="s">
        <v>11416</v>
      </c>
      <c r="CY128" s="458" t="s">
        <v>6619</v>
      </c>
      <c r="CZ128" s="458" t="s">
        <v>659</v>
      </c>
      <c r="DA128" s="458" t="s">
        <v>11417</v>
      </c>
      <c r="DB128" s="458" t="s">
        <v>5763</v>
      </c>
      <c r="DC128" s="458" t="s">
        <v>1876</v>
      </c>
      <c r="DD128" s="853"/>
      <c r="DE128" s="853"/>
      <c r="DF128" s="853"/>
      <c r="DG128" s="853"/>
      <c r="DH128" s="853"/>
      <c r="DI128" s="481" t="s">
        <v>898</v>
      </c>
      <c r="DJ128" s="855"/>
      <c r="DK128" s="855"/>
      <c r="DL128" s="855"/>
      <c r="DM128" s="599" t="s">
        <v>516</v>
      </c>
      <c r="DN128" s="855"/>
      <c r="DO128" s="855"/>
      <c r="DP128" s="855"/>
      <c r="DQ128" s="855"/>
      <c r="DR128" s="685" t="s">
        <v>11418</v>
      </c>
      <c r="DS128" s="685" t="s">
        <v>11419</v>
      </c>
      <c r="DT128" s="855"/>
      <c r="DU128" s="855"/>
      <c r="DV128" s="855"/>
      <c r="DW128" s="855"/>
      <c r="DX128" s="855"/>
      <c r="DY128" s="855"/>
      <c r="DZ128" s="855"/>
      <c r="EA128" s="855"/>
      <c r="EB128" s="855"/>
      <c r="EC128" s="855"/>
      <c r="ED128" s="1912"/>
    </row>
    <row r="129">
      <c r="A129" s="1707" t="s">
        <v>11420</v>
      </c>
      <c r="B129" s="245" t="s">
        <v>11421</v>
      </c>
      <c r="C129" s="246" t="s">
        <v>271</v>
      </c>
      <c r="D129" s="247" t="s">
        <v>271</v>
      </c>
      <c r="E129" s="248" t="s">
        <v>271</v>
      </c>
      <c r="F129" s="249" t="s">
        <v>567</v>
      </c>
      <c r="G129" s="245" t="s">
        <v>1904</v>
      </c>
      <c r="H129" s="351"/>
      <c r="I129" s="316" t="s">
        <v>278</v>
      </c>
      <c r="J129" s="278" t="s">
        <v>10760</v>
      </c>
      <c r="K129" s="257" t="s">
        <v>684</v>
      </c>
      <c r="L129" s="278" t="s">
        <v>3912</v>
      </c>
      <c r="M129" s="257" t="s">
        <v>11422</v>
      </c>
      <c r="N129" s="257" t="s">
        <v>10528</v>
      </c>
      <c r="O129" s="257" t="s">
        <v>11423</v>
      </c>
      <c r="P129" s="257" t="s">
        <v>10558</v>
      </c>
      <c r="Q129" s="320"/>
      <c r="R129" s="320"/>
      <c r="S129" s="320"/>
      <c r="T129" s="320"/>
      <c r="U129" s="320"/>
      <c r="V129" s="320"/>
      <c r="W129" s="106"/>
      <c r="X129" s="278" t="s">
        <v>4786</v>
      </c>
      <c r="Y129" s="278"/>
      <c r="Z129" s="257" t="s">
        <v>11424</v>
      </c>
      <c r="AA129" s="278" t="s">
        <v>1346</v>
      </c>
      <c r="AB129" s="257" t="s">
        <v>8070</v>
      </c>
      <c r="AC129" s="257" t="s">
        <v>4584</v>
      </c>
      <c r="AD129" s="257" t="s">
        <v>5735</v>
      </c>
      <c r="AE129" s="286"/>
      <c r="AF129" s="257" t="s">
        <v>11425</v>
      </c>
      <c r="AG129" s="257" t="s">
        <v>1431</v>
      </c>
      <c r="AH129" s="320"/>
      <c r="AI129" s="320"/>
      <c r="AJ129" s="351"/>
      <c r="AK129" s="320"/>
      <c r="AL129" s="105"/>
      <c r="AM129" s="351"/>
      <c r="AN129" s="351"/>
      <c r="AO129" s="320"/>
      <c r="AP129" s="320"/>
      <c r="AQ129" s="286"/>
      <c r="AR129" s="286"/>
      <c r="AS129" s="320"/>
      <c r="AT129" s="320"/>
      <c r="AU129" s="257" t="s">
        <v>3574</v>
      </c>
      <c r="AV129" s="257" t="s">
        <v>8911</v>
      </c>
      <c r="AW129" s="351"/>
      <c r="AX129" s="320"/>
      <c r="AY129" s="320"/>
      <c r="AZ129" s="320"/>
      <c r="BA129" s="320"/>
      <c r="BB129" s="351" t="s">
        <v>11426</v>
      </c>
      <c r="BC129" s="351" t="s">
        <v>847</v>
      </c>
      <c r="BD129" s="351" t="s">
        <v>3062</v>
      </c>
      <c r="BE129" s="351" t="s">
        <v>5640</v>
      </c>
      <c r="BF129" s="351" t="s">
        <v>11427</v>
      </c>
      <c r="BG129" s="351" t="s">
        <v>2845</v>
      </c>
      <c r="BH129" s="286"/>
      <c r="BI129" s="351" t="s">
        <v>9719</v>
      </c>
      <c r="BJ129" s="286" t="s">
        <v>11428</v>
      </c>
      <c r="BK129" s="351"/>
      <c r="BL129" s="351" t="s">
        <v>11429</v>
      </c>
      <c r="BM129" s="320"/>
      <c r="BN129" s="320"/>
      <c r="BO129" s="351"/>
      <c r="BP129" s="320"/>
      <c r="BQ129" s="824"/>
      <c r="BR129" s="351" t="s">
        <v>11430</v>
      </c>
      <c r="BS129" s="351" t="s">
        <v>7326</v>
      </c>
      <c r="BT129" s="351" t="s">
        <v>1075</v>
      </c>
      <c r="BU129" s="351" t="s">
        <v>5095</v>
      </c>
      <c r="BV129" s="351" t="s">
        <v>11431</v>
      </c>
      <c r="BW129" s="351" t="s">
        <v>11432</v>
      </c>
      <c r="BX129" s="286" t="s">
        <v>11433</v>
      </c>
      <c r="BY129" s="351" t="s">
        <v>11434</v>
      </c>
      <c r="BZ129" s="351"/>
      <c r="CA129" s="351" t="s">
        <v>11435</v>
      </c>
      <c r="CB129" s="320"/>
      <c r="CC129" s="320"/>
      <c r="CD129" s="320"/>
      <c r="CE129" s="320"/>
      <c r="CF129" s="824"/>
      <c r="CG129" s="351" t="s">
        <v>11436</v>
      </c>
      <c r="CH129" s="351" t="s">
        <v>10522</v>
      </c>
      <c r="CI129" s="351" t="s">
        <v>3790</v>
      </c>
      <c r="CJ129" s="351" t="s">
        <v>2121</v>
      </c>
      <c r="CK129" s="351" t="s">
        <v>8230</v>
      </c>
      <c r="CL129" s="351" t="s">
        <v>11328</v>
      </c>
      <c r="CM129" s="351" t="s">
        <v>1042</v>
      </c>
      <c r="CN129" s="351" t="s">
        <v>3985</v>
      </c>
      <c r="CO129" s="351" t="s">
        <v>9908</v>
      </c>
      <c r="CP129" s="758"/>
      <c r="CQ129" s="320"/>
      <c r="CR129" s="320"/>
      <c r="CS129" s="320"/>
      <c r="CT129" s="320"/>
      <c r="CU129" s="106"/>
      <c r="CV129" s="351" t="s">
        <v>10479</v>
      </c>
      <c r="CW129" s="351" t="s">
        <v>11437</v>
      </c>
      <c r="CX129" s="351" t="s">
        <v>7406</v>
      </c>
      <c r="CY129" s="351" t="s">
        <v>1468</v>
      </c>
      <c r="CZ129" s="351" t="s">
        <v>4107</v>
      </c>
      <c r="DA129" s="351" t="s">
        <v>10167</v>
      </c>
      <c r="DB129" s="351" t="s">
        <v>11438</v>
      </c>
      <c r="DC129" s="351" t="s">
        <v>1876</v>
      </c>
      <c r="DD129" s="320"/>
      <c r="DE129" s="320"/>
      <c r="DF129" s="320"/>
      <c r="DG129" s="320"/>
      <c r="DH129" s="320"/>
      <c r="DI129" s="351"/>
      <c r="DJ129" s="320"/>
      <c r="DK129" s="320"/>
      <c r="DL129" s="351"/>
      <c r="DM129" s="351"/>
      <c r="DN129" s="351"/>
      <c r="DO129" s="320"/>
      <c r="DP129" s="320"/>
      <c r="DQ129" s="320"/>
      <c r="DR129" s="351" t="s">
        <v>2118</v>
      </c>
      <c r="DS129" s="351" t="s">
        <v>11439</v>
      </c>
      <c r="DT129" s="320"/>
      <c r="DU129" s="351"/>
      <c r="DV129" s="320"/>
      <c r="DW129" s="320"/>
      <c r="DX129" s="320"/>
      <c r="DY129" s="320"/>
      <c r="DZ129" s="320"/>
      <c r="EA129" s="351"/>
      <c r="EB129" s="320"/>
      <c r="EC129" s="320"/>
      <c r="ED129" s="862"/>
    </row>
    <row r="130">
      <c r="A130" s="1913" t="s">
        <v>11440</v>
      </c>
      <c r="B130" s="378" t="s">
        <v>11441</v>
      </c>
      <c r="C130" s="379" t="s">
        <v>271</v>
      </c>
      <c r="D130" s="380" t="s">
        <v>271</v>
      </c>
      <c r="E130" s="381" t="s">
        <v>271</v>
      </c>
      <c r="F130" s="382" t="s">
        <v>171</v>
      </c>
      <c r="G130" s="378" t="s">
        <v>3502</v>
      </c>
      <c r="H130" s="835"/>
      <c r="I130" s="835"/>
      <c r="J130" s="541" t="s">
        <v>11442</v>
      </c>
      <c r="K130" s="541" t="s">
        <v>10674</v>
      </c>
      <c r="L130" s="541" t="s">
        <v>3514</v>
      </c>
      <c r="M130" s="835"/>
      <c r="N130" s="541" t="s">
        <v>7614</v>
      </c>
      <c r="O130" s="541" t="s">
        <v>885</v>
      </c>
      <c r="P130" s="541" t="s">
        <v>10049</v>
      </c>
      <c r="Q130" s="835"/>
      <c r="R130" s="835"/>
      <c r="S130" s="835"/>
      <c r="T130" s="835"/>
      <c r="U130" s="835"/>
      <c r="V130" s="835"/>
      <c r="W130" s="106"/>
      <c r="X130" s="670" t="s">
        <v>433</v>
      </c>
      <c r="Y130" s="837"/>
      <c r="Z130" s="837"/>
      <c r="AA130" s="670" t="s">
        <v>2537</v>
      </c>
      <c r="AB130" s="670" t="s">
        <v>4066</v>
      </c>
      <c r="AC130" s="837"/>
      <c r="AD130" s="837"/>
      <c r="AE130" s="837"/>
      <c r="AF130" s="837"/>
      <c r="AG130" s="837"/>
      <c r="AH130" s="837"/>
      <c r="AI130" s="837"/>
      <c r="AJ130" s="837"/>
      <c r="AK130" s="837"/>
      <c r="AL130" s="105"/>
      <c r="AM130" s="839"/>
      <c r="AN130" s="839"/>
      <c r="AO130" s="839"/>
      <c r="AP130" s="839"/>
      <c r="AQ130" s="839"/>
      <c r="AR130" s="839"/>
      <c r="AS130" s="839"/>
      <c r="AT130" s="839"/>
      <c r="AU130" s="570" t="s">
        <v>10713</v>
      </c>
      <c r="AV130" s="570" t="s">
        <v>9593</v>
      </c>
      <c r="AW130" s="839"/>
      <c r="AX130" s="839"/>
      <c r="AY130" s="839"/>
      <c r="AZ130" s="839"/>
      <c r="BA130" s="839"/>
      <c r="BB130" s="580"/>
      <c r="BC130" s="580"/>
      <c r="BD130" s="580"/>
      <c r="BE130" s="580"/>
      <c r="BF130" s="581" t="s">
        <v>6942</v>
      </c>
      <c r="BG130" s="580"/>
      <c r="BH130" s="580"/>
      <c r="BI130" s="581" t="s">
        <v>9926</v>
      </c>
      <c r="BJ130" s="580"/>
      <c r="BK130" s="581" t="s">
        <v>11443</v>
      </c>
      <c r="BL130" s="580"/>
      <c r="BM130" s="580"/>
      <c r="BN130" s="580"/>
      <c r="BO130" s="580"/>
      <c r="BP130" s="580"/>
      <c r="BQ130" s="845"/>
      <c r="BR130" s="589" t="s">
        <v>11444</v>
      </c>
      <c r="BS130" s="849"/>
      <c r="BT130" s="849"/>
      <c r="BU130" s="589" t="s">
        <v>10804</v>
      </c>
      <c r="BV130" s="849"/>
      <c r="BW130" s="849"/>
      <c r="BX130" s="849"/>
      <c r="BY130" s="849"/>
      <c r="BZ130" s="849"/>
      <c r="CA130" s="849"/>
      <c r="CB130" s="849"/>
      <c r="CC130" s="849"/>
      <c r="CD130" s="849"/>
      <c r="CE130" s="849"/>
      <c r="CF130" s="851"/>
      <c r="CG130" s="593" t="s">
        <v>11445</v>
      </c>
      <c r="CH130" s="593" t="s">
        <v>4839</v>
      </c>
      <c r="CI130" s="852"/>
      <c r="CJ130" s="593" t="s">
        <v>11446</v>
      </c>
      <c r="CK130" s="593"/>
      <c r="CL130" s="593"/>
      <c r="CM130" s="852"/>
      <c r="CN130" s="852"/>
      <c r="CO130" s="433" t="s">
        <v>4505</v>
      </c>
      <c r="CP130" s="852"/>
      <c r="CQ130" s="852"/>
      <c r="CR130" s="852"/>
      <c r="CS130" s="852"/>
      <c r="CT130" s="852"/>
      <c r="CU130" s="106"/>
      <c r="CV130" s="683" t="s">
        <v>6132</v>
      </c>
      <c r="CW130" s="853"/>
      <c r="CX130" s="853"/>
      <c r="CY130" s="853"/>
      <c r="CZ130" s="853"/>
      <c r="DA130" s="683" t="s">
        <v>4506</v>
      </c>
      <c r="DB130" s="683" t="s">
        <v>4700</v>
      </c>
      <c r="DC130" s="683" t="s">
        <v>1586</v>
      </c>
      <c r="DD130" s="853"/>
      <c r="DE130" s="853"/>
      <c r="DF130" s="853"/>
      <c r="DG130" s="853"/>
      <c r="DH130" s="853"/>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912"/>
    </row>
    <row r="131">
      <c r="A131" s="1914" t="s">
        <v>11447</v>
      </c>
      <c r="B131" s="245" t="s">
        <v>11448</v>
      </c>
      <c r="C131" s="246" t="s">
        <v>271</v>
      </c>
      <c r="D131" s="247" t="s">
        <v>271</v>
      </c>
      <c r="E131" s="248" t="s">
        <v>271</v>
      </c>
      <c r="F131" s="249" t="s">
        <v>361</v>
      </c>
      <c r="G131" s="245" t="s">
        <v>169</v>
      </c>
      <c r="H131" s="351"/>
      <c r="I131" s="288"/>
      <c r="J131" s="351"/>
      <c r="K131" s="257" t="s">
        <v>8834</v>
      </c>
      <c r="L131" s="351" t="s">
        <v>1875</v>
      </c>
      <c r="M131" s="351"/>
      <c r="N131" s="351"/>
      <c r="O131" s="257" t="s">
        <v>11449</v>
      </c>
      <c r="P131" s="257" t="s">
        <v>422</v>
      </c>
      <c r="Q131" s="320"/>
      <c r="R131" s="320"/>
      <c r="S131" s="320"/>
      <c r="T131" s="320"/>
      <c r="U131" s="320"/>
      <c r="V131" s="320"/>
      <c r="W131" s="106"/>
      <c r="X131" s="351" t="s">
        <v>11450</v>
      </c>
      <c r="Y131" s="278"/>
      <c r="Z131" s="257" t="s">
        <v>5165</v>
      </c>
      <c r="AA131" s="257" t="s">
        <v>5120</v>
      </c>
      <c r="AB131" s="881" t="s">
        <v>5794</v>
      </c>
      <c r="AC131" s="257" t="s">
        <v>6668</v>
      </c>
      <c r="AD131" s="351"/>
      <c r="AE131" s="320"/>
      <c r="AF131" s="351"/>
      <c r="AG131" s="351"/>
      <c r="AH131" s="320"/>
      <c r="AI131" s="320"/>
      <c r="AJ131" s="351"/>
      <c r="AK131" s="320"/>
      <c r="AL131" s="105"/>
      <c r="AM131" s="351"/>
      <c r="AN131" s="351"/>
      <c r="AO131" s="320"/>
      <c r="AP131" s="320"/>
      <c r="AQ131" s="286"/>
      <c r="AR131" s="286"/>
      <c r="AS131" s="320"/>
      <c r="AT131" s="320"/>
      <c r="AU131" s="351"/>
      <c r="AV131" s="351" t="s">
        <v>10564</v>
      </c>
      <c r="AW131" s="351"/>
      <c r="AX131" s="320"/>
      <c r="AY131" s="320"/>
      <c r="AZ131" s="320"/>
      <c r="BA131" s="320"/>
      <c r="BB131" s="351"/>
      <c r="BC131" s="351" t="s">
        <v>9918</v>
      </c>
      <c r="BD131" s="351" t="s">
        <v>2819</v>
      </c>
      <c r="BE131" s="351"/>
      <c r="BF131" s="351"/>
      <c r="BG131" s="351"/>
      <c r="BH131" s="320"/>
      <c r="BI131" s="351"/>
      <c r="BJ131" s="320"/>
      <c r="BK131" s="351"/>
      <c r="BL131" s="351"/>
      <c r="BM131" s="320"/>
      <c r="BN131" s="320"/>
      <c r="BO131" s="351"/>
      <c r="BP131" s="320"/>
      <c r="BQ131" s="824"/>
      <c r="BR131" s="351"/>
      <c r="BS131" s="351"/>
      <c r="BT131" s="351"/>
      <c r="BU131" s="351" t="s">
        <v>5363</v>
      </c>
      <c r="BV131" s="351"/>
      <c r="BW131" s="257" t="s">
        <v>11451</v>
      </c>
      <c r="BX131" s="320"/>
      <c r="BY131" s="351"/>
      <c r="BZ131" s="351"/>
      <c r="CA131" s="351"/>
      <c r="CB131" s="320"/>
      <c r="CC131" s="320"/>
      <c r="CD131" s="320"/>
      <c r="CE131" s="320"/>
      <c r="CF131" s="824"/>
      <c r="CG131" s="351"/>
      <c r="CH131" s="351" t="s">
        <v>11452</v>
      </c>
      <c r="CI131" s="351"/>
      <c r="CJ131" s="351"/>
      <c r="CK131" s="351"/>
      <c r="CL131" s="351"/>
      <c r="CM131" s="351"/>
      <c r="CN131" s="862" t="s">
        <v>1542</v>
      </c>
      <c r="CO131" s="257" t="s">
        <v>4505</v>
      </c>
      <c r="CP131" s="758"/>
      <c r="CQ131" s="320"/>
      <c r="CR131" s="320"/>
      <c r="CS131" s="320"/>
      <c r="CT131" s="320"/>
      <c r="CU131" s="106"/>
      <c r="CV131" s="351"/>
      <c r="CW131" s="351"/>
      <c r="CX131" s="257" t="s">
        <v>4309</v>
      </c>
      <c r="CY131" s="351"/>
      <c r="CZ131" s="351"/>
      <c r="DA131" s="351"/>
      <c r="DB131" s="257" t="s">
        <v>11453</v>
      </c>
      <c r="DC131" s="351"/>
      <c r="DD131" s="320"/>
      <c r="DE131" s="320"/>
      <c r="DF131" s="320"/>
      <c r="DG131" s="320"/>
      <c r="DH131" s="320"/>
      <c r="DI131" s="351"/>
      <c r="DJ131" s="320"/>
      <c r="DK131" s="320"/>
      <c r="DL131" s="351"/>
      <c r="DM131" s="351"/>
      <c r="DN131" s="351"/>
      <c r="DO131" s="320"/>
      <c r="DP131" s="320"/>
      <c r="DQ131" s="320"/>
      <c r="DR131" s="351"/>
      <c r="DS131" s="351"/>
      <c r="DT131" s="320"/>
      <c r="DU131" s="351"/>
      <c r="DV131" s="320"/>
      <c r="DW131" s="320"/>
      <c r="DX131" s="320"/>
      <c r="DY131" s="320"/>
      <c r="DZ131" s="320"/>
      <c r="EA131" s="351"/>
      <c r="EB131" s="320"/>
      <c r="EC131" s="320"/>
      <c r="ED131" s="862"/>
    </row>
    <row r="132">
      <c r="A132" s="1915" t="s">
        <v>3714</v>
      </c>
      <c r="B132" s="378" t="s">
        <v>11454</v>
      </c>
      <c r="C132" s="379" t="s">
        <v>271</v>
      </c>
      <c r="D132" s="380" t="s">
        <v>271</v>
      </c>
      <c r="E132" s="381" t="s">
        <v>271</v>
      </c>
      <c r="F132" s="382" t="s">
        <v>271</v>
      </c>
      <c r="G132" s="378" t="s">
        <v>4318</v>
      </c>
      <c r="H132" s="1916" t="s">
        <v>11455</v>
      </c>
      <c r="I132" s="1538" t="s">
        <v>10382</v>
      </c>
      <c r="J132" s="1538" t="s">
        <v>1218</v>
      </c>
      <c r="K132" s="1538" t="s">
        <v>9497</v>
      </c>
      <c r="L132" s="1538" t="s">
        <v>7054</v>
      </c>
      <c r="M132" s="1538" t="s">
        <v>11456</v>
      </c>
      <c r="N132" s="1538" t="s">
        <v>11457</v>
      </c>
      <c r="O132" s="1538" t="s">
        <v>4251</v>
      </c>
      <c r="P132" s="1538" t="s">
        <v>10896</v>
      </c>
      <c r="Q132" s="541" t="s">
        <v>11458</v>
      </c>
      <c r="R132" s="835"/>
      <c r="S132" s="541" t="s">
        <v>3793</v>
      </c>
      <c r="T132" s="835"/>
      <c r="U132" s="541" t="s">
        <v>4532</v>
      </c>
      <c r="V132" s="541" t="s">
        <v>3782</v>
      </c>
      <c r="W132" s="106"/>
      <c r="X132" s="1287" t="s">
        <v>5937</v>
      </c>
      <c r="Y132" s="1287"/>
      <c r="Z132" s="1287" t="s">
        <v>283</v>
      </c>
      <c r="AA132" s="1287" t="s">
        <v>4837</v>
      </c>
      <c r="AB132" s="1133" t="s">
        <v>6995</v>
      </c>
      <c r="AC132" s="1287" t="s">
        <v>7636</v>
      </c>
      <c r="AD132" s="1287" t="s">
        <v>10911</v>
      </c>
      <c r="AE132" s="837"/>
      <c r="AF132" s="1287" t="s">
        <v>9361</v>
      </c>
      <c r="AG132" s="1287" t="s">
        <v>236</v>
      </c>
      <c r="AH132" s="670" t="s">
        <v>6905</v>
      </c>
      <c r="AI132" s="837"/>
      <c r="AJ132" s="1287" t="s">
        <v>7526</v>
      </c>
      <c r="AK132" s="670" t="s">
        <v>11459</v>
      </c>
      <c r="AL132" s="105"/>
      <c r="AM132" s="1714" t="s">
        <v>367</v>
      </c>
      <c r="AN132" s="1714" t="s">
        <v>4236</v>
      </c>
      <c r="AO132" s="839"/>
      <c r="AP132" s="839"/>
      <c r="AQ132" s="570" t="s">
        <v>11460</v>
      </c>
      <c r="AR132" s="570" t="s">
        <v>4264</v>
      </c>
      <c r="AS132" s="570" t="s">
        <v>4338</v>
      </c>
      <c r="AT132" s="839"/>
      <c r="AU132" s="1714" t="s">
        <v>11318</v>
      </c>
      <c r="AV132" s="1714" t="s">
        <v>10755</v>
      </c>
      <c r="AW132" s="413"/>
      <c r="AX132" s="839"/>
      <c r="AY132" s="570" t="s">
        <v>3968</v>
      </c>
      <c r="AZ132" s="570" t="s">
        <v>11461</v>
      </c>
      <c r="BA132" s="839"/>
      <c r="BB132" s="674" t="s">
        <v>11462</v>
      </c>
      <c r="BC132" s="674" t="s">
        <v>6339</v>
      </c>
      <c r="BD132" s="674" t="s">
        <v>11463</v>
      </c>
      <c r="BE132" s="674" t="s">
        <v>7526</v>
      </c>
      <c r="BF132" s="674" t="s">
        <v>11464</v>
      </c>
      <c r="BG132" s="674" t="s">
        <v>10507</v>
      </c>
      <c r="BH132" s="581" t="s">
        <v>11465</v>
      </c>
      <c r="BI132" s="674" t="s">
        <v>10572</v>
      </c>
      <c r="BJ132" s="580"/>
      <c r="BK132" s="674" t="s">
        <v>11466</v>
      </c>
      <c r="BL132" s="674" t="s">
        <v>4455</v>
      </c>
      <c r="BM132" s="581" t="s">
        <v>11467</v>
      </c>
      <c r="BN132" s="580"/>
      <c r="BO132" s="674" t="s">
        <v>439</v>
      </c>
      <c r="BP132" s="580"/>
      <c r="BQ132" s="845"/>
      <c r="BR132" s="1706" t="s">
        <v>11468</v>
      </c>
      <c r="BS132" s="1706" t="s">
        <v>11469</v>
      </c>
      <c r="BT132" s="1706" t="s">
        <v>1132</v>
      </c>
      <c r="BU132" s="1706" t="s">
        <v>1022</v>
      </c>
      <c r="BV132" s="1706" t="s">
        <v>11250</v>
      </c>
      <c r="BW132" s="1706" t="s">
        <v>998</v>
      </c>
      <c r="BX132" s="589" t="s">
        <v>11470</v>
      </c>
      <c r="BY132" s="424"/>
      <c r="BZ132" s="1706" t="s">
        <v>11471</v>
      </c>
      <c r="CA132" s="1706" t="s">
        <v>11472</v>
      </c>
      <c r="CB132" s="589" t="s">
        <v>11473</v>
      </c>
      <c r="CC132" s="849"/>
      <c r="CD132" s="849"/>
      <c r="CE132" s="589" t="s">
        <v>11474</v>
      </c>
      <c r="CF132" s="851"/>
      <c r="CG132" s="1627" t="s">
        <v>992</v>
      </c>
      <c r="CH132" s="1627" t="s">
        <v>11064</v>
      </c>
      <c r="CI132" s="1627" t="s">
        <v>4303</v>
      </c>
      <c r="CJ132" s="1627" t="s">
        <v>11475</v>
      </c>
      <c r="CK132" s="1627" t="s">
        <v>11476</v>
      </c>
      <c r="CL132" s="1627" t="s">
        <v>11477</v>
      </c>
      <c r="CM132" s="1627" t="s">
        <v>7418</v>
      </c>
      <c r="CN132" s="1627" t="s">
        <v>4092</v>
      </c>
      <c r="CO132" s="1627" t="s">
        <v>4792</v>
      </c>
      <c r="CP132" s="1789"/>
      <c r="CQ132" s="852"/>
      <c r="CR132" s="852"/>
      <c r="CS132" s="852"/>
      <c r="CT132" s="593" t="s">
        <v>11478</v>
      </c>
      <c r="CU132" s="106"/>
      <c r="CV132" s="1030" t="s">
        <v>201</v>
      </c>
      <c r="CW132" s="1030" t="s">
        <v>11479</v>
      </c>
      <c r="CX132" s="1917" t="s">
        <v>11480</v>
      </c>
      <c r="CY132" s="1030" t="s">
        <v>9865</v>
      </c>
      <c r="CZ132" s="1030" t="s">
        <v>8092</v>
      </c>
      <c r="DA132" s="1030" t="s">
        <v>10331</v>
      </c>
      <c r="DB132" s="1030" t="s">
        <v>11481</v>
      </c>
      <c r="DC132" s="1030" t="s">
        <v>8848</v>
      </c>
      <c r="DD132" s="683" t="s">
        <v>5015</v>
      </c>
      <c r="DE132" s="853"/>
      <c r="DF132" s="853"/>
      <c r="DG132" s="683" t="s">
        <v>11482</v>
      </c>
      <c r="DH132" s="853"/>
      <c r="DI132" s="1039" t="s">
        <v>1912</v>
      </c>
      <c r="DJ132" s="855"/>
      <c r="DK132" s="685" t="s">
        <v>5019</v>
      </c>
      <c r="DL132" s="1039" t="s">
        <v>11483</v>
      </c>
      <c r="DM132" s="1039" t="s">
        <v>1903</v>
      </c>
      <c r="DN132" s="1039" t="s">
        <v>9757</v>
      </c>
      <c r="DO132" s="685" t="s">
        <v>11484</v>
      </c>
      <c r="DP132" s="685" t="s">
        <v>11485</v>
      </c>
      <c r="DQ132" s="685" t="s">
        <v>11486</v>
      </c>
      <c r="DR132" s="1039" t="s">
        <v>11487</v>
      </c>
      <c r="DS132" s="686"/>
      <c r="DT132" s="855"/>
      <c r="DU132" s="1039" t="s">
        <v>3787</v>
      </c>
      <c r="DV132" s="855"/>
      <c r="DW132" s="855"/>
      <c r="DX132" s="855"/>
      <c r="DY132" s="855"/>
      <c r="DZ132" s="685" t="s">
        <v>6482</v>
      </c>
      <c r="EA132" s="1039" t="s">
        <v>7668</v>
      </c>
      <c r="EB132" s="855"/>
      <c r="EC132" s="685" t="s">
        <v>5765</v>
      </c>
      <c r="ED132" s="1039" t="s">
        <v>11488</v>
      </c>
    </row>
    <row r="133">
      <c r="A133" s="244" t="s">
        <v>11489</v>
      </c>
      <c r="B133" s="245" t="s">
        <v>11490</v>
      </c>
      <c r="C133" s="246" t="s">
        <v>271</v>
      </c>
      <c r="D133" s="247" t="s">
        <v>271</v>
      </c>
      <c r="E133" s="248" t="s">
        <v>271</v>
      </c>
      <c r="F133" s="249" t="s">
        <v>271</v>
      </c>
      <c r="G133" s="245" t="s">
        <v>944</v>
      </c>
      <c r="H133" s="320"/>
      <c r="I133" s="286" t="s">
        <v>6430</v>
      </c>
      <c r="J133" s="320"/>
      <c r="K133" s="320"/>
      <c r="L133" s="286" t="s">
        <v>2642</v>
      </c>
      <c r="M133" s="320"/>
      <c r="N133" s="286" t="s">
        <v>6589</v>
      </c>
      <c r="O133" s="286" t="s">
        <v>1129</v>
      </c>
      <c r="P133" s="286" t="s">
        <v>9877</v>
      </c>
      <c r="Q133" s="320"/>
      <c r="R133" s="320"/>
      <c r="S133" s="320"/>
      <c r="T133" s="320"/>
      <c r="U133" s="286" t="s">
        <v>4223</v>
      </c>
      <c r="V133" s="320"/>
      <c r="W133" s="106"/>
      <c r="X133" s="320"/>
      <c r="Y133" s="286"/>
      <c r="Z133" s="286" t="s">
        <v>1989</v>
      </c>
      <c r="AA133" s="286" t="s">
        <v>5120</v>
      </c>
      <c r="AB133" s="320"/>
      <c r="AC133" s="286" t="s">
        <v>4878</v>
      </c>
      <c r="AD133" s="320"/>
      <c r="AE133" s="320"/>
      <c r="AF133" s="286" t="s">
        <v>8215</v>
      </c>
      <c r="AG133" s="320"/>
      <c r="AH133" s="320"/>
      <c r="AI133" s="320"/>
      <c r="AJ133" s="320"/>
      <c r="AK133" s="320"/>
      <c r="AL133" s="105"/>
      <c r="AM133" s="286"/>
      <c r="AN133" s="286" t="s">
        <v>7120</v>
      </c>
      <c r="AO133" s="320"/>
      <c r="AP133" s="320"/>
      <c r="AQ133" s="320"/>
      <c r="AR133" s="320"/>
      <c r="AS133" s="320"/>
      <c r="AT133" s="320"/>
      <c r="AU133" s="286" t="s">
        <v>9779</v>
      </c>
      <c r="AV133" s="320"/>
      <c r="AW133" s="320"/>
      <c r="AX133" s="320"/>
      <c r="AY133" s="286" t="s">
        <v>11249</v>
      </c>
      <c r="AZ133" s="320"/>
      <c r="BA133" s="320"/>
      <c r="BB133" s="320"/>
      <c r="BC133" s="320"/>
      <c r="BD133" s="320"/>
      <c r="BE133" s="286" t="s">
        <v>7780</v>
      </c>
      <c r="BF133" s="286" t="s">
        <v>6282</v>
      </c>
      <c r="BG133" s="320"/>
      <c r="BH133" s="320"/>
      <c r="BI133" s="286" t="s">
        <v>11266</v>
      </c>
      <c r="BJ133" s="320"/>
      <c r="BK133" s="320"/>
      <c r="BL133" s="320"/>
      <c r="BM133" s="320"/>
      <c r="BN133" s="320"/>
      <c r="BO133" s="320"/>
      <c r="BP133" s="320"/>
      <c r="BQ133" s="824"/>
      <c r="BR133" s="320"/>
      <c r="BS133" s="286" t="s">
        <v>3002</v>
      </c>
      <c r="BT133" s="286" t="s">
        <v>6648</v>
      </c>
      <c r="BU133" s="320"/>
      <c r="BV133" s="320"/>
      <c r="BW133" s="286" t="s">
        <v>7398</v>
      </c>
      <c r="BX133" s="320"/>
      <c r="BY133" s="286" t="s">
        <v>11491</v>
      </c>
      <c r="BZ133" s="320"/>
      <c r="CA133" s="320"/>
      <c r="CB133" s="320"/>
      <c r="CC133" s="320"/>
      <c r="CD133" s="320"/>
      <c r="CE133" s="320"/>
      <c r="CF133" s="824"/>
      <c r="CG133" s="320"/>
      <c r="CH133" s="320"/>
      <c r="CI133" s="320"/>
      <c r="CJ133" s="286" t="s">
        <v>11492</v>
      </c>
      <c r="CK133" s="286"/>
      <c r="CL133" s="286"/>
      <c r="CM133" s="320"/>
      <c r="CN133" s="320"/>
      <c r="CO133" s="320"/>
      <c r="CP133" s="320"/>
      <c r="CQ133" s="320"/>
      <c r="CR133" s="320"/>
      <c r="CS133" s="320"/>
      <c r="CT133" s="320"/>
      <c r="CU133" s="106"/>
      <c r="CV133" s="286" t="s">
        <v>4403</v>
      </c>
      <c r="CW133" s="320"/>
      <c r="CX133" s="286" t="s">
        <v>10043</v>
      </c>
      <c r="CY133" s="320"/>
      <c r="CZ133" s="320"/>
      <c r="DA133" s="320"/>
      <c r="DB133" s="286" t="s">
        <v>11493</v>
      </c>
      <c r="DC133" s="286" t="s">
        <v>7347</v>
      </c>
      <c r="DD133" s="320"/>
      <c r="DE133" s="320"/>
      <c r="DF133" s="320"/>
      <c r="DG133" s="320"/>
      <c r="DH133" s="320"/>
      <c r="DI133" s="320"/>
      <c r="DJ133" s="320"/>
      <c r="DK133" s="320"/>
      <c r="DL133" s="320"/>
      <c r="DM133" s="320"/>
      <c r="DN133" s="320"/>
      <c r="DO133" s="320"/>
      <c r="DP133" s="320"/>
      <c r="DQ133" s="320"/>
      <c r="DR133" s="320"/>
      <c r="DS133" s="320"/>
      <c r="DT133" s="320"/>
      <c r="DU133" s="320"/>
      <c r="DV133" s="320"/>
      <c r="DW133" s="320"/>
      <c r="DX133" s="320"/>
      <c r="DY133" s="320"/>
      <c r="DZ133" s="320"/>
      <c r="EA133" s="286" t="s">
        <v>9757</v>
      </c>
      <c r="EB133" s="320"/>
      <c r="EC133" s="320"/>
      <c r="ED133" s="862"/>
    </row>
    <row r="134">
      <c r="A134" s="377" t="s">
        <v>11494</v>
      </c>
      <c r="B134" s="378" t="s">
        <v>11495</v>
      </c>
      <c r="C134" s="379" t="s">
        <v>271</v>
      </c>
      <c r="D134" s="380" t="s">
        <v>271</v>
      </c>
      <c r="E134" s="381" t="s">
        <v>271</v>
      </c>
      <c r="F134" s="382" t="s">
        <v>271</v>
      </c>
      <c r="G134" s="378" t="s">
        <v>1428</v>
      </c>
      <c r="H134" s="541" t="s">
        <v>11496</v>
      </c>
      <c r="I134" s="541" t="s">
        <v>5473</v>
      </c>
      <c r="J134" s="541" t="s">
        <v>3548</v>
      </c>
      <c r="K134" s="541" t="s">
        <v>686</v>
      </c>
      <c r="L134" s="541" t="s">
        <v>5600</v>
      </c>
      <c r="M134" s="541" t="s">
        <v>11497</v>
      </c>
      <c r="N134" s="541" t="s">
        <v>5347</v>
      </c>
      <c r="O134" s="541" t="s">
        <v>11498</v>
      </c>
      <c r="P134" s="835"/>
      <c r="Q134" s="835"/>
      <c r="R134" s="835"/>
      <c r="S134" s="835"/>
      <c r="T134" s="835"/>
      <c r="U134" s="835"/>
      <c r="V134" s="835"/>
      <c r="W134" s="106"/>
      <c r="X134" s="670" t="s">
        <v>5822</v>
      </c>
      <c r="Y134" s="670"/>
      <c r="Z134" s="670" t="s">
        <v>7105</v>
      </c>
      <c r="AA134" s="670" t="s">
        <v>11341</v>
      </c>
      <c r="AB134" s="670" t="s">
        <v>7201</v>
      </c>
      <c r="AC134" s="670" t="s">
        <v>2679</v>
      </c>
      <c r="AD134" s="670" t="s">
        <v>11108</v>
      </c>
      <c r="AE134" s="837"/>
      <c r="AF134" s="670" t="s">
        <v>6655</v>
      </c>
      <c r="AG134" s="837"/>
      <c r="AH134" s="837"/>
      <c r="AI134" s="837"/>
      <c r="AJ134" s="837"/>
      <c r="AK134" s="837"/>
      <c r="AL134" s="105"/>
      <c r="AM134" s="839"/>
      <c r="AN134" s="839"/>
      <c r="AO134" s="839"/>
      <c r="AP134" s="839"/>
      <c r="AQ134" s="839"/>
      <c r="AR134" s="839"/>
      <c r="AS134" s="839"/>
      <c r="AT134" s="839"/>
      <c r="AU134" s="839"/>
      <c r="AV134" s="570" t="s">
        <v>10958</v>
      </c>
      <c r="AW134" s="839"/>
      <c r="AX134" s="839"/>
      <c r="AY134" s="839"/>
      <c r="AZ134" s="839"/>
      <c r="BA134" s="839"/>
      <c r="BB134" s="581" t="s">
        <v>2954</v>
      </c>
      <c r="BC134" s="581" t="s">
        <v>11499</v>
      </c>
      <c r="BD134" s="581" t="s">
        <v>10403</v>
      </c>
      <c r="BE134" s="580"/>
      <c r="BF134" s="580"/>
      <c r="BG134" s="580"/>
      <c r="BH134" s="580"/>
      <c r="BI134" s="581" t="s">
        <v>3880</v>
      </c>
      <c r="BJ134" s="580"/>
      <c r="BK134" s="580"/>
      <c r="BL134" s="580"/>
      <c r="BM134" s="580"/>
      <c r="BN134" s="580"/>
      <c r="BO134" s="580"/>
      <c r="BP134" s="580"/>
      <c r="BQ134" s="845"/>
      <c r="BR134" s="589"/>
      <c r="BS134" s="589" t="s">
        <v>3086</v>
      </c>
      <c r="BT134" s="589" t="s">
        <v>10827</v>
      </c>
      <c r="BU134" s="589" t="s">
        <v>6274</v>
      </c>
      <c r="BV134" s="589" t="s">
        <v>11384</v>
      </c>
      <c r="BW134" s="589" t="s">
        <v>11378</v>
      </c>
      <c r="BX134" s="849"/>
      <c r="BY134" s="849"/>
      <c r="BZ134" s="849"/>
      <c r="CA134" s="849"/>
      <c r="CB134" s="849"/>
      <c r="CC134" s="849"/>
      <c r="CD134" s="849"/>
      <c r="CE134" s="849"/>
      <c r="CF134" s="851"/>
      <c r="CG134" s="593" t="s">
        <v>11500</v>
      </c>
      <c r="CH134" s="593" t="s">
        <v>10232</v>
      </c>
      <c r="CI134" s="852"/>
      <c r="CJ134" s="852"/>
      <c r="CK134" s="852"/>
      <c r="CL134" s="852"/>
      <c r="CM134" s="852"/>
      <c r="CN134" s="852"/>
      <c r="CO134" s="852"/>
      <c r="CP134" s="852"/>
      <c r="CQ134" s="852"/>
      <c r="CR134" s="852"/>
      <c r="CS134" s="852"/>
      <c r="CT134" s="852"/>
      <c r="CU134" s="106"/>
      <c r="CV134" s="683" t="s">
        <v>10711</v>
      </c>
      <c r="CW134" s="683" t="s">
        <v>11501</v>
      </c>
      <c r="CX134" s="683" t="s">
        <v>11087</v>
      </c>
      <c r="CY134" s="853"/>
      <c r="CZ134" s="853"/>
      <c r="DA134" s="853"/>
      <c r="DB134" s="683" t="s">
        <v>11502</v>
      </c>
      <c r="DC134" s="853"/>
      <c r="DD134" s="853"/>
      <c r="DE134" s="853"/>
      <c r="DF134" s="853"/>
      <c r="DG134" s="853"/>
      <c r="DH134" s="853"/>
      <c r="DI134" s="855"/>
      <c r="DJ134" s="855"/>
      <c r="DK134" s="855"/>
      <c r="DL134" s="855"/>
      <c r="DM134" s="855"/>
      <c r="DN134" s="855"/>
      <c r="DO134" s="855"/>
      <c r="DP134" s="855"/>
      <c r="DQ134" s="855"/>
      <c r="DR134" s="685" t="s">
        <v>11503</v>
      </c>
      <c r="DS134" s="685"/>
      <c r="DT134" s="855"/>
      <c r="DU134" s="855"/>
      <c r="DV134" s="855"/>
      <c r="DW134" s="855"/>
      <c r="DX134" s="855"/>
      <c r="DY134" s="855"/>
      <c r="DZ134" s="855"/>
      <c r="EA134" s="855"/>
      <c r="EB134" s="855"/>
      <c r="EC134" s="855"/>
      <c r="ED134" s="1039"/>
    </row>
    <row r="135">
      <c r="A135" s="1918" t="s">
        <v>11504</v>
      </c>
      <c r="B135" s="245" t="s">
        <v>11495</v>
      </c>
      <c r="C135" s="246" t="s">
        <v>271</v>
      </c>
      <c r="D135" s="247" t="s">
        <v>271</v>
      </c>
      <c r="E135" s="248" t="s">
        <v>271</v>
      </c>
      <c r="F135" s="249" t="s">
        <v>1791</v>
      </c>
      <c r="G135" s="245" t="s">
        <v>1791</v>
      </c>
      <c r="H135" s="257" t="s">
        <v>11505</v>
      </c>
      <c r="I135" s="257" t="s">
        <v>2566</v>
      </c>
      <c r="J135" s="257" t="s">
        <v>10705</v>
      </c>
      <c r="K135" s="320"/>
      <c r="L135" s="257" t="s">
        <v>5418</v>
      </c>
      <c r="M135" s="257" t="s">
        <v>11506</v>
      </c>
      <c r="N135" s="320"/>
      <c r="O135" s="320"/>
      <c r="P135" s="257" t="s">
        <v>10083</v>
      </c>
      <c r="Q135" s="320"/>
      <c r="R135" s="320"/>
      <c r="S135" s="320"/>
      <c r="T135" s="320"/>
      <c r="U135" s="320"/>
      <c r="V135" s="320"/>
      <c r="W135" s="106"/>
      <c r="X135" s="257" t="s">
        <v>9293</v>
      </c>
      <c r="Y135" s="278"/>
      <c r="Z135" s="257" t="s">
        <v>1944</v>
      </c>
      <c r="AA135" s="257" t="s">
        <v>2576</v>
      </c>
      <c r="AB135" s="320"/>
      <c r="AC135" s="320"/>
      <c r="AD135" s="320"/>
      <c r="AE135" s="320"/>
      <c r="AF135" s="257" t="s">
        <v>7801</v>
      </c>
      <c r="AG135" s="320"/>
      <c r="AH135" s="320"/>
      <c r="AI135" s="320"/>
      <c r="AJ135" s="320"/>
      <c r="AK135" s="320"/>
      <c r="AL135" s="105"/>
      <c r="AM135" s="320"/>
      <c r="AN135" s="320"/>
      <c r="AO135" s="320"/>
      <c r="AP135" s="320"/>
      <c r="AQ135" s="320"/>
      <c r="AR135" s="320"/>
      <c r="AS135" s="320"/>
      <c r="AT135" s="320"/>
      <c r="AU135" s="320"/>
      <c r="AV135" s="320"/>
      <c r="AW135" s="320"/>
      <c r="AX135" s="320"/>
      <c r="AY135" s="320"/>
      <c r="AZ135" s="320"/>
      <c r="BA135" s="320"/>
      <c r="BB135" s="320"/>
      <c r="BC135" s="320"/>
      <c r="BD135" s="320"/>
      <c r="BE135" s="320"/>
      <c r="BF135" s="257" t="s">
        <v>9794</v>
      </c>
      <c r="BG135" s="320"/>
      <c r="BH135" s="320"/>
      <c r="BI135" s="320"/>
      <c r="BJ135" s="320"/>
      <c r="BK135" s="320"/>
      <c r="BL135" s="320"/>
      <c r="BM135" s="320"/>
      <c r="BN135" s="320"/>
      <c r="BO135" s="320"/>
      <c r="BP135" s="320"/>
      <c r="BQ135" s="824"/>
      <c r="BR135" s="257" t="s">
        <v>7556</v>
      </c>
      <c r="BS135" s="320"/>
      <c r="BT135" s="257" t="s">
        <v>11125</v>
      </c>
      <c r="BU135" s="320"/>
      <c r="BV135" s="320"/>
      <c r="BW135" s="320"/>
      <c r="BX135" s="320"/>
      <c r="BY135" s="320"/>
      <c r="BZ135" s="320"/>
      <c r="CA135" s="257" t="s">
        <v>11507</v>
      </c>
      <c r="CB135" s="320"/>
      <c r="CC135" s="320"/>
      <c r="CD135" s="320"/>
      <c r="CE135" s="320"/>
      <c r="CF135" s="824"/>
      <c r="CG135" s="257" t="s">
        <v>7929</v>
      </c>
      <c r="CH135" s="257" t="s">
        <v>9330</v>
      </c>
      <c r="CI135" s="320"/>
      <c r="CJ135" s="257" t="s">
        <v>10710</v>
      </c>
      <c r="CK135" s="278"/>
      <c r="CL135" s="278"/>
      <c r="CM135" s="257" t="s">
        <v>3942</v>
      </c>
      <c r="CN135" s="257" t="s">
        <v>5315</v>
      </c>
      <c r="CO135" s="320"/>
      <c r="CP135" s="320"/>
      <c r="CQ135" s="320"/>
      <c r="CR135" s="320"/>
      <c r="CS135" s="320"/>
      <c r="CT135" s="320"/>
      <c r="CU135" s="106"/>
      <c r="CV135" s="320"/>
      <c r="CW135" s="320"/>
      <c r="CX135" s="320"/>
      <c r="CY135" s="320"/>
      <c r="CZ135" s="320"/>
      <c r="DA135" s="320"/>
      <c r="DB135" s="257" t="s">
        <v>5806</v>
      </c>
      <c r="DC135" s="320"/>
      <c r="DD135" s="320"/>
      <c r="DE135" s="320"/>
      <c r="DF135" s="320"/>
      <c r="DG135" s="320"/>
      <c r="DH135" s="320"/>
      <c r="DI135" s="257" t="s">
        <v>1083</v>
      </c>
      <c r="DJ135" s="320"/>
      <c r="DK135" s="320"/>
      <c r="DL135" s="320"/>
      <c r="DM135" s="257" t="s">
        <v>5608</v>
      </c>
      <c r="DN135" s="320"/>
      <c r="DO135" s="320"/>
      <c r="DP135" s="320"/>
      <c r="DQ135" s="320"/>
      <c r="DR135" s="320"/>
      <c r="DS135" s="320"/>
      <c r="DT135" s="320"/>
      <c r="DU135" s="320"/>
      <c r="DV135" s="320"/>
      <c r="DW135" s="320"/>
      <c r="DX135" s="320"/>
      <c r="DY135" s="320"/>
      <c r="DZ135" s="320"/>
      <c r="EA135" s="320"/>
      <c r="EB135" s="320"/>
      <c r="EC135" s="320"/>
      <c r="ED135" s="1629"/>
    </row>
    <row r="136">
      <c r="A136" s="540" t="s">
        <v>11508</v>
      </c>
      <c r="B136" s="378" t="s">
        <v>11509</v>
      </c>
      <c r="C136" s="379" t="s">
        <v>271</v>
      </c>
      <c r="D136" s="380" t="s">
        <v>271</v>
      </c>
      <c r="E136" s="381" t="s">
        <v>271</v>
      </c>
      <c r="F136" s="382" t="s">
        <v>171</v>
      </c>
      <c r="G136" s="378" t="s">
        <v>2131</v>
      </c>
      <c r="H136" s="541" t="s">
        <v>3434</v>
      </c>
      <c r="I136" s="541" t="s">
        <v>11510</v>
      </c>
      <c r="J136" s="541" t="s">
        <v>9909</v>
      </c>
      <c r="K136" s="541" t="s">
        <v>684</v>
      </c>
      <c r="L136" s="541" t="s">
        <v>5640</v>
      </c>
      <c r="M136" s="541" t="s">
        <v>5968</v>
      </c>
      <c r="N136" s="541" t="s">
        <v>11511</v>
      </c>
      <c r="O136" s="541" t="s">
        <v>377</v>
      </c>
      <c r="P136" s="541" t="s">
        <v>2227</v>
      </c>
      <c r="Q136" s="541"/>
      <c r="R136" s="835"/>
      <c r="S136" s="835"/>
      <c r="T136" s="835"/>
      <c r="U136" s="835"/>
      <c r="V136" s="835"/>
      <c r="W136" s="106"/>
      <c r="X136" s="670" t="s">
        <v>11512</v>
      </c>
      <c r="Y136" s="670"/>
      <c r="Z136" s="670" t="s">
        <v>5428</v>
      </c>
      <c r="AA136" s="670" t="s">
        <v>4609</v>
      </c>
      <c r="AB136" s="670" t="s">
        <v>7855</v>
      </c>
      <c r="AC136" s="670" t="s">
        <v>2688</v>
      </c>
      <c r="AD136" s="670" t="s">
        <v>11513</v>
      </c>
      <c r="AE136" s="837"/>
      <c r="AF136" s="670" t="s">
        <v>11457</v>
      </c>
      <c r="AG136" s="670" t="s">
        <v>2664</v>
      </c>
      <c r="AH136" s="837"/>
      <c r="AI136" s="837"/>
      <c r="AJ136" s="837"/>
      <c r="AK136" s="837"/>
      <c r="AL136" s="105"/>
      <c r="AM136" s="839"/>
      <c r="AN136" s="839"/>
      <c r="AO136" s="839"/>
      <c r="AP136" s="839"/>
      <c r="AQ136" s="839"/>
      <c r="AR136" s="839"/>
      <c r="AS136" s="839"/>
      <c r="AT136" s="839"/>
      <c r="AU136" s="570" t="s">
        <v>6879</v>
      </c>
      <c r="AV136" s="570" t="s">
        <v>7392</v>
      </c>
      <c r="AW136" s="839"/>
      <c r="AX136" s="839"/>
      <c r="AY136" s="839"/>
      <c r="AZ136" s="839"/>
      <c r="BA136" s="839"/>
      <c r="BB136" s="581" t="s">
        <v>10207</v>
      </c>
      <c r="BC136" s="414" t="str">
        <f>HYPERLINK("https://youtu.be/e5hohNlNcxA","42.05")</f>
        <v>42.05</v>
      </c>
      <c r="BD136" s="581" t="s">
        <v>4239</v>
      </c>
      <c r="BE136" s="580"/>
      <c r="BF136" s="580"/>
      <c r="BG136" s="580"/>
      <c r="BH136" s="580"/>
      <c r="BI136" s="581" t="s">
        <v>5317</v>
      </c>
      <c r="BJ136" s="580"/>
      <c r="BK136" s="580"/>
      <c r="BL136" s="581" t="s">
        <v>10825</v>
      </c>
      <c r="BM136" s="580"/>
      <c r="BN136" s="580"/>
      <c r="BO136" s="580"/>
      <c r="BP136" s="580"/>
      <c r="BQ136" s="845"/>
      <c r="BR136" s="589"/>
      <c r="BS136" s="849"/>
      <c r="BT136" s="849"/>
      <c r="BU136" s="589" t="s">
        <v>9384</v>
      </c>
      <c r="BV136" s="849"/>
      <c r="BW136" s="589" t="s">
        <v>11514</v>
      </c>
      <c r="BX136" s="849"/>
      <c r="BY136" s="849"/>
      <c r="BZ136" s="849"/>
      <c r="CA136" s="589" t="s">
        <v>3471</v>
      </c>
      <c r="CB136" s="849"/>
      <c r="CC136" s="849"/>
      <c r="CD136" s="849"/>
      <c r="CE136" s="849"/>
      <c r="CF136" s="851"/>
      <c r="CG136" s="593" t="s">
        <v>11515</v>
      </c>
      <c r="CH136" s="593" t="s">
        <v>533</v>
      </c>
      <c r="CI136" s="593" t="s">
        <v>9435</v>
      </c>
      <c r="CJ136" s="852"/>
      <c r="CK136" s="852"/>
      <c r="CL136" s="852"/>
      <c r="CM136" s="852"/>
      <c r="CN136" s="852"/>
      <c r="CO136" s="593" t="s">
        <v>2342</v>
      </c>
      <c r="CP136" s="852"/>
      <c r="CQ136" s="852"/>
      <c r="CR136" s="852"/>
      <c r="CS136" s="852"/>
      <c r="CT136" s="852"/>
      <c r="CU136" s="106"/>
      <c r="CV136" s="683" t="s">
        <v>1178</v>
      </c>
      <c r="CW136" s="683" t="s">
        <v>11516</v>
      </c>
      <c r="CX136" s="683" t="s">
        <v>7603</v>
      </c>
      <c r="CY136" s="683" t="s">
        <v>2337</v>
      </c>
      <c r="CZ136" s="853"/>
      <c r="DA136" s="853"/>
      <c r="DB136" s="853"/>
      <c r="DC136" s="683"/>
      <c r="DD136" s="853"/>
      <c r="DE136" s="853"/>
      <c r="DF136" s="853"/>
      <c r="DG136" s="853"/>
      <c r="DH136" s="853"/>
      <c r="DI136" s="685" t="s">
        <v>11517</v>
      </c>
      <c r="DJ136" s="855"/>
      <c r="DK136" s="855"/>
      <c r="DL136" s="855"/>
      <c r="DM136" s="855"/>
      <c r="DN136" s="855"/>
      <c r="DO136" s="855"/>
      <c r="DP136" s="855"/>
      <c r="DQ136" s="855"/>
      <c r="DR136" s="855"/>
      <c r="DS136" s="855"/>
      <c r="DT136" s="685" t="s">
        <v>11018</v>
      </c>
      <c r="DU136" s="855"/>
      <c r="DV136" s="855"/>
      <c r="DW136" s="855"/>
      <c r="DX136" s="855"/>
      <c r="DY136" s="855"/>
      <c r="DZ136" s="855"/>
      <c r="EA136" s="855"/>
      <c r="EB136" s="685" t="s">
        <v>10685</v>
      </c>
      <c r="EC136" s="685" t="s">
        <v>9523</v>
      </c>
      <c r="ED136" s="1039" t="s">
        <v>11518</v>
      </c>
    </row>
    <row r="137">
      <c r="A137" s="1919" t="s">
        <v>11519</v>
      </c>
      <c r="B137" s="698" t="s">
        <v>11520</v>
      </c>
      <c r="C137" s="699" t="s">
        <v>271</v>
      </c>
      <c r="D137" s="700" t="s">
        <v>271</v>
      </c>
      <c r="E137" s="701" t="s">
        <v>271</v>
      </c>
      <c r="F137" s="702" t="s">
        <v>394</v>
      </c>
      <c r="G137" s="698" t="s">
        <v>2320</v>
      </c>
      <c r="H137" s="1920"/>
      <c r="I137" s="1920" t="s">
        <v>11521</v>
      </c>
      <c r="J137" s="1920"/>
      <c r="K137" s="1920" t="s">
        <v>4445</v>
      </c>
      <c r="L137" s="705" t="s">
        <v>7171</v>
      </c>
      <c r="M137" s="1920"/>
      <c r="N137" s="1921" t="s">
        <v>6221</v>
      </c>
      <c r="O137" s="1921" t="s">
        <v>11449</v>
      </c>
      <c r="P137" s="705" t="s">
        <v>9877</v>
      </c>
      <c r="Q137" s="1920"/>
      <c r="R137" s="1920"/>
      <c r="S137" s="1920" t="s">
        <v>10353</v>
      </c>
      <c r="T137" s="1920"/>
      <c r="U137" s="1920"/>
      <c r="V137" s="1920"/>
      <c r="W137" s="754"/>
      <c r="X137" s="1920"/>
      <c r="Y137" s="1920"/>
      <c r="Z137" s="1920"/>
      <c r="AA137" s="1920" t="s">
        <v>608</v>
      </c>
      <c r="AB137" s="1920"/>
      <c r="AC137" s="1920" t="s">
        <v>3991</v>
      </c>
      <c r="AD137" s="1920"/>
      <c r="AE137" s="1920"/>
      <c r="AF137" s="1920"/>
      <c r="AG137" s="1920"/>
      <c r="AH137" s="1920"/>
      <c r="AI137" s="1920"/>
      <c r="AJ137" s="1920"/>
      <c r="AK137" s="1920"/>
      <c r="AL137" s="1922"/>
      <c r="AM137" s="1920"/>
      <c r="AN137" s="1920" t="s">
        <v>4590</v>
      </c>
      <c r="AO137" s="1920"/>
      <c r="AP137" s="1920" t="s">
        <v>4301</v>
      </c>
      <c r="AQ137" s="1920"/>
      <c r="AR137" s="1920"/>
      <c r="AS137" s="1920"/>
      <c r="AT137" s="1920"/>
      <c r="AU137" s="1920"/>
      <c r="AV137" s="1921" t="s">
        <v>5853</v>
      </c>
      <c r="AW137" s="1920" t="s">
        <v>3904</v>
      </c>
      <c r="AX137" s="1920"/>
      <c r="AY137" s="1920" t="s">
        <v>10608</v>
      </c>
      <c r="AZ137" s="1920"/>
      <c r="BA137" s="1920"/>
      <c r="BB137" s="1920" t="s">
        <v>4698</v>
      </c>
      <c r="BC137" s="1920"/>
      <c r="BD137" s="1920"/>
      <c r="BE137" s="1920" t="s">
        <v>11522</v>
      </c>
      <c r="BF137" s="1920" t="s">
        <v>11523</v>
      </c>
      <c r="BG137" s="1920"/>
      <c r="BH137" s="1920"/>
      <c r="BI137" s="257" t="s">
        <v>6679</v>
      </c>
      <c r="BJ137" s="1920"/>
      <c r="BK137" s="705" t="s">
        <v>7989</v>
      </c>
      <c r="BL137" s="1920"/>
      <c r="BM137" s="1920"/>
      <c r="BN137" s="1920"/>
      <c r="BO137" s="1920"/>
      <c r="BP137" s="1920"/>
      <c r="BQ137" s="1923"/>
      <c r="BR137" s="1920"/>
      <c r="BS137" s="1920"/>
      <c r="BT137" s="1920" t="s">
        <v>2713</v>
      </c>
      <c r="BU137" s="1920"/>
      <c r="BV137" s="257" t="s">
        <v>9431</v>
      </c>
      <c r="BW137" s="257" t="s">
        <v>11272</v>
      </c>
      <c r="BX137" s="1920"/>
      <c r="BY137" s="1920"/>
      <c r="BZ137" s="1920"/>
      <c r="CA137" s="257" t="s">
        <v>10143</v>
      </c>
      <c r="CB137" s="1920" t="s">
        <v>11524</v>
      </c>
      <c r="CC137" s="1920"/>
      <c r="CD137" s="1920"/>
      <c r="CE137" s="1920"/>
      <c r="CF137" s="1923"/>
      <c r="CG137" s="1920" t="s">
        <v>3215</v>
      </c>
      <c r="CH137" s="1920"/>
      <c r="CI137" s="1920"/>
      <c r="CJ137" s="1920" t="s">
        <v>8264</v>
      </c>
      <c r="CK137" s="1920"/>
      <c r="CL137" s="1920"/>
      <c r="CM137" s="1921" t="s">
        <v>11525</v>
      </c>
      <c r="CN137" s="286" t="s">
        <v>11136</v>
      </c>
      <c r="CO137" s="1920"/>
      <c r="CP137" s="1920"/>
      <c r="CQ137" s="1920"/>
      <c r="CR137" s="1920"/>
      <c r="CS137" s="1920"/>
      <c r="CT137" s="1920" t="s">
        <v>11526</v>
      </c>
      <c r="CU137" s="754"/>
      <c r="CV137" s="1920"/>
      <c r="CW137" s="1920"/>
      <c r="CX137" s="1921" t="s">
        <v>9983</v>
      </c>
      <c r="CY137" s="1920" t="s">
        <v>11527</v>
      </c>
      <c r="CZ137" s="1921" t="s">
        <v>11528</v>
      </c>
      <c r="DA137" s="705" t="s">
        <v>6419</v>
      </c>
      <c r="DB137" s="705" t="s">
        <v>11529</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11530</v>
      </c>
      <c r="EB137" s="1920"/>
      <c r="EC137" s="1920"/>
      <c r="ED137" s="1920"/>
    </row>
    <row r="138">
      <c r="A138" s="1787" t="s">
        <v>87</v>
      </c>
      <c r="B138" s="378" t="s">
        <v>11531</v>
      </c>
      <c r="C138" s="379" t="s">
        <v>271</v>
      </c>
      <c r="D138" s="380" t="s">
        <v>271</v>
      </c>
      <c r="E138" s="381" t="s">
        <v>271</v>
      </c>
      <c r="F138" s="382" t="s">
        <v>274</v>
      </c>
      <c r="G138" s="378" t="s">
        <v>3392</v>
      </c>
      <c r="H138" s="1538" t="s">
        <v>10167</v>
      </c>
      <c r="I138" s="1121" t="s">
        <v>3606</v>
      </c>
      <c r="J138" s="1121" t="s">
        <v>1968</v>
      </c>
      <c r="K138" s="1538" t="s">
        <v>700</v>
      </c>
      <c r="L138" s="1538" t="s">
        <v>2169</v>
      </c>
      <c r="M138" s="1538" t="s">
        <v>11532</v>
      </c>
      <c r="N138" s="1538" t="s">
        <v>5930</v>
      </c>
      <c r="O138" s="775" t="s">
        <v>654</v>
      </c>
      <c r="P138" s="1538" t="s">
        <v>10885</v>
      </c>
      <c r="Q138" s="541" t="s">
        <v>11533</v>
      </c>
      <c r="R138" s="835"/>
      <c r="S138" s="541" t="s">
        <v>10353</v>
      </c>
      <c r="T138" s="835"/>
      <c r="U138" s="541" t="s">
        <v>8743</v>
      </c>
      <c r="V138" s="541" t="s">
        <v>11534</v>
      </c>
      <c r="W138" s="106"/>
      <c r="X138" s="1924" t="s">
        <v>2991</v>
      </c>
      <c r="Y138" s="669"/>
      <c r="Z138" s="669" t="s">
        <v>5610</v>
      </c>
      <c r="AA138" s="399" t="s">
        <v>1310</v>
      </c>
      <c r="AB138" s="1133" t="s">
        <v>9465</v>
      </c>
      <c r="AC138" s="1133" t="s">
        <v>2006</v>
      </c>
      <c r="AD138" s="1287" t="s">
        <v>5176</v>
      </c>
      <c r="AE138" s="837"/>
      <c r="AF138" s="908" t="s">
        <v>11535</v>
      </c>
      <c r="AG138" s="1287" t="s">
        <v>1250</v>
      </c>
      <c r="AH138" s="837"/>
      <c r="AI138" s="837"/>
      <c r="AJ138" s="402"/>
      <c r="AK138" s="837"/>
      <c r="AL138" s="105"/>
      <c r="AM138" s="1714" t="s">
        <v>10036</v>
      </c>
      <c r="AN138" s="1714" t="s">
        <v>4748</v>
      </c>
      <c r="AO138" s="570" t="s">
        <v>11536</v>
      </c>
      <c r="AP138" s="570" t="s">
        <v>307</v>
      </c>
      <c r="AQ138" s="570" t="s">
        <v>11537</v>
      </c>
      <c r="AR138" s="570" t="s">
        <v>11023</v>
      </c>
      <c r="AS138" s="570" t="s">
        <v>11538</v>
      </c>
      <c r="AT138" s="570" t="s">
        <v>11539</v>
      </c>
      <c r="AU138" s="1714" t="s">
        <v>10482</v>
      </c>
      <c r="AV138" s="1714" t="s">
        <v>9997</v>
      </c>
      <c r="AW138" s="1714" t="s">
        <v>10425</v>
      </c>
      <c r="AX138" s="839"/>
      <c r="AY138" s="839"/>
      <c r="AZ138" s="839"/>
      <c r="BA138" s="839"/>
      <c r="BB138" s="674" t="s">
        <v>11540</v>
      </c>
      <c r="BC138" s="674" t="s">
        <v>1471</v>
      </c>
      <c r="BD138" s="674" t="s">
        <v>4074</v>
      </c>
      <c r="BE138" s="674" t="s">
        <v>11541</v>
      </c>
      <c r="BF138" s="1633"/>
      <c r="BG138" s="674" t="s">
        <v>3006</v>
      </c>
      <c r="BH138" s="580"/>
      <c r="BI138" s="674" t="s">
        <v>4100</v>
      </c>
      <c r="BJ138" s="580"/>
      <c r="BK138" s="1633"/>
      <c r="BL138" s="674" t="s">
        <v>11542</v>
      </c>
      <c r="BM138" s="580"/>
      <c r="BN138" s="580"/>
      <c r="BO138" s="1633"/>
      <c r="BP138" s="580"/>
      <c r="BQ138" s="845"/>
      <c r="BR138" s="1706" t="s">
        <v>11543</v>
      </c>
      <c r="BS138" s="1706" t="s">
        <v>11544</v>
      </c>
      <c r="BT138" s="1706" t="s">
        <v>10224</v>
      </c>
      <c r="BU138" s="1706" t="s">
        <v>11463</v>
      </c>
      <c r="BV138" s="1706" t="s">
        <v>1331</v>
      </c>
      <c r="BW138" s="1706" t="s">
        <v>10667</v>
      </c>
      <c r="BX138" s="849"/>
      <c r="BY138" s="1706" t="s">
        <v>11545</v>
      </c>
      <c r="BZ138" s="424"/>
      <c r="CA138" s="1706" t="s">
        <v>4027</v>
      </c>
      <c r="CB138" s="849"/>
      <c r="CC138" s="849"/>
      <c r="CD138" s="849"/>
      <c r="CE138" s="849"/>
      <c r="CF138" s="851"/>
      <c r="CG138" s="1627" t="s">
        <v>11546</v>
      </c>
      <c r="CH138" s="1627" t="s">
        <v>3824</v>
      </c>
      <c r="CI138" s="1627" t="s">
        <v>10561</v>
      </c>
      <c r="CJ138" s="434"/>
      <c r="CK138" s="434"/>
      <c r="CL138" s="1627" t="s">
        <v>8804</v>
      </c>
      <c r="CM138" s="434"/>
      <c r="CN138" s="434"/>
      <c r="CO138" s="434"/>
      <c r="CP138" s="1789"/>
      <c r="CQ138" s="852"/>
      <c r="CR138" s="852"/>
      <c r="CS138" s="852"/>
      <c r="CT138" s="852"/>
      <c r="CU138" s="106"/>
      <c r="CV138" s="1030" t="s">
        <v>11547</v>
      </c>
      <c r="CW138" s="1030" t="s">
        <v>11548</v>
      </c>
      <c r="CX138" s="1925" t="s">
        <v>11549</v>
      </c>
      <c r="CY138" s="458" t="s">
        <v>5556</v>
      </c>
      <c r="CZ138" s="1030" t="s">
        <v>2922</v>
      </c>
      <c r="DA138" s="1030" t="s">
        <v>10328</v>
      </c>
      <c r="DB138" s="1030" t="s">
        <v>11550</v>
      </c>
      <c r="DC138" s="458" t="s">
        <v>8535</v>
      </c>
      <c r="DD138" s="853"/>
      <c r="DE138" s="853"/>
      <c r="DF138" s="853"/>
      <c r="DG138" s="853"/>
      <c r="DH138" s="853"/>
      <c r="DI138" s="1039" t="s">
        <v>11551</v>
      </c>
      <c r="DJ138" s="855"/>
      <c r="DK138" s="855"/>
      <c r="DL138" s="686"/>
      <c r="DM138" s="686"/>
      <c r="DN138" s="686"/>
      <c r="DO138" s="855"/>
      <c r="DP138" s="855"/>
      <c r="DQ138" s="855"/>
      <c r="DR138" s="686"/>
      <c r="DS138" s="686"/>
      <c r="DT138" s="855"/>
      <c r="DU138" s="686"/>
      <c r="DV138" s="855"/>
      <c r="DW138" s="855"/>
      <c r="DX138" s="855"/>
      <c r="DY138" s="855"/>
      <c r="DZ138" s="855"/>
      <c r="EA138" s="686"/>
      <c r="EB138" s="855"/>
      <c r="EC138" s="855"/>
      <c r="ED138" s="1039"/>
    </row>
    <row r="139">
      <c r="A139" s="244" t="s">
        <v>7137</v>
      </c>
      <c r="B139" s="245" t="s">
        <v>11552</v>
      </c>
      <c r="C139" s="246" t="s">
        <v>271</v>
      </c>
      <c r="D139" s="247" t="s">
        <v>271</v>
      </c>
      <c r="E139" s="248" t="s">
        <v>271</v>
      </c>
      <c r="F139" s="249" t="s">
        <v>271</v>
      </c>
      <c r="G139" s="245" t="s">
        <v>204</v>
      </c>
      <c r="H139" s="278" t="s">
        <v>11553</v>
      </c>
      <c r="I139" s="916" t="s">
        <v>1103</v>
      </c>
      <c r="J139" s="278" t="s">
        <v>581</v>
      </c>
      <c r="K139" s="278" t="s">
        <v>10629</v>
      </c>
      <c r="L139" s="278"/>
      <c r="M139" s="278"/>
      <c r="N139" s="278"/>
      <c r="O139" s="278"/>
      <c r="P139" s="278"/>
      <c r="Q139" s="320"/>
      <c r="R139" s="320"/>
      <c r="S139" s="320"/>
      <c r="T139" s="320"/>
      <c r="U139" s="320"/>
      <c r="V139" s="320"/>
      <c r="W139" s="106"/>
      <c r="X139" s="916" t="s">
        <v>3863</v>
      </c>
      <c r="Y139" s="278"/>
      <c r="Z139" s="278" t="s">
        <v>4818</v>
      </c>
      <c r="AA139" s="278"/>
      <c r="AB139" s="278"/>
      <c r="AC139" s="278"/>
      <c r="AD139" s="278"/>
      <c r="AE139" s="320"/>
      <c r="AF139" s="278"/>
      <c r="AG139" s="916" t="s">
        <v>1441</v>
      </c>
      <c r="AH139" s="320"/>
      <c r="AI139" s="320"/>
      <c r="AJ139" s="320"/>
      <c r="AK139" s="320"/>
      <c r="AL139" s="105"/>
      <c r="AM139" s="320"/>
      <c r="AN139" s="320"/>
      <c r="AO139" s="320"/>
      <c r="AP139" s="320"/>
      <c r="AQ139" s="320"/>
      <c r="AR139" s="320"/>
      <c r="AS139" s="320"/>
      <c r="AT139" s="320"/>
      <c r="AU139" s="916" t="s">
        <v>9814</v>
      </c>
      <c r="AV139" s="278"/>
      <c r="AW139" s="320"/>
      <c r="AX139" s="320"/>
      <c r="AY139" s="320"/>
      <c r="AZ139" s="320"/>
      <c r="BA139" s="320"/>
      <c r="BB139" s="278"/>
      <c r="BC139" s="916" t="s">
        <v>574</v>
      </c>
      <c r="BD139" s="278"/>
      <c r="BE139" s="278"/>
      <c r="BF139" s="916" t="s">
        <v>10484</v>
      </c>
      <c r="BG139" s="320"/>
      <c r="BH139" s="320"/>
      <c r="BI139" s="278"/>
      <c r="BJ139" s="278"/>
      <c r="BK139" s="278"/>
      <c r="BL139" s="278"/>
      <c r="BM139" s="320"/>
      <c r="BN139" s="320"/>
      <c r="BO139" s="320"/>
      <c r="BP139" s="320"/>
      <c r="BQ139" s="824"/>
      <c r="BR139" s="278"/>
      <c r="BS139" s="278"/>
      <c r="BT139" s="278"/>
      <c r="BU139" s="916" t="s">
        <v>5421</v>
      </c>
      <c r="BV139" s="278"/>
      <c r="BW139" s="278"/>
      <c r="BX139" s="1926"/>
      <c r="BY139" s="320"/>
      <c r="BZ139" s="278"/>
      <c r="CA139" s="278"/>
      <c r="CB139" s="320"/>
      <c r="CC139" s="320"/>
      <c r="CD139" s="320"/>
      <c r="CE139" s="320"/>
      <c r="CF139" s="824"/>
      <c r="CG139" s="278"/>
      <c r="CH139" s="278" t="s">
        <v>573</v>
      </c>
      <c r="CI139" s="278"/>
      <c r="CJ139" s="1926"/>
      <c r="CK139" s="1926"/>
      <c r="CL139" s="1926"/>
      <c r="CM139" s="1926"/>
      <c r="CN139" s="278"/>
      <c r="CO139" s="278"/>
      <c r="CP139" s="320"/>
      <c r="CQ139" s="320"/>
      <c r="CR139" s="320"/>
      <c r="CS139" s="320"/>
      <c r="CT139" s="320"/>
      <c r="CU139" s="106"/>
      <c r="CV139" s="278"/>
      <c r="CW139" s="320"/>
      <c r="CX139" s="278"/>
      <c r="CY139" s="916" t="s">
        <v>8947</v>
      </c>
      <c r="CZ139" s="278"/>
      <c r="DA139" s="278"/>
      <c r="DB139" s="278"/>
      <c r="DC139" s="278"/>
      <c r="DD139" s="320"/>
      <c r="DE139" s="320"/>
      <c r="DF139" s="320"/>
      <c r="DG139" s="320"/>
      <c r="DH139" s="320"/>
      <c r="DI139" s="286"/>
      <c r="DJ139" s="320"/>
      <c r="DK139" s="320"/>
      <c r="DL139" s="320"/>
      <c r="DM139" s="320"/>
      <c r="DN139" s="320"/>
      <c r="DO139" s="320"/>
      <c r="DP139" s="320"/>
      <c r="DQ139" s="320"/>
      <c r="DR139" s="278"/>
      <c r="DS139" s="278"/>
      <c r="DT139" s="320"/>
      <c r="DU139" s="320"/>
      <c r="DV139" s="320"/>
      <c r="DW139" s="320"/>
      <c r="DX139" s="320"/>
      <c r="DY139" s="320"/>
      <c r="DZ139" s="320"/>
      <c r="EA139" s="320"/>
      <c r="EB139" s="320"/>
      <c r="EC139" s="320"/>
      <c r="ED139" s="862"/>
    </row>
    <row r="140">
      <c r="A140" s="1927" t="s">
        <v>3448</v>
      </c>
      <c r="B140" s="378" t="s">
        <v>11554</v>
      </c>
      <c r="C140" s="379" t="s">
        <v>271</v>
      </c>
      <c r="D140" s="380" t="s">
        <v>271</v>
      </c>
      <c r="E140" s="381" t="s">
        <v>271</v>
      </c>
      <c r="F140" s="382" t="s">
        <v>204</v>
      </c>
      <c r="G140" s="378" t="s">
        <v>3718</v>
      </c>
      <c r="H140" s="775"/>
      <c r="I140" s="387" t="s">
        <v>2951</v>
      </c>
      <c r="J140" s="390" t="s">
        <v>10760</v>
      </c>
      <c r="K140" s="390" t="s">
        <v>192</v>
      </c>
      <c r="L140" s="390" t="s">
        <v>7054</v>
      </c>
      <c r="M140" s="1700"/>
      <c r="N140" s="390" t="s">
        <v>2879</v>
      </c>
      <c r="O140" s="1121" t="s">
        <v>11555</v>
      </c>
      <c r="P140" s="390" t="s">
        <v>7770</v>
      </c>
      <c r="Q140" s="835"/>
      <c r="R140" s="835"/>
      <c r="S140" s="835"/>
      <c r="T140" s="835"/>
      <c r="U140" s="835"/>
      <c r="V140" s="835"/>
      <c r="W140" s="106"/>
      <c r="X140" s="399" t="s">
        <v>11316</v>
      </c>
      <c r="Y140" s="402"/>
      <c r="Z140" s="402" t="s">
        <v>11556</v>
      </c>
      <c r="AA140" s="402" t="s">
        <v>2171</v>
      </c>
      <c r="AB140" s="1133" t="s">
        <v>9491</v>
      </c>
      <c r="AC140" s="402" t="s">
        <v>10187</v>
      </c>
      <c r="AD140" s="402" t="s">
        <v>11557</v>
      </c>
      <c r="AE140" s="837"/>
      <c r="AF140" s="402"/>
      <c r="AG140" s="402"/>
      <c r="AH140" s="837"/>
      <c r="AI140" s="837"/>
      <c r="AJ140" s="402"/>
      <c r="AK140" s="837"/>
      <c r="AL140" s="105"/>
      <c r="AM140" s="413"/>
      <c r="AN140" s="413"/>
      <c r="AO140" s="839"/>
      <c r="AP140" s="839"/>
      <c r="AQ140" s="570"/>
      <c r="AR140" s="570"/>
      <c r="AS140" s="839"/>
      <c r="AT140" s="839"/>
      <c r="AU140" s="407" t="s">
        <v>4411</v>
      </c>
      <c r="AV140" s="407" t="s">
        <v>8742</v>
      </c>
      <c r="AW140" s="413"/>
      <c r="AX140" s="839"/>
      <c r="AY140" s="839"/>
      <c r="AZ140" s="839"/>
      <c r="BA140" s="839"/>
      <c r="BB140" s="417" t="s">
        <v>11558</v>
      </c>
      <c r="BC140" s="1228" t="s">
        <v>11559</v>
      </c>
      <c r="BD140" s="1633"/>
      <c r="BE140" s="417" t="s">
        <v>5126</v>
      </c>
      <c r="BF140" s="1928" t="s">
        <v>4216</v>
      </c>
      <c r="BG140" s="1633"/>
      <c r="BH140" s="580"/>
      <c r="BI140" s="1289" t="s">
        <v>8220</v>
      </c>
      <c r="BJ140" s="1228" t="s">
        <v>11560</v>
      </c>
      <c r="BK140" s="1633"/>
      <c r="BL140" s="1633"/>
      <c r="BM140" s="580"/>
      <c r="BN140" s="581" t="s">
        <v>9449</v>
      </c>
      <c r="BO140" s="1633" t="s">
        <v>9652</v>
      </c>
      <c r="BP140" s="580"/>
      <c r="BQ140" s="845"/>
      <c r="BR140" s="424" t="s">
        <v>9399</v>
      </c>
      <c r="BS140" s="424" t="s">
        <v>11561</v>
      </c>
      <c r="BT140" s="424" t="s">
        <v>10501</v>
      </c>
      <c r="BU140" s="424" t="s">
        <v>5367</v>
      </c>
      <c r="BV140" s="424" t="s">
        <v>11562</v>
      </c>
      <c r="BW140" s="424" t="s">
        <v>11563</v>
      </c>
      <c r="BX140" s="849"/>
      <c r="BY140" s="424"/>
      <c r="BZ140" s="424"/>
      <c r="CA140" s="424"/>
      <c r="CB140" s="849"/>
      <c r="CC140" s="589" t="s">
        <v>671</v>
      </c>
      <c r="CD140" s="589" t="s">
        <v>9422</v>
      </c>
      <c r="CE140" s="849"/>
      <c r="CF140" s="851"/>
      <c r="CG140" s="434" t="s">
        <v>11564</v>
      </c>
      <c r="CH140" s="434" t="s">
        <v>589</v>
      </c>
      <c r="CI140" s="434" t="s">
        <v>10024</v>
      </c>
      <c r="CJ140" s="434" t="s">
        <v>8541</v>
      </c>
      <c r="CK140" s="434"/>
      <c r="CL140" s="434"/>
      <c r="CM140" s="434" t="s">
        <v>7655</v>
      </c>
      <c r="CN140" s="869" t="s">
        <v>8220</v>
      </c>
      <c r="CO140" s="434"/>
      <c r="CP140" s="1789"/>
      <c r="CQ140" s="852"/>
      <c r="CR140" s="852"/>
      <c r="CS140" s="593" t="s">
        <v>2253</v>
      </c>
      <c r="CT140" s="852"/>
      <c r="CU140" s="106"/>
      <c r="CV140" s="1159" t="s">
        <v>6259</v>
      </c>
      <c r="CW140" s="467"/>
      <c r="CX140" s="1159" t="s">
        <v>11565</v>
      </c>
      <c r="CY140" s="467"/>
      <c r="CZ140" s="458" t="s">
        <v>11566</v>
      </c>
      <c r="DA140" s="467"/>
      <c r="DB140" s="458" t="s">
        <v>6384</v>
      </c>
      <c r="DC140" s="467"/>
      <c r="DD140" s="853"/>
      <c r="DE140" s="683" t="s">
        <v>7275</v>
      </c>
      <c r="DF140" s="853"/>
      <c r="DG140" s="853"/>
      <c r="DH140" s="853"/>
      <c r="DI140" s="686"/>
      <c r="DJ140" s="855"/>
      <c r="DK140" s="855"/>
      <c r="DL140" s="686"/>
      <c r="DM140" s="686"/>
      <c r="DN140" s="686"/>
      <c r="DO140" s="855"/>
      <c r="DP140" s="855"/>
      <c r="DQ140" s="855"/>
      <c r="DR140" s="686" t="s">
        <v>11567</v>
      </c>
      <c r="DS140" s="686"/>
      <c r="DT140" s="855"/>
      <c r="DU140" s="686"/>
      <c r="DV140" s="685" t="s">
        <v>11568</v>
      </c>
      <c r="DW140" s="855"/>
      <c r="DX140" s="855"/>
      <c r="DY140" s="855"/>
      <c r="DZ140" s="685" t="s">
        <v>11569</v>
      </c>
      <c r="EA140" s="686"/>
      <c r="EB140" s="855"/>
      <c r="EC140" s="855"/>
      <c r="ED140" s="1039"/>
    </row>
    <row r="141">
      <c r="A141" s="1712" t="s">
        <v>4220</v>
      </c>
      <c r="B141" s="245" t="s">
        <v>11570</v>
      </c>
      <c r="C141" s="246" t="s">
        <v>271</v>
      </c>
      <c r="D141" s="247" t="s">
        <v>271</v>
      </c>
      <c r="E141" s="248" t="s">
        <v>271</v>
      </c>
      <c r="F141" s="249" t="s">
        <v>233</v>
      </c>
      <c r="G141" s="245" t="s">
        <v>9512</v>
      </c>
      <c r="H141" s="286" t="s">
        <v>11571</v>
      </c>
      <c r="I141" s="881" t="s">
        <v>3554</v>
      </c>
      <c r="J141" s="286" t="s">
        <v>11572</v>
      </c>
      <c r="K141" s="286" t="s">
        <v>2339</v>
      </c>
      <c r="L141" s="286" t="s">
        <v>1773</v>
      </c>
      <c r="M141" s="320"/>
      <c r="N141" s="286" t="s">
        <v>2382</v>
      </c>
      <c r="O141" s="286" t="s">
        <v>7798</v>
      </c>
      <c r="P141" s="286" t="s">
        <v>4084</v>
      </c>
      <c r="Q141" s="320"/>
      <c r="R141" s="286" t="s">
        <v>980</v>
      </c>
      <c r="S141" s="286" t="s">
        <v>9086</v>
      </c>
      <c r="T141" s="320"/>
      <c r="U141" s="286" t="s">
        <v>9823</v>
      </c>
      <c r="V141" s="320"/>
      <c r="W141" s="106"/>
      <c r="X141" s="286" t="s">
        <v>6657</v>
      </c>
      <c r="Y141" s="351"/>
      <c r="Z141" s="257" t="s">
        <v>9342</v>
      </c>
      <c r="AA141" s="286" t="s">
        <v>3605</v>
      </c>
      <c r="AB141" s="286" t="s">
        <v>5510</v>
      </c>
      <c r="AC141" s="286" t="s">
        <v>10275</v>
      </c>
      <c r="AD141" s="286" t="s">
        <v>2444</v>
      </c>
      <c r="AE141" s="320"/>
      <c r="AF141" s="286" t="s">
        <v>234</v>
      </c>
      <c r="AG141" s="286" t="s">
        <v>529</v>
      </c>
      <c r="AH141" s="320"/>
      <c r="AI141" s="320"/>
      <c r="AJ141" s="320"/>
      <c r="AK141" s="320"/>
      <c r="AL141" s="105"/>
      <c r="AM141" s="320"/>
      <c r="AN141" s="286" t="s">
        <v>973</v>
      </c>
      <c r="AO141" s="320"/>
      <c r="AP141" s="320"/>
      <c r="AQ141" s="286" t="s">
        <v>7595</v>
      </c>
      <c r="AR141" s="286"/>
      <c r="AS141" s="320"/>
      <c r="AT141" s="320"/>
      <c r="AU141" s="286" t="s">
        <v>2808</v>
      </c>
      <c r="AV141" s="320"/>
      <c r="AW141" s="320"/>
      <c r="AX141" s="320"/>
      <c r="AY141" s="320"/>
      <c r="AZ141" s="320"/>
      <c r="BA141" s="320"/>
      <c r="BB141" s="320"/>
      <c r="BC141" s="286" t="s">
        <v>7931</v>
      </c>
      <c r="BD141" s="286" t="s">
        <v>8335</v>
      </c>
      <c r="BE141" s="286" t="s">
        <v>10050</v>
      </c>
      <c r="BF141" s="286" t="s">
        <v>3002</v>
      </c>
      <c r="BG141" s="320"/>
      <c r="BH141" s="320"/>
      <c r="BI141" s="286" t="s">
        <v>10320</v>
      </c>
      <c r="BJ141" s="286" t="s">
        <v>11573</v>
      </c>
      <c r="BK141" s="286"/>
      <c r="BL141" s="286" t="s">
        <v>744</v>
      </c>
      <c r="BM141" s="320"/>
      <c r="BN141" s="286" t="s">
        <v>10448</v>
      </c>
      <c r="BO141" s="320"/>
      <c r="BP141" s="320"/>
      <c r="BQ141" s="824"/>
      <c r="BR141" s="286" t="s">
        <v>7876</v>
      </c>
      <c r="BS141" s="286" t="s">
        <v>10459</v>
      </c>
      <c r="BT141" s="286" t="s">
        <v>600</v>
      </c>
      <c r="BU141" s="286" t="s">
        <v>11574</v>
      </c>
      <c r="BV141" s="286" t="s">
        <v>11575</v>
      </c>
      <c r="BW141" s="286" t="s">
        <v>11111</v>
      </c>
      <c r="BX141" s="320"/>
      <c r="BY141" s="286" t="s">
        <v>9570</v>
      </c>
      <c r="BZ141" s="320"/>
      <c r="CA141" s="286" t="s">
        <v>11576</v>
      </c>
      <c r="CB141" s="320"/>
      <c r="CC141" s="320"/>
      <c r="CD141" s="320"/>
      <c r="CE141" s="320"/>
      <c r="CF141" s="824"/>
      <c r="CG141" s="286" t="s">
        <v>11577</v>
      </c>
      <c r="CH141" s="286" t="s">
        <v>3989</v>
      </c>
      <c r="CI141" s="286" t="s">
        <v>9097</v>
      </c>
      <c r="CJ141" s="286" t="s">
        <v>11578</v>
      </c>
      <c r="CK141" s="286"/>
      <c r="CL141" s="286" t="s">
        <v>11579</v>
      </c>
      <c r="CM141" s="286" t="s">
        <v>11580</v>
      </c>
      <c r="CN141" s="286" t="s">
        <v>1968</v>
      </c>
      <c r="CO141" s="286" t="s">
        <v>10482</v>
      </c>
      <c r="CP141" s="320"/>
      <c r="CQ141" s="320"/>
      <c r="CR141" s="320"/>
      <c r="CS141" s="320"/>
      <c r="CT141" s="320"/>
      <c r="CU141" s="106"/>
      <c r="CV141" s="286" t="s">
        <v>11581</v>
      </c>
      <c r="CW141" s="286" t="s">
        <v>9614</v>
      </c>
      <c r="CX141" s="286" t="s">
        <v>4028</v>
      </c>
      <c r="CY141" s="286" t="s">
        <v>5959</v>
      </c>
      <c r="CZ141" s="320"/>
      <c r="DA141" s="286" t="s">
        <v>11582</v>
      </c>
      <c r="DB141" s="257" t="s">
        <v>8138</v>
      </c>
      <c r="DC141" s="286" t="s">
        <v>8845</v>
      </c>
      <c r="DD141" s="320"/>
      <c r="DE141" s="320"/>
      <c r="DF141" s="320"/>
      <c r="DG141" s="320"/>
      <c r="DH141" s="320"/>
      <c r="DI141" s="286" t="s">
        <v>9871</v>
      </c>
      <c r="DJ141" s="320"/>
      <c r="DK141" s="320"/>
      <c r="DL141" s="320"/>
      <c r="DM141" s="320"/>
      <c r="DN141" s="320"/>
      <c r="DO141" s="320"/>
      <c r="DP141" s="320"/>
      <c r="DQ141" s="320"/>
      <c r="DR141" s="320"/>
      <c r="DS141" s="320"/>
      <c r="DT141" s="320"/>
      <c r="DU141" s="320"/>
      <c r="DV141" s="286" t="s">
        <v>952</v>
      </c>
      <c r="DW141" s="286" t="s">
        <v>10353</v>
      </c>
      <c r="DX141" s="286" t="s">
        <v>11583</v>
      </c>
      <c r="DY141" s="286" t="s">
        <v>6668</v>
      </c>
      <c r="DZ141" s="286" t="s">
        <v>1207</v>
      </c>
      <c r="EA141" s="286" t="s">
        <v>9942</v>
      </c>
      <c r="EB141" s="320"/>
      <c r="EC141" s="320"/>
      <c r="ED141" s="862" t="s">
        <v>11584</v>
      </c>
    </row>
    <row r="142">
      <c r="A142" s="1929" t="s">
        <v>11585</v>
      </c>
      <c r="B142" s="378" t="s">
        <v>11570</v>
      </c>
      <c r="C142" s="379" t="s">
        <v>271</v>
      </c>
      <c r="D142" s="380" t="s">
        <v>271</v>
      </c>
      <c r="E142" s="381" t="s">
        <v>271</v>
      </c>
      <c r="F142" s="382" t="s">
        <v>233</v>
      </c>
      <c r="G142" s="378" t="s">
        <v>1729</v>
      </c>
      <c r="H142" s="541"/>
      <c r="I142" s="541" t="s">
        <v>11586</v>
      </c>
      <c r="J142" s="541" t="s">
        <v>1175</v>
      </c>
      <c r="K142" s="390" t="s">
        <v>684</v>
      </c>
      <c r="L142" s="541" t="s">
        <v>9375</v>
      </c>
      <c r="M142" s="541" t="s">
        <v>11587</v>
      </c>
      <c r="N142" s="541" t="s">
        <v>1043</v>
      </c>
      <c r="O142" s="541" t="s">
        <v>2492</v>
      </c>
      <c r="P142" s="541" t="s">
        <v>1882</v>
      </c>
      <c r="Q142" s="835"/>
      <c r="R142" s="835"/>
      <c r="S142" s="835"/>
      <c r="T142" s="835"/>
      <c r="U142" s="835"/>
      <c r="V142" s="835"/>
      <c r="W142" s="106"/>
      <c r="X142" s="670" t="s">
        <v>5887</v>
      </c>
      <c r="Y142" s="670"/>
      <c r="Z142" s="670" t="s">
        <v>7105</v>
      </c>
      <c r="AA142" s="670" t="s">
        <v>5696</v>
      </c>
      <c r="AB142" s="670" t="s">
        <v>6556</v>
      </c>
      <c r="AC142" s="670" t="s">
        <v>10898</v>
      </c>
      <c r="AD142" s="670" t="s">
        <v>11588</v>
      </c>
      <c r="AE142" s="837"/>
      <c r="AF142" s="670" t="s">
        <v>6134</v>
      </c>
      <c r="AG142" s="1133" t="s">
        <v>10966</v>
      </c>
      <c r="AH142" s="837"/>
      <c r="AI142" s="837"/>
      <c r="AJ142" s="837"/>
      <c r="AK142" s="837"/>
      <c r="AL142" s="105"/>
      <c r="AM142" s="839"/>
      <c r="AN142" s="839"/>
      <c r="AO142" s="839"/>
      <c r="AP142" s="839"/>
      <c r="AQ142" s="839"/>
      <c r="AR142" s="839"/>
      <c r="AS142" s="839"/>
      <c r="AT142" s="839"/>
      <c r="AU142" s="570" t="s">
        <v>2284</v>
      </c>
      <c r="AV142" s="570" t="s">
        <v>10774</v>
      </c>
      <c r="AW142" s="839"/>
      <c r="AX142" s="839"/>
      <c r="AY142" s="839"/>
      <c r="AZ142" s="839"/>
      <c r="BA142" s="839"/>
      <c r="BB142" s="581"/>
      <c r="BC142" s="581" t="s">
        <v>5112</v>
      </c>
      <c r="BD142" s="581" t="s">
        <v>1226</v>
      </c>
      <c r="BE142" s="581" t="s">
        <v>6873</v>
      </c>
      <c r="BF142" s="580"/>
      <c r="BG142" s="581" t="s">
        <v>4054</v>
      </c>
      <c r="BH142" s="580"/>
      <c r="BI142" s="581" t="s">
        <v>3826</v>
      </c>
      <c r="BJ142" s="580"/>
      <c r="BK142" s="580"/>
      <c r="BL142" s="580"/>
      <c r="BM142" s="580"/>
      <c r="BN142" s="580"/>
      <c r="BO142" s="580"/>
      <c r="BP142" s="580"/>
      <c r="BQ142" s="845"/>
      <c r="BR142" s="589" t="s">
        <v>11589</v>
      </c>
      <c r="BS142" s="589" t="s">
        <v>11590</v>
      </c>
      <c r="BT142" s="589" t="s">
        <v>768</v>
      </c>
      <c r="BU142" s="1229" t="s">
        <v>9737</v>
      </c>
      <c r="BV142" s="589" t="s">
        <v>10317</v>
      </c>
      <c r="BW142" s="589" t="s">
        <v>11591</v>
      </c>
      <c r="BX142" s="589" t="s">
        <v>11592</v>
      </c>
      <c r="BY142" s="849"/>
      <c r="BZ142" s="589" t="s">
        <v>7195</v>
      </c>
      <c r="CA142" s="589" t="s">
        <v>11593</v>
      </c>
      <c r="CB142" s="849"/>
      <c r="CC142" s="849"/>
      <c r="CD142" s="849"/>
      <c r="CE142" s="849"/>
      <c r="CF142" s="851"/>
      <c r="CG142" s="433" t="s">
        <v>11594</v>
      </c>
      <c r="CH142" s="593" t="s">
        <v>11595</v>
      </c>
      <c r="CI142" s="593" t="s">
        <v>5849</v>
      </c>
      <c r="CJ142" s="593" t="s">
        <v>11596</v>
      </c>
      <c r="CK142" s="593"/>
      <c r="CL142" s="1692" t="s">
        <v>9338</v>
      </c>
      <c r="CM142" s="593" t="s">
        <v>6805</v>
      </c>
      <c r="CN142" s="593" t="s">
        <v>574</v>
      </c>
      <c r="CO142" s="593" t="s">
        <v>10121</v>
      </c>
      <c r="CP142" s="852"/>
      <c r="CQ142" s="852"/>
      <c r="CR142" s="852"/>
      <c r="CS142" s="852"/>
      <c r="CT142" s="852"/>
      <c r="CU142" s="106"/>
      <c r="CV142" s="683" t="s">
        <v>4065</v>
      </c>
      <c r="CW142" s="683" t="s">
        <v>4598</v>
      </c>
      <c r="CX142" s="683" t="s">
        <v>9557</v>
      </c>
      <c r="CY142" s="683" t="s">
        <v>11597</v>
      </c>
      <c r="CZ142" s="683" t="s">
        <v>10136</v>
      </c>
      <c r="DA142" s="683" t="s">
        <v>4168</v>
      </c>
      <c r="DB142" s="683" t="s">
        <v>11598</v>
      </c>
      <c r="DC142" s="683" t="s">
        <v>10204</v>
      </c>
      <c r="DD142" s="853"/>
      <c r="DE142" s="853"/>
      <c r="DF142" s="853"/>
      <c r="DG142" s="853"/>
      <c r="DH142" s="853"/>
      <c r="DI142" s="855"/>
      <c r="DJ142" s="855"/>
      <c r="DK142" s="855"/>
      <c r="DL142" s="855"/>
      <c r="DM142" s="855"/>
      <c r="DN142" s="855"/>
      <c r="DO142" s="855"/>
      <c r="DP142" s="855"/>
      <c r="DQ142" s="855"/>
      <c r="DR142" s="855"/>
      <c r="DS142" s="685" t="s">
        <v>11599</v>
      </c>
      <c r="DT142" s="855"/>
      <c r="DU142" s="855"/>
      <c r="DV142" s="855"/>
      <c r="DW142" s="855"/>
      <c r="DX142" s="855"/>
      <c r="DY142" s="855"/>
      <c r="DZ142" s="855"/>
      <c r="EA142" s="855"/>
      <c r="EB142" s="855"/>
      <c r="EC142" s="855"/>
      <c r="ED142" s="1912"/>
    </row>
    <row r="143">
      <c r="A143" s="1930" t="s">
        <v>11600</v>
      </c>
      <c r="B143" s="245" t="s">
        <v>11601</v>
      </c>
      <c r="C143" s="246" t="s">
        <v>271</v>
      </c>
      <c r="D143" s="247" t="s">
        <v>271</v>
      </c>
      <c r="E143" s="248" t="s">
        <v>271</v>
      </c>
      <c r="F143" s="249" t="s">
        <v>171</v>
      </c>
      <c r="G143" s="245" t="s">
        <v>1926</v>
      </c>
      <c r="H143" s="286"/>
      <c r="I143" s="286" t="s">
        <v>11602</v>
      </c>
      <c r="J143" s="286"/>
      <c r="K143" s="286"/>
      <c r="L143" s="286" t="s">
        <v>5932</v>
      </c>
      <c r="M143" s="286"/>
      <c r="N143" s="286" t="s">
        <v>11603</v>
      </c>
      <c r="O143" s="286" t="s">
        <v>11604</v>
      </c>
      <c r="P143" s="320"/>
      <c r="Q143" s="320"/>
      <c r="R143" s="320"/>
      <c r="S143" s="320"/>
      <c r="T143" s="320"/>
      <c r="U143" s="320"/>
      <c r="V143" s="320"/>
      <c r="W143" s="106"/>
      <c r="X143" s="278"/>
      <c r="Y143" s="286"/>
      <c r="Z143" s="286"/>
      <c r="AA143" s="286" t="s">
        <v>1490</v>
      </c>
      <c r="AB143" s="286"/>
      <c r="AC143" s="286" t="s">
        <v>8354</v>
      </c>
      <c r="AD143" s="278"/>
      <c r="AE143" s="320"/>
      <c r="AF143" s="286"/>
      <c r="AG143" s="286"/>
      <c r="AH143" s="278"/>
      <c r="AI143" s="320"/>
      <c r="AJ143" s="320"/>
      <c r="AK143" s="320"/>
      <c r="AL143" s="105"/>
      <c r="AM143" s="320"/>
      <c r="AN143" s="320"/>
      <c r="AO143" s="320"/>
      <c r="AP143" s="320"/>
      <c r="AQ143" s="320"/>
      <c r="AR143" s="320"/>
      <c r="AS143" s="320"/>
      <c r="AT143" s="320"/>
      <c r="AU143" s="286" t="s">
        <v>3833</v>
      </c>
      <c r="AV143" s="320"/>
      <c r="AW143" s="320"/>
      <c r="AX143" s="320"/>
      <c r="AY143" s="320"/>
      <c r="AZ143" s="320"/>
      <c r="BA143" s="320"/>
      <c r="BB143" s="320"/>
      <c r="BC143" s="278"/>
      <c r="BD143" s="278" t="s">
        <v>4239</v>
      </c>
      <c r="BE143" s="320"/>
      <c r="BF143" s="320"/>
      <c r="BG143" s="278"/>
      <c r="BH143" s="320"/>
      <c r="BI143" s="286" t="s">
        <v>4141</v>
      </c>
      <c r="BJ143" s="320"/>
      <c r="BK143" s="320"/>
      <c r="BL143" s="320"/>
      <c r="BM143" s="320"/>
      <c r="BN143" s="320"/>
      <c r="BO143" s="320"/>
      <c r="BP143" s="320"/>
      <c r="BQ143" s="824"/>
      <c r="BR143" s="278"/>
      <c r="BS143" s="286" t="s">
        <v>11605</v>
      </c>
      <c r="BT143" s="286" t="s">
        <v>11606</v>
      </c>
      <c r="BU143" s="320"/>
      <c r="BV143" s="320"/>
      <c r="BW143" s="286"/>
      <c r="BX143" s="320"/>
      <c r="BY143" s="320"/>
      <c r="BZ143" s="320"/>
      <c r="CA143" s="320"/>
      <c r="CB143" s="320"/>
      <c r="CC143" s="320"/>
      <c r="CD143" s="320"/>
      <c r="CE143" s="320"/>
      <c r="CF143" s="824"/>
      <c r="CG143" s="320"/>
      <c r="CH143" s="286" t="s">
        <v>6668</v>
      </c>
      <c r="CI143" s="320"/>
      <c r="CJ143" s="320"/>
      <c r="CK143" s="320"/>
      <c r="CL143" s="320"/>
      <c r="CM143" s="320"/>
      <c r="CN143" s="316" t="str">
        <f>HYPERLINK("https://www.youtube.com/watch?v=S0CZekzl4IQ","28.55")</f>
        <v>28.55</v>
      </c>
      <c r="CO143" s="320"/>
      <c r="CP143" s="320"/>
      <c r="CQ143" s="320"/>
      <c r="CR143" s="320"/>
      <c r="CS143" s="320"/>
      <c r="CT143" s="320"/>
      <c r="CU143" s="106"/>
      <c r="CV143" s="286"/>
      <c r="CW143" s="320"/>
      <c r="CX143" s="286" t="s">
        <v>9510</v>
      </c>
      <c r="CY143" s="320"/>
      <c r="CZ143" s="286" t="s">
        <v>7009</v>
      </c>
      <c r="DA143" s="320"/>
      <c r="DB143" s="320"/>
      <c r="DC143" s="320"/>
      <c r="DD143" s="320"/>
      <c r="DE143" s="320"/>
      <c r="DF143" s="320"/>
      <c r="DG143" s="320"/>
      <c r="DH143" s="320"/>
      <c r="DI143" s="320"/>
      <c r="DJ143" s="320"/>
      <c r="DK143" s="320"/>
      <c r="DL143" s="286"/>
      <c r="DM143" s="320"/>
      <c r="DN143" s="286" t="s">
        <v>8782</v>
      </c>
      <c r="DO143" s="320"/>
      <c r="DP143" s="320"/>
      <c r="DQ143" s="320"/>
      <c r="DR143" s="286" t="s">
        <v>11607</v>
      </c>
      <c r="DS143" s="286"/>
      <c r="DT143" s="320"/>
      <c r="DU143" s="320"/>
      <c r="DV143" s="320"/>
      <c r="DW143" s="320"/>
      <c r="DX143" s="320"/>
      <c r="DY143" s="320"/>
      <c r="DZ143" s="320"/>
      <c r="EA143" s="320"/>
      <c r="EB143" s="320"/>
      <c r="EC143" s="320"/>
      <c r="ED143" s="862"/>
    </row>
    <row r="144">
      <c r="A144" s="1787" t="s">
        <v>4290</v>
      </c>
      <c r="B144" s="378" t="s">
        <v>11608</v>
      </c>
      <c r="C144" s="379" t="s">
        <v>271</v>
      </c>
      <c r="D144" s="380" t="s">
        <v>271</v>
      </c>
      <c r="E144" s="381" t="s">
        <v>271</v>
      </c>
      <c r="F144" s="382" t="s">
        <v>271</v>
      </c>
      <c r="G144" s="378" t="s">
        <v>207</v>
      </c>
      <c r="H144" s="1538" t="s">
        <v>11609</v>
      </c>
      <c r="I144" s="1538" t="s">
        <v>5236</v>
      </c>
      <c r="J144" s="1538" t="s">
        <v>11610</v>
      </c>
      <c r="K144" s="1538" t="s">
        <v>727</v>
      </c>
      <c r="L144" s="1797" t="s">
        <v>10105</v>
      </c>
      <c r="M144" s="1538" t="s">
        <v>11611</v>
      </c>
      <c r="N144" s="1538" t="s">
        <v>11612</v>
      </c>
      <c r="O144" s="1538" t="s">
        <v>1204</v>
      </c>
      <c r="P144" s="1538" t="s">
        <v>685</v>
      </c>
      <c r="Q144" s="1931"/>
      <c r="R144" s="1931"/>
      <c r="S144" s="1932">
        <v>37.85</v>
      </c>
      <c r="T144" s="1931"/>
      <c r="U144" s="541" t="s">
        <v>7603</v>
      </c>
      <c r="V144" s="1932" t="s">
        <v>11613</v>
      </c>
      <c r="W144" s="1933"/>
      <c r="X144" s="1934"/>
      <c r="Y144" s="1934"/>
      <c r="Z144" s="1934"/>
      <c r="AA144" s="402" t="s">
        <v>5626</v>
      </c>
      <c r="AB144" s="1935"/>
      <c r="AC144" s="1287" t="s">
        <v>10035</v>
      </c>
      <c r="AD144" s="1934"/>
      <c r="AE144" s="1936"/>
      <c r="AF144" s="1934"/>
      <c r="AG144" s="1934"/>
      <c r="AH144" s="1936"/>
      <c r="AI144" s="1936"/>
      <c r="AJ144" s="402" t="s">
        <v>3058</v>
      </c>
      <c r="AK144" s="1936"/>
      <c r="AL144" s="1937"/>
      <c r="AM144" s="1938"/>
      <c r="AN144" s="413" t="s">
        <v>9397</v>
      </c>
      <c r="AO144" s="1939"/>
      <c r="AP144" s="1939"/>
      <c r="AQ144" s="1940"/>
      <c r="AR144" s="1940"/>
      <c r="AS144" s="1939"/>
      <c r="AT144" s="1939"/>
      <c r="AU144" s="1714" t="s">
        <v>7105</v>
      </c>
      <c r="AV144" s="1714" t="s">
        <v>11599</v>
      </c>
      <c r="AW144" s="1714" t="s">
        <v>1638</v>
      </c>
      <c r="AX144" s="1939"/>
      <c r="AY144" s="1939"/>
      <c r="AZ144" s="1939"/>
      <c r="BA144" s="1939"/>
      <c r="BB144" s="1941"/>
      <c r="BC144" s="1941"/>
      <c r="BD144" s="1633" t="s">
        <v>5462</v>
      </c>
      <c r="BE144" s="674" t="s">
        <v>1066</v>
      </c>
      <c r="BF144" s="1941"/>
      <c r="BG144" s="1941"/>
      <c r="BH144" s="1942"/>
      <c r="BI144" s="674" t="s">
        <v>9719</v>
      </c>
      <c r="BJ144" s="1942"/>
      <c r="BK144" s="1633" t="s">
        <v>833</v>
      </c>
      <c r="BL144" s="674" t="s">
        <v>4457</v>
      </c>
      <c r="BM144" s="1942"/>
      <c r="BN144" s="1943">
        <v>35.32</v>
      </c>
      <c r="BO144" s="1941"/>
      <c r="BP144" s="1942"/>
      <c r="BQ144" s="1944"/>
      <c r="BR144" s="1945"/>
      <c r="BS144" s="1945"/>
      <c r="BT144" s="1706" t="s">
        <v>9534</v>
      </c>
      <c r="BU144" s="1706" t="s">
        <v>11614</v>
      </c>
      <c r="BV144" s="1945"/>
      <c r="BW144" s="1706" t="s">
        <v>9798</v>
      </c>
      <c r="BX144" s="1946"/>
      <c r="BY144" s="1945"/>
      <c r="BZ144" s="1945"/>
      <c r="CA144" s="424" t="s">
        <v>11309</v>
      </c>
      <c r="CB144" s="1947" t="s">
        <v>11615</v>
      </c>
      <c r="CC144" s="1946"/>
      <c r="CD144" s="1947">
        <v>37.19</v>
      </c>
      <c r="CE144" s="1947" t="s">
        <v>11616</v>
      </c>
      <c r="CF144" s="1948"/>
      <c r="CG144" s="1949"/>
      <c r="CH144" s="1949"/>
      <c r="CI144" s="1949"/>
      <c r="CJ144" s="1949"/>
      <c r="CK144" s="1949"/>
      <c r="CL144" s="1949"/>
      <c r="CM144" s="1627" t="s">
        <v>11617</v>
      </c>
      <c r="CN144" s="1627" t="s">
        <v>3885</v>
      </c>
      <c r="CO144" s="1949"/>
      <c r="CP144" s="1950"/>
      <c r="CQ144" s="1951"/>
      <c r="CR144" s="1951"/>
      <c r="CS144" s="1952">
        <v>52.7</v>
      </c>
      <c r="CT144" s="1951"/>
      <c r="CU144" s="1933"/>
      <c r="CV144" s="1953"/>
      <c r="CW144" s="1030" t="s">
        <v>9856</v>
      </c>
      <c r="CX144" s="467" t="s">
        <v>4584</v>
      </c>
      <c r="CY144" s="1953"/>
      <c r="CZ144" s="1953"/>
      <c r="DA144" s="1030" t="s">
        <v>7384</v>
      </c>
      <c r="DB144" s="1954" t="s">
        <v>11618</v>
      </c>
      <c r="DC144" s="1953"/>
      <c r="DD144" s="1955"/>
      <c r="DE144" s="1955"/>
      <c r="DF144" s="1955"/>
      <c r="DG144" s="1955"/>
      <c r="DH144" s="1955"/>
      <c r="DI144" s="1956"/>
      <c r="DJ144" s="1957"/>
      <c r="DK144" s="1957"/>
      <c r="DL144" s="1956"/>
      <c r="DM144" s="1956"/>
      <c r="DN144" s="1039" t="s">
        <v>10232</v>
      </c>
      <c r="DO144" s="1957"/>
      <c r="DP144" s="1957"/>
      <c r="DQ144" s="1957"/>
      <c r="DR144" s="1039" t="s">
        <v>7205</v>
      </c>
      <c r="DS144" s="1039" t="s">
        <v>10626</v>
      </c>
      <c r="DT144" s="1957"/>
      <c r="DU144" s="1956"/>
      <c r="DV144" s="1957"/>
      <c r="DW144" s="1957"/>
      <c r="DX144" s="1957"/>
      <c r="DY144" s="1957"/>
      <c r="DZ144" s="1957"/>
      <c r="EA144" s="1956"/>
      <c r="EB144" s="1957"/>
      <c r="EC144" s="1957"/>
      <c r="ED144" s="1958"/>
    </row>
    <row r="145">
      <c r="A145" s="1712" t="s">
        <v>11619</v>
      </c>
      <c r="B145" s="245" t="s">
        <v>11620</v>
      </c>
      <c r="C145" s="246" t="s">
        <v>271</v>
      </c>
      <c r="D145" s="247" t="s">
        <v>271</v>
      </c>
      <c r="E145" s="248" t="s">
        <v>271</v>
      </c>
      <c r="F145" s="249" t="s">
        <v>271</v>
      </c>
      <c r="G145" s="245" t="s">
        <v>2320</v>
      </c>
      <c r="H145" s="286" t="s">
        <v>3106</v>
      </c>
      <c r="I145" s="286" t="s">
        <v>5229</v>
      </c>
      <c r="J145" s="286" t="s">
        <v>1932</v>
      </c>
      <c r="K145" s="286" t="s">
        <v>9497</v>
      </c>
      <c r="L145" s="286" t="s">
        <v>10373</v>
      </c>
      <c r="M145" s="286" t="s">
        <v>11621</v>
      </c>
      <c r="N145" s="286" t="s">
        <v>5287</v>
      </c>
      <c r="O145" s="286" t="s">
        <v>1065</v>
      </c>
      <c r="P145" s="286" t="s">
        <v>3770</v>
      </c>
      <c r="Q145" s="320"/>
      <c r="R145" s="320"/>
      <c r="S145" s="320"/>
      <c r="T145" s="320"/>
      <c r="U145" s="320"/>
      <c r="V145" s="320"/>
      <c r="W145" s="106"/>
      <c r="X145" s="286" t="s">
        <v>5937</v>
      </c>
      <c r="Y145" s="286"/>
      <c r="Z145" s="286" t="s">
        <v>10462</v>
      </c>
      <c r="AA145" s="286" t="s">
        <v>11331</v>
      </c>
      <c r="AB145" s="286" t="s">
        <v>3261</v>
      </c>
      <c r="AC145" s="286" t="s">
        <v>10503</v>
      </c>
      <c r="AD145" s="286" t="s">
        <v>5449</v>
      </c>
      <c r="AE145" s="320"/>
      <c r="AF145" s="320"/>
      <c r="AG145" s="286" t="s">
        <v>11622</v>
      </c>
      <c r="AH145" s="320"/>
      <c r="AI145" s="320"/>
      <c r="AJ145" s="320"/>
      <c r="AK145" s="320"/>
      <c r="AL145" s="105"/>
      <c r="AM145" s="320"/>
      <c r="AN145" s="320"/>
      <c r="AO145" s="320"/>
      <c r="AP145" s="320"/>
      <c r="AQ145" s="320"/>
      <c r="AR145" s="320"/>
      <c r="AS145" s="320"/>
      <c r="AT145" s="320"/>
      <c r="AU145" s="286" t="s">
        <v>993</v>
      </c>
      <c r="AV145" s="286" t="s">
        <v>490</v>
      </c>
      <c r="AW145" s="320"/>
      <c r="AX145" s="320"/>
      <c r="AY145" s="320"/>
      <c r="AZ145" s="286" t="s">
        <v>11623</v>
      </c>
      <c r="BA145" s="320"/>
      <c r="BB145" s="320"/>
      <c r="BC145" s="320"/>
      <c r="BD145" s="286" t="s">
        <v>1707</v>
      </c>
      <c r="BE145" s="286" t="s">
        <v>834</v>
      </c>
      <c r="BF145" s="320"/>
      <c r="BG145" s="286" t="s">
        <v>3086</v>
      </c>
      <c r="BH145" s="320"/>
      <c r="BI145" s="286" t="s">
        <v>5349</v>
      </c>
      <c r="BJ145" s="320"/>
      <c r="BK145" s="320"/>
      <c r="BL145" s="320"/>
      <c r="BM145" s="320"/>
      <c r="BN145" s="320"/>
      <c r="BO145" s="320"/>
      <c r="BP145" s="320"/>
      <c r="BQ145" s="824"/>
      <c r="BR145" s="320"/>
      <c r="BS145" s="320"/>
      <c r="BT145" s="286" t="s">
        <v>10975</v>
      </c>
      <c r="BU145" s="286" t="s">
        <v>558</v>
      </c>
      <c r="BV145" s="320"/>
      <c r="BW145" s="286" t="s">
        <v>11624</v>
      </c>
      <c r="BX145" s="320"/>
      <c r="BY145" s="320"/>
      <c r="BZ145" s="320"/>
      <c r="CA145" s="320"/>
      <c r="CB145" s="320"/>
      <c r="CC145" s="320"/>
      <c r="CD145" s="320"/>
      <c r="CE145" s="320"/>
      <c r="CF145" s="824"/>
      <c r="CG145" s="320"/>
      <c r="CH145" s="286" t="s">
        <v>508</v>
      </c>
      <c r="CI145" s="320"/>
      <c r="CJ145" s="320"/>
      <c r="CK145" s="320"/>
      <c r="CL145" s="320" t="s">
        <v>9694</v>
      </c>
      <c r="CM145" s="320"/>
      <c r="CN145" s="286" t="s">
        <v>9550</v>
      </c>
      <c r="CO145" s="286" t="s">
        <v>9578</v>
      </c>
      <c r="CP145" s="320"/>
      <c r="CQ145" s="320"/>
      <c r="CR145" s="320"/>
      <c r="CS145" s="320"/>
      <c r="CT145" s="320"/>
      <c r="CU145" s="106"/>
      <c r="CV145" s="320"/>
      <c r="CW145" s="286" t="s">
        <v>705</v>
      </c>
      <c r="CX145" s="320"/>
      <c r="CY145" s="320"/>
      <c r="CZ145" s="320"/>
      <c r="DA145" s="320"/>
      <c r="DB145" s="286" t="s">
        <v>11625</v>
      </c>
      <c r="DC145" s="320"/>
      <c r="DD145" s="320"/>
      <c r="DE145" s="320"/>
      <c r="DF145" s="286" t="s">
        <v>2751</v>
      </c>
      <c r="DG145" s="320"/>
      <c r="DH145" s="320"/>
      <c r="DI145" s="320"/>
      <c r="DJ145" s="320"/>
      <c r="DK145" s="320"/>
      <c r="DL145" s="320"/>
      <c r="DM145" s="286" t="s">
        <v>11626</v>
      </c>
      <c r="DN145" s="320"/>
      <c r="DO145" s="320"/>
      <c r="DP145" s="320"/>
      <c r="DQ145" s="320"/>
      <c r="DR145" s="320"/>
      <c r="DS145" s="320"/>
      <c r="DT145" s="320"/>
      <c r="DU145" s="320"/>
      <c r="DV145" s="320"/>
      <c r="DW145" s="320"/>
      <c r="DX145" s="320"/>
      <c r="DY145" s="320"/>
      <c r="DZ145" s="320"/>
      <c r="EA145" s="286" t="s">
        <v>2006</v>
      </c>
      <c r="EB145" s="320"/>
      <c r="EC145" s="320"/>
      <c r="ED145" s="862"/>
    </row>
    <row r="146">
      <c r="A146" s="540" t="s">
        <v>3435</v>
      </c>
      <c r="B146" s="378" t="s">
        <v>11627</v>
      </c>
      <c r="C146" s="379" t="s">
        <v>271</v>
      </c>
      <c r="D146" s="380" t="s">
        <v>271</v>
      </c>
      <c r="E146" s="381" t="s">
        <v>271</v>
      </c>
      <c r="F146" s="382" t="s">
        <v>270</v>
      </c>
      <c r="G146" s="378" t="s">
        <v>204</v>
      </c>
      <c r="H146" s="835"/>
      <c r="I146" s="835"/>
      <c r="J146" s="835"/>
      <c r="K146" s="835"/>
      <c r="L146" s="390" t="s">
        <v>11628</v>
      </c>
      <c r="M146" s="835"/>
      <c r="N146" s="835"/>
      <c r="O146" s="835"/>
      <c r="P146" s="835"/>
      <c r="Q146" s="390" t="s">
        <v>423</v>
      </c>
      <c r="R146" s="835"/>
      <c r="S146" s="390" t="s">
        <v>1539</v>
      </c>
      <c r="T146" s="835"/>
      <c r="U146" s="835"/>
      <c r="V146" s="835"/>
      <c r="W146" s="106"/>
      <c r="X146" s="837"/>
      <c r="Y146" s="837"/>
      <c r="Z146" s="837"/>
      <c r="AA146" s="837"/>
      <c r="AB146" s="837"/>
      <c r="AC146" s="837"/>
      <c r="AD146" s="837"/>
      <c r="AE146" s="837"/>
      <c r="AF146" s="837"/>
      <c r="AG146" s="837"/>
      <c r="AH146" s="837"/>
      <c r="AI146" s="837"/>
      <c r="AJ146" s="399" t="s">
        <v>3890</v>
      </c>
      <c r="AK146" s="399" t="s">
        <v>11629</v>
      </c>
      <c r="AL146" s="105"/>
      <c r="AM146" s="839"/>
      <c r="AN146" s="839"/>
      <c r="AO146" s="839"/>
      <c r="AP146" s="839"/>
      <c r="AQ146" s="839"/>
      <c r="AR146" s="839"/>
      <c r="AS146" s="839"/>
      <c r="AT146" s="839"/>
      <c r="AU146" s="839"/>
      <c r="AV146" s="839"/>
      <c r="AW146" s="839"/>
      <c r="AX146" s="839"/>
      <c r="AY146" s="839"/>
      <c r="AZ146" s="839"/>
      <c r="BA146" s="839"/>
      <c r="BB146" s="580"/>
      <c r="BC146" s="580"/>
      <c r="BD146" s="580"/>
      <c r="BE146" s="580"/>
      <c r="BF146" s="580"/>
      <c r="BG146" s="580"/>
      <c r="BH146" s="580"/>
      <c r="BI146" s="580"/>
      <c r="BJ146" s="580"/>
      <c r="BK146" s="580"/>
      <c r="BL146" s="580"/>
      <c r="BM146" s="580"/>
      <c r="BN146" s="417" t="s">
        <v>481</v>
      </c>
      <c r="BO146" s="580"/>
      <c r="BP146" s="580"/>
      <c r="BQ146" s="845"/>
      <c r="BR146" s="849"/>
      <c r="BS146" s="849"/>
      <c r="BT146" s="849"/>
      <c r="BU146" s="849"/>
      <c r="BV146" s="849"/>
      <c r="BW146" s="849"/>
      <c r="BX146" s="849"/>
      <c r="BY146" s="849"/>
      <c r="BZ146" s="849"/>
      <c r="CA146" s="849"/>
      <c r="CB146" s="849"/>
      <c r="CC146" s="422" t="s">
        <v>11630</v>
      </c>
      <c r="CD146" s="422" t="s">
        <v>889</v>
      </c>
      <c r="CE146" s="849"/>
      <c r="CF146" s="851"/>
      <c r="CG146" s="852"/>
      <c r="CH146" s="433" t="s">
        <v>1022</v>
      </c>
      <c r="CI146" s="593" t="s">
        <v>11631</v>
      </c>
      <c r="CJ146" s="852"/>
      <c r="CK146" s="852"/>
      <c r="CL146" s="852"/>
      <c r="CM146" s="852"/>
      <c r="CN146" s="852"/>
      <c r="CO146" s="852"/>
      <c r="CP146" s="852"/>
      <c r="CQ146" s="852"/>
      <c r="CR146" s="852"/>
      <c r="CS146" s="852"/>
      <c r="CT146" s="433" t="s">
        <v>11632</v>
      </c>
      <c r="CU146" s="106"/>
      <c r="CV146" s="853"/>
      <c r="CW146" s="853"/>
      <c r="CX146" s="853"/>
      <c r="CY146" s="853"/>
      <c r="CZ146" s="853"/>
      <c r="DA146" s="853"/>
      <c r="DB146" s="458" t="s">
        <v>11633</v>
      </c>
      <c r="DC146" s="853"/>
      <c r="DD146" s="853"/>
      <c r="DE146" s="853"/>
      <c r="DF146" s="853"/>
      <c r="DG146" s="458" t="s">
        <v>5468</v>
      </c>
      <c r="DH146" s="467"/>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1039"/>
    </row>
    <row r="147">
      <c r="A147" s="1959" t="s">
        <v>79</v>
      </c>
      <c r="B147" s="245" t="s">
        <v>11634</v>
      </c>
      <c r="C147" s="246" t="s">
        <v>271</v>
      </c>
      <c r="D147" s="247" t="s">
        <v>271</v>
      </c>
      <c r="E147" s="248" t="s">
        <v>271</v>
      </c>
      <c r="F147" s="249" t="s">
        <v>233</v>
      </c>
      <c r="G147" s="245" t="s">
        <v>713</v>
      </c>
      <c r="H147" s="1960"/>
      <c r="I147" s="286" t="s">
        <v>278</v>
      </c>
      <c r="J147" s="286" t="s">
        <v>11635</v>
      </c>
      <c r="K147" s="286" t="s">
        <v>11548</v>
      </c>
      <c r="L147" s="286" t="s">
        <v>9648</v>
      </c>
      <c r="M147" s="320"/>
      <c r="N147" s="320"/>
      <c r="O147" s="320"/>
      <c r="P147" s="257" t="s">
        <v>11636</v>
      </c>
      <c r="Q147" s="320"/>
      <c r="R147" s="320"/>
      <c r="S147" s="320"/>
      <c r="T147" s="320"/>
      <c r="U147" s="320"/>
      <c r="V147" s="320"/>
      <c r="W147" s="106"/>
      <c r="X147" s="286" t="s">
        <v>10347</v>
      </c>
      <c r="Y147" s="278"/>
      <c r="Z147" s="257" t="s">
        <v>1105</v>
      </c>
      <c r="AA147" s="881" t="s">
        <v>11637</v>
      </c>
      <c r="AB147" s="286" t="s">
        <v>10794</v>
      </c>
      <c r="AC147" s="286" t="s">
        <v>4414</v>
      </c>
      <c r="AD147" s="320"/>
      <c r="AE147" s="320"/>
      <c r="AF147" s="320"/>
      <c r="AG147" s="320"/>
      <c r="AH147" s="320"/>
      <c r="AI147" s="320"/>
      <c r="AJ147" s="320"/>
      <c r="AK147" s="320"/>
      <c r="AL147" s="105"/>
      <c r="AM147" s="320"/>
      <c r="AN147" s="320"/>
      <c r="AO147" s="320"/>
      <c r="AP147" s="320"/>
      <c r="AQ147" s="320"/>
      <c r="AR147" s="320"/>
      <c r="AS147" s="320"/>
      <c r="AT147" s="320"/>
      <c r="AU147" s="286" t="s">
        <v>4175</v>
      </c>
      <c r="AV147" s="278" t="s">
        <v>6679</v>
      </c>
      <c r="AW147" s="320"/>
      <c r="AX147" s="320"/>
      <c r="AY147" s="320"/>
      <c r="AZ147" s="320"/>
      <c r="BA147" s="320"/>
      <c r="BB147" s="286" t="s">
        <v>11638</v>
      </c>
      <c r="BC147" s="286" t="s">
        <v>5080</v>
      </c>
      <c r="BD147" s="320"/>
      <c r="BE147" s="320"/>
      <c r="BF147" s="320"/>
      <c r="BG147" s="320"/>
      <c r="BH147" s="320"/>
      <c r="BI147" s="320"/>
      <c r="BJ147" s="320"/>
      <c r="BK147" s="320"/>
      <c r="BL147" s="320"/>
      <c r="BM147" s="320"/>
      <c r="BN147" s="320"/>
      <c r="BO147" s="320"/>
      <c r="BP147" s="320"/>
      <c r="BQ147" s="824"/>
      <c r="BR147" s="286" t="s">
        <v>11639</v>
      </c>
      <c r="BS147" s="286" t="s">
        <v>6949</v>
      </c>
      <c r="BT147" s="286" t="s">
        <v>10635</v>
      </c>
      <c r="BU147" s="286" t="s">
        <v>4124</v>
      </c>
      <c r="BV147" s="320"/>
      <c r="BW147" s="286" t="s">
        <v>9783</v>
      </c>
      <c r="BX147" s="320"/>
      <c r="BY147" s="320"/>
      <c r="BZ147" s="320"/>
      <c r="CA147" s="320"/>
      <c r="CB147" s="320"/>
      <c r="CC147" s="320"/>
      <c r="CD147" s="320"/>
      <c r="CE147" s="320"/>
      <c r="CF147" s="824"/>
      <c r="CG147" s="320"/>
      <c r="CH147" s="320"/>
      <c r="CI147" s="320"/>
      <c r="CJ147" s="320"/>
      <c r="CK147" s="320"/>
      <c r="CL147" s="320"/>
      <c r="CM147" s="320"/>
      <c r="CN147" s="320"/>
      <c r="CO147" s="320"/>
      <c r="CP147" s="320"/>
      <c r="CQ147" s="320"/>
      <c r="CR147" s="320"/>
      <c r="CS147" s="320"/>
      <c r="CT147" s="320"/>
      <c r="CU147" s="106"/>
      <c r="CV147" s="286" t="s">
        <v>5959</v>
      </c>
      <c r="CW147" s="286" t="s">
        <v>905</v>
      </c>
      <c r="CX147" s="286" t="s">
        <v>416</v>
      </c>
      <c r="CY147" s="320"/>
      <c r="CZ147" s="320"/>
      <c r="DA147" s="320"/>
      <c r="DB147" s="320"/>
      <c r="DC147" s="320"/>
      <c r="DD147" s="320"/>
      <c r="DE147" s="320"/>
      <c r="DF147" s="320"/>
      <c r="DG147" s="320"/>
      <c r="DH147" s="320"/>
      <c r="DI147" s="320"/>
      <c r="DJ147" s="320"/>
      <c r="DK147" s="320"/>
      <c r="DL147" s="320"/>
      <c r="DM147" s="286" t="s">
        <v>1710</v>
      </c>
      <c r="DN147" s="286"/>
      <c r="DO147" s="320"/>
      <c r="DP147" s="320"/>
      <c r="DQ147" s="320"/>
      <c r="DR147" s="320"/>
      <c r="DS147" s="320"/>
      <c r="DT147" s="320"/>
      <c r="DU147" s="320"/>
      <c r="DV147" s="320"/>
      <c r="DW147" s="320"/>
      <c r="DX147" s="320"/>
      <c r="DY147" s="320"/>
      <c r="DZ147" s="320"/>
      <c r="EA147" s="320"/>
      <c r="EB147" s="320"/>
      <c r="EC147" s="320"/>
      <c r="ED147" s="1629"/>
    </row>
    <row r="148">
      <c r="A148" s="540" t="s">
        <v>11640</v>
      </c>
      <c r="B148" s="378" t="s">
        <v>11641</v>
      </c>
      <c r="C148" s="379" t="s">
        <v>271</v>
      </c>
      <c r="D148" s="380" t="s">
        <v>271</v>
      </c>
      <c r="E148" s="381" t="s">
        <v>271</v>
      </c>
      <c r="F148" s="382" t="s">
        <v>169</v>
      </c>
      <c r="G148" s="378" t="s">
        <v>169</v>
      </c>
      <c r="H148" s="835"/>
      <c r="I148" s="835"/>
      <c r="J148" s="835"/>
      <c r="K148" s="835"/>
      <c r="L148" s="835"/>
      <c r="M148" s="835"/>
      <c r="N148" s="835"/>
      <c r="O148" s="390" t="s">
        <v>3996</v>
      </c>
      <c r="P148" s="390" t="s">
        <v>11642</v>
      </c>
      <c r="Q148" s="835"/>
      <c r="R148" s="835"/>
      <c r="S148" s="835"/>
      <c r="T148" s="835"/>
      <c r="U148" s="835"/>
      <c r="V148" s="835"/>
      <c r="W148" s="106"/>
      <c r="X148" s="837"/>
      <c r="Y148" s="837"/>
      <c r="Z148" s="837"/>
      <c r="AA148" s="399" t="s">
        <v>4549</v>
      </c>
      <c r="AB148" s="908"/>
      <c r="AC148" s="399" t="s">
        <v>11225</v>
      </c>
      <c r="AD148" s="837"/>
      <c r="AE148" s="837"/>
      <c r="AF148" s="837"/>
      <c r="AG148" s="399" t="s">
        <v>1310</v>
      </c>
      <c r="AH148" s="837"/>
      <c r="AI148" s="837"/>
      <c r="AJ148" s="837"/>
      <c r="AK148" s="837"/>
      <c r="AL148" s="105"/>
      <c r="AM148" s="839"/>
      <c r="AN148" s="839"/>
      <c r="AO148" s="839"/>
      <c r="AP148" s="839"/>
      <c r="AQ148" s="839"/>
      <c r="AR148" s="839"/>
      <c r="AS148" s="839"/>
      <c r="AT148" s="839"/>
      <c r="AU148" s="407" t="s">
        <v>9578</v>
      </c>
      <c r="AV148" s="839"/>
      <c r="AW148" s="839"/>
      <c r="AX148" s="839"/>
      <c r="AY148" s="839"/>
      <c r="AZ148" s="839"/>
      <c r="BA148" s="839"/>
      <c r="BB148" s="580"/>
      <c r="BC148" s="580"/>
      <c r="BD148" s="417" t="s">
        <v>11643</v>
      </c>
      <c r="BE148" s="580"/>
      <c r="BF148" s="580"/>
      <c r="BG148" s="580"/>
      <c r="BH148" s="580"/>
      <c r="BI148" s="417" t="s">
        <v>10369</v>
      </c>
      <c r="BJ148" s="580"/>
      <c r="BK148" s="580"/>
      <c r="BL148" s="417" t="s">
        <v>8764</v>
      </c>
      <c r="BM148" s="580"/>
      <c r="BN148" s="580"/>
      <c r="BO148" s="580"/>
      <c r="BP148" s="580"/>
      <c r="BQ148" s="845"/>
      <c r="BR148" s="849"/>
      <c r="BS148" s="849"/>
      <c r="BT148" s="849"/>
      <c r="BU148" s="422" t="s">
        <v>4225</v>
      </c>
      <c r="BV148" s="849"/>
      <c r="BW148" s="422" t="s">
        <v>4726</v>
      </c>
      <c r="BX148" s="849"/>
      <c r="BY148" s="849"/>
      <c r="BZ148" s="849"/>
      <c r="CA148" s="422" t="s">
        <v>4757</v>
      </c>
      <c r="CB148" s="849"/>
      <c r="CC148" s="849"/>
      <c r="CD148" s="849"/>
      <c r="CE148" s="849"/>
      <c r="CF148" s="851"/>
      <c r="CG148" s="852"/>
      <c r="CH148" s="852"/>
      <c r="CI148" s="852"/>
      <c r="CJ148" s="433" t="s">
        <v>11644</v>
      </c>
      <c r="CK148" s="869"/>
      <c r="CL148" s="433" t="s">
        <v>11645</v>
      </c>
      <c r="CM148" s="852"/>
      <c r="CN148" s="852"/>
      <c r="CO148" s="433" t="s">
        <v>10072</v>
      </c>
      <c r="CP148" s="852"/>
      <c r="CQ148" s="852"/>
      <c r="CR148" s="852"/>
      <c r="CS148" s="852"/>
      <c r="CT148" s="852"/>
      <c r="CU148" s="106"/>
      <c r="CV148" s="458" t="s">
        <v>9830</v>
      </c>
      <c r="CW148" s="458" t="s">
        <v>11415</v>
      </c>
      <c r="CX148" s="853"/>
      <c r="CY148" s="853"/>
      <c r="CZ148" s="853"/>
      <c r="DA148" s="853"/>
      <c r="DB148" s="853"/>
      <c r="DC148" s="458" t="s">
        <v>3840</v>
      </c>
      <c r="DD148" s="853"/>
      <c r="DE148" s="853"/>
      <c r="DF148" s="853"/>
      <c r="DG148" s="853"/>
      <c r="DH148" s="853"/>
      <c r="DI148" s="855"/>
      <c r="DJ148" s="855"/>
      <c r="DK148" s="855"/>
      <c r="DL148" s="855"/>
      <c r="DM148" s="481" t="s">
        <v>1710</v>
      </c>
      <c r="DN148" s="855"/>
      <c r="DO148" s="855"/>
      <c r="DP148" s="855"/>
      <c r="DQ148" s="855"/>
      <c r="DR148" s="855"/>
      <c r="DS148" s="855"/>
      <c r="DT148" s="855"/>
      <c r="DU148" s="855"/>
      <c r="DV148" s="855"/>
      <c r="DW148" s="855"/>
      <c r="DX148" s="855"/>
      <c r="DY148" s="855"/>
      <c r="DZ148" s="855"/>
      <c r="EA148" s="855"/>
      <c r="EB148" s="855"/>
      <c r="EC148" s="855"/>
      <c r="ED148" s="1912"/>
    </row>
    <row r="149">
      <c r="A149" s="1961" t="s">
        <v>11646</v>
      </c>
      <c r="B149" s="245" t="s">
        <v>11647</v>
      </c>
      <c r="C149" s="246" t="s">
        <v>271</v>
      </c>
      <c r="D149" s="247" t="s">
        <v>271</v>
      </c>
      <c r="E149" s="248" t="s">
        <v>271</v>
      </c>
      <c r="F149" s="249" t="s">
        <v>271</v>
      </c>
      <c r="G149" s="245" t="s">
        <v>9274</v>
      </c>
      <c r="H149" s="286" t="s">
        <v>10243</v>
      </c>
      <c r="I149" s="286" t="s">
        <v>10340</v>
      </c>
      <c r="J149" s="286" t="s">
        <v>2695</v>
      </c>
      <c r="K149" s="286" t="s">
        <v>11637</v>
      </c>
      <c r="L149" s="286" t="s">
        <v>6138</v>
      </c>
      <c r="M149" s="286" t="s">
        <v>8620</v>
      </c>
      <c r="N149" s="286" t="s">
        <v>2433</v>
      </c>
      <c r="O149" s="286" t="s">
        <v>5993</v>
      </c>
      <c r="P149" s="286" t="s">
        <v>1865</v>
      </c>
      <c r="Q149" s="286" t="s">
        <v>11648</v>
      </c>
      <c r="R149" s="320"/>
      <c r="S149" s="286" t="s">
        <v>554</v>
      </c>
      <c r="T149" s="320"/>
      <c r="U149" s="286" t="s">
        <v>11649</v>
      </c>
      <c r="V149" s="286" t="s">
        <v>11650</v>
      </c>
      <c r="W149" s="106"/>
      <c r="X149" s="286" t="s">
        <v>11651</v>
      </c>
      <c r="Y149" s="286"/>
      <c r="Z149" s="286" t="s">
        <v>8680</v>
      </c>
      <c r="AA149" s="286" t="s">
        <v>2240</v>
      </c>
      <c r="AB149" s="286" t="s">
        <v>10105</v>
      </c>
      <c r="AC149" s="286" t="s">
        <v>11595</v>
      </c>
      <c r="AD149" s="286" t="s">
        <v>11652</v>
      </c>
      <c r="AE149" s="286"/>
      <c r="AF149" s="286" t="s">
        <v>1296</v>
      </c>
      <c r="AG149" s="286" t="s">
        <v>11653</v>
      </c>
      <c r="AH149" s="286" t="s">
        <v>5736</v>
      </c>
      <c r="AI149" s="320"/>
      <c r="AJ149" s="286" t="s">
        <v>6049</v>
      </c>
      <c r="AK149" s="286" t="s">
        <v>11654</v>
      </c>
      <c r="AL149" s="105"/>
      <c r="AM149" s="286" t="s">
        <v>11655</v>
      </c>
      <c r="AN149" s="286" t="s">
        <v>10971</v>
      </c>
      <c r="AO149" s="286" t="s">
        <v>11656</v>
      </c>
      <c r="AP149" s="286" t="s">
        <v>3565</v>
      </c>
      <c r="AQ149" s="286" t="s">
        <v>2864</v>
      </c>
      <c r="AR149" s="286" t="s">
        <v>11657</v>
      </c>
      <c r="AS149" s="286" t="s">
        <v>11658</v>
      </c>
      <c r="AT149" s="286" t="s">
        <v>11659</v>
      </c>
      <c r="AU149" s="286" t="s">
        <v>2125</v>
      </c>
      <c r="AV149" s="286" t="s">
        <v>3985</v>
      </c>
      <c r="AW149" s="286" t="s">
        <v>3525</v>
      </c>
      <c r="AX149" s="320"/>
      <c r="AY149" s="286" t="s">
        <v>11660</v>
      </c>
      <c r="AZ149" s="286" t="s">
        <v>11661</v>
      </c>
      <c r="BA149" s="320"/>
      <c r="BB149" s="286" t="s">
        <v>11662</v>
      </c>
      <c r="BC149" s="286" t="s">
        <v>11663</v>
      </c>
      <c r="BD149" s="286" t="s">
        <v>232</v>
      </c>
      <c r="BE149" s="286" t="s">
        <v>10156</v>
      </c>
      <c r="BF149" s="286" t="s">
        <v>11664</v>
      </c>
      <c r="BG149" s="286" t="s">
        <v>7712</v>
      </c>
      <c r="BH149" s="286" t="s">
        <v>11665</v>
      </c>
      <c r="BI149" s="286" t="s">
        <v>11666</v>
      </c>
      <c r="BJ149" s="320"/>
      <c r="BK149" s="320"/>
      <c r="BL149" s="286" t="s">
        <v>1543</v>
      </c>
      <c r="BM149" s="286" t="s">
        <v>8850</v>
      </c>
      <c r="BN149" s="286" t="s">
        <v>3480</v>
      </c>
      <c r="BO149" s="286"/>
      <c r="BP149" s="286" t="s">
        <v>11667</v>
      </c>
      <c r="BQ149" s="824"/>
      <c r="BR149" s="286" t="s">
        <v>11668</v>
      </c>
      <c r="BS149" s="286" t="s">
        <v>4370</v>
      </c>
      <c r="BT149" s="286" t="s">
        <v>2919</v>
      </c>
      <c r="BU149" s="286" t="s">
        <v>4978</v>
      </c>
      <c r="BV149" s="286" t="s">
        <v>11669</v>
      </c>
      <c r="BW149" s="286" t="s">
        <v>11670</v>
      </c>
      <c r="BX149" s="286" t="s">
        <v>5196</v>
      </c>
      <c r="BY149" s="286" t="s">
        <v>4509</v>
      </c>
      <c r="BZ149" s="320"/>
      <c r="CA149" s="286" t="s">
        <v>11671</v>
      </c>
      <c r="CB149" s="286" t="s">
        <v>11672</v>
      </c>
      <c r="CC149" s="286" t="s">
        <v>1537</v>
      </c>
      <c r="CD149" s="286" t="s">
        <v>518</v>
      </c>
      <c r="CE149" s="286" t="s">
        <v>11673</v>
      </c>
      <c r="CF149" s="824"/>
      <c r="CG149" s="286" t="s">
        <v>11674</v>
      </c>
      <c r="CH149" s="286" t="s">
        <v>4845</v>
      </c>
      <c r="CI149" s="286" t="s">
        <v>1649</v>
      </c>
      <c r="CJ149" s="286" t="s">
        <v>11675</v>
      </c>
      <c r="CK149" s="286"/>
      <c r="CL149" s="286" t="s">
        <v>1004</v>
      </c>
      <c r="CM149" s="286" t="s">
        <v>7013</v>
      </c>
      <c r="CN149" s="286" t="s">
        <v>2602</v>
      </c>
      <c r="CO149" s="286" t="s">
        <v>8782</v>
      </c>
      <c r="CP149" s="286" t="s">
        <v>5234</v>
      </c>
      <c r="CQ149" s="286" t="s">
        <v>3981</v>
      </c>
      <c r="CR149" s="320"/>
      <c r="CS149" s="286" t="s">
        <v>10940</v>
      </c>
      <c r="CT149" s="286" t="s">
        <v>11676</v>
      </c>
      <c r="CU149" s="106"/>
      <c r="CV149" s="286" t="s">
        <v>9583</v>
      </c>
      <c r="CW149" s="286" t="s">
        <v>11677</v>
      </c>
      <c r="CX149" s="286" t="s">
        <v>3519</v>
      </c>
      <c r="CY149" s="286" t="s">
        <v>5974</v>
      </c>
      <c r="CZ149" s="286" t="s">
        <v>4821</v>
      </c>
      <c r="DA149" s="286" t="s">
        <v>10441</v>
      </c>
      <c r="DB149" s="286" t="s">
        <v>11678</v>
      </c>
      <c r="DC149" s="286" t="s">
        <v>11679</v>
      </c>
      <c r="DD149" s="286" t="s">
        <v>11680</v>
      </c>
      <c r="DE149" s="286" t="s">
        <v>10417</v>
      </c>
      <c r="DF149" s="286" t="s">
        <v>1456</v>
      </c>
      <c r="DG149" s="286" t="s">
        <v>11681</v>
      </c>
      <c r="DH149" s="320"/>
      <c r="DI149" s="286" t="s">
        <v>858</v>
      </c>
      <c r="DJ149" s="320"/>
      <c r="DK149" s="286" t="s">
        <v>9549</v>
      </c>
      <c r="DL149" s="286" t="s">
        <v>8768</v>
      </c>
      <c r="DM149" s="286" t="s">
        <v>2086</v>
      </c>
      <c r="DN149" s="286" t="s">
        <v>9357</v>
      </c>
      <c r="DO149" s="286" t="s">
        <v>10384</v>
      </c>
      <c r="DP149" s="286" t="s">
        <v>3354</v>
      </c>
      <c r="DQ149" s="286" t="s">
        <v>516</v>
      </c>
      <c r="DR149" s="286" t="s">
        <v>11682</v>
      </c>
      <c r="DS149" s="286" t="s">
        <v>9740</v>
      </c>
      <c r="DT149" s="286" t="s">
        <v>2203</v>
      </c>
      <c r="DU149" s="286" t="s">
        <v>2378</v>
      </c>
      <c r="DV149" s="286" t="s">
        <v>11683</v>
      </c>
      <c r="DW149" s="286" t="s">
        <v>4174</v>
      </c>
      <c r="DX149" s="286" t="s">
        <v>10275</v>
      </c>
      <c r="DY149" s="286" t="s">
        <v>11684</v>
      </c>
      <c r="DZ149" s="286" t="s">
        <v>10585</v>
      </c>
      <c r="EA149" s="286" t="s">
        <v>258</v>
      </c>
      <c r="EB149" s="286" t="s">
        <v>10967</v>
      </c>
      <c r="EC149" s="286" t="s">
        <v>9304</v>
      </c>
      <c r="ED149" s="1310" t="s">
        <v>10573</v>
      </c>
    </row>
    <row r="150">
      <c r="A150" s="1962" t="s">
        <v>11685</v>
      </c>
      <c r="B150" s="378" t="s">
        <v>11686</v>
      </c>
      <c r="C150" s="379" t="s">
        <v>271</v>
      </c>
      <c r="D150" s="380" t="s">
        <v>171</v>
      </c>
      <c r="E150" s="381" t="s">
        <v>271</v>
      </c>
      <c r="F150" s="382" t="s">
        <v>568</v>
      </c>
      <c r="G150" s="378" t="s">
        <v>3441</v>
      </c>
      <c r="H150" s="835"/>
      <c r="I150" s="541" t="s">
        <v>8017</v>
      </c>
      <c r="J150" s="541" t="s">
        <v>5845</v>
      </c>
      <c r="K150" s="390" t="s">
        <v>694</v>
      </c>
      <c r="L150" s="390" t="s">
        <v>11687</v>
      </c>
      <c r="M150" s="835"/>
      <c r="N150" s="835"/>
      <c r="O150" s="390" t="s">
        <v>1138</v>
      </c>
      <c r="P150" s="390" t="s">
        <v>644</v>
      </c>
      <c r="Q150" s="835"/>
      <c r="R150" s="835"/>
      <c r="S150" s="835"/>
      <c r="T150" s="835"/>
      <c r="U150" s="835"/>
      <c r="V150" s="835"/>
      <c r="W150" s="106"/>
      <c r="X150" s="837"/>
      <c r="Y150" s="837"/>
      <c r="Z150" s="837"/>
      <c r="AA150" s="399" t="s">
        <v>5560</v>
      </c>
      <c r="AB150" s="837"/>
      <c r="AC150" s="399" t="s">
        <v>10186</v>
      </c>
      <c r="AD150" s="837"/>
      <c r="AE150" s="837"/>
      <c r="AF150" s="837"/>
      <c r="AG150" s="399" t="s">
        <v>2285</v>
      </c>
      <c r="AH150" s="837"/>
      <c r="AI150" s="837"/>
      <c r="AJ150" s="837"/>
      <c r="AK150" s="837"/>
      <c r="AL150" s="105"/>
      <c r="AM150" s="839"/>
      <c r="AN150" s="407" t="s">
        <v>10462</v>
      </c>
      <c r="AO150" s="839"/>
      <c r="AP150" s="839"/>
      <c r="AQ150" s="839"/>
      <c r="AR150" s="839"/>
      <c r="AS150" s="839"/>
      <c r="AT150" s="839"/>
      <c r="AU150" s="407" t="s">
        <v>7361</v>
      </c>
      <c r="AV150" s="570" t="s">
        <v>674</v>
      </c>
      <c r="AW150" s="407" t="s">
        <v>9680</v>
      </c>
      <c r="AX150" s="839"/>
      <c r="AY150" s="839"/>
      <c r="AZ150" s="839"/>
      <c r="BA150" s="839"/>
      <c r="BB150" s="580"/>
      <c r="BC150" s="580"/>
      <c r="BD150" s="417" t="s">
        <v>2819</v>
      </c>
      <c r="BE150" s="580"/>
      <c r="BF150" s="580"/>
      <c r="BG150" s="580"/>
      <c r="BH150" s="580"/>
      <c r="BI150" s="417" t="s">
        <v>1077</v>
      </c>
      <c r="BJ150" s="580"/>
      <c r="BK150" s="580"/>
      <c r="BL150" s="581" t="s">
        <v>700</v>
      </c>
      <c r="BM150" s="580"/>
      <c r="BN150" s="580"/>
      <c r="BO150" s="580"/>
      <c r="BP150" s="580"/>
      <c r="BQ150" s="845"/>
      <c r="BR150" s="849"/>
      <c r="BS150" s="849"/>
      <c r="BT150" s="589" t="s">
        <v>4687</v>
      </c>
      <c r="BU150" s="589" t="s">
        <v>4584</v>
      </c>
      <c r="BV150" s="849"/>
      <c r="BW150" s="422" t="s">
        <v>2539</v>
      </c>
      <c r="BX150" s="849"/>
      <c r="BY150" s="849"/>
      <c r="BZ150" s="849"/>
      <c r="CA150" s="849"/>
      <c r="CB150" s="849"/>
      <c r="CC150" s="849"/>
      <c r="CD150" s="849"/>
      <c r="CE150" s="849"/>
      <c r="CF150" s="851"/>
      <c r="CG150" s="852"/>
      <c r="CH150" s="433" t="s">
        <v>5475</v>
      </c>
      <c r="CI150" s="852"/>
      <c r="CJ150" s="869" t="s">
        <v>10282</v>
      </c>
      <c r="CK150" s="869"/>
      <c r="CL150" s="869"/>
      <c r="CM150" s="852"/>
      <c r="CN150" s="852"/>
      <c r="CO150" s="593" t="s">
        <v>3571</v>
      </c>
      <c r="CP150" s="852"/>
      <c r="CQ150" s="852"/>
      <c r="CR150" s="852"/>
      <c r="CS150" s="852"/>
      <c r="CT150" s="852"/>
      <c r="CU150" s="106"/>
      <c r="CV150" s="683" t="s">
        <v>11688</v>
      </c>
      <c r="CW150" s="853"/>
      <c r="CX150" s="458" t="s">
        <v>11689</v>
      </c>
      <c r="CY150" s="853"/>
      <c r="CZ150" s="853"/>
      <c r="DA150" s="853"/>
      <c r="DB150" s="853"/>
      <c r="DC150" s="683" t="s">
        <v>8808</v>
      </c>
      <c r="DD150" s="853"/>
      <c r="DE150" s="853"/>
      <c r="DF150" s="853"/>
      <c r="DG150" s="853"/>
      <c r="DH150" s="853"/>
      <c r="DI150" s="855"/>
      <c r="DJ150" s="855"/>
      <c r="DK150" s="855"/>
      <c r="DL150" s="855"/>
      <c r="DM150" s="599" t="s">
        <v>516</v>
      </c>
      <c r="DN150" s="855"/>
      <c r="DO150" s="855"/>
      <c r="DP150" s="855"/>
      <c r="DQ150" s="855"/>
      <c r="DR150" s="855"/>
      <c r="DS150" s="685" t="s">
        <v>3376</v>
      </c>
      <c r="DT150" s="855"/>
      <c r="DU150" s="855"/>
      <c r="DV150" s="855"/>
      <c r="DW150" s="855"/>
      <c r="DX150" s="855"/>
      <c r="DY150" s="855"/>
      <c r="DZ150" s="855"/>
      <c r="EA150" s="855"/>
      <c r="EB150" s="855"/>
      <c r="EC150" s="855"/>
      <c r="ED150" s="1236" t="s">
        <v>11690</v>
      </c>
    </row>
    <row r="151">
      <c r="A151" s="1963" t="s">
        <v>3585</v>
      </c>
      <c r="B151" s="245" t="s">
        <v>11691</v>
      </c>
      <c r="C151" s="246" t="s">
        <v>271</v>
      </c>
      <c r="D151" s="247" t="s">
        <v>271</v>
      </c>
      <c r="E151" s="248" t="s">
        <v>271</v>
      </c>
      <c r="F151" s="249" t="s">
        <v>271</v>
      </c>
      <c r="G151" s="245" t="s">
        <v>3415</v>
      </c>
      <c r="H151" s="1960"/>
      <c r="I151" s="862"/>
      <c r="J151" s="862" t="s">
        <v>4398</v>
      </c>
      <c r="K151" s="862" t="s">
        <v>700</v>
      </c>
      <c r="L151" s="862" t="s">
        <v>1303</v>
      </c>
      <c r="M151" s="862"/>
      <c r="N151" s="862"/>
      <c r="O151" s="862" t="s">
        <v>11692</v>
      </c>
      <c r="P151" s="862" t="s">
        <v>2573</v>
      </c>
      <c r="Q151" s="1964"/>
      <c r="R151" s="1964"/>
      <c r="S151" s="1310" t="s">
        <v>9681</v>
      </c>
      <c r="T151" s="1964"/>
      <c r="U151" s="1964"/>
      <c r="V151" s="1964"/>
      <c r="W151" s="1865"/>
      <c r="X151" s="862" t="s">
        <v>11693</v>
      </c>
      <c r="Y151" s="862"/>
      <c r="Z151" s="862" t="s">
        <v>2197</v>
      </c>
      <c r="AA151" s="862" t="s">
        <v>3455</v>
      </c>
      <c r="AB151" s="862" t="s">
        <v>11694</v>
      </c>
      <c r="AC151" s="862" t="s">
        <v>2006</v>
      </c>
      <c r="AD151" s="862" t="s">
        <v>1631</v>
      </c>
      <c r="AE151" s="1964"/>
      <c r="AF151" s="862" t="s">
        <v>7783</v>
      </c>
      <c r="AG151" s="862" t="s">
        <v>593</v>
      </c>
      <c r="AH151" s="1964"/>
      <c r="AI151" s="1964"/>
      <c r="AJ151" s="862"/>
      <c r="AK151" s="1310"/>
      <c r="AL151" s="1853"/>
      <c r="AM151" s="862"/>
      <c r="AN151" s="862" t="s">
        <v>11695</v>
      </c>
      <c r="AO151" s="1964"/>
      <c r="AP151" s="1964"/>
      <c r="AQ151" s="1310"/>
      <c r="AR151" s="1310"/>
      <c r="AS151" s="1964"/>
      <c r="AT151" s="1964"/>
      <c r="AU151" s="862" t="s">
        <v>10087</v>
      </c>
      <c r="AV151" s="862" t="s">
        <v>1095</v>
      </c>
      <c r="AW151" s="862"/>
      <c r="AX151" s="1964"/>
      <c r="AY151" s="1964"/>
      <c r="AZ151" s="1964"/>
      <c r="BA151" s="1964"/>
      <c r="BB151" s="862"/>
      <c r="BC151" s="862" t="s">
        <v>6579</v>
      </c>
      <c r="BD151" s="862" t="s">
        <v>2675</v>
      </c>
      <c r="BE151" s="862" t="s">
        <v>6877</v>
      </c>
      <c r="BF151" s="862" t="s">
        <v>9362</v>
      </c>
      <c r="BG151" s="862" t="s">
        <v>11696</v>
      </c>
      <c r="BH151" s="1964"/>
      <c r="BI151" s="862" t="s">
        <v>9546</v>
      </c>
      <c r="BJ151" s="1964"/>
      <c r="BK151" s="862" t="s">
        <v>11697</v>
      </c>
      <c r="BL151" s="862" t="s">
        <v>10439</v>
      </c>
      <c r="BM151" s="1964"/>
      <c r="BN151" s="1964"/>
      <c r="BO151" s="862"/>
      <c r="BP151" s="1964"/>
      <c r="BQ151" s="1965"/>
      <c r="BR151" s="862"/>
      <c r="BS151" s="862" t="s">
        <v>11698</v>
      </c>
      <c r="BT151" s="862" t="s">
        <v>2427</v>
      </c>
      <c r="BU151" s="862" t="s">
        <v>11699</v>
      </c>
      <c r="BV151" s="862" t="s">
        <v>11700</v>
      </c>
      <c r="BW151" s="862" t="s">
        <v>4764</v>
      </c>
      <c r="BX151" s="1964"/>
      <c r="BY151" s="862"/>
      <c r="BZ151" s="862" t="s">
        <v>11701</v>
      </c>
      <c r="CA151" s="862" t="s">
        <v>11702</v>
      </c>
      <c r="CB151" s="1310"/>
      <c r="CC151" s="1310" t="s">
        <v>1303</v>
      </c>
      <c r="CD151" s="1964"/>
      <c r="CE151" s="1964"/>
      <c r="CF151" s="1965"/>
      <c r="CG151" s="862" t="s">
        <v>952</v>
      </c>
      <c r="CH151" s="862" t="s">
        <v>11703</v>
      </c>
      <c r="CI151" s="862"/>
      <c r="CJ151" s="862"/>
      <c r="CK151" s="862" t="s">
        <v>11704</v>
      </c>
      <c r="CL151" s="862"/>
      <c r="CM151" s="862" t="s">
        <v>6567</v>
      </c>
      <c r="CN151" s="862" t="s">
        <v>9496</v>
      </c>
      <c r="CO151" s="862" t="s">
        <v>11705</v>
      </c>
      <c r="CP151" s="1966"/>
      <c r="CQ151" s="1964"/>
      <c r="CR151" s="1964"/>
      <c r="CS151" s="1964"/>
      <c r="CT151" s="1964"/>
      <c r="CU151" s="1865"/>
      <c r="CV151" s="862" t="s">
        <v>8580</v>
      </c>
      <c r="CW151" s="862"/>
      <c r="CX151" s="862" t="s">
        <v>10254</v>
      </c>
      <c r="CY151" s="862"/>
      <c r="CZ151" s="862"/>
      <c r="DA151" s="862"/>
      <c r="DB151" s="862" t="s">
        <v>6772</v>
      </c>
      <c r="DC151" s="862" t="s">
        <v>10121</v>
      </c>
      <c r="DD151" s="1964"/>
      <c r="DE151" s="1964"/>
      <c r="DF151" s="1964"/>
      <c r="DG151" s="1964"/>
      <c r="DH151" s="1964"/>
      <c r="DI151" s="862"/>
      <c r="DJ151" s="1964"/>
      <c r="DK151" s="1964"/>
      <c r="DL151" s="862"/>
      <c r="DM151" s="862"/>
      <c r="DN151" s="862"/>
      <c r="DO151" s="1964"/>
      <c r="DP151" s="1964"/>
      <c r="DQ151" s="1964"/>
      <c r="DR151" s="862"/>
      <c r="DS151" s="862"/>
      <c r="DT151" s="1964"/>
      <c r="DU151" s="862"/>
      <c r="DV151" s="1964"/>
      <c r="DW151" s="1964"/>
      <c r="DX151" s="1964"/>
      <c r="DY151" s="1964"/>
      <c r="DZ151" s="1964"/>
      <c r="EA151" s="862"/>
      <c r="EB151" s="1964"/>
      <c r="EC151" s="1964"/>
      <c r="ED151" s="862"/>
    </row>
    <row r="152">
      <c r="A152" s="1967" t="s">
        <v>11706</v>
      </c>
      <c r="B152" s="378" t="s">
        <v>11707</v>
      </c>
      <c r="C152" s="379" t="s">
        <v>271</v>
      </c>
      <c r="D152" s="380" t="s">
        <v>271</v>
      </c>
      <c r="E152" s="381" t="s">
        <v>271</v>
      </c>
      <c r="F152" s="382" t="s">
        <v>176</v>
      </c>
      <c r="G152" s="378" t="s">
        <v>398</v>
      </c>
      <c r="H152" s="1538"/>
      <c r="I152" s="1538" t="s">
        <v>8230</v>
      </c>
      <c r="J152" s="387" t="s">
        <v>11708</v>
      </c>
      <c r="K152" s="1538" t="s">
        <v>667</v>
      </c>
      <c r="L152" s="1700" t="s">
        <v>10399</v>
      </c>
      <c r="M152" s="1700" t="s">
        <v>11709</v>
      </c>
      <c r="N152" s="1700" t="s">
        <v>7801</v>
      </c>
      <c r="O152" s="1700" t="s">
        <v>11710</v>
      </c>
      <c r="P152" s="1700" t="s">
        <v>1486</v>
      </c>
      <c r="Q152" s="835"/>
      <c r="R152" s="835"/>
      <c r="S152" s="835"/>
      <c r="T152" s="835"/>
      <c r="U152" s="835"/>
      <c r="V152" s="835"/>
      <c r="W152" s="106"/>
      <c r="X152" s="402"/>
      <c r="Y152" s="908"/>
      <c r="Z152" s="399" t="s">
        <v>2197</v>
      </c>
      <c r="AA152" s="402" t="s">
        <v>11028</v>
      </c>
      <c r="AB152" s="1133"/>
      <c r="AC152" s="402" t="s">
        <v>10522</v>
      </c>
      <c r="AD152" s="402"/>
      <c r="AE152" s="837"/>
      <c r="AF152" s="402" t="s">
        <v>11711</v>
      </c>
      <c r="AG152" s="402" t="s">
        <v>2274</v>
      </c>
      <c r="AH152" s="837"/>
      <c r="AI152" s="837"/>
      <c r="AJ152" s="402"/>
      <c r="AK152" s="837"/>
      <c r="AL152" s="105"/>
      <c r="AM152" s="413"/>
      <c r="AN152" s="413"/>
      <c r="AO152" s="839"/>
      <c r="AP152" s="839"/>
      <c r="AQ152" s="570"/>
      <c r="AR152" s="570"/>
      <c r="AS152" s="839"/>
      <c r="AT152" s="570"/>
      <c r="AU152" s="1968" t="s">
        <v>5560</v>
      </c>
      <c r="AV152" s="413"/>
      <c r="AW152" s="413"/>
      <c r="AX152" s="839"/>
      <c r="AY152" s="839"/>
      <c r="AZ152" s="839"/>
      <c r="BA152" s="839"/>
      <c r="BB152" s="1633" t="s">
        <v>9948</v>
      </c>
      <c r="BC152" s="1633"/>
      <c r="BD152" s="1633"/>
      <c r="BE152" s="1633" t="s">
        <v>5697</v>
      </c>
      <c r="BF152" s="1633" t="s">
        <v>11712</v>
      </c>
      <c r="BG152" s="1633"/>
      <c r="BH152" s="580"/>
      <c r="BI152" s="1633"/>
      <c r="BJ152" s="580"/>
      <c r="BK152" s="1633"/>
      <c r="BL152" s="1633"/>
      <c r="BM152" s="580"/>
      <c r="BN152" s="580"/>
      <c r="BO152" s="1633"/>
      <c r="BP152" s="580"/>
      <c r="BQ152" s="845"/>
      <c r="BR152" s="424" t="s">
        <v>11713</v>
      </c>
      <c r="BS152" s="424"/>
      <c r="BT152" s="424"/>
      <c r="BU152" s="422" t="s">
        <v>4074</v>
      </c>
      <c r="BV152" s="424"/>
      <c r="BW152" s="424" t="s">
        <v>11624</v>
      </c>
      <c r="BX152" s="849"/>
      <c r="BY152" s="424"/>
      <c r="BZ152" s="424" t="s">
        <v>3553</v>
      </c>
      <c r="CA152" s="424"/>
      <c r="CB152" s="849"/>
      <c r="CC152" s="849"/>
      <c r="CD152" s="849"/>
      <c r="CE152" s="849"/>
      <c r="CF152" s="851"/>
      <c r="CG152" s="434"/>
      <c r="CH152" s="433" t="s">
        <v>4578</v>
      </c>
      <c r="CI152" s="434"/>
      <c r="CJ152" s="434"/>
      <c r="CK152" s="434"/>
      <c r="CL152" s="434"/>
      <c r="CM152" s="434"/>
      <c r="CN152" s="434"/>
      <c r="CO152" s="434" t="s">
        <v>1479</v>
      </c>
      <c r="CP152" s="1789"/>
      <c r="CQ152" s="852"/>
      <c r="CR152" s="852"/>
      <c r="CS152" s="852"/>
      <c r="CT152" s="852"/>
      <c r="CU152" s="106"/>
      <c r="CV152" s="467"/>
      <c r="CW152" s="467"/>
      <c r="CX152" s="1969" t="s">
        <v>3628</v>
      </c>
      <c r="CY152" s="1969" t="s">
        <v>11714</v>
      </c>
      <c r="CZ152" s="467"/>
      <c r="DA152" s="467" t="s">
        <v>11715</v>
      </c>
      <c r="DB152" s="467" t="s">
        <v>934</v>
      </c>
      <c r="DC152" s="467"/>
      <c r="DD152" s="853"/>
      <c r="DE152" s="853"/>
      <c r="DF152" s="853"/>
      <c r="DG152" s="853"/>
      <c r="DH152" s="853"/>
      <c r="DI152" s="686"/>
      <c r="DJ152" s="855"/>
      <c r="DK152" s="855"/>
      <c r="DL152" s="686"/>
      <c r="DM152" s="686"/>
      <c r="DN152" s="686"/>
      <c r="DO152" s="855"/>
      <c r="DP152" s="855"/>
      <c r="DQ152" s="855"/>
      <c r="DR152" s="686"/>
      <c r="DS152" s="686"/>
      <c r="DT152" s="855"/>
      <c r="DU152" s="686"/>
      <c r="DV152" s="855"/>
      <c r="DW152" s="855"/>
      <c r="DX152" s="855"/>
      <c r="DY152" s="855"/>
      <c r="DZ152" s="855"/>
      <c r="EA152" s="686"/>
      <c r="EB152" s="855"/>
      <c r="EC152" s="855"/>
      <c r="ED152" s="1039"/>
    </row>
    <row r="153">
      <c r="A153" s="244" t="s">
        <v>7840</v>
      </c>
      <c r="B153" s="245" t="s">
        <v>11716</v>
      </c>
      <c r="C153" s="246" t="s">
        <v>271</v>
      </c>
      <c r="D153" s="247" t="s">
        <v>271</v>
      </c>
      <c r="E153" s="248" t="s">
        <v>271</v>
      </c>
      <c r="F153" s="249" t="s">
        <v>171</v>
      </c>
      <c r="G153" s="245" t="s">
        <v>1010</v>
      </c>
      <c r="H153" s="320"/>
      <c r="I153" s="320"/>
      <c r="J153" s="286" t="s">
        <v>11717</v>
      </c>
      <c r="K153" s="286" t="s">
        <v>694</v>
      </c>
      <c r="L153" s="286" t="s">
        <v>8745</v>
      </c>
      <c r="M153" s="320"/>
      <c r="N153" s="286" t="s">
        <v>9432</v>
      </c>
      <c r="O153" s="286" t="s">
        <v>835</v>
      </c>
      <c r="P153" s="320"/>
      <c r="Q153" s="320"/>
      <c r="R153" s="320"/>
      <c r="S153" s="320"/>
      <c r="T153" s="320"/>
      <c r="U153" s="320"/>
      <c r="V153" s="320"/>
      <c r="W153" s="106"/>
      <c r="X153" s="320"/>
      <c r="Y153" s="320"/>
      <c r="Z153" s="320"/>
      <c r="AA153" s="286" t="s">
        <v>11718</v>
      </c>
      <c r="AB153" s="320"/>
      <c r="AC153" s="320"/>
      <c r="AD153" s="320"/>
      <c r="AE153" s="320"/>
      <c r="AF153" s="320"/>
      <c r="AG153" s="320"/>
      <c r="AH153" s="320"/>
      <c r="AI153" s="320"/>
      <c r="AJ153" s="320"/>
      <c r="AK153" s="320"/>
      <c r="AL153" s="105"/>
      <c r="AM153" s="320"/>
      <c r="AN153" s="320"/>
      <c r="AO153" s="320"/>
      <c r="AP153" s="320"/>
      <c r="AQ153" s="320"/>
      <c r="AR153" s="320"/>
      <c r="AS153" s="320"/>
      <c r="AT153" s="320"/>
      <c r="AU153" s="320"/>
      <c r="AV153" s="320"/>
      <c r="AW153" s="320"/>
      <c r="AX153" s="320"/>
      <c r="AY153" s="320"/>
      <c r="AZ153" s="320"/>
      <c r="BA153" s="320"/>
      <c r="BB153" s="320"/>
      <c r="BC153" s="320"/>
      <c r="BD153" s="320"/>
      <c r="BE153" s="286" t="s">
        <v>11719</v>
      </c>
      <c r="BF153" s="320"/>
      <c r="BG153" s="320"/>
      <c r="BH153" s="320"/>
      <c r="BI153" s="286" t="s">
        <v>9757</v>
      </c>
      <c r="BJ153" s="320"/>
      <c r="BK153" s="320"/>
      <c r="BL153" s="320"/>
      <c r="BM153" s="320"/>
      <c r="BN153" s="320"/>
      <c r="BO153" s="320"/>
      <c r="BP153" s="320"/>
      <c r="BQ153" s="824"/>
      <c r="BR153" s="320"/>
      <c r="BS153" s="320"/>
      <c r="BT153" s="320"/>
      <c r="BU153" s="320"/>
      <c r="BV153" s="320"/>
      <c r="BW153" s="320"/>
      <c r="BX153" s="320"/>
      <c r="BY153" s="320"/>
      <c r="BZ153" s="320"/>
      <c r="CA153" s="320"/>
      <c r="CB153" s="320"/>
      <c r="CC153" s="320"/>
      <c r="CD153" s="320"/>
      <c r="CE153" s="320"/>
      <c r="CF153" s="824"/>
      <c r="CG153" s="320"/>
      <c r="CH153" s="316" t="str">
        <f>HYPERLINK("https://twitter.com/Blodvalen/status/1246986499721216006","29.49")</f>
        <v>29.49</v>
      </c>
      <c r="CI153" s="320"/>
      <c r="CJ153" s="320"/>
      <c r="CK153" s="320"/>
      <c r="CL153" s="320"/>
      <c r="CM153" s="320"/>
      <c r="CN153" s="286" t="s">
        <v>4100</v>
      </c>
      <c r="CO153" s="320"/>
      <c r="CP153" s="320"/>
      <c r="CQ153" s="320"/>
      <c r="CR153" s="320"/>
      <c r="CS153" s="320"/>
      <c r="CT153" s="320"/>
      <c r="CU153" s="106"/>
      <c r="CV153" s="320"/>
      <c r="CW153" s="320"/>
      <c r="CX153" s="320"/>
      <c r="CY153" s="320"/>
      <c r="CZ153" s="320"/>
      <c r="DA153" s="320"/>
      <c r="DB153" s="286" t="s">
        <v>9318</v>
      </c>
      <c r="DC153" s="320"/>
      <c r="DD153" s="320"/>
      <c r="DE153" s="320"/>
      <c r="DF153" s="320"/>
      <c r="DG153" s="320"/>
      <c r="DH153" s="320"/>
      <c r="DI153" s="320"/>
      <c r="DJ153" s="320"/>
      <c r="DK153" s="320"/>
      <c r="DL153" s="320"/>
      <c r="DM153" s="320"/>
      <c r="DN153" s="320"/>
      <c r="DO153" s="320"/>
      <c r="DP153" s="320"/>
      <c r="DQ153" s="320"/>
      <c r="DR153" s="320"/>
      <c r="DS153" s="320"/>
      <c r="DT153" s="320"/>
      <c r="DU153" s="320"/>
      <c r="DV153" s="320"/>
      <c r="DW153" s="320"/>
      <c r="DX153" s="320"/>
      <c r="DY153" s="320"/>
      <c r="DZ153" s="320"/>
      <c r="EA153" s="320"/>
      <c r="EB153" s="320"/>
      <c r="EC153" s="320"/>
      <c r="ED153" s="862"/>
    </row>
    <row r="154">
      <c r="A154" s="1787" t="s">
        <v>11720</v>
      </c>
      <c r="B154" s="378" t="s">
        <v>11721</v>
      </c>
      <c r="C154" s="379" t="s">
        <v>271</v>
      </c>
      <c r="D154" s="380" t="s">
        <v>271</v>
      </c>
      <c r="E154" s="381" t="s">
        <v>271</v>
      </c>
      <c r="F154" s="382" t="s">
        <v>271</v>
      </c>
      <c r="G154" s="378" t="s">
        <v>403</v>
      </c>
      <c r="H154" s="1700"/>
      <c r="I154" s="1788" t="s">
        <v>11090</v>
      </c>
      <c r="J154" s="1700" t="s">
        <v>11722</v>
      </c>
      <c r="K154" s="1700" t="s">
        <v>1015</v>
      </c>
      <c r="L154" s="1700" t="s">
        <v>11609</v>
      </c>
      <c r="M154" s="1700" t="s">
        <v>7301</v>
      </c>
      <c r="N154" s="1700" t="s">
        <v>3204</v>
      </c>
      <c r="O154" s="1700" t="s">
        <v>1634</v>
      </c>
      <c r="P154" s="1700" t="s">
        <v>3191</v>
      </c>
      <c r="Q154" s="835"/>
      <c r="R154" s="835"/>
      <c r="S154" s="541"/>
      <c r="T154" s="835"/>
      <c r="U154" s="835"/>
      <c r="V154" s="835"/>
      <c r="W154" s="106"/>
      <c r="X154" s="402" t="s">
        <v>10521</v>
      </c>
      <c r="Y154" s="402"/>
      <c r="Z154" s="402" t="s">
        <v>8680</v>
      </c>
      <c r="AA154" s="402" t="s">
        <v>11723</v>
      </c>
      <c r="AB154" s="1133" t="s">
        <v>6098</v>
      </c>
      <c r="AC154" s="402" t="s">
        <v>11724</v>
      </c>
      <c r="AD154" s="402" t="s">
        <v>10109</v>
      </c>
      <c r="AE154" s="837"/>
      <c r="AF154" s="402" t="s">
        <v>11725</v>
      </c>
      <c r="AG154" s="402" t="s">
        <v>11726</v>
      </c>
      <c r="AH154" s="837"/>
      <c r="AI154" s="837"/>
      <c r="AJ154" s="402"/>
      <c r="AK154" s="837"/>
      <c r="AL154" s="105"/>
      <c r="AM154" s="413"/>
      <c r="AN154" s="413"/>
      <c r="AO154" s="839"/>
      <c r="AP154" s="839"/>
      <c r="AQ154" s="570"/>
      <c r="AR154" s="570"/>
      <c r="AS154" s="839"/>
      <c r="AT154" s="839"/>
      <c r="AU154" s="413" t="s">
        <v>10204</v>
      </c>
      <c r="AV154" s="413" t="s">
        <v>10468</v>
      </c>
      <c r="AW154" s="413"/>
      <c r="AX154" s="839"/>
      <c r="AY154" s="839"/>
      <c r="AZ154" s="839"/>
      <c r="BA154" s="839"/>
      <c r="BB154" s="1633" t="s">
        <v>11664</v>
      </c>
      <c r="BC154" s="1633" t="s">
        <v>9239</v>
      </c>
      <c r="BD154" s="1633" t="s">
        <v>4074</v>
      </c>
      <c r="BE154" s="1633" t="s">
        <v>5193</v>
      </c>
      <c r="BF154" s="1633" t="s">
        <v>11727</v>
      </c>
      <c r="BG154" s="1633"/>
      <c r="BH154" s="580"/>
      <c r="BI154" s="1633" t="s">
        <v>677</v>
      </c>
      <c r="BJ154" s="581" t="s">
        <v>11728</v>
      </c>
      <c r="BK154" s="1633"/>
      <c r="BL154" s="1633" t="s">
        <v>727</v>
      </c>
      <c r="BM154" s="580"/>
      <c r="BN154" s="580"/>
      <c r="BO154" s="1633"/>
      <c r="BP154" s="580"/>
      <c r="BQ154" s="845"/>
      <c r="BR154" s="1945" t="s">
        <v>11729</v>
      </c>
      <c r="BS154" s="424" t="s">
        <v>4677</v>
      </c>
      <c r="BT154" s="424" t="s">
        <v>4085</v>
      </c>
      <c r="BU154" s="424" t="s">
        <v>11730</v>
      </c>
      <c r="BV154" s="424" t="s">
        <v>11731</v>
      </c>
      <c r="BW154" s="424" t="s">
        <v>5095</v>
      </c>
      <c r="BX154" s="589" t="s">
        <v>10434</v>
      </c>
      <c r="BY154" s="424" t="s">
        <v>11732</v>
      </c>
      <c r="BZ154" s="424"/>
      <c r="CA154" s="424" t="s">
        <v>4311</v>
      </c>
      <c r="CB154" s="849"/>
      <c r="CC154" s="849"/>
      <c r="CD154" s="849"/>
      <c r="CE154" s="849"/>
      <c r="CF154" s="851"/>
      <c r="CG154" s="434" t="s">
        <v>11733</v>
      </c>
      <c r="CH154" s="434" t="s">
        <v>3983</v>
      </c>
      <c r="CI154" s="434" t="s">
        <v>10402</v>
      </c>
      <c r="CJ154" s="434"/>
      <c r="CK154" s="434" t="s">
        <v>6343</v>
      </c>
      <c r="CL154" s="434" t="s">
        <v>1105</v>
      </c>
      <c r="CM154" s="434" t="s">
        <v>5233</v>
      </c>
      <c r="CN154" s="434" t="s">
        <v>11734</v>
      </c>
      <c r="CO154" s="434" t="s">
        <v>11735</v>
      </c>
      <c r="CP154" s="1789"/>
      <c r="CQ154" s="852"/>
      <c r="CR154" s="852"/>
      <c r="CS154" s="852"/>
      <c r="CT154" s="852"/>
      <c r="CU154" s="106"/>
      <c r="CV154" s="467" t="s">
        <v>5212</v>
      </c>
      <c r="CW154" s="467" t="s">
        <v>1436</v>
      </c>
      <c r="CX154" s="467" t="s">
        <v>580</v>
      </c>
      <c r="CY154" s="467" t="s">
        <v>6844</v>
      </c>
      <c r="CZ154" s="467" t="s">
        <v>6013</v>
      </c>
      <c r="DA154" s="467" t="s">
        <v>3942</v>
      </c>
      <c r="DB154" s="467" t="s">
        <v>11667</v>
      </c>
      <c r="DC154" s="467" t="s">
        <v>11723</v>
      </c>
      <c r="DD154" s="853"/>
      <c r="DE154" s="853"/>
      <c r="DF154" s="853"/>
      <c r="DG154" s="853"/>
      <c r="DH154" s="853"/>
      <c r="DI154" s="686" t="s">
        <v>9622</v>
      </c>
      <c r="DJ154" s="855"/>
      <c r="DK154" s="855"/>
      <c r="DL154" s="686"/>
      <c r="DM154" s="686"/>
      <c r="DN154" s="686"/>
      <c r="DO154" s="855"/>
      <c r="DP154" s="855"/>
      <c r="DQ154" s="855"/>
      <c r="DR154" s="686" t="s">
        <v>2950</v>
      </c>
      <c r="DS154" s="686" t="s">
        <v>2292</v>
      </c>
      <c r="DT154" s="855"/>
      <c r="DU154" s="686"/>
      <c r="DV154" s="855"/>
      <c r="DW154" s="855"/>
      <c r="DX154" s="855"/>
      <c r="DY154" s="855"/>
      <c r="DZ154" s="855"/>
      <c r="EA154" s="686"/>
      <c r="EB154" s="855"/>
      <c r="EC154" s="855"/>
      <c r="ED154" s="1039"/>
    </row>
    <row r="155">
      <c r="A155" s="244" t="s">
        <v>11736</v>
      </c>
      <c r="B155" s="245" t="s">
        <v>11737</v>
      </c>
      <c r="C155" s="246" t="s">
        <v>271</v>
      </c>
      <c r="D155" s="247" t="s">
        <v>271</v>
      </c>
      <c r="E155" s="248" t="s">
        <v>271</v>
      </c>
      <c r="F155" s="249" t="s">
        <v>399</v>
      </c>
      <c r="G155" s="245" t="s">
        <v>2320</v>
      </c>
      <c r="H155" s="286"/>
      <c r="I155" s="257" t="s">
        <v>7615</v>
      </c>
      <c r="J155" s="257" t="s">
        <v>1208</v>
      </c>
      <c r="K155" s="257" t="s">
        <v>7544</v>
      </c>
      <c r="L155" s="257" t="s">
        <v>11738</v>
      </c>
      <c r="M155" s="286" t="s">
        <v>11739</v>
      </c>
      <c r="N155" s="286" t="s">
        <v>6107</v>
      </c>
      <c r="O155" s="286" t="s">
        <v>11136</v>
      </c>
      <c r="P155" s="286" t="s">
        <v>3770</v>
      </c>
      <c r="Q155" s="320"/>
      <c r="R155" s="320"/>
      <c r="S155" s="320"/>
      <c r="T155" s="320"/>
      <c r="U155" s="320"/>
      <c r="V155" s="320"/>
      <c r="W155" s="106"/>
      <c r="X155" s="286" t="s">
        <v>11740</v>
      </c>
      <c r="Y155" s="320"/>
      <c r="Z155" s="320"/>
      <c r="AA155" s="286" t="s">
        <v>2660</v>
      </c>
      <c r="AB155" s="286" t="s">
        <v>3474</v>
      </c>
      <c r="AC155" s="257" t="s">
        <v>11292</v>
      </c>
      <c r="AD155" s="320"/>
      <c r="AE155" s="320"/>
      <c r="AF155" s="286" t="s">
        <v>6788</v>
      </c>
      <c r="AG155" s="286" t="s">
        <v>901</v>
      </c>
      <c r="AH155" s="320"/>
      <c r="AI155" s="320"/>
      <c r="AJ155" s="320"/>
      <c r="AK155" s="320"/>
      <c r="AL155" s="105"/>
      <c r="AM155" s="286"/>
      <c r="AN155" s="286" t="s">
        <v>8805</v>
      </c>
      <c r="AO155" s="320"/>
      <c r="AP155" s="320"/>
      <c r="AQ155" s="320"/>
      <c r="AR155" s="320"/>
      <c r="AS155" s="320"/>
      <c r="AT155" s="320"/>
      <c r="AU155" s="286" t="s">
        <v>11741</v>
      </c>
      <c r="AV155" s="320"/>
      <c r="AW155" s="286" t="s">
        <v>1171</v>
      </c>
      <c r="AX155" s="320"/>
      <c r="AY155" s="320"/>
      <c r="AZ155" s="320"/>
      <c r="BA155" s="320"/>
      <c r="BB155" s="320"/>
      <c r="BC155" s="286" t="s">
        <v>11517</v>
      </c>
      <c r="BD155" s="320"/>
      <c r="BE155" s="286" t="s">
        <v>11742</v>
      </c>
      <c r="BF155" s="286" t="s">
        <v>4521</v>
      </c>
      <c r="BG155" s="286" t="s">
        <v>10779</v>
      </c>
      <c r="BH155" s="320"/>
      <c r="BI155" s="257" t="s">
        <v>11743</v>
      </c>
      <c r="BJ155" s="320"/>
      <c r="BK155" s="320"/>
      <c r="BL155" s="286" t="s">
        <v>417</v>
      </c>
      <c r="BM155" s="320"/>
      <c r="BN155" s="320"/>
      <c r="BO155" s="320"/>
      <c r="BP155" s="320"/>
      <c r="BQ155" s="824"/>
      <c r="BR155" s="286"/>
      <c r="BS155" s="320"/>
      <c r="BT155" s="320"/>
      <c r="BU155" s="286" t="s">
        <v>3956</v>
      </c>
      <c r="BV155" s="320"/>
      <c r="BW155" s="286" t="s">
        <v>6236</v>
      </c>
      <c r="BX155" s="320"/>
      <c r="BY155" s="286" t="s">
        <v>11744</v>
      </c>
      <c r="BZ155" s="320"/>
      <c r="CA155" s="286" t="s">
        <v>11745</v>
      </c>
      <c r="CB155" s="320"/>
      <c r="CC155" s="320"/>
      <c r="CD155" s="320"/>
      <c r="CE155" s="320"/>
      <c r="CF155" s="824"/>
      <c r="CG155" s="320"/>
      <c r="CH155" s="286" t="s">
        <v>11746</v>
      </c>
      <c r="CI155" s="320"/>
      <c r="CJ155" s="278" t="s">
        <v>11747</v>
      </c>
      <c r="CK155" s="278"/>
      <c r="CL155" s="278" t="s">
        <v>11501</v>
      </c>
      <c r="CM155" s="320"/>
      <c r="CN155" s="320"/>
      <c r="CO155" s="320"/>
      <c r="CP155" s="320"/>
      <c r="CQ155" s="320"/>
      <c r="CR155" s="320"/>
      <c r="CS155" s="320"/>
      <c r="CT155" s="320"/>
      <c r="CU155" s="106"/>
      <c r="CV155" s="320"/>
      <c r="CW155" s="286" t="s">
        <v>11415</v>
      </c>
      <c r="CX155" s="286" t="s">
        <v>11748</v>
      </c>
      <c r="CY155" s="320"/>
      <c r="CZ155" s="320"/>
      <c r="DA155" s="286" t="s">
        <v>11271</v>
      </c>
      <c r="DB155" s="278" t="s">
        <v>11365</v>
      </c>
      <c r="DC155" s="286" t="s">
        <v>11749</v>
      </c>
      <c r="DD155" s="320"/>
      <c r="DE155" s="320"/>
      <c r="DF155" s="320"/>
      <c r="DG155" s="320"/>
      <c r="DH155" s="320"/>
      <c r="DI155" s="320"/>
      <c r="DJ155" s="320"/>
      <c r="DK155" s="320"/>
      <c r="DL155" s="320"/>
      <c r="DM155" s="320"/>
      <c r="DN155" s="320"/>
      <c r="DO155" s="320"/>
      <c r="DP155" s="320"/>
      <c r="DQ155" s="320"/>
      <c r="DR155" s="320"/>
      <c r="DS155" s="320"/>
      <c r="DT155" s="320"/>
      <c r="DU155" s="320"/>
      <c r="DV155" s="320"/>
      <c r="DW155" s="320"/>
      <c r="DX155" s="320"/>
      <c r="DY155" s="320"/>
      <c r="DZ155" s="320"/>
      <c r="EA155" s="320"/>
      <c r="EB155" s="320"/>
      <c r="EC155" s="320"/>
      <c r="ED155" s="862"/>
    </row>
    <row r="156">
      <c r="A156" s="540" t="s">
        <v>11750</v>
      </c>
      <c r="B156" s="378" t="s">
        <v>11751</v>
      </c>
      <c r="C156" s="379" t="s">
        <v>271</v>
      </c>
      <c r="D156" s="380" t="s">
        <v>271</v>
      </c>
      <c r="E156" s="381" t="s">
        <v>271</v>
      </c>
      <c r="F156" s="382" t="s">
        <v>399</v>
      </c>
      <c r="G156" s="378" t="s">
        <v>399</v>
      </c>
      <c r="H156" s="835"/>
      <c r="I156" s="835"/>
      <c r="J156" s="835"/>
      <c r="K156" s="1970" t="str">
        <f>HYPERLINK("https://youtu.be/MU1qH8LoqLU","13.87")</f>
        <v>13.87</v>
      </c>
      <c r="L156" s="1970" t="str">
        <f>HYPERLINK("https://youtu.be/hXVYSUclgOo","42.66")</f>
        <v>42.66</v>
      </c>
      <c r="M156" s="835"/>
      <c r="N156" s="835"/>
      <c r="O156" s="835"/>
      <c r="P156" s="835"/>
      <c r="Q156" s="835"/>
      <c r="R156" s="835"/>
      <c r="S156" s="835"/>
      <c r="T156" s="835"/>
      <c r="U156" s="835"/>
      <c r="V156" s="835"/>
      <c r="W156" s="106"/>
      <c r="X156" s="1971" t="str">
        <f>HYPERLINK("https://clips.twitch.tv/SillyWimpySandwichLitty","50.60")</f>
        <v>50.60</v>
      </c>
      <c r="Y156" s="837"/>
      <c r="Z156" s="837"/>
      <c r="AA156" s="837"/>
      <c r="AB156" s="837"/>
      <c r="AC156" s="837"/>
      <c r="AD156" s="1971" t="str">
        <f>HYPERLINK("https://clips.twitch.tv/IncredulousImpossibleCakeGrammarKing?tt_medium=clips_api&amp;tt_content=url","57.80")</f>
        <v>57.80</v>
      </c>
      <c r="AE156" s="837"/>
      <c r="AF156" s="837"/>
      <c r="AG156" s="837"/>
      <c r="AH156" s="837"/>
      <c r="AI156" s="837"/>
      <c r="AJ156" s="837"/>
      <c r="AK156" s="837"/>
      <c r="AL156" s="105"/>
      <c r="AM156" s="839"/>
      <c r="AN156" s="839"/>
      <c r="AO156" s="839"/>
      <c r="AP156" s="839"/>
      <c r="AQ156" s="839"/>
      <c r="AR156" s="839"/>
      <c r="AS156" s="839"/>
      <c r="AT156" s="839"/>
      <c r="AU156" s="839"/>
      <c r="AV156" s="839"/>
      <c r="AW156" s="839"/>
      <c r="AX156" s="839"/>
      <c r="AY156" s="839"/>
      <c r="AZ156" s="839"/>
      <c r="BA156" s="839"/>
      <c r="BB156" s="580"/>
      <c r="BC156" s="580"/>
      <c r="BD156" s="580"/>
      <c r="BE156" s="580"/>
      <c r="BF156" s="580"/>
      <c r="BG156" s="580"/>
      <c r="BH156" s="580"/>
      <c r="BI156" s="580"/>
      <c r="BJ156" s="580"/>
      <c r="BK156" s="580"/>
      <c r="BL156" s="580"/>
      <c r="BM156" s="580"/>
      <c r="BN156" s="580"/>
      <c r="BO156" s="580"/>
      <c r="BP156" s="580"/>
      <c r="BQ156" s="845"/>
      <c r="BR156" s="849"/>
      <c r="BS156" s="849"/>
      <c r="BT156" s="1783" t="str">
        <f>HYPERLINK("https://clips.twitch.tv/SilkyDirtySandwichPJSalt?tt_medium=clips_api&amp;tt_content=url","35.19")</f>
        <v>35.19</v>
      </c>
      <c r="BU156" s="849"/>
      <c r="BV156" s="849"/>
      <c r="BW156" s="1783" t="str">
        <f>HYPERLINK("https://clips.twitch.tv/BombasticDifferentJaguarDoggo?tt_medium=clips_api&amp;tt_content=url","23.80")</f>
        <v>23.80</v>
      </c>
      <c r="BX156" s="849"/>
      <c r="BY156" s="849"/>
      <c r="BZ156" s="849"/>
      <c r="CA156" s="849"/>
      <c r="CB156" s="849"/>
      <c r="CC156" s="849"/>
      <c r="CD156" s="849"/>
      <c r="CE156" s="849"/>
      <c r="CF156" s="851"/>
      <c r="CG156" s="852"/>
      <c r="CH156" s="852"/>
      <c r="CI156" s="852"/>
      <c r="CJ156" s="852"/>
      <c r="CK156" s="852"/>
      <c r="CL156" s="852"/>
      <c r="CM156" s="852"/>
      <c r="CN156" s="852"/>
      <c r="CO156" s="852"/>
      <c r="CP156" s="852"/>
      <c r="CQ156" s="852"/>
      <c r="CR156" s="852"/>
      <c r="CS156" s="852"/>
      <c r="CT156" s="852"/>
      <c r="CU156" s="106"/>
      <c r="CV156" s="853"/>
      <c r="CW156" s="853"/>
      <c r="CX156" s="853"/>
      <c r="CY156" s="853"/>
      <c r="CZ156" s="853"/>
      <c r="DA156" s="853"/>
      <c r="DB156" s="793"/>
      <c r="DC156" s="853"/>
      <c r="DD156" s="853"/>
      <c r="DE156" s="853"/>
      <c r="DF156" s="853"/>
      <c r="DG156" s="853"/>
      <c r="DH156" s="853"/>
      <c r="DI156" s="855"/>
      <c r="DJ156" s="855"/>
      <c r="DK156" s="855"/>
      <c r="DL156" s="855"/>
      <c r="DM156" s="855"/>
      <c r="DN156" s="855"/>
      <c r="DO156" s="855"/>
      <c r="DP156" s="855"/>
      <c r="DQ156" s="855"/>
      <c r="DR156" s="855"/>
      <c r="DS156" s="855"/>
      <c r="DT156" s="855"/>
      <c r="DU156" s="855"/>
      <c r="DV156" s="855"/>
      <c r="DW156" s="855"/>
      <c r="DX156" s="855"/>
      <c r="DY156" s="855"/>
      <c r="DZ156" s="855"/>
      <c r="EA156" s="855"/>
      <c r="EB156" s="855"/>
      <c r="EC156" s="855"/>
      <c r="ED156" s="1039"/>
    </row>
    <row r="157">
      <c r="A157" s="244" t="s">
        <v>3992</v>
      </c>
      <c r="B157" s="245" t="s">
        <v>11752</v>
      </c>
      <c r="C157" s="246" t="s">
        <v>271</v>
      </c>
      <c r="D157" s="247" t="s">
        <v>271</v>
      </c>
      <c r="E157" s="248" t="s">
        <v>271</v>
      </c>
      <c r="F157" s="249" t="s">
        <v>233</v>
      </c>
      <c r="G157" s="245" t="s">
        <v>2132</v>
      </c>
      <c r="H157" s="320"/>
      <c r="I157" s="286" t="s">
        <v>8052</v>
      </c>
      <c r="J157" s="286" t="s">
        <v>9429</v>
      </c>
      <c r="K157" s="286" t="s">
        <v>4445</v>
      </c>
      <c r="L157" s="286" t="s">
        <v>2561</v>
      </c>
      <c r="M157" s="286" t="s">
        <v>11753</v>
      </c>
      <c r="N157" s="286" t="s">
        <v>7229</v>
      </c>
      <c r="O157" s="286" t="s">
        <v>3396</v>
      </c>
      <c r="P157" s="286" t="s">
        <v>1865</v>
      </c>
      <c r="Q157" s="320"/>
      <c r="R157" s="320"/>
      <c r="S157" s="320"/>
      <c r="T157" s="320"/>
      <c r="U157" s="320"/>
      <c r="V157" s="320"/>
      <c r="W157" s="106"/>
      <c r="X157" s="286" t="s">
        <v>11224</v>
      </c>
      <c r="Y157" s="286"/>
      <c r="Z157" s="286" t="s">
        <v>771</v>
      </c>
      <c r="AA157" s="286" t="s">
        <v>9199</v>
      </c>
      <c r="AB157" s="286" t="s">
        <v>6399</v>
      </c>
      <c r="AC157" s="286" t="s">
        <v>11754</v>
      </c>
      <c r="AD157" s="257" t="s">
        <v>7598</v>
      </c>
      <c r="AE157" s="320"/>
      <c r="AF157" s="320"/>
      <c r="AG157" s="320"/>
      <c r="AH157" s="320"/>
      <c r="AI157" s="320"/>
      <c r="AJ157" s="320"/>
      <c r="AK157" s="320"/>
      <c r="AL157" s="105"/>
      <c r="AM157" s="320"/>
      <c r="AN157" s="320"/>
      <c r="AO157" s="320"/>
      <c r="AP157" s="320"/>
      <c r="AQ157" s="320"/>
      <c r="AR157" s="320"/>
      <c r="AS157" s="320"/>
      <c r="AT157" s="320"/>
      <c r="AU157" s="286" t="s">
        <v>11735</v>
      </c>
      <c r="AV157" s="286" t="s">
        <v>2496</v>
      </c>
      <c r="AW157" s="320"/>
      <c r="AX157" s="320"/>
      <c r="AY157" s="320"/>
      <c r="AZ157" s="320"/>
      <c r="BA157" s="320"/>
      <c r="BB157" s="320"/>
      <c r="BC157" s="286" t="s">
        <v>4443</v>
      </c>
      <c r="BD157" s="320"/>
      <c r="BE157" s="286" t="s">
        <v>7344</v>
      </c>
      <c r="BF157" s="320"/>
      <c r="BG157" s="286" t="s">
        <v>11755</v>
      </c>
      <c r="BH157" s="320"/>
      <c r="BI157" s="257" t="s">
        <v>5273</v>
      </c>
      <c r="BJ157" s="320"/>
      <c r="BK157" s="320"/>
      <c r="BL157" s="286" t="s">
        <v>10944</v>
      </c>
      <c r="BM157" s="320"/>
      <c r="BN157" s="320"/>
      <c r="BO157" s="320"/>
      <c r="BP157" s="320"/>
      <c r="BQ157" s="824"/>
      <c r="BR157" s="320"/>
      <c r="BS157" s="320"/>
      <c r="BT157" s="286" t="s">
        <v>9389</v>
      </c>
      <c r="BU157" s="320"/>
      <c r="BV157" s="320"/>
      <c r="BW157" s="320"/>
      <c r="BX157" s="320"/>
      <c r="BY157" s="320"/>
      <c r="BZ157" s="320"/>
      <c r="CA157" s="320"/>
      <c r="CB157" s="320"/>
      <c r="CC157" s="320"/>
      <c r="CD157" s="320"/>
      <c r="CE157" s="320"/>
      <c r="CF157" s="824"/>
      <c r="CG157" s="286" t="s">
        <v>2191</v>
      </c>
      <c r="CH157" s="286" t="s">
        <v>2340</v>
      </c>
      <c r="CI157" s="320"/>
      <c r="CJ157" s="320"/>
      <c r="CK157" s="320"/>
      <c r="CL157" s="320"/>
      <c r="CM157" s="320"/>
      <c r="CN157" s="320"/>
      <c r="CO157" s="320"/>
      <c r="CP157" s="320"/>
      <c r="CQ157" s="320"/>
      <c r="CR157" s="320"/>
      <c r="CS157" s="320"/>
      <c r="CT157" s="320"/>
      <c r="CU157" s="106"/>
      <c r="CV157" s="286" t="s">
        <v>10570</v>
      </c>
      <c r="CW157" s="286" t="s">
        <v>1882</v>
      </c>
      <c r="CX157" s="286" t="s">
        <v>11756</v>
      </c>
      <c r="CY157" s="286" t="s">
        <v>5239</v>
      </c>
      <c r="CZ157" s="320"/>
      <c r="DA157" s="320"/>
      <c r="DB157" s="320"/>
      <c r="DC157" s="286" t="s">
        <v>4105</v>
      </c>
      <c r="DD157" s="320"/>
      <c r="DE157" s="320"/>
      <c r="DF157" s="320"/>
      <c r="DG157" s="320"/>
      <c r="DH157" s="320"/>
      <c r="DI157" s="286" t="s">
        <v>11757</v>
      </c>
      <c r="DJ157" s="320"/>
      <c r="DK157" s="320"/>
      <c r="DL157" s="286"/>
      <c r="DM157" s="320"/>
      <c r="DN157" s="286" t="s">
        <v>6328</v>
      </c>
      <c r="DO157" s="286" t="s">
        <v>11758</v>
      </c>
      <c r="DP157" s="320"/>
      <c r="DQ157" s="320"/>
      <c r="DR157" s="320"/>
      <c r="DS157" s="320"/>
      <c r="DT157" s="320"/>
      <c r="DU157" s="320"/>
      <c r="DV157" s="320"/>
      <c r="DW157" s="320"/>
      <c r="DX157" s="320"/>
      <c r="DY157" s="320"/>
      <c r="DZ157" s="286" t="s">
        <v>11759</v>
      </c>
      <c r="EA157" s="320"/>
      <c r="EB157" s="320"/>
      <c r="EC157" s="286" t="s">
        <v>10463</v>
      </c>
      <c r="ED157" s="862"/>
    </row>
    <row r="158">
      <c r="A158" s="540" t="s">
        <v>11760</v>
      </c>
      <c r="B158" s="378" t="s">
        <v>11761</v>
      </c>
      <c r="C158" s="379" t="s">
        <v>271</v>
      </c>
      <c r="D158" s="380" t="s">
        <v>271</v>
      </c>
      <c r="E158" s="381" t="s">
        <v>271</v>
      </c>
      <c r="F158" s="382" t="s">
        <v>271</v>
      </c>
      <c r="G158" s="378" t="s">
        <v>398</v>
      </c>
      <c r="H158" s="541" t="s">
        <v>9547</v>
      </c>
      <c r="I158" s="541" t="s">
        <v>11762</v>
      </c>
      <c r="J158" s="541" t="s">
        <v>10841</v>
      </c>
      <c r="K158" s="541" t="s">
        <v>760</v>
      </c>
      <c r="L158" s="541" t="s">
        <v>2091</v>
      </c>
      <c r="M158" s="835"/>
      <c r="N158" s="835"/>
      <c r="O158" s="541" t="s">
        <v>7198</v>
      </c>
      <c r="P158" s="541" t="s">
        <v>1068</v>
      </c>
      <c r="Q158" s="541"/>
      <c r="R158" s="835"/>
      <c r="S158" s="541" t="s">
        <v>11763</v>
      </c>
      <c r="T158" s="835"/>
      <c r="U158" s="541" t="s">
        <v>5278</v>
      </c>
      <c r="V158" s="835"/>
      <c r="W158" s="106"/>
      <c r="X158" s="670" t="s">
        <v>11764</v>
      </c>
      <c r="Y158" s="837"/>
      <c r="Z158" s="837"/>
      <c r="AA158" s="670" t="s">
        <v>1464</v>
      </c>
      <c r="AB158" s="837"/>
      <c r="AC158" s="837"/>
      <c r="AD158" s="837"/>
      <c r="AE158" s="837"/>
      <c r="AF158" s="837"/>
      <c r="AG158" s="670" t="s">
        <v>11765</v>
      </c>
      <c r="AH158" s="670" t="s">
        <v>11766</v>
      </c>
      <c r="AI158" s="670"/>
      <c r="AJ158" s="670" t="s">
        <v>11767</v>
      </c>
      <c r="AK158" s="837"/>
      <c r="AL158" s="105"/>
      <c r="AM158" s="839"/>
      <c r="AN158" s="570" t="s">
        <v>4878</v>
      </c>
      <c r="AO158" s="839"/>
      <c r="AP158" s="839"/>
      <c r="AQ158" s="839"/>
      <c r="AR158" s="839"/>
      <c r="AS158" s="839"/>
      <c r="AT158" s="839"/>
      <c r="AU158" s="839"/>
      <c r="AV158" s="570" t="s">
        <v>514</v>
      </c>
      <c r="AW158" s="839"/>
      <c r="AX158" s="839"/>
      <c r="AY158" s="570" t="s">
        <v>2152</v>
      </c>
      <c r="AZ158" s="839"/>
      <c r="BA158" s="839"/>
      <c r="BB158" s="580"/>
      <c r="BC158" s="580"/>
      <c r="BD158" s="581" t="s">
        <v>2654</v>
      </c>
      <c r="BE158" s="580"/>
      <c r="BF158" s="580"/>
      <c r="BG158" s="581" t="s">
        <v>1745</v>
      </c>
      <c r="BH158" s="580"/>
      <c r="BI158" s="581" t="s">
        <v>11768</v>
      </c>
      <c r="BJ158" s="580"/>
      <c r="BK158" s="580"/>
      <c r="BL158" s="580"/>
      <c r="BM158" s="580"/>
      <c r="BN158" s="580"/>
      <c r="BO158" s="580"/>
      <c r="BP158" s="580"/>
      <c r="BQ158" s="845"/>
      <c r="BR158" s="589"/>
      <c r="BS158" s="849"/>
      <c r="BT158" s="849"/>
      <c r="BU158" s="589" t="s">
        <v>11769</v>
      </c>
      <c r="BV158" s="849"/>
      <c r="BW158" s="589" t="s">
        <v>3968</v>
      </c>
      <c r="BX158" s="849"/>
      <c r="BY158" s="849"/>
      <c r="BZ158" s="849"/>
      <c r="CA158" s="849"/>
      <c r="CB158" s="849"/>
      <c r="CC158" s="849"/>
      <c r="CD158" s="849"/>
      <c r="CE158" s="849"/>
      <c r="CF158" s="851"/>
      <c r="CG158" s="852"/>
      <c r="CH158" s="852"/>
      <c r="CI158" s="852"/>
      <c r="CJ158" s="852"/>
      <c r="CK158" s="852"/>
      <c r="CL158" s="852"/>
      <c r="CM158" s="852"/>
      <c r="CN158" s="593" t="s">
        <v>216</v>
      </c>
      <c r="CO158" s="852"/>
      <c r="CP158" s="852"/>
      <c r="CQ158" s="852"/>
      <c r="CR158" s="852"/>
      <c r="CS158" s="852"/>
      <c r="CT158" s="852"/>
      <c r="CU158" s="106"/>
      <c r="CV158" s="683" t="s">
        <v>10490</v>
      </c>
      <c r="CW158" s="853"/>
      <c r="CX158" s="853"/>
      <c r="CY158" s="853"/>
      <c r="CZ158" s="853"/>
      <c r="DA158" s="853"/>
      <c r="DB158" s="853"/>
      <c r="DC158" s="853"/>
      <c r="DD158" s="853"/>
      <c r="DE158" s="853"/>
      <c r="DF158" s="853"/>
      <c r="DG158" s="853"/>
      <c r="DH158" s="853"/>
      <c r="DI158" s="855"/>
      <c r="DJ158" s="855"/>
      <c r="DK158" s="855"/>
      <c r="DL158" s="855"/>
      <c r="DM158" s="855"/>
      <c r="DN158" s="855"/>
      <c r="DO158" s="855"/>
      <c r="DP158" s="855"/>
      <c r="DQ158" s="855"/>
      <c r="DR158" s="855"/>
      <c r="DS158" s="855"/>
      <c r="DT158" s="855"/>
      <c r="DU158" s="855"/>
      <c r="DV158" s="855"/>
      <c r="DW158" s="855"/>
      <c r="DX158" s="855"/>
      <c r="DY158" s="685" t="s">
        <v>7384</v>
      </c>
      <c r="DZ158" s="855"/>
      <c r="EA158" s="855"/>
      <c r="EB158" s="855"/>
      <c r="EC158" s="685" t="s">
        <v>10080</v>
      </c>
      <c r="ED158" s="1039" t="s">
        <v>1120</v>
      </c>
    </row>
    <row r="159">
      <c r="A159" s="1972" t="s">
        <v>11770</v>
      </c>
      <c r="B159" s="245" t="s">
        <v>11771</v>
      </c>
      <c r="C159" s="246" t="s">
        <v>271</v>
      </c>
      <c r="D159" s="247" t="s">
        <v>271</v>
      </c>
      <c r="E159" s="248" t="s">
        <v>271</v>
      </c>
      <c r="F159" s="249" t="s">
        <v>178</v>
      </c>
      <c r="G159" s="245" t="s">
        <v>270</v>
      </c>
      <c r="H159" s="320"/>
      <c r="I159" s="320"/>
      <c r="J159" s="286" t="s">
        <v>616</v>
      </c>
      <c r="K159" s="257" t="s">
        <v>3003</v>
      </c>
      <c r="L159" s="257" t="s">
        <v>5934</v>
      </c>
      <c r="M159" s="320"/>
      <c r="N159" s="320"/>
      <c r="O159" s="320"/>
      <c r="P159" s="320"/>
      <c r="Q159" s="320"/>
      <c r="R159" s="320"/>
      <c r="S159" s="320"/>
      <c r="T159" s="320"/>
      <c r="U159" s="320"/>
      <c r="V159" s="320"/>
      <c r="W159" s="106"/>
      <c r="X159" s="320"/>
      <c r="Y159" s="320"/>
      <c r="Z159" s="320"/>
      <c r="AA159" s="257" t="s">
        <v>10351</v>
      </c>
      <c r="AB159" s="320"/>
      <c r="AC159" s="286" t="s">
        <v>1660</v>
      </c>
      <c r="AD159" s="320"/>
      <c r="AE159" s="320"/>
      <c r="AF159" s="320"/>
      <c r="AG159" s="286" t="s">
        <v>11341</v>
      </c>
      <c r="AH159" s="320"/>
      <c r="AI159" s="320"/>
      <c r="AJ159" s="320"/>
      <c r="AK159" s="320"/>
      <c r="AL159" s="105"/>
      <c r="AM159" s="320"/>
      <c r="AN159" s="320"/>
      <c r="AO159" s="320"/>
      <c r="AP159" s="320"/>
      <c r="AQ159" s="320"/>
      <c r="AR159" s="320"/>
      <c r="AS159" s="320"/>
      <c r="AT159" s="320"/>
      <c r="AU159" s="320"/>
      <c r="AV159" s="320"/>
      <c r="AW159" s="320"/>
      <c r="AX159" s="320"/>
      <c r="AY159" s="320"/>
      <c r="AZ159" s="320"/>
      <c r="BA159" s="320"/>
      <c r="BB159" s="320"/>
      <c r="BC159" s="320"/>
      <c r="BD159" s="320"/>
      <c r="BE159" s="320"/>
      <c r="BF159" s="320"/>
      <c r="BG159" s="320"/>
      <c r="BH159" s="320"/>
      <c r="BI159" s="320"/>
      <c r="BJ159" s="286" t="s">
        <v>1754</v>
      </c>
      <c r="BK159" s="320"/>
      <c r="BL159" s="320"/>
      <c r="BM159" s="320"/>
      <c r="BN159" s="320"/>
      <c r="BO159" s="320"/>
      <c r="BP159" s="320"/>
      <c r="BQ159" s="824"/>
      <c r="BR159" s="320"/>
      <c r="BS159" s="320"/>
      <c r="BT159" s="257" t="s">
        <v>4672</v>
      </c>
      <c r="BU159" s="257" t="s">
        <v>10456</v>
      </c>
      <c r="BV159" s="320"/>
      <c r="BW159" s="881" t="s">
        <v>11772</v>
      </c>
      <c r="BX159" s="320"/>
      <c r="BY159" s="320"/>
      <c r="BZ159" s="320"/>
      <c r="CA159" s="320"/>
      <c r="CB159" s="320"/>
      <c r="CC159" s="320"/>
      <c r="CD159" s="320"/>
      <c r="CE159" s="320"/>
      <c r="CF159" s="824"/>
      <c r="CG159" s="286"/>
      <c r="CH159" s="257" t="s">
        <v>11773</v>
      </c>
      <c r="CI159" s="320"/>
      <c r="CJ159" s="320"/>
      <c r="CK159" s="320"/>
      <c r="CL159" s="320"/>
      <c r="CM159" s="320"/>
      <c r="CN159" s="320"/>
      <c r="CO159" s="320"/>
      <c r="CP159" s="320"/>
      <c r="CQ159" s="320"/>
      <c r="CR159" s="320"/>
      <c r="CS159" s="320"/>
      <c r="CT159" s="320"/>
      <c r="CU159" s="106"/>
      <c r="CV159" s="320"/>
      <c r="CW159" s="320"/>
      <c r="CX159" s="286"/>
      <c r="CY159" s="320"/>
      <c r="CZ159" s="320"/>
      <c r="DA159" s="320"/>
      <c r="DB159" s="320"/>
      <c r="DC159" s="257" t="s">
        <v>7357</v>
      </c>
      <c r="DD159" s="320"/>
      <c r="DE159" s="320"/>
      <c r="DF159" s="320"/>
      <c r="DG159" s="320"/>
      <c r="DH159" s="320"/>
      <c r="DI159" s="320"/>
      <c r="DJ159" s="320"/>
      <c r="DK159" s="320"/>
      <c r="DL159" s="320"/>
      <c r="DM159" s="320"/>
      <c r="DN159" s="320"/>
      <c r="DO159" s="320"/>
      <c r="DP159" s="320"/>
      <c r="DQ159" s="320"/>
      <c r="DR159" s="320"/>
      <c r="DS159" s="320"/>
      <c r="DT159" s="320"/>
      <c r="DU159" s="320"/>
      <c r="DV159" s="320"/>
      <c r="DW159" s="320"/>
      <c r="DX159" s="320"/>
      <c r="DY159" s="320"/>
      <c r="DZ159" s="320"/>
      <c r="EA159" s="320"/>
      <c r="EB159" s="320"/>
      <c r="EC159" s="320"/>
      <c r="ED159" s="1629"/>
    </row>
    <row r="160">
      <c r="A160" s="540" t="s">
        <v>11774</v>
      </c>
      <c r="B160" s="378" t="s">
        <v>11775</v>
      </c>
      <c r="C160" s="379" t="s">
        <v>271</v>
      </c>
      <c r="D160" s="380" t="s">
        <v>271</v>
      </c>
      <c r="E160" s="381" t="s">
        <v>271</v>
      </c>
      <c r="F160" s="382" t="s">
        <v>203</v>
      </c>
      <c r="G160" s="378" t="s">
        <v>1791</v>
      </c>
      <c r="H160" s="541" t="s">
        <v>11776</v>
      </c>
      <c r="I160" s="541" t="s">
        <v>10922</v>
      </c>
      <c r="J160" s="541" t="s">
        <v>1132</v>
      </c>
      <c r="K160" s="541" t="s">
        <v>2324</v>
      </c>
      <c r="L160" s="541" t="s">
        <v>4251</v>
      </c>
      <c r="M160" s="541" t="s">
        <v>10249</v>
      </c>
      <c r="N160" s="541" t="s">
        <v>11010</v>
      </c>
      <c r="O160" s="835"/>
      <c r="P160" s="835"/>
      <c r="Q160" s="835"/>
      <c r="R160" s="835"/>
      <c r="S160" s="835"/>
      <c r="T160" s="835"/>
      <c r="U160" s="835"/>
      <c r="V160" s="835"/>
      <c r="W160" s="106"/>
      <c r="X160" s="395" t="str">
        <f>HYPERLINK("https://www.youtube.com/watch?v=F9HuyJ73joE","56.96")</f>
        <v>56.96</v>
      </c>
      <c r="Y160" s="670"/>
      <c r="Z160" s="670" t="s">
        <v>7359</v>
      </c>
      <c r="AA160" s="670" t="s">
        <v>2352</v>
      </c>
      <c r="AB160" s="670" t="s">
        <v>10637</v>
      </c>
      <c r="AC160" s="670" t="s">
        <v>11777</v>
      </c>
      <c r="AD160" s="395" t="str">
        <f>HYPERLINK("https://www.youtube.com/watch?v=4W9_mJO1W30","58.79")</f>
        <v>58.79</v>
      </c>
      <c r="AE160" s="837"/>
      <c r="AF160" s="670" t="s">
        <v>929</v>
      </c>
      <c r="AG160" s="670" t="s">
        <v>2519</v>
      </c>
      <c r="AH160" s="395" t="str">
        <f>HYPERLINK("https://www.youtube.com/watch?v=n0bPIySAFn0","50.33")</f>
        <v>50.33</v>
      </c>
      <c r="AI160" s="837"/>
      <c r="AJ160" s="837"/>
      <c r="AK160" s="837"/>
      <c r="AL160" s="105"/>
      <c r="AM160" s="839"/>
      <c r="AN160" s="839"/>
      <c r="AO160" s="839"/>
      <c r="AP160" s="839"/>
      <c r="AQ160" s="839"/>
      <c r="AR160" s="839"/>
      <c r="AS160" s="839"/>
      <c r="AT160" s="839"/>
      <c r="AU160" s="839"/>
      <c r="AV160" s="839"/>
      <c r="AW160" s="839"/>
      <c r="AX160" s="839"/>
      <c r="AY160" s="839"/>
      <c r="AZ160" s="839"/>
      <c r="BA160" s="839"/>
      <c r="BB160" s="580"/>
      <c r="BC160" s="414" t="str">
        <f>HYPERLINK("https://www.youtube.com/watch?v=zGD_5SyGJ6A","44.83")</f>
        <v>44.83</v>
      </c>
      <c r="BD160" s="580"/>
      <c r="BE160" s="580"/>
      <c r="BF160" s="580"/>
      <c r="BG160" s="414" t="str">
        <f>HYPERLINK("https://www.youtube.com/watch?v=6-LxzP01WXc","47.47")</f>
        <v>47.47</v>
      </c>
      <c r="BH160" s="580"/>
      <c r="BI160" s="580"/>
      <c r="BJ160" s="580"/>
      <c r="BK160" s="580"/>
      <c r="BL160" s="580"/>
      <c r="BM160" s="580"/>
      <c r="BN160" s="580"/>
      <c r="BO160" s="580"/>
      <c r="BP160" s="580"/>
      <c r="BQ160" s="845"/>
      <c r="BR160" s="785"/>
      <c r="BS160" s="589" t="s">
        <v>11778</v>
      </c>
      <c r="BT160" s="589" t="s">
        <v>11779</v>
      </c>
      <c r="BU160" s="849"/>
      <c r="BV160" s="849"/>
      <c r="BW160" s="589" t="s">
        <v>1797</v>
      </c>
      <c r="BX160" s="849"/>
      <c r="BY160" s="849"/>
      <c r="BZ160" s="849"/>
      <c r="CA160" s="849"/>
      <c r="CB160" s="849"/>
      <c r="CC160" s="849"/>
      <c r="CD160" s="849"/>
      <c r="CE160" s="849"/>
      <c r="CF160" s="851"/>
      <c r="CG160" s="852"/>
      <c r="CH160" s="852"/>
      <c r="CI160" s="852"/>
      <c r="CJ160" s="852"/>
      <c r="CK160" s="852"/>
      <c r="CL160" s="852"/>
      <c r="CM160" s="852"/>
      <c r="CN160" s="852"/>
      <c r="CO160" s="852"/>
      <c r="CP160" s="852"/>
      <c r="CQ160" s="852"/>
      <c r="CR160" s="852"/>
      <c r="CS160" s="852"/>
      <c r="CT160" s="852"/>
      <c r="CU160" s="106"/>
      <c r="CV160" s="683" t="s">
        <v>5932</v>
      </c>
      <c r="CW160" s="853"/>
      <c r="CX160" s="853"/>
      <c r="CY160" s="853"/>
      <c r="CZ160" s="853"/>
      <c r="DA160" s="853"/>
      <c r="DB160" s="853"/>
      <c r="DC160" s="853"/>
      <c r="DD160" s="853"/>
      <c r="DE160" s="853"/>
      <c r="DF160" s="853"/>
      <c r="DG160" s="853"/>
      <c r="DH160" s="853"/>
      <c r="DI160" s="855"/>
      <c r="DJ160" s="855"/>
      <c r="DK160" s="855"/>
      <c r="DL160" s="855"/>
      <c r="DM160" s="855"/>
      <c r="DN160" s="855"/>
      <c r="DO160" s="855"/>
      <c r="DP160" s="855"/>
      <c r="DQ160" s="855"/>
      <c r="DR160" s="855"/>
      <c r="DS160" s="855"/>
      <c r="DT160" s="855"/>
      <c r="DU160" s="855"/>
      <c r="DV160" s="855"/>
      <c r="DW160" s="855"/>
      <c r="DX160" s="855"/>
      <c r="DY160" s="855"/>
      <c r="DZ160" s="855"/>
      <c r="EA160" s="855"/>
      <c r="EB160" s="855"/>
      <c r="EC160" s="855"/>
      <c r="ED160" s="1039"/>
    </row>
    <row r="161">
      <c r="A161" s="1961" t="s">
        <v>11780</v>
      </c>
      <c r="B161" s="245" t="s">
        <v>11781</v>
      </c>
      <c r="C161" s="246" t="s">
        <v>271</v>
      </c>
      <c r="D161" s="247" t="s">
        <v>271</v>
      </c>
      <c r="E161" s="248" t="s">
        <v>271</v>
      </c>
      <c r="F161" s="249" t="s">
        <v>233</v>
      </c>
      <c r="G161" s="245" t="s">
        <v>565</v>
      </c>
      <c r="H161" s="351"/>
      <c r="I161" s="862" t="s">
        <v>5223</v>
      </c>
      <c r="J161" s="351"/>
      <c r="K161" s="862" t="s">
        <v>679</v>
      </c>
      <c r="L161" s="351"/>
      <c r="M161" s="351"/>
      <c r="N161" s="351"/>
      <c r="O161" s="351"/>
      <c r="P161" s="862" t="s">
        <v>1445</v>
      </c>
      <c r="Q161" s="320"/>
      <c r="R161" s="320"/>
      <c r="S161" s="320"/>
      <c r="T161" s="320"/>
      <c r="U161" s="320"/>
      <c r="V161" s="320"/>
      <c r="W161" s="106"/>
      <c r="X161" s="862" t="s">
        <v>11782</v>
      </c>
      <c r="Y161" s="351"/>
      <c r="Z161" s="351"/>
      <c r="AA161" s="862" t="s">
        <v>5056</v>
      </c>
      <c r="AB161" s="881"/>
      <c r="AC161" s="316" t="s">
        <v>3841</v>
      </c>
      <c r="AD161" s="351"/>
      <c r="AE161" s="320"/>
      <c r="AF161" s="351"/>
      <c r="AG161" s="862" t="s">
        <v>1250</v>
      </c>
      <c r="AH161" s="320"/>
      <c r="AI161" s="320"/>
      <c r="AJ161" s="351"/>
      <c r="AK161" s="320"/>
      <c r="AL161" s="105"/>
      <c r="AM161" s="351"/>
      <c r="AN161" s="351"/>
      <c r="AO161" s="320"/>
      <c r="AP161" s="320"/>
      <c r="AQ161" s="286"/>
      <c r="AR161" s="286"/>
      <c r="AS161" s="320"/>
      <c r="AT161" s="320"/>
      <c r="AU161" s="862" t="s">
        <v>7164</v>
      </c>
      <c r="AV161" s="862" t="s">
        <v>11064</v>
      </c>
      <c r="AW161" s="351"/>
      <c r="AX161" s="320"/>
      <c r="AY161" s="320"/>
      <c r="AZ161" s="320"/>
      <c r="BA161" s="286"/>
      <c r="BB161" s="351"/>
      <c r="BC161" s="316" t="s">
        <v>4205</v>
      </c>
      <c r="BD161" s="862"/>
      <c r="BE161" s="862" t="s">
        <v>11783</v>
      </c>
      <c r="BF161" s="351"/>
      <c r="BG161" s="351"/>
      <c r="BH161" s="320"/>
      <c r="BI161" s="862" t="s">
        <v>5134</v>
      </c>
      <c r="BJ161" s="320"/>
      <c r="BK161" s="351"/>
      <c r="BL161" s="862" t="s">
        <v>11784</v>
      </c>
      <c r="BM161" s="320"/>
      <c r="BN161" s="320"/>
      <c r="BO161" s="351"/>
      <c r="BP161" s="320"/>
      <c r="BQ161" s="824"/>
      <c r="BR161" s="351"/>
      <c r="BS161" s="351"/>
      <c r="BT161" s="351"/>
      <c r="BU161" s="351"/>
      <c r="BV161" s="351"/>
      <c r="BW161" s="862" t="s">
        <v>11785</v>
      </c>
      <c r="BX161" s="320"/>
      <c r="BY161" s="351"/>
      <c r="BZ161" s="351"/>
      <c r="CA161" s="862" t="s">
        <v>9176</v>
      </c>
      <c r="CB161" s="320"/>
      <c r="CC161" s="320"/>
      <c r="CD161" s="320"/>
      <c r="CE161" s="320"/>
      <c r="CF161" s="824"/>
      <c r="CG161" s="351"/>
      <c r="CH161" s="351"/>
      <c r="CI161" s="351"/>
      <c r="CJ161" s="351"/>
      <c r="CK161" s="351"/>
      <c r="CL161" s="351"/>
      <c r="CM161" s="351"/>
      <c r="CN161" s="351"/>
      <c r="CO161" s="862" t="s">
        <v>4822</v>
      </c>
      <c r="CP161" s="758"/>
      <c r="CQ161" s="320"/>
      <c r="CR161" s="320"/>
      <c r="CS161" s="320"/>
      <c r="CT161" s="320"/>
      <c r="CU161" s="106"/>
      <c r="CV161" s="351"/>
      <c r="CW161" s="862" t="s">
        <v>4552</v>
      </c>
      <c r="CX161" s="862" t="s">
        <v>1101</v>
      </c>
      <c r="CY161" s="351"/>
      <c r="CZ161" s="351"/>
      <c r="DA161" s="351"/>
      <c r="DB161" s="862" t="s">
        <v>6395</v>
      </c>
      <c r="DC161" s="862" t="s">
        <v>11786</v>
      </c>
      <c r="DD161" s="320"/>
      <c r="DE161" s="320"/>
      <c r="DF161" s="320"/>
      <c r="DG161" s="320"/>
      <c r="DH161" s="320"/>
      <c r="DI161" s="351"/>
      <c r="DJ161" s="320"/>
      <c r="DK161" s="320"/>
      <c r="DL161" s="351"/>
      <c r="DM161" s="351"/>
      <c r="DN161" s="351"/>
      <c r="DO161" s="320"/>
      <c r="DP161" s="320"/>
      <c r="DQ161" s="320"/>
      <c r="DR161" s="351"/>
      <c r="DS161" s="862" t="s">
        <v>11787</v>
      </c>
      <c r="DT161" s="320"/>
      <c r="DU161" s="351"/>
      <c r="DV161" s="320"/>
      <c r="DW161" s="320"/>
      <c r="DX161" s="320"/>
      <c r="DY161" s="320"/>
      <c r="DZ161" s="320"/>
      <c r="EA161" s="351"/>
      <c r="EB161" s="320"/>
      <c r="EC161" s="320"/>
      <c r="ED161" s="862"/>
    </row>
    <row r="162">
      <c r="A162" s="540" t="s">
        <v>11788</v>
      </c>
      <c r="B162" s="378" t="s">
        <v>11789</v>
      </c>
      <c r="C162" s="379" t="s">
        <v>171</v>
      </c>
      <c r="D162" s="380" t="s">
        <v>271</v>
      </c>
      <c r="E162" s="381" t="s">
        <v>271</v>
      </c>
      <c r="F162" s="382" t="s">
        <v>203</v>
      </c>
      <c r="G162" s="378" t="s">
        <v>203</v>
      </c>
      <c r="H162" s="835"/>
      <c r="I162" s="835"/>
      <c r="J162" s="835"/>
      <c r="K162" s="835"/>
      <c r="L162" s="835"/>
      <c r="M162" s="835"/>
      <c r="N162" s="835"/>
      <c r="O162" s="835"/>
      <c r="P162" s="835"/>
      <c r="Q162" s="835"/>
      <c r="R162" s="835"/>
      <c r="S162" s="835"/>
      <c r="T162" s="835"/>
      <c r="U162" s="835"/>
      <c r="V162" s="835"/>
      <c r="W162" s="106"/>
      <c r="X162" s="837"/>
      <c r="Y162" s="837"/>
      <c r="Z162" s="837"/>
      <c r="AA162" s="1632" t="s">
        <v>10629</v>
      </c>
      <c r="AB162" s="837"/>
      <c r="AC162" s="837"/>
      <c r="AD162" s="837"/>
      <c r="AE162" s="837"/>
      <c r="AF162" s="837"/>
      <c r="AG162" s="837"/>
      <c r="AH162" s="837"/>
      <c r="AI162" s="837"/>
      <c r="AJ162" s="837"/>
      <c r="AK162" s="837"/>
      <c r="AL162" s="105"/>
      <c r="AM162" s="839"/>
      <c r="AN162" s="839"/>
      <c r="AO162" s="839"/>
      <c r="AP162" s="839"/>
      <c r="AQ162" s="839"/>
      <c r="AR162" s="839"/>
      <c r="AS162" s="839"/>
      <c r="AT162" s="839"/>
      <c r="AU162" s="839"/>
      <c r="AV162" s="407" t="s">
        <v>8790</v>
      </c>
      <c r="AW162" s="839"/>
      <c r="AX162" s="839"/>
      <c r="AY162" s="839"/>
      <c r="AZ162" s="839"/>
      <c r="BA162" s="839"/>
      <c r="BB162" s="580"/>
      <c r="BC162" s="580"/>
      <c r="BD162" s="580"/>
      <c r="BE162" s="580"/>
      <c r="BF162" s="580"/>
      <c r="BG162" s="580"/>
      <c r="BH162" s="580"/>
      <c r="BI162" s="580"/>
      <c r="BJ162" s="580"/>
      <c r="BK162" s="580"/>
      <c r="BL162" s="580"/>
      <c r="BM162" s="580"/>
      <c r="BN162" s="580"/>
      <c r="BO162" s="580"/>
      <c r="BP162" s="580"/>
      <c r="BQ162" s="845"/>
      <c r="BR162" s="849"/>
      <c r="BS162" s="849"/>
      <c r="BT162" s="849"/>
      <c r="BU162" s="849"/>
      <c r="BV162" s="849"/>
      <c r="BW162" s="849"/>
      <c r="BX162" s="849"/>
      <c r="BY162" s="849"/>
      <c r="BZ162" s="849"/>
      <c r="CA162" s="849"/>
      <c r="CB162" s="849"/>
      <c r="CC162" s="849"/>
      <c r="CD162" s="849"/>
      <c r="CE162" s="849"/>
      <c r="CF162" s="851"/>
      <c r="CG162" s="852"/>
      <c r="CH162" s="852"/>
      <c r="CI162" s="852"/>
      <c r="CJ162" s="852"/>
      <c r="CK162" s="852"/>
      <c r="CL162" s="852"/>
      <c r="CM162" s="852"/>
      <c r="CN162" s="852"/>
      <c r="CO162" s="433" t="s">
        <v>10703</v>
      </c>
      <c r="CP162" s="852"/>
      <c r="CQ162" s="852"/>
      <c r="CR162" s="852"/>
      <c r="CS162" s="852"/>
      <c r="CT162" s="852"/>
      <c r="CU162" s="106"/>
      <c r="CV162" s="853"/>
      <c r="CW162" s="853"/>
      <c r="CX162" s="853"/>
      <c r="CY162" s="853"/>
      <c r="CZ162" s="853"/>
      <c r="DA162" s="458" t="s">
        <v>11266</v>
      </c>
      <c r="DB162" s="458" t="s">
        <v>2939</v>
      </c>
      <c r="DC162" s="853"/>
      <c r="DD162" s="853"/>
      <c r="DE162" s="853"/>
      <c r="DF162" s="853"/>
      <c r="DG162" s="853"/>
      <c r="DH162" s="853"/>
      <c r="DI162" s="855"/>
      <c r="DJ162" s="855"/>
      <c r="DK162" s="855"/>
      <c r="DL162" s="855"/>
      <c r="DM162" s="855"/>
      <c r="DN162" s="855"/>
      <c r="DO162" s="855"/>
      <c r="DP162" s="855"/>
      <c r="DQ162" s="855"/>
      <c r="DR162" s="855"/>
      <c r="DS162" s="855"/>
      <c r="DT162" s="855"/>
      <c r="DU162" s="855"/>
      <c r="DV162" s="855"/>
      <c r="DW162" s="855"/>
      <c r="DX162" s="855"/>
      <c r="DY162" s="855"/>
      <c r="DZ162" s="855"/>
      <c r="EA162" s="855"/>
      <c r="EB162" s="855"/>
      <c r="EC162" s="855"/>
      <c r="ED162" s="1912"/>
    </row>
    <row r="163">
      <c r="A163" s="1908" t="s">
        <v>3074</v>
      </c>
      <c r="B163" s="245" t="s">
        <v>11790</v>
      </c>
      <c r="C163" s="246" t="s">
        <v>271</v>
      </c>
      <c r="D163" s="247" t="s">
        <v>271</v>
      </c>
      <c r="E163" s="248" t="s">
        <v>271</v>
      </c>
      <c r="F163" s="249" t="s">
        <v>271</v>
      </c>
      <c r="G163" s="245" t="s">
        <v>1398</v>
      </c>
      <c r="H163" s="320"/>
      <c r="I163" s="320"/>
      <c r="J163" s="511" t="s">
        <v>11708</v>
      </c>
      <c r="K163" s="320"/>
      <c r="L163" s="286" t="s">
        <v>11791</v>
      </c>
      <c r="M163" s="320"/>
      <c r="N163" s="286" t="s">
        <v>11081</v>
      </c>
      <c r="O163" s="320"/>
      <c r="P163" s="320"/>
      <c r="Q163" s="320"/>
      <c r="R163" s="320"/>
      <c r="S163" s="320"/>
      <c r="T163" s="320"/>
      <c r="U163" s="320"/>
      <c r="V163" s="320"/>
      <c r="W163" s="106"/>
      <c r="X163" s="286" t="s">
        <v>11792</v>
      </c>
      <c r="Y163" s="286" t="s">
        <v>11793</v>
      </c>
      <c r="Z163" s="286" t="s">
        <v>7155</v>
      </c>
      <c r="AA163" s="286" t="s">
        <v>11028</v>
      </c>
      <c r="AB163" s="286" t="s">
        <v>8410</v>
      </c>
      <c r="AC163" s="286" t="s">
        <v>424</v>
      </c>
      <c r="AD163" s="286" t="s">
        <v>10905</v>
      </c>
      <c r="AE163" s="320"/>
      <c r="AF163" s="320"/>
      <c r="AG163" s="320"/>
      <c r="AH163" s="320"/>
      <c r="AI163" s="320"/>
      <c r="AJ163" s="286" t="s">
        <v>4897</v>
      </c>
      <c r="AK163" s="320"/>
      <c r="AL163" s="105"/>
      <c r="AM163" s="320"/>
      <c r="AN163" s="286" t="s">
        <v>11794</v>
      </c>
      <c r="AO163" s="320"/>
      <c r="AP163" s="320"/>
      <c r="AQ163" s="320"/>
      <c r="AR163" s="320"/>
      <c r="AS163" s="320"/>
      <c r="AT163" s="320"/>
      <c r="AU163" s="320"/>
      <c r="AV163" s="320"/>
      <c r="AW163" s="320"/>
      <c r="AX163" s="320"/>
      <c r="AY163" s="286" t="s">
        <v>8226</v>
      </c>
      <c r="AZ163" s="286"/>
      <c r="BA163" s="320"/>
      <c r="BB163" s="320"/>
      <c r="BC163" s="320"/>
      <c r="BD163" s="320"/>
      <c r="BE163" s="320"/>
      <c r="BF163" s="320"/>
      <c r="BG163" s="320"/>
      <c r="BH163" s="320"/>
      <c r="BI163" s="286" t="s">
        <v>6596</v>
      </c>
      <c r="BJ163" s="320"/>
      <c r="BK163" s="286" t="s">
        <v>11795</v>
      </c>
      <c r="BL163" s="320"/>
      <c r="BM163" s="320"/>
      <c r="BN163" s="286" t="s">
        <v>446</v>
      </c>
      <c r="BO163" s="286" t="s">
        <v>5019</v>
      </c>
      <c r="BP163" s="320"/>
      <c r="BQ163" s="824"/>
      <c r="BR163" s="320"/>
      <c r="BS163" s="320"/>
      <c r="BT163" s="286" t="s">
        <v>4437</v>
      </c>
      <c r="BU163" s="320"/>
      <c r="BV163" s="320"/>
      <c r="BW163" s="286" t="s">
        <v>9214</v>
      </c>
      <c r="BX163" s="320"/>
      <c r="BY163" s="320"/>
      <c r="BZ163" s="320"/>
      <c r="CA163" s="320"/>
      <c r="CB163" s="320"/>
      <c r="CC163" s="320"/>
      <c r="CD163" s="320"/>
      <c r="CE163" s="320"/>
      <c r="CF163" s="824"/>
      <c r="CG163" s="286" t="s">
        <v>11796</v>
      </c>
      <c r="CH163" s="286" t="s">
        <v>9257</v>
      </c>
      <c r="CI163" s="320"/>
      <c r="CJ163" s="320"/>
      <c r="CK163" s="320"/>
      <c r="CL163" s="320"/>
      <c r="CM163" s="320"/>
      <c r="CN163" s="320"/>
      <c r="CO163" s="320"/>
      <c r="CP163" s="320"/>
      <c r="CQ163" s="320"/>
      <c r="CR163" s="320"/>
      <c r="CS163" s="320"/>
      <c r="CT163" s="320"/>
      <c r="CU163" s="106"/>
      <c r="CV163" s="320"/>
      <c r="CW163" s="320"/>
      <c r="CX163" s="320"/>
      <c r="CY163" s="320"/>
      <c r="CZ163" s="320"/>
      <c r="DA163" s="320"/>
      <c r="DB163" s="320"/>
      <c r="DC163" s="286" t="s">
        <v>1808</v>
      </c>
      <c r="DD163" s="320"/>
      <c r="DE163" s="320"/>
      <c r="DF163" s="286" t="s">
        <v>2220</v>
      </c>
      <c r="DG163" s="286" t="s">
        <v>11701</v>
      </c>
      <c r="DH163" s="320"/>
      <c r="DI163" s="320"/>
      <c r="DJ163" s="320"/>
      <c r="DK163" s="320"/>
      <c r="DL163" s="320"/>
      <c r="DM163" s="320"/>
      <c r="DN163" s="320"/>
      <c r="DO163" s="320"/>
      <c r="DP163" s="320"/>
      <c r="DQ163" s="320"/>
      <c r="DR163" s="320"/>
      <c r="DS163" s="320"/>
      <c r="DT163" s="320"/>
      <c r="DU163" s="320"/>
      <c r="DV163" s="320"/>
      <c r="DW163" s="320"/>
      <c r="DX163" s="320"/>
      <c r="DY163" s="320"/>
      <c r="DZ163" s="320"/>
      <c r="EA163" s="286" t="s">
        <v>11743</v>
      </c>
      <c r="EB163" s="320"/>
      <c r="EC163" s="320"/>
      <c r="ED163" s="1629"/>
    </row>
    <row r="164">
      <c r="A164" s="540" t="s">
        <v>11797</v>
      </c>
      <c r="B164" s="378" t="s">
        <v>11798</v>
      </c>
      <c r="C164" s="379" t="s">
        <v>271</v>
      </c>
      <c r="D164" s="380" t="s">
        <v>271</v>
      </c>
      <c r="E164" s="381" t="s">
        <v>271</v>
      </c>
      <c r="F164" s="382" t="s">
        <v>171</v>
      </c>
      <c r="G164" s="378" t="s">
        <v>1911</v>
      </c>
      <c r="H164" s="541" t="s">
        <v>2066</v>
      </c>
      <c r="I164" s="835"/>
      <c r="J164" s="541" t="s">
        <v>11138</v>
      </c>
      <c r="K164" s="541" t="s">
        <v>679</v>
      </c>
      <c r="L164" s="541" t="s">
        <v>4161</v>
      </c>
      <c r="M164" s="835"/>
      <c r="N164" s="835"/>
      <c r="O164" s="541" t="s">
        <v>7209</v>
      </c>
      <c r="P164" s="835"/>
      <c r="Q164" s="835"/>
      <c r="R164" s="835"/>
      <c r="S164" s="835"/>
      <c r="T164" s="835"/>
      <c r="U164" s="835"/>
      <c r="V164" s="835"/>
      <c r="W164" s="106"/>
      <c r="X164" s="670" t="s">
        <v>11799</v>
      </c>
      <c r="Y164" s="670"/>
      <c r="Z164" s="670" t="s">
        <v>2209</v>
      </c>
      <c r="AA164" s="670" t="s">
        <v>11800</v>
      </c>
      <c r="AB164" s="837"/>
      <c r="AC164" s="670" t="s">
        <v>4709</v>
      </c>
      <c r="AD164" s="670" t="s">
        <v>11135</v>
      </c>
      <c r="AE164" s="837"/>
      <c r="AF164" s="670" t="s">
        <v>1080</v>
      </c>
      <c r="AG164" s="670" t="s">
        <v>2393</v>
      </c>
      <c r="AH164" s="837"/>
      <c r="AI164" s="837"/>
      <c r="AJ164" s="837"/>
      <c r="AK164" s="837"/>
      <c r="AL164" s="105"/>
      <c r="AM164" s="839"/>
      <c r="AN164" s="839"/>
      <c r="AO164" s="839"/>
      <c r="AP164" s="839"/>
      <c r="AQ164" s="839"/>
      <c r="AR164" s="839"/>
      <c r="AS164" s="839"/>
      <c r="AT164" s="839"/>
      <c r="AU164" s="570" t="s">
        <v>4660</v>
      </c>
      <c r="AV164" s="839"/>
      <c r="AW164" s="839"/>
      <c r="AX164" s="839"/>
      <c r="AY164" s="839"/>
      <c r="AZ164" s="839"/>
      <c r="BA164" s="839"/>
      <c r="BB164" s="581" t="s">
        <v>8820</v>
      </c>
      <c r="BC164" s="580"/>
      <c r="BD164" s="417" t="s">
        <v>4755</v>
      </c>
      <c r="BE164" s="580"/>
      <c r="BF164" s="580"/>
      <c r="BG164" s="580"/>
      <c r="BH164" s="580"/>
      <c r="BI164" s="581" t="s">
        <v>5514</v>
      </c>
      <c r="BJ164" s="580"/>
      <c r="BK164" s="580"/>
      <c r="BL164" s="580"/>
      <c r="BM164" s="580"/>
      <c r="BN164" s="580"/>
      <c r="BO164" s="580"/>
      <c r="BP164" s="580"/>
      <c r="BQ164" s="845"/>
      <c r="BR164" s="849"/>
      <c r="BS164" s="849"/>
      <c r="BT164" s="849"/>
      <c r="BU164" s="849"/>
      <c r="BV164" s="849"/>
      <c r="BW164" s="849"/>
      <c r="BX164" s="849"/>
      <c r="BY164" s="849"/>
      <c r="BZ164" s="849"/>
      <c r="CA164" s="849"/>
      <c r="CB164" s="849"/>
      <c r="CC164" s="849"/>
      <c r="CD164" s="849"/>
      <c r="CE164" s="849"/>
      <c r="CF164" s="851"/>
      <c r="CG164" s="593" t="s">
        <v>11801</v>
      </c>
      <c r="CH164" s="852"/>
      <c r="CI164" s="852"/>
      <c r="CJ164" s="852"/>
      <c r="CK164" s="852"/>
      <c r="CL164" s="852"/>
      <c r="CM164" s="852"/>
      <c r="CN164" s="852"/>
      <c r="CO164" s="852"/>
      <c r="CP164" s="852"/>
      <c r="CQ164" s="852"/>
      <c r="CR164" s="852"/>
      <c r="CS164" s="852"/>
      <c r="CT164" s="852"/>
      <c r="CU164" s="106"/>
      <c r="CV164" s="683" t="s">
        <v>11384</v>
      </c>
      <c r="CW164" s="683" t="s">
        <v>10318</v>
      </c>
      <c r="CX164" s="853"/>
      <c r="CY164" s="853"/>
      <c r="CZ164" s="853"/>
      <c r="DA164" s="853"/>
      <c r="DB164" s="853"/>
      <c r="DC164" s="853"/>
      <c r="DD164" s="853"/>
      <c r="DE164" s="853"/>
      <c r="DF164" s="853"/>
      <c r="DG164" s="853"/>
      <c r="DH164" s="853"/>
      <c r="DI164" s="855"/>
      <c r="DJ164" s="855"/>
      <c r="DK164" s="855"/>
      <c r="DL164" s="855"/>
      <c r="DM164" s="685" t="s">
        <v>2257</v>
      </c>
      <c r="DN164" s="855"/>
      <c r="DO164" s="855"/>
      <c r="DP164" s="855"/>
      <c r="DQ164" s="855"/>
      <c r="DR164" s="855"/>
      <c r="DS164" s="855"/>
      <c r="DT164" s="855"/>
      <c r="DU164" s="855"/>
      <c r="DV164" s="855"/>
      <c r="DW164" s="855"/>
      <c r="DX164" s="855"/>
      <c r="DY164" s="855"/>
      <c r="DZ164" s="855"/>
      <c r="EA164" s="855"/>
      <c r="EB164" s="855"/>
      <c r="EC164" s="855"/>
      <c r="ED164" s="1912"/>
    </row>
    <row r="165">
      <c r="A165" s="1961" t="s">
        <v>745</v>
      </c>
      <c r="B165" s="245" t="s">
        <v>11802</v>
      </c>
      <c r="C165" s="246" t="s">
        <v>271</v>
      </c>
      <c r="D165" s="247" t="s">
        <v>271</v>
      </c>
      <c r="E165" s="248" t="s">
        <v>271</v>
      </c>
      <c r="F165" s="249" t="s">
        <v>567</v>
      </c>
      <c r="G165" s="245" t="s">
        <v>567</v>
      </c>
      <c r="H165" s="351"/>
      <c r="I165" s="288"/>
      <c r="J165" s="351"/>
      <c r="K165" s="257" t="s">
        <v>10934</v>
      </c>
      <c r="L165" s="257" t="s">
        <v>10735</v>
      </c>
      <c r="M165" s="351"/>
      <c r="N165" s="351"/>
      <c r="O165" s="351"/>
      <c r="P165" s="351"/>
      <c r="Q165" s="320"/>
      <c r="R165" s="320"/>
      <c r="S165" s="257" t="s">
        <v>10679</v>
      </c>
      <c r="T165" s="320"/>
      <c r="U165" s="278"/>
      <c r="V165" s="320"/>
      <c r="W165" s="106"/>
      <c r="X165" s="351"/>
      <c r="Y165" s="351"/>
      <c r="Z165" s="257" t="s">
        <v>11328</v>
      </c>
      <c r="AA165" s="351"/>
      <c r="AB165" s="881"/>
      <c r="AC165" s="257" t="s">
        <v>4578</v>
      </c>
      <c r="AD165" s="351"/>
      <c r="AE165" s="257" t="s">
        <v>11803</v>
      </c>
      <c r="AF165" s="257" t="s">
        <v>3120</v>
      </c>
      <c r="AG165" s="351"/>
      <c r="AH165" s="320"/>
      <c r="AI165" s="320"/>
      <c r="AJ165" s="257" t="s">
        <v>11597</v>
      </c>
      <c r="AK165" s="320"/>
      <c r="AL165" s="105"/>
      <c r="AM165" s="257" t="s">
        <v>9724</v>
      </c>
      <c r="AN165" s="257" t="s">
        <v>2176</v>
      </c>
      <c r="AO165" s="320"/>
      <c r="AP165" s="320"/>
      <c r="AQ165" s="286"/>
      <c r="AR165" s="286"/>
      <c r="AS165" s="320"/>
      <c r="AT165" s="320"/>
      <c r="AU165" s="351"/>
      <c r="AV165" s="257" t="s">
        <v>9586</v>
      </c>
      <c r="AW165" s="351"/>
      <c r="AX165" s="320"/>
      <c r="AY165" s="320"/>
      <c r="AZ165" s="320"/>
      <c r="BA165" s="320"/>
      <c r="BB165" s="351"/>
      <c r="BC165" s="351"/>
      <c r="BD165" s="351"/>
      <c r="BE165" s="351"/>
      <c r="BF165" s="351"/>
      <c r="BG165" s="351"/>
      <c r="BH165" s="320"/>
      <c r="BI165" s="351"/>
      <c r="BJ165" s="320"/>
      <c r="BK165" s="351"/>
      <c r="BL165" s="351"/>
      <c r="BM165" s="320"/>
      <c r="BN165" s="320"/>
      <c r="BO165" s="351"/>
      <c r="BP165" s="320"/>
      <c r="BQ165" s="824"/>
      <c r="BR165" s="351"/>
      <c r="BS165" s="351"/>
      <c r="BT165" s="351"/>
      <c r="BU165" s="351"/>
      <c r="BV165" s="351"/>
      <c r="BW165" s="351"/>
      <c r="BX165" s="320"/>
      <c r="BY165" s="351"/>
      <c r="BZ165" s="351"/>
      <c r="CA165" s="351"/>
      <c r="CB165" s="320"/>
      <c r="CC165" s="320"/>
      <c r="CD165" s="320"/>
      <c r="CE165" s="320"/>
      <c r="CF165" s="824"/>
      <c r="CG165" s="351"/>
      <c r="CH165" s="351"/>
      <c r="CI165" s="351"/>
      <c r="CJ165" s="351"/>
      <c r="CK165" s="351"/>
      <c r="CL165" s="351"/>
      <c r="CM165" s="351"/>
      <c r="CN165" s="351"/>
      <c r="CO165" s="351"/>
      <c r="CP165" s="758"/>
      <c r="CQ165" s="320"/>
      <c r="CR165" s="320"/>
      <c r="CS165" s="320"/>
      <c r="CT165" s="320"/>
      <c r="CU165" s="106"/>
      <c r="CV165" s="351"/>
      <c r="CW165" s="257" t="s">
        <v>780</v>
      </c>
      <c r="CX165" s="351"/>
      <c r="CY165" s="351"/>
      <c r="CZ165" s="351"/>
      <c r="DA165" s="351"/>
      <c r="DB165" s="257" t="s">
        <v>11804</v>
      </c>
      <c r="DC165" s="351"/>
      <c r="DD165" s="320"/>
      <c r="DE165" s="320"/>
      <c r="DF165" s="320"/>
      <c r="DG165" s="320"/>
      <c r="DH165" s="320"/>
      <c r="DI165" s="257" t="s">
        <v>9879</v>
      </c>
      <c r="DJ165" s="320"/>
      <c r="DK165" s="320"/>
      <c r="DL165" s="351"/>
      <c r="DM165" s="351"/>
      <c r="DN165" s="351"/>
      <c r="DO165" s="320"/>
      <c r="DP165" s="320"/>
      <c r="DQ165" s="320"/>
      <c r="DR165" s="351"/>
      <c r="DS165" s="351"/>
      <c r="DT165" s="320"/>
      <c r="DU165" s="351"/>
      <c r="DV165" s="320"/>
      <c r="DW165" s="320"/>
      <c r="DX165" s="320"/>
      <c r="DY165" s="320"/>
      <c r="DZ165" s="320"/>
      <c r="EA165" s="351"/>
      <c r="EB165" s="320"/>
      <c r="EC165" s="320"/>
      <c r="ED165" s="862"/>
    </row>
    <row r="166">
      <c r="A166" s="540" t="s">
        <v>11805</v>
      </c>
      <c r="B166" s="378" t="s">
        <v>11806</v>
      </c>
      <c r="C166" s="379" t="s">
        <v>271</v>
      </c>
      <c r="D166" s="380" t="s">
        <v>271</v>
      </c>
      <c r="E166" s="381" t="s">
        <v>271</v>
      </c>
      <c r="F166" s="382" t="s">
        <v>271</v>
      </c>
      <c r="G166" s="378" t="s">
        <v>205</v>
      </c>
      <c r="H166" s="775" t="s">
        <v>4689</v>
      </c>
      <c r="I166" s="775" t="s">
        <v>7337</v>
      </c>
      <c r="J166" s="775" t="s">
        <v>10659</v>
      </c>
      <c r="K166" s="541" t="s">
        <v>727</v>
      </c>
      <c r="L166" s="541" t="s">
        <v>1416</v>
      </c>
      <c r="M166" s="541"/>
      <c r="N166" s="835"/>
      <c r="O166" s="835"/>
      <c r="P166" s="775" t="s">
        <v>1462</v>
      </c>
      <c r="Q166" s="835"/>
      <c r="R166" s="835"/>
      <c r="S166" s="835"/>
      <c r="T166" s="835"/>
      <c r="U166" s="835"/>
      <c r="V166" s="835"/>
      <c r="W166" s="106"/>
      <c r="X166" s="837"/>
      <c r="Y166" s="670"/>
      <c r="Z166" s="670" t="s">
        <v>1105</v>
      </c>
      <c r="AA166" s="670" t="s">
        <v>10763</v>
      </c>
      <c r="AB166" s="837"/>
      <c r="AC166" s="837"/>
      <c r="AD166" s="837"/>
      <c r="AE166" s="837"/>
      <c r="AF166" s="837"/>
      <c r="AG166" s="837"/>
      <c r="AH166" s="837"/>
      <c r="AI166" s="837"/>
      <c r="AJ166" s="837"/>
      <c r="AK166" s="837"/>
      <c r="AL166" s="105"/>
      <c r="AM166" s="839"/>
      <c r="AN166" s="839"/>
      <c r="AO166" s="839"/>
      <c r="AP166" s="839"/>
      <c r="AQ166" s="839"/>
      <c r="AR166" s="839"/>
      <c r="AS166" s="839"/>
      <c r="AT166" s="839"/>
      <c r="AU166" s="839"/>
      <c r="AV166" s="839"/>
      <c r="AW166" s="839"/>
      <c r="AX166" s="839"/>
      <c r="AY166" s="839"/>
      <c r="AZ166" s="839"/>
      <c r="BA166" s="839"/>
      <c r="BB166" s="580"/>
      <c r="BC166" s="580"/>
      <c r="BD166" s="580"/>
      <c r="BE166" s="580"/>
      <c r="BF166" s="580"/>
      <c r="BG166" s="580"/>
      <c r="BH166" s="580"/>
      <c r="BI166" s="580"/>
      <c r="BJ166" s="580"/>
      <c r="BK166" s="580"/>
      <c r="BL166" s="580"/>
      <c r="BM166" s="580"/>
      <c r="BN166" s="580"/>
      <c r="BO166" s="580"/>
      <c r="BP166" s="580"/>
      <c r="BQ166" s="845"/>
      <c r="BR166" s="849"/>
      <c r="BS166" s="849"/>
      <c r="BT166" s="849"/>
      <c r="BU166" s="849"/>
      <c r="BV166" s="849"/>
      <c r="BW166" s="849"/>
      <c r="BX166" s="849"/>
      <c r="BY166" s="849"/>
      <c r="BZ166" s="849"/>
      <c r="CA166" s="849"/>
      <c r="CB166" s="849"/>
      <c r="CC166" s="849"/>
      <c r="CD166" s="849"/>
      <c r="CE166" s="849"/>
      <c r="CF166" s="851"/>
      <c r="CG166" s="852"/>
      <c r="CH166" s="852"/>
      <c r="CI166" s="852"/>
      <c r="CJ166" s="852"/>
      <c r="CK166" s="852"/>
      <c r="CL166" s="852"/>
      <c r="CM166" s="852"/>
      <c r="CN166" s="852"/>
      <c r="CO166" s="852"/>
      <c r="CP166" s="852"/>
      <c r="CQ166" s="852"/>
      <c r="CR166" s="852"/>
      <c r="CS166" s="852"/>
      <c r="CT166" s="852"/>
      <c r="CU166" s="106"/>
      <c r="CV166" s="853"/>
      <c r="CW166" s="853"/>
      <c r="CX166" s="853"/>
      <c r="CY166" s="853"/>
      <c r="CZ166" s="853"/>
      <c r="DA166" s="853"/>
      <c r="DB166" s="853"/>
      <c r="DC166" s="853"/>
      <c r="DD166" s="853"/>
      <c r="DE166" s="853"/>
      <c r="DF166" s="853"/>
      <c r="DG166" s="853"/>
      <c r="DH166" s="853"/>
      <c r="DI166" s="855"/>
      <c r="DJ166" s="855"/>
      <c r="DK166" s="855"/>
      <c r="DL166" s="855"/>
      <c r="DM166" s="855"/>
      <c r="DN166" s="855"/>
      <c r="DO166" s="855"/>
      <c r="DP166" s="855"/>
      <c r="DQ166" s="855"/>
      <c r="DR166" s="855"/>
      <c r="DS166" s="855"/>
      <c r="DT166" s="855"/>
      <c r="DU166" s="855"/>
      <c r="DV166" s="855"/>
      <c r="DW166" s="855"/>
      <c r="DX166" s="855"/>
      <c r="DY166" s="855"/>
      <c r="DZ166" s="855"/>
      <c r="EA166" s="855"/>
      <c r="EB166" s="855"/>
      <c r="EC166" s="855"/>
      <c r="ED166" s="1039"/>
    </row>
    <row r="167">
      <c r="A167" s="1973" t="s">
        <v>3632</v>
      </c>
      <c r="B167" s="245" t="s">
        <v>11807</v>
      </c>
      <c r="C167" s="246" t="s">
        <v>271</v>
      </c>
      <c r="D167" s="247" t="s">
        <v>271</v>
      </c>
      <c r="E167" s="248" t="s">
        <v>271</v>
      </c>
      <c r="F167" s="249" t="s">
        <v>271</v>
      </c>
      <c r="G167" s="245" t="s">
        <v>1911</v>
      </c>
      <c r="H167" s="286" t="s">
        <v>3863</v>
      </c>
      <c r="I167" s="286" t="s">
        <v>8857</v>
      </c>
      <c r="J167" s="320"/>
      <c r="K167" s="286" t="s">
        <v>9497</v>
      </c>
      <c r="L167" s="320"/>
      <c r="M167" s="320"/>
      <c r="N167" s="320"/>
      <c r="O167" s="286" t="s">
        <v>1771</v>
      </c>
      <c r="P167" s="286" t="s">
        <v>2179</v>
      </c>
      <c r="Q167" s="320"/>
      <c r="R167" s="320"/>
      <c r="S167" s="320"/>
      <c r="T167" s="320"/>
      <c r="U167" s="320"/>
      <c r="V167" s="320"/>
      <c r="W167" s="106"/>
      <c r="X167" s="286" t="s">
        <v>9999</v>
      </c>
      <c r="Y167" s="320"/>
      <c r="Z167" s="320"/>
      <c r="AA167" s="286" t="s">
        <v>10713</v>
      </c>
      <c r="AB167" s="320"/>
      <c r="AC167" s="286" t="s">
        <v>4578</v>
      </c>
      <c r="AD167" s="320"/>
      <c r="AE167" s="320"/>
      <c r="AF167" s="286" t="s">
        <v>11808</v>
      </c>
      <c r="AG167" s="320"/>
      <c r="AH167" s="320"/>
      <c r="AI167" s="320"/>
      <c r="AJ167" s="320"/>
      <c r="AK167" s="286" t="s">
        <v>11809</v>
      </c>
      <c r="AL167" s="105"/>
      <c r="AM167" s="320"/>
      <c r="AN167" s="286" t="s">
        <v>342</v>
      </c>
      <c r="AO167" s="320"/>
      <c r="AP167" s="320"/>
      <c r="AQ167" s="320"/>
      <c r="AR167" s="320"/>
      <c r="AS167" s="320"/>
      <c r="AT167" s="320"/>
      <c r="AU167" s="320"/>
      <c r="AV167" s="320"/>
      <c r="AW167" s="320"/>
      <c r="AX167" s="320"/>
      <c r="AY167" s="320"/>
      <c r="AZ167" s="320"/>
      <c r="BA167" s="320"/>
      <c r="BB167" s="320"/>
      <c r="BC167" s="320"/>
      <c r="BD167" s="320"/>
      <c r="BE167" s="320"/>
      <c r="BF167" s="320"/>
      <c r="BG167" s="320"/>
      <c r="BH167" s="320"/>
      <c r="BI167" s="286" t="s">
        <v>8012</v>
      </c>
      <c r="BJ167" s="320"/>
      <c r="BK167" s="320"/>
      <c r="BL167" s="286" t="s">
        <v>11810</v>
      </c>
      <c r="BM167" s="320"/>
      <c r="BN167" s="320"/>
      <c r="BO167" s="320"/>
      <c r="BP167" s="320"/>
      <c r="BQ167" s="824"/>
      <c r="BR167" s="320"/>
      <c r="BS167" s="320"/>
      <c r="BT167" s="320"/>
      <c r="BU167" s="320"/>
      <c r="BV167" s="320"/>
      <c r="BW167" s="286" t="s">
        <v>9989</v>
      </c>
      <c r="BX167" s="320"/>
      <c r="BY167" s="320"/>
      <c r="BZ167" s="320"/>
      <c r="CA167" s="320"/>
      <c r="CB167" s="320"/>
      <c r="CC167" s="320"/>
      <c r="CD167" s="320"/>
      <c r="CE167" s="320"/>
      <c r="CF167" s="824"/>
      <c r="CG167" s="286" t="s">
        <v>11436</v>
      </c>
      <c r="CH167" s="320"/>
      <c r="CI167" s="320"/>
      <c r="CJ167" s="320"/>
      <c r="CK167" s="320"/>
      <c r="CL167" s="320"/>
      <c r="CM167" s="320"/>
      <c r="CN167" s="320"/>
      <c r="CO167" s="286" t="s">
        <v>6879</v>
      </c>
      <c r="CP167" s="320"/>
      <c r="CQ167" s="320"/>
      <c r="CR167" s="320"/>
      <c r="CS167" s="320"/>
      <c r="CT167" s="320"/>
      <c r="CU167" s="106"/>
      <c r="CV167" s="320"/>
      <c r="CW167" s="320"/>
      <c r="CX167" s="286" t="s">
        <v>991</v>
      </c>
      <c r="CY167" s="320"/>
      <c r="CZ167" s="320"/>
      <c r="DA167" s="320"/>
      <c r="DB167" s="320"/>
      <c r="DC167" s="286" t="s">
        <v>10001</v>
      </c>
      <c r="DD167" s="320"/>
      <c r="DE167" s="320"/>
      <c r="DF167" s="320"/>
      <c r="DG167" s="320"/>
      <c r="DH167" s="320"/>
      <c r="DI167" s="320"/>
      <c r="DJ167" s="320"/>
      <c r="DK167" s="320"/>
      <c r="DL167" s="320"/>
      <c r="DM167" s="320"/>
      <c r="DN167" s="320"/>
      <c r="DO167" s="320"/>
      <c r="DP167" s="320"/>
      <c r="DQ167" s="320"/>
      <c r="DR167" s="320"/>
      <c r="DS167" s="320"/>
      <c r="DT167" s="320"/>
      <c r="DU167" s="320"/>
      <c r="DV167" s="320"/>
      <c r="DW167" s="320"/>
      <c r="DX167" s="320"/>
      <c r="DY167" s="320"/>
      <c r="DZ167" s="320"/>
      <c r="EA167" s="286" t="s">
        <v>11811</v>
      </c>
      <c r="EB167" s="320"/>
      <c r="EC167" s="286" t="s">
        <v>1290</v>
      </c>
      <c r="ED167" s="862"/>
    </row>
    <row r="168">
      <c r="A168" s="1907" t="s">
        <v>11812</v>
      </c>
      <c r="B168" s="378" t="s">
        <v>11813</v>
      </c>
      <c r="C168" s="379" t="s">
        <v>271</v>
      </c>
      <c r="D168" s="380" t="s">
        <v>271</v>
      </c>
      <c r="E168" s="381" t="s">
        <v>271</v>
      </c>
      <c r="F168" s="382" t="s">
        <v>2251</v>
      </c>
      <c r="G168" s="378" t="s">
        <v>207</v>
      </c>
      <c r="H168" s="1700"/>
      <c r="I168" s="1788"/>
      <c r="J168" s="1700"/>
      <c r="K168" s="390" t="s">
        <v>4447</v>
      </c>
      <c r="L168" s="390" t="s">
        <v>11814</v>
      </c>
      <c r="M168" s="1700" t="s">
        <v>11815</v>
      </c>
      <c r="N168" s="1700"/>
      <c r="O168" s="1700"/>
      <c r="P168" s="1700" t="s">
        <v>1865</v>
      </c>
      <c r="Q168" s="835"/>
      <c r="R168" s="835"/>
      <c r="S168" s="835"/>
      <c r="T168" s="835"/>
      <c r="U168" s="835"/>
      <c r="V168" s="835"/>
      <c r="W168" s="106"/>
      <c r="X168" s="399" t="s">
        <v>11816</v>
      </c>
      <c r="Y168" s="402"/>
      <c r="Z168" s="402"/>
      <c r="AA168" s="399" t="s">
        <v>9378</v>
      </c>
      <c r="AB168" s="399" t="s">
        <v>11817</v>
      </c>
      <c r="AC168" s="399" t="s">
        <v>11818</v>
      </c>
      <c r="AD168" s="399" t="s">
        <v>1636</v>
      </c>
      <c r="AE168" s="837"/>
      <c r="AF168" s="402"/>
      <c r="AG168" s="399" t="s">
        <v>11819</v>
      </c>
      <c r="AH168" s="837"/>
      <c r="AI168" s="837"/>
      <c r="AJ168" s="402"/>
      <c r="AK168" s="837"/>
      <c r="AL168" s="105"/>
      <c r="AM168" s="413"/>
      <c r="AN168" s="413"/>
      <c r="AO168" s="839"/>
      <c r="AP168" s="839"/>
      <c r="AQ168" s="570"/>
      <c r="AR168" s="570"/>
      <c r="AS168" s="839"/>
      <c r="AT168" s="839"/>
      <c r="AU168" s="407" t="s">
        <v>10204</v>
      </c>
      <c r="AV168" s="407" t="s">
        <v>11820</v>
      </c>
      <c r="AW168" s="413"/>
      <c r="AX168" s="839"/>
      <c r="AY168" s="839"/>
      <c r="AZ168" s="839"/>
      <c r="BA168" s="839"/>
      <c r="BB168" s="1633" t="s">
        <v>7866</v>
      </c>
      <c r="BC168" s="417" t="s">
        <v>11821</v>
      </c>
      <c r="BD168" s="1633" t="s">
        <v>9843</v>
      </c>
      <c r="BE168" s="417" t="s">
        <v>3997</v>
      </c>
      <c r="BF168" s="417" t="s">
        <v>11822</v>
      </c>
      <c r="BG168" s="417" t="s">
        <v>10129</v>
      </c>
      <c r="BH168" s="581" t="s">
        <v>6151</v>
      </c>
      <c r="BI168" s="1633" t="s">
        <v>4116</v>
      </c>
      <c r="BJ168" s="580"/>
      <c r="BK168" s="1633"/>
      <c r="BL168" s="1633"/>
      <c r="BM168" s="580"/>
      <c r="BN168" s="580"/>
      <c r="BO168" s="1633"/>
      <c r="BP168" s="580"/>
      <c r="BQ168" s="845"/>
      <c r="BR168" s="422" t="s">
        <v>5389</v>
      </c>
      <c r="BS168" s="424"/>
      <c r="BT168" s="422" t="s">
        <v>11823</v>
      </c>
      <c r="BU168" s="422" t="s">
        <v>11530</v>
      </c>
      <c r="BV168" s="424"/>
      <c r="BW168" s="424"/>
      <c r="BX168" s="849"/>
      <c r="BY168" s="422" t="s">
        <v>11824</v>
      </c>
      <c r="BZ168" s="424"/>
      <c r="CA168" s="422" t="s">
        <v>4628</v>
      </c>
      <c r="CB168" s="849"/>
      <c r="CC168" s="849"/>
      <c r="CD168" s="589"/>
      <c r="CE168" s="849"/>
      <c r="CF168" s="851"/>
      <c r="CG168" s="433" t="s">
        <v>5345</v>
      </c>
      <c r="CH168" s="433" t="s">
        <v>7713</v>
      </c>
      <c r="CI168" s="433" t="s">
        <v>11279</v>
      </c>
      <c r="CJ168" s="434"/>
      <c r="CK168" s="434"/>
      <c r="CL168" s="434"/>
      <c r="CM168" s="433" t="s">
        <v>11825</v>
      </c>
      <c r="CN168" s="433" t="s">
        <v>9292</v>
      </c>
      <c r="CO168" s="433" t="s">
        <v>11826</v>
      </c>
      <c r="CP168" s="1789"/>
      <c r="CQ168" s="852"/>
      <c r="CR168" s="852"/>
      <c r="CS168" s="852"/>
      <c r="CT168" s="852"/>
      <c r="CU168" s="106"/>
      <c r="CV168" s="458" t="s">
        <v>5621</v>
      </c>
      <c r="CW168" s="467"/>
      <c r="CX168" s="458" t="s">
        <v>3846</v>
      </c>
      <c r="CY168" s="458" t="s">
        <v>2887</v>
      </c>
      <c r="CZ168" s="467"/>
      <c r="DA168" s="467"/>
      <c r="DB168" s="458" t="s">
        <v>11827</v>
      </c>
      <c r="DC168" s="458" t="s">
        <v>4782</v>
      </c>
      <c r="DD168" s="853"/>
      <c r="DE168" s="853"/>
      <c r="DF168" s="853"/>
      <c r="DG168" s="853"/>
      <c r="DH168" s="853"/>
      <c r="DI168" s="686"/>
      <c r="DJ168" s="855"/>
      <c r="DK168" s="855"/>
      <c r="DL168" s="686"/>
      <c r="DM168" s="686"/>
      <c r="DN168" s="686"/>
      <c r="DO168" s="855"/>
      <c r="DP168" s="855"/>
      <c r="DQ168" s="855"/>
      <c r="DR168" s="686" t="s">
        <v>11828</v>
      </c>
      <c r="DS168" s="481" t="s">
        <v>11829</v>
      </c>
      <c r="DT168" s="855"/>
      <c r="DU168" s="686"/>
      <c r="DV168" s="855"/>
      <c r="DW168" s="855"/>
      <c r="DX168" s="855"/>
      <c r="DY168" s="855"/>
      <c r="DZ168" s="855"/>
      <c r="EA168" s="686"/>
      <c r="EB168" s="855"/>
      <c r="EC168" s="855"/>
      <c r="ED168" s="1039"/>
    </row>
    <row r="169">
      <c r="A169" s="1628" t="s">
        <v>11830</v>
      </c>
      <c r="B169" s="245" t="s">
        <v>11831</v>
      </c>
      <c r="C169" s="246" t="s">
        <v>271</v>
      </c>
      <c r="D169" s="247" t="s">
        <v>271</v>
      </c>
      <c r="E169" s="248" t="s">
        <v>271</v>
      </c>
      <c r="F169" s="249" t="s">
        <v>203</v>
      </c>
      <c r="G169" s="245" t="s">
        <v>565</v>
      </c>
      <c r="H169" s="1974" t="s">
        <v>5625</v>
      </c>
      <c r="I169" s="320" t="s">
        <v>11832</v>
      </c>
      <c r="J169" s="320" t="s">
        <v>1104</v>
      </c>
      <c r="K169" s="320" t="s">
        <v>2326</v>
      </c>
      <c r="L169" s="320" t="s">
        <v>9617</v>
      </c>
      <c r="M169" s="320" t="s">
        <v>11833</v>
      </c>
      <c r="N169" s="320"/>
      <c r="O169" s="320"/>
      <c r="P169" s="320" t="s">
        <v>8919</v>
      </c>
      <c r="Q169" s="320"/>
      <c r="R169" s="320"/>
      <c r="S169" s="320"/>
      <c r="T169" s="320"/>
      <c r="U169" s="320"/>
      <c r="V169" s="320"/>
      <c r="W169" s="106"/>
      <c r="X169" s="288"/>
      <c r="Y169" s="320"/>
      <c r="Z169" s="320"/>
      <c r="AA169" s="320" t="s">
        <v>5547</v>
      </c>
      <c r="AB169" s="320"/>
      <c r="AC169" s="1483" t="s">
        <v>4160</v>
      </c>
      <c r="AD169" s="288"/>
      <c r="AE169" s="320"/>
      <c r="AF169" s="288"/>
      <c r="AG169" s="320"/>
      <c r="AH169" s="351"/>
      <c r="AI169" s="320"/>
      <c r="AJ169" s="320"/>
      <c r="AK169" s="320"/>
      <c r="AL169" s="105"/>
      <c r="AM169" s="278"/>
      <c r="AN169" s="278"/>
      <c r="AO169" s="320"/>
      <c r="AP169" s="278"/>
      <c r="AQ169" s="320"/>
      <c r="AR169" s="1975"/>
      <c r="AS169" s="320"/>
      <c r="AT169" s="278"/>
      <c r="AU169" s="320"/>
      <c r="AV169" s="320"/>
      <c r="AW169" s="320"/>
      <c r="AX169" s="320"/>
      <c r="AY169" s="320"/>
      <c r="AZ169" s="320"/>
      <c r="BA169" s="320"/>
      <c r="BB169" s="320"/>
      <c r="BC169" s="278"/>
      <c r="BD169" s="320"/>
      <c r="BE169" s="320"/>
      <c r="BF169" s="320" t="s">
        <v>1259</v>
      </c>
      <c r="BG169" s="320"/>
      <c r="BH169" s="320"/>
      <c r="BI169" s="1483" t="s">
        <v>2722</v>
      </c>
      <c r="BJ169" s="320"/>
      <c r="BK169" s="320"/>
      <c r="BL169" s="320"/>
      <c r="BM169" s="320"/>
      <c r="BN169" s="320"/>
      <c r="BO169" s="320"/>
      <c r="BP169" s="320"/>
      <c r="BQ169" s="824"/>
      <c r="BR169" s="320"/>
      <c r="BS169" s="320"/>
      <c r="BT169" s="320"/>
      <c r="BU169" s="278"/>
      <c r="BV169" s="320"/>
      <c r="BW169" s="278" t="s">
        <v>1548</v>
      </c>
      <c r="BX169" s="320"/>
      <c r="BY169" s="320"/>
      <c r="BZ169" s="320"/>
      <c r="CA169" s="320"/>
      <c r="CB169" s="320"/>
      <c r="CC169" s="320"/>
      <c r="CD169" s="320"/>
      <c r="CE169" s="320"/>
      <c r="CF169" s="824"/>
      <c r="CG169" s="1483" t="s">
        <v>2618</v>
      </c>
      <c r="CH169" s="320" t="s">
        <v>1480</v>
      </c>
      <c r="CI169" s="320"/>
      <c r="CJ169" s="320"/>
      <c r="CK169" s="320"/>
      <c r="CL169" s="320"/>
      <c r="CM169" s="320"/>
      <c r="CN169" s="320" t="s">
        <v>991</v>
      </c>
      <c r="CO169" s="1483" t="s">
        <v>11834</v>
      </c>
      <c r="CP169" s="320"/>
      <c r="CQ169" s="278"/>
      <c r="CR169" s="320"/>
      <c r="CS169" s="320"/>
      <c r="CT169" s="320"/>
      <c r="CU169" s="106"/>
      <c r="CV169" s="320"/>
      <c r="CW169" s="320"/>
      <c r="CX169" s="320" t="s">
        <v>11107</v>
      </c>
      <c r="CY169" s="320" t="s">
        <v>10023</v>
      </c>
      <c r="CZ169" s="320"/>
      <c r="DA169" s="320"/>
      <c r="DB169" s="1483" t="s">
        <v>11835</v>
      </c>
      <c r="DC169" s="278" t="s">
        <v>11723</v>
      </c>
      <c r="DD169" s="320"/>
      <c r="DE169" s="351"/>
      <c r="DF169" s="278"/>
      <c r="DG169" s="320"/>
      <c r="DH169" s="320"/>
      <c r="DI169" s="320"/>
      <c r="DJ169" s="320"/>
      <c r="DK169" s="320"/>
      <c r="DL169" s="320"/>
      <c r="DM169" s="320"/>
      <c r="DN169" s="320"/>
      <c r="DO169" s="320"/>
      <c r="DP169" s="320"/>
      <c r="DQ169" s="320"/>
      <c r="DR169" s="320"/>
      <c r="DS169" s="320" t="s">
        <v>5237</v>
      </c>
      <c r="DT169" s="320"/>
      <c r="DU169" s="320"/>
      <c r="DV169" s="320"/>
      <c r="DW169" s="320"/>
      <c r="DX169" s="320"/>
      <c r="DY169" s="320"/>
      <c r="DZ169" s="320"/>
      <c r="EA169" s="320"/>
      <c r="EB169" s="320"/>
      <c r="EC169" s="320"/>
      <c r="ED169" s="862"/>
    </row>
    <row r="170">
      <c r="A170" s="540" t="s">
        <v>11836</v>
      </c>
      <c r="B170" s="378" t="s">
        <v>11837</v>
      </c>
      <c r="C170" s="379" t="s">
        <v>271</v>
      </c>
      <c r="D170" s="380" t="s">
        <v>271</v>
      </c>
      <c r="E170" s="381" t="s">
        <v>271</v>
      </c>
      <c r="F170" s="382" t="s">
        <v>171</v>
      </c>
      <c r="G170" s="378" t="s">
        <v>205</v>
      </c>
      <c r="H170" s="1976"/>
      <c r="I170" s="835"/>
      <c r="J170" s="835"/>
      <c r="K170" s="541" t="s">
        <v>240</v>
      </c>
      <c r="L170" s="541" t="s">
        <v>6504</v>
      </c>
      <c r="M170" s="835"/>
      <c r="N170" s="835"/>
      <c r="O170" s="835"/>
      <c r="P170" s="835"/>
      <c r="Q170" s="835"/>
      <c r="R170" s="835"/>
      <c r="S170" s="835"/>
      <c r="T170" s="835"/>
      <c r="U170" s="835"/>
      <c r="V170" s="835"/>
      <c r="W170" s="106"/>
      <c r="X170" s="837"/>
      <c r="Y170" s="837"/>
      <c r="Z170" s="837"/>
      <c r="AA170" s="837"/>
      <c r="AB170" s="837"/>
      <c r="AC170" s="837"/>
      <c r="AD170" s="837"/>
      <c r="AE170" s="837"/>
      <c r="AF170" s="837"/>
      <c r="AG170" s="837"/>
      <c r="AH170" s="837"/>
      <c r="AI170" s="837"/>
      <c r="AJ170" s="837"/>
      <c r="AK170" s="837"/>
      <c r="AL170" s="105"/>
      <c r="AM170" s="839"/>
      <c r="AN170" s="839"/>
      <c r="AO170" s="839"/>
      <c r="AP170" s="839"/>
      <c r="AQ170" s="839"/>
      <c r="AR170" s="839"/>
      <c r="AS170" s="839"/>
      <c r="AT170" s="839"/>
      <c r="AU170" s="839"/>
      <c r="AV170" s="839"/>
      <c r="AW170" s="839"/>
      <c r="AX170" s="839"/>
      <c r="AY170" s="839"/>
      <c r="AZ170" s="839"/>
      <c r="BA170" s="839"/>
      <c r="BB170" s="580"/>
      <c r="BC170" s="580"/>
      <c r="BD170" s="580"/>
      <c r="BE170" s="580"/>
      <c r="BF170" s="580"/>
      <c r="BG170" s="580"/>
      <c r="BH170" s="580"/>
      <c r="BI170" s="581" t="s">
        <v>4309</v>
      </c>
      <c r="BJ170" s="580"/>
      <c r="BK170" s="580"/>
      <c r="BL170" s="580"/>
      <c r="BM170" s="580"/>
      <c r="BN170" s="580"/>
      <c r="BO170" s="580"/>
      <c r="BP170" s="580"/>
      <c r="BQ170" s="845"/>
      <c r="BR170" s="849"/>
      <c r="BS170" s="849"/>
      <c r="BT170" s="849"/>
      <c r="BU170" s="849"/>
      <c r="BV170" s="849"/>
      <c r="BW170" s="589" t="s">
        <v>11111</v>
      </c>
      <c r="BX170" s="849"/>
      <c r="BY170" s="590"/>
      <c r="BZ170" s="849"/>
      <c r="CA170" s="849"/>
      <c r="CB170" s="849"/>
      <c r="CC170" s="849"/>
      <c r="CD170" s="849"/>
      <c r="CE170" s="849"/>
      <c r="CF170" s="851"/>
      <c r="CG170" s="433" t="s">
        <v>11091</v>
      </c>
      <c r="CH170" s="852"/>
      <c r="CI170" s="852"/>
      <c r="CJ170" s="593" t="s">
        <v>11838</v>
      </c>
      <c r="CK170" s="593"/>
      <c r="CL170" s="593"/>
      <c r="CM170" s="852"/>
      <c r="CN170" s="852"/>
      <c r="CO170" s="852"/>
      <c r="CP170" s="852"/>
      <c r="CQ170" s="852"/>
      <c r="CR170" s="852"/>
      <c r="CS170" s="852"/>
      <c r="CT170" s="852"/>
      <c r="CU170" s="106"/>
      <c r="CV170" s="683" t="s">
        <v>6537</v>
      </c>
      <c r="CW170" s="853"/>
      <c r="CX170" s="683" t="s">
        <v>10138</v>
      </c>
      <c r="CY170" s="853"/>
      <c r="CZ170" s="853"/>
      <c r="DA170" s="853"/>
      <c r="DB170" s="793"/>
      <c r="DC170" s="853"/>
      <c r="DD170" s="853"/>
      <c r="DE170" s="853"/>
      <c r="DF170" s="853"/>
      <c r="DG170" s="853"/>
      <c r="DH170" s="853"/>
      <c r="DI170" s="855"/>
      <c r="DJ170" s="855"/>
      <c r="DK170" s="855"/>
      <c r="DL170" s="855"/>
      <c r="DM170" s="855"/>
      <c r="DN170" s="855"/>
      <c r="DO170" s="855"/>
      <c r="DP170" s="855"/>
      <c r="DQ170" s="855"/>
      <c r="DR170" s="855"/>
      <c r="DS170" s="855"/>
      <c r="DT170" s="855"/>
      <c r="DU170" s="855"/>
      <c r="DV170" s="855"/>
      <c r="DW170" s="855"/>
      <c r="DX170" s="855"/>
      <c r="DY170" s="855"/>
      <c r="DZ170" s="855"/>
      <c r="EA170" s="855"/>
      <c r="EB170" s="855"/>
      <c r="EC170" s="855"/>
      <c r="ED170" s="1912"/>
    </row>
    <row r="171">
      <c r="A171" s="244" t="s">
        <v>11839</v>
      </c>
      <c r="B171" s="245" t="s">
        <v>11840</v>
      </c>
      <c r="C171" s="246" t="s">
        <v>271</v>
      </c>
      <c r="D171" s="247" t="s">
        <v>271</v>
      </c>
      <c r="E171" s="248" t="s">
        <v>271</v>
      </c>
      <c r="F171" s="249" t="s">
        <v>171</v>
      </c>
      <c r="G171" s="245" t="s">
        <v>231</v>
      </c>
      <c r="H171" s="320"/>
      <c r="I171" s="1883" t="s">
        <v>7086</v>
      </c>
      <c r="J171" s="286" t="s">
        <v>616</v>
      </c>
      <c r="K171" s="286" t="s">
        <v>4445</v>
      </c>
      <c r="L171" s="286" t="s">
        <v>1468</v>
      </c>
      <c r="M171" s="320"/>
      <c r="N171" s="320"/>
      <c r="O171" s="320"/>
      <c r="P171" s="286" t="s">
        <v>9460</v>
      </c>
      <c r="Q171" s="320"/>
      <c r="R171" s="320"/>
      <c r="S171" s="320"/>
      <c r="T171" s="320"/>
      <c r="U171" s="320"/>
      <c r="V171" s="320"/>
      <c r="W171" s="106"/>
      <c r="X171" s="1883" t="s">
        <v>6938</v>
      </c>
      <c r="Y171" s="320"/>
      <c r="Z171" s="320"/>
      <c r="AA171" s="286" t="s">
        <v>9811</v>
      </c>
      <c r="AB171" s="316" t="str">
        <f>HYPERLINK("https://clips.twitch.tv/DeliciousHomelyChoughMingLee","53.66")</f>
        <v>53.66</v>
      </c>
      <c r="AC171" s="286" t="s">
        <v>4878</v>
      </c>
      <c r="AD171" s="286" t="s">
        <v>1631</v>
      </c>
      <c r="AE171" s="320"/>
      <c r="AF171" s="320"/>
      <c r="AG171" s="286" t="s">
        <v>9460</v>
      </c>
      <c r="AH171" s="320"/>
      <c r="AI171" s="320"/>
      <c r="AJ171" s="320"/>
      <c r="AK171" s="320"/>
      <c r="AL171" s="105"/>
      <c r="AM171" s="320"/>
      <c r="AN171" s="320"/>
      <c r="AO171" s="320"/>
      <c r="AP171" s="320"/>
      <c r="AQ171" s="320"/>
      <c r="AR171" s="320"/>
      <c r="AS171" s="320"/>
      <c r="AT171" s="320"/>
      <c r="AU171" s="286" t="s">
        <v>11841</v>
      </c>
      <c r="AV171" s="286" t="s">
        <v>6245</v>
      </c>
      <c r="AW171" s="320"/>
      <c r="AX171" s="320"/>
      <c r="AY171" s="320"/>
      <c r="AZ171" s="320"/>
      <c r="BA171" s="320"/>
      <c r="BB171" s="320"/>
      <c r="BC171" s="320"/>
      <c r="BD171" s="320"/>
      <c r="BE171" s="320"/>
      <c r="BF171" s="320"/>
      <c r="BG171" s="320"/>
      <c r="BH171" s="320"/>
      <c r="BI171" s="320"/>
      <c r="BJ171" s="320"/>
      <c r="BK171" s="320"/>
      <c r="BL171" s="320"/>
      <c r="BM171" s="320"/>
      <c r="BN171" s="320"/>
      <c r="BO171" s="320"/>
      <c r="BP171" s="320"/>
      <c r="BQ171" s="824"/>
      <c r="BR171" s="286"/>
      <c r="BS171" s="320"/>
      <c r="BT171" s="320"/>
      <c r="BU171" s="320"/>
      <c r="BV171" s="320"/>
      <c r="BW171" s="320"/>
      <c r="BX171" s="320"/>
      <c r="BY171" s="320"/>
      <c r="BZ171" s="320"/>
      <c r="CA171" s="320"/>
      <c r="CB171" s="320"/>
      <c r="CC171" s="320"/>
      <c r="CD171" s="320"/>
      <c r="CE171" s="320"/>
      <c r="CF171" s="824"/>
      <c r="CG171" s="320"/>
      <c r="CH171" s="320"/>
      <c r="CI171" s="320"/>
      <c r="CJ171" s="320"/>
      <c r="CK171" s="320"/>
      <c r="CL171" s="320"/>
      <c r="CM171" s="320"/>
      <c r="CN171" s="320"/>
      <c r="CO171" s="286" t="s">
        <v>561</v>
      </c>
      <c r="CP171" s="320"/>
      <c r="CQ171" s="320"/>
      <c r="CR171" s="320"/>
      <c r="CS171" s="320"/>
      <c r="CT171" s="320"/>
      <c r="CU171" s="106"/>
      <c r="CV171" s="286" t="s">
        <v>6216</v>
      </c>
      <c r="CW171" s="286" t="s">
        <v>11842</v>
      </c>
      <c r="CX171" s="286" t="s">
        <v>3628</v>
      </c>
      <c r="CY171" s="320"/>
      <c r="CZ171" s="286"/>
      <c r="DA171" s="320"/>
      <c r="DB171" s="286" t="s">
        <v>5933</v>
      </c>
      <c r="DC171" s="320"/>
      <c r="DD171" s="320"/>
      <c r="DE171" s="320"/>
      <c r="DF171" s="320"/>
      <c r="DG171" s="320"/>
      <c r="DH171" s="320"/>
      <c r="DI171" s="320"/>
      <c r="DJ171" s="320"/>
      <c r="DK171" s="320"/>
      <c r="DL171" s="320"/>
      <c r="DM171" s="320"/>
      <c r="DN171" s="320"/>
      <c r="DO171" s="320"/>
      <c r="DP171" s="320"/>
      <c r="DQ171" s="320"/>
      <c r="DR171" s="320"/>
      <c r="DS171" s="320"/>
      <c r="DT171" s="320"/>
      <c r="DU171" s="320"/>
      <c r="DV171" s="320"/>
      <c r="DW171" s="320"/>
      <c r="DX171" s="286"/>
      <c r="DY171" s="320"/>
      <c r="DZ171" s="320"/>
      <c r="EA171" s="320"/>
      <c r="EB171" s="320"/>
      <c r="EC171" s="320"/>
      <c r="ED171" s="862"/>
    </row>
    <row r="172">
      <c r="A172" s="540" t="s">
        <v>11843</v>
      </c>
      <c r="B172" s="378" t="s">
        <v>11844</v>
      </c>
      <c r="C172" s="379" t="s">
        <v>271</v>
      </c>
      <c r="D172" s="380" t="s">
        <v>271</v>
      </c>
      <c r="E172" s="381" t="s">
        <v>271</v>
      </c>
      <c r="F172" s="382" t="s">
        <v>176</v>
      </c>
      <c r="G172" s="378" t="s">
        <v>176</v>
      </c>
      <c r="H172" s="835"/>
      <c r="I172" s="835"/>
      <c r="J172" s="835"/>
      <c r="K172" s="390" t="s">
        <v>718</v>
      </c>
      <c r="L172" s="835"/>
      <c r="M172" s="835"/>
      <c r="N172" s="835"/>
      <c r="O172" s="835"/>
      <c r="P172" s="835"/>
      <c r="Q172" s="835"/>
      <c r="R172" s="835"/>
      <c r="S172" s="835"/>
      <c r="T172" s="835"/>
      <c r="U172" s="835"/>
      <c r="V172" s="835"/>
      <c r="W172" s="106"/>
      <c r="X172" s="837"/>
      <c r="Y172" s="837"/>
      <c r="Z172" s="837"/>
      <c r="AA172" s="837"/>
      <c r="AB172" s="837"/>
      <c r="AC172" s="837"/>
      <c r="AD172" s="837"/>
      <c r="AE172" s="837"/>
      <c r="AF172" s="837"/>
      <c r="AG172" s="837"/>
      <c r="AH172" s="837"/>
      <c r="AI172" s="837"/>
      <c r="AJ172" s="837"/>
      <c r="AK172" s="837"/>
      <c r="AL172" s="105"/>
      <c r="AM172" s="839"/>
      <c r="AN172" s="839"/>
      <c r="AO172" s="839"/>
      <c r="AP172" s="839"/>
      <c r="AQ172" s="839"/>
      <c r="AR172" s="839"/>
      <c r="AS172" s="839"/>
      <c r="AT172" s="839"/>
      <c r="AU172" s="839"/>
      <c r="AV172" s="839"/>
      <c r="AW172" s="839"/>
      <c r="AX172" s="839"/>
      <c r="AY172" s="839"/>
      <c r="AZ172" s="839"/>
      <c r="BA172" s="839"/>
      <c r="BB172" s="580"/>
      <c r="BC172" s="580"/>
      <c r="BD172" s="580"/>
      <c r="BE172" s="580"/>
      <c r="BF172" s="580"/>
      <c r="BG172" s="580"/>
      <c r="BH172" s="580"/>
      <c r="BI172" s="580"/>
      <c r="BJ172" s="580"/>
      <c r="BK172" s="580"/>
      <c r="BL172" s="417" t="s">
        <v>8038</v>
      </c>
      <c r="BM172" s="580"/>
      <c r="BN172" s="580"/>
      <c r="BO172" s="580"/>
      <c r="BP172" s="580"/>
      <c r="BQ172" s="845"/>
      <c r="BR172" s="849"/>
      <c r="BS172" s="849"/>
      <c r="BT172" s="849"/>
      <c r="BU172" s="849"/>
      <c r="BV172" s="849"/>
      <c r="BW172" s="849"/>
      <c r="BX172" s="849"/>
      <c r="BY172" s="849"/>
      <c r="BZ172" s="849"/>
      <c r="CA172" s="849"/>
      <c r="CB172" s="849"/>
      <c r="CC172" s="849"/>
      <c r="CD172" s="849"/>
      <c r="CE172" s="849"/>
      <c r="CF172" s="851"/>
      <c r="CG172" s="852"/>
      <c r="CH172" s="852"/>
      <c r="CI172" s="852"/>
      <c r="CJ172" s="852"/>
      <c r="CK172" s="852"/>
      <c r="CL172" s="852"/>
      <c r="CM172" s="852"/>
      <c r="CN172" s="852"/>
      <c r="CO172" s="852"/>
      <c r="CP172" s="852"/>
      <c r="CQ172" s="852"/>
      <c r="CR172" s="852"/>
      <c r="CS172" s="852"/>
      <c r="CT172" s="852"/>
      <c r="CU172" s="106"/>
      <c r="CV172" s="853"/>
      <c r="CW172" s="853"/>
      <c r="CX172" s="458" t="s">
        <v>5371</v>
      </c>
      <c r="CY172" s="853"/>
      <c r="CZ172" s="853"/>
      <c r="DA172" s="853"/>
      <c r="DB172" s="853"/>
      <c r="DC172" s="458" t="s">
        <v>9542</v>
      </c>
      <c r="DD172" s="853"/>
      <c r="DE172" s="853"/>
      <c r="DF172" s="853"/>
      <c r="DG172" s="853"/>
      <c r="DH172" s="853"/>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1912"/>
    </row>
    <row r="173">
      <c r="A173" s="244" t="s">
        <v>11845</v>
      </c>
      <c r="B173" s="245" t="s">
        <v>11846</v>
      </c>
      <c r="C173" s="246" t="s">
        <v>171</v>
      </c>
      <c r="D173" s="247" t="s">
        <v>271</v>
      </c>
      <c r="E173" s="248" t="s">
        <v>271</v>
      </c>
      <c r="F173" s="249" t="s">
        <v>399</v>
      </c>
      <c r="G173" s="245" t="s">
        <v>399</v>
      </c>
      <c r="H173" s="320"/>
      <c r="I173" s="320"/>
      <c r="J173" s="320"/>
      <c r="K173" s="320"/>
      <c r="L173" s="320"/>
      <c r="M173" s="320"/>
      <c r="N173" s="320"/>
      <c r="O173" s="320"/>
      <c r="P173" s="320"/>
      <c r="Q173" s="320"/>
      <c r="R173" s="320"/>
      <c r="S173" s="320"/>
      <c r="T173" s="320"/>
      <c r="U173" s="320"/>
      <c r="V173" s="320"/>
      <c r="W173" s="106"/>
      <c r="X173" s="316" t="str">
        <f>HYPERLINK("https://youtu.be/PmLDGJ4GBDE","50.25")</f>
        <v>50.25</v>
      </c>
      <c r="Y173" s="320"/>
      <c r="Z173" s="320"/>
      <c r="AA173" s="320"/>
      <c r="AB173" s="320"/>
      <c r="AC173" s="320"/>
      <c r="AD173" s="316" t="str">
        <f>HYPERLINK("https://youtu.be/Ko2puUWcf4o","55.41")</f>
        <v>55.41</v>
      </c>
      <c r="AE173" s="320"/>
      <c r="AF173" s="289" t="str">
        <f>HYPERLINK("https://youtu.be/yM7eFNu04pY","1:34.18")</f>
        <v>1:34.18</v>
      </c>
      <c r="AG173" s="320"/>
      <c r="AH173" s="257" t="s">
        <v>11847</v>
      </c>
      <c r="AI173" s="320"/>
      <c r="AJ173" s="320"/>
      <c r="AK173" s="320"/>
      <c r="AL173" s="105"/>
      <c r="AM173" s="278"/>
      <c r="AN173" s="278"/>
      <c r="AO173" s="320"/>
      <c r="AP173" s="278"/>
      <c r="AQ173" s="320"/>
      <c r="AR173" s="1977" t="str">
        <f>HYPERLINK("https://youtu.be/fN_8rgua0Xs","36.26")</f>
        <v>36.26</v>
      </c>
      <c r="AS173" s="320"/>
      <c r="AT173" s="278"/>
      <c r="AU173" s="320"/>
      <c r="AV173" s="320"/>
      <c r="AW173" s="320"/>
      <c r="AX173" s="320"/>
      <c r="AY173" s="320"/>
      <c r="AZ173" s="320"/>
      <c r="BA173" s="320"/>
      <c r="BB173" s="320"/>
      <c r="BC173" s="278"/>
      <c r="BD173" s="320"/>
      <c r="BE173" s="320"/>
      <c r="BF173" s="320"/>
      <c r="BG173" s="320"/>
      <c r="BH173" s="320"/>
      <c r="BI173" s="320"/>
      <c r="BJ173" s="320"/>
      <c r="BK173" s="320"/>
      <c r="BL173" s="320"/>
      <c r="BM173" s="320"/>
      <c r="BN173" s="320"/>
      <c r="BO173" s="320"/>
      <c r="BP173" s="320"/>
      <c r="BQ173" s="824"/>
      <c r="BR173" s="320"/>
      <c r="BS173" s="320"/>
      <c r="BT173" s="320"/>
      <c r="BU173" s="278"/>
      <c r="BV173" s="320"/>
      <c r="BW173" s="278"/>
      <c r="BX173" s="320"/>
      <c r="BY173" s="320"/>
      <c r="BZ173" s="320"/>
      <c r="CA173" s="320"/>
      <c r="CB173" s="320"/>
      <c r="CC173" s="320"/>
      <c r="CD173" s="320"/>
      <c r="CE173" s="320"/>
      <c r="CF173" s="824"/>
      <c r="CG173" s="320"/>
      <c r="CH173" s="320"/>
      <c r="CI173" s="320"/>
      <c r="CJ173" s="320"/>
      <c r="CK173" s="320"/>
      <c r="CL173" s="320"/>
      <c r="CM173" s="320"/>
      <c r="CN173" s="320"/>
      <c r="CO173" s="320"/>
      <c r="CP173" s="320"/>
      <c r="CQ173" s="278"/>
      <c r="CR173" s="320"/>
      <c r="CS173" s="320"/>
      <c r="CT173" s="320"/>
      <c r="CU173" s="106"/>
      <c r="CV173" s="320"/>
      <c r="CW173" s="320"/>
      <c r="CX173" s="320"/>
      <c r="CY173" s="320"/>
      <c r="CZ173" s="320"/>
      <c r="DA173" s="320"/>
      <c r="DB173" s="320"/>
      <c r="DC173" s="278"/>
      <c r="DD173" s="320"/>
      <c r="DE173" s="257" t="s">
        <v>11848</v>
      </c>
      <c r="DF173" s="278"/>
      <c r="DG173" s="320"/>
      <c r="DH173" s="320"/>
      <c r="DI173" s="320"/>
      <c r="DJ173" s="320"/>
      <c r="DK173" s="320"/>
      <c r="DL173" s="320"/>
      <c r="DM173" s="320"/>
      <c r="DN173" s="320"/>
      <c r="DO173" s="320"/>
      <c r="DP173" s="320"/>
      <c r="DQ173" s="320"/>
      <c r="DR173" s="320"/>
      <c r="DS173" s="320"/>
      <c r="DT173" s="320"/>
      <c r="DU173" s="320"/>
      <c r="DV173" s="320"/>
      <c r="DW173" s="320"/>
      <c r="DX173" s="320"/>
      <c r="DY173" s="320"/>
      <c r="DZ173" s="320"/>
      <c r="EA173" s="320"/>
      <c r="EB173" s="320"/>
      <c r="EC173" s="320"/>
      <c r="ED173" s="862"/>
    </row>
    <row r="174">
      <c r="A174" s="540" t="s">
        <v>9236</v>
      </c>
      <c r="B174" s="378" t="s">
        <v>11849</v>
      </c>
      <c r="C174" s="379" t="s">
        <v>171</v>
      </c>
      <c r="D174" s="380" t="s">
        <v>171</v>
      </c>
      <c r="E174" s="381" t="s">
        <v>271</v>
      </c>
      <c r="F174" s="382" t="s">
        <v>203</v>
      </c>
      <c r="G174" s="378" t="s">
        <v>399</v>
      </c>
      <c r="H174" s="835"/>
      <c r="I174" s="835"/>
      <c r="J174" s="835"/>
      <c r="K174" s="835"/>
      <c r="L174" s="835"/>
      <c r="M174" s="835"/>
      <c r="N174" s="835"/>
      <c r="O174" s="835"/>
      <c r="P174" s="541" t="s">
        <v>1464</v>
      </c>
      <c r="Q174" s="835"/>
      <c r="R174" s="835"/>
      <c r="S174" s="835"/>
      <c r="T174" s="835"/>
      <c r="U174" s="835"/>
      <c r="V174" s="835"/>
      <c r="W174" s="106"/>
      <c r="X174" s="837"/>
      <c r="Y174" s="837"/>
      <c r="Z174" s="837"/>
      <c r="AA174" s="837"/>
      <c r="AB174" s="837"/>
      <c r="AC174" s="837"/>
      <c r="AD174" s="837"/>
      <c r="AE174" s="837"/>
      <c r="AF174" s="837"/>
      <c r="AG174" s="837"/>
      <c r="AH174" s="1978" t="str">
        <f>HYPERLINK("https://www.youtube.com/watch?v=egSPy91Zj90", "32.27")</f>
        <v>32.27</v>
      </c>
      <c r="AI174" s="837"/>
      <c r="AJ174" s="837"/>
      <c r="AK174" s="837"/>
      <c r="AL174" s="105"/>
      <c r="AM174" s="839"/>
      <c r="AN174" s="839"/>
      <c r="AO174" s="839"/>
      <c r="AP174" s="839"/>
      <c r="AQ174" s="839"/>
      <c r="AR174" s="839"/>
      <c r="AS174" s="1979" t="str">
        <f>HYPERLINK("https://www.youtube.com/watch?v=z3OJIJlWJIU","8.51")</f>
        <v>8.51</v>
      </c>
      <c r="AT174" s="839"/>
      <c r="AU174" s="839"/>
      <c r="AV174" s="839"/>
      <c r="AW174" s="839"/>
      <c r="AX174" s="839"/>
      <c r="AY174" s="839"/>
      <c r="AZ174" s="839"/>
      <c r="BA174" s="839"/>
      <c r="BB174" s="580"/>
      <c r="BC174" s="580"/>
      <c r="BD174" s="580"/>
      <c r="BE174" s="580"/>
      <c r="BF174" s="580"/>
      <c r="BG174" s="580"/>
      <c r="BH174" s="580"/>
      <c r="BI174" s="580"/>
      <c r="BJ174" s="580"/>
      <c r="BK174" s="580"/>
      <c r="BL174" s="580"/>
      <c r="BM174" s="580"/>
      <c r="BN174" s="580"/>
      <c r="BO174" s="580"/>
      <c r="BP174" s="580"/>
      <c r="BQ174" s="845"/>
      <c r="BR174" s="849"/>
      <c r="BS174" s="849"/>
      <c r="BT174" s="849"/>
      <c r="BU174" s="849"/>
      <c r="BV174" s="849"/>
      <c r="BW174" s="849"/>
      <c r="BX174" s="849"/>
      <c r="BY174" s="849"/>
      <c r="BZ174" s="849"/>
      <c r="CA174" s="849"/>
      <c r="CB174" s="849"/>
      <c r="CC174" s="849"/>
      <c r="CD174" s="849"/>
      <c r="CE174" s="849"/>
      <c r="CF174" s="851"/>
      <c r="CG174" s="852"/>
      <c r="CH174" s="852"/>
      <c r="CI174" s="852"/>
      <c r="CJ174" s="852"/>
      <c r="CK174" s="852"/>
      <c r="CL174" s="1980" t="str">
        <f>HYPERLINK("https://www.youtube.com/watch?v=E7c_wl78nfk","11.98")</f>
        <v>11.98</v>
      </c>
      <c r="CM174" s="852"/>
      <c r="CN174" s="852"/>
      <c r="CO174" s="852"/>
      <c r="CP174" s="852"/>
      <c r="CQ174" s="852"/>
      <c r="CR174" s="852"/>
      <c r="CS174" s="852"/>
      <c r="CT174" s="852"/>
      <c r="CU174" s="106"/>
      <c r="CV174" s="853"/>
      <c r="CW174" s="1981" t="str">
        <f>HYPERLINK("https://www.youtube.com/watch?v=JewskQKqzo4o","12.74")</f>
        <v>12.74</v>
      </c>
      <c r="CX174" s="853"/>
      <c r="CY174" s="853"/>
      <c r="CZ174" s="853"/>
      <c r="DA174" s="853"/>
      <c r="DB174" s="853"/>
      <c r="DC174" s="853"/>
      <c r="DD174" s="853"/>
      <c r="DE174" s="853"/>
      <c r="DF174" s="853"/>
      <c r="DG174" s="853"/>
      <c r="DH174" s="853"/>
      <c r="DI174" s="855"/>
      <c r="DJ174" s="855"/>
      <c r="DK174" s="855"/>
      <c r="DL174" s="855"/>
      <c r="DM174" s="1982" t="str">
        <f>HYPERLINK("https://www.youtube.com/watch?v=p2gj2n378jI", "15.59")</f>
        <v>15.59</v>
      </c>
      <c r="DN174" s="855"/>
      <c r="DO174" s="855"/>
      <c r="DP174" s="855"/>
      <c r="DQ174" s="855"/>
      <c r="DR174" s="855"/>
      <c r="DS174" s="855"/>
      <c r="DT174" s="855"/>
      <c r="DU174" s="855"/>
      <c r="DV174" s="855"/>
      <c r="DW174" s="855"/>
      <c r="DX174" s="855"/>
      <c r="DY174" s="855"/>
      <c r="DZ174" s="855"/>
      <c r="EA174" s="855"/>
      <c r="EB174" s="855"/>
      <c r="EC174" s="855"/>
      <c r="ED174" s="1039"/>
    </row>
    <row r="175">
      <c r="A175" s="1983" t="s">
        <v>11850</v>
      </c>
      <c r="B175" s="245" t="s">
        <v>11851</v>
      </c>
      <c r="C175" s="246" t="s">
        <v>271</v>
      </c>
      <c r="D175" s="247" t="s">
        <v>271</v>
      </c>
      <c r="E175" s="248" t="s">
        <v>271</v>
      </c>
      <c r="F175" s="249" t="s">
        <v>271</v>
      </c>
      <c r="G175" s="245" t="s">
        <v>855</v>
      </c>
      <c r="H175" s="286"/>
      <c r="I175" s="286" t="s">
        <v>11852</v>
      </c>
      <c r="J175" s="286" t="s">
        <v>9683</v>
      </c>
      <c r="K175" s="286" t="s">
        <v>3152</v>
      </c>
      <c r="L175" s="286" t="s">
        <v>6884</v>
      </c>
      <c r="M175" s="286" t="s">
        <v>11853</v>
      </c>
      <c r="N175" s="286" t="s">
        <v>7318</v>
      </c>
      <c r="O175" s="286" t="s">
        <v>3072</v>
      </c>
      <c r="P175" s="286" t="s">
        <v>7836</v>
      </c>
      <c r="Q175" s="320"/>
      <c r="R175" s="320"/>
      <c r="S175" s="320"/>
      <c r="T175" s="320"/>
      <c r="U175" s="320"/>
      <c r="V175" s="320"/>
      <c r="W175" s="106"/>
      <c r="X175" s="286" t="s">
        <v>11854</v>
      </c>
      <c r="Y175" s="286"/>
      <c r="Z175" s="286"/>
      <c r="AA175" s="286" t="s">
        <v>7164</v>
      </c>
      <c r="AB175" s="320"/>
      <c r="AC175" s="286" t="s">
        <v>11855</v>
      </c>
      <c r="AD175" s="286" t="s">
        <v>10034</v>
      </c>
      <c r="AE175" s="320"/>
      <c r="AF175" s="320"/>
      <c r="AG175" s="286" t="s">
        <v>11028</v>
      </c>
      <c r="AH175" s="320"/>
      <c r="AI175" s="320"/>
      <c r="AJ175" s="320"/>
      <c r="AK175" s="320"/>
      <c r="AL175" s="105"/>
      <c r="AM175" s="320"/>
      <c r="AN175" s="320"/>
      <c r="AO175" s="320"/>
      <c r="AP175" s="320"/>
      <c r="AQ175" s="320"/>
      <c r="AR175" s="320"/>
      <c r="AS175" s="320"/>
      <c r="AT175" s="320"/>
      <c r="AU175" s="286" t="s">
        <v>949</v>
      </c>
      <c r="AV175" s="286" t="s">
        <v>3907</v>
      </c>
      <c r="AW175" s="320"/>
      <c r="AX175" s="320"/>
      <c r="AY175" s="320"/>
      <c r="AZ175" s="320"/>
      <c r="BA175" s="320"/>
      <c r="BB175" s="286" t="s">
        <v>8140</v>
      </c>
      <c r="BC175" s="286" t="s">
        <v>3314</v>
      </c>
      <c r="BD175" s="286" t="s">
        <v>3880</v>
      </c>
      <c r="BE175" s="286" t="s">
        <v>10097</v>
      </c>
      <c r="BF175" s="286" t="s">
        <v>7673</v>
      </c>
      <c r="BG175" s="320"/>
      <c r="BH175" s="320"/>
      <c r="BI175" s="286" t="s">
        <v>5282</v>
      </c>
      <c r="BJ175" s="320"/>
      <c r="BK175" s="320"/>
      <c r="BL175" s="286" t="s">
        <v>1768</v>
      </c>
      <c r="BM175" s="320"/>
      <c r="BN175" s="320"/>
      <c r="BO175" s="320"/>
      <c r="BP175" s="320"/>
      <c r="BQ175" s="824"/>
      <c r="BR175" s="286" t="s">
        <v>11856</v>
      </c>
      <c r="BS175" s="286" t="s">
        <v>5050</v>
      </c>
      <c r="BT175" s="286" t="s">
        <v>2919</v>
      </c>
      <c r="BU175" s="286" t="s">
        <v>1789</v>
      </c>
      <c r="BV175" s="286" t="s">
        <v>11857</v>
      </c>
      <c r="BW175" s="286" t="s">
        <v>4565</v>
      </c>
      <c r="BX175" s="320"/>
      <c r="BY175" s="320"/>
      <c r="BZ175" s="320"/>
      <c r="CA175" s="286" t="s">
        <v>3794</v>
      </c>
      <c r="CB175" s="320"/>
      <c r="CC175" s="320"/>
      <c r="CD175" s="320"/>
      <c r="CE175" s="320"/>
      <c r="CF175" s="824"/>
      <c r="CG175" s="286" t="s">
        <v>10745</v>
      </c>
      <c r="CH175" s="286" t="s">
        <v>525</v>
      </c>
      <c r="CI175" s="320"/>
      <c r="CJ175" s="320"/>
      <c r="CK175" s="320"/>
      <c r="CL175" s="320"/>
      <c r="CM175" s="320"/>
      <c r="CN175" s="286" t="s">
        <v>10695</v>
      </c>
      <c r="CO175" s="286" t="s">
        <v>4906</v>
      </c>
      <c r="CP175" s="320"/>
      <c r="CQ175" s="320"/>
      <c r="CR175" s="320"/>
      <c r="CS175" s="320"/>
      <c r="CT175" s="320"/>
      <c r="CU175" s="106"/>
      <c r="CV175" s="286" t="s">
        <v>5985</v>
      </c>
      <c r="CW175" s="320"/>
      <c r="CX175" s="286" t="s">
        <v>11858</v>
      </c>
      <c r="CY175" s="286" t="s">
        <v>9794</v>
      </c>
      <c r="CZ175" s="286" t="s">
        <v>5103</v>
      </c>
      <c r="DA175" s="286" t="s">
        <v>11734</v>
      </c>
      <c r="DB175" s="286" t="s">
        <v>6026</v>
      </c>
      <c r="DC175" s="286" t="s">
        <v>5492</v>
      </c>
      <c r="DD175" s="320"/>
      <c r="DE175" s="320"/>
      <c r="DF175" s="320"/>
      <c r="DG175" s="320"/>
      <c r="DH175" s="320"/>
      <c r="DI175" s="320"/>
      <c r="DJ175" s="320"/>
      <c r="DK175" s="320"/>
      <c r="DL175" s="320"/>
      <c r="DM175" s="320"/>
      <c r="DN175" s="320"/>
      <c r="DO175" s="320"/>
      <c r="DP175" s="320"/>
      <c r="DQ175" s="320"/>
      <c r="DR175" s="320"/>
      <c r="DS175" s="286" t="s">
        <v>9569</v>
      </c>
      <c r="DT175" s="320"/>
      <c r="DU175" s="320"/>
      <c r="DV175" s="320"/>
      <c r="DW175" s="320"/>
      <c r="DX175" s="320"/>
      <c r="DY175" s="320"/>
      <c r="DZ175" s="320"/>
      <c r="EA175" s="320"/>
      <c r="EB175" s="320"/>
      <c r="EC175" s="320"/>
      <c r="ED175" s="862"/>
    </row>
    <row r="176">
      <c r="A176" s="540" t="s">
        <v>11859</v>
      </c>
      <c r="B176" s="378" t="s">
        <v>11860</v>
      </c>
      <c r="C176" s="379" t="s">
        <v>171</v>
      </c>
      <c r="D176" s="380" t="s">
        <v>271</v>
      </c>
      <c r="E176" s="381" t="s">
        <v>271</v>
      </c>
      <c r="F176" s="382" t="s">
        <v>171</v>
      </c>
      <c r="G176" s="378" t="s">
        <v>944</v>
      </c>
      <c r="H176" s="1976" t="s">
        <v>9677</v>
      </c>
      <c r="I176" s="1976" t="s">
        <v>2358</v>
      </c>
      <c r="J176" s="1976" t="s">
        <v>11861</v>
      </c>
      <c r="K176" s="1976" t="s">
        <v>3152</v>
      </c>
      <c r="L176" s="1976" t="s">
        <v>586</v>
      </c>
      <c r="M176" s="1984"/>
      <c r="N176" s="1976" t="s">
        <v>11862</v>
      </c>
      <c r="O176" s="1976" t="s">
        <v>7668</v>
      </c>
      <c r="P176" s="1976" t="s">
        <v>4551</v>
      </c>
      <c r="Q176" s="1984"/>
      <c r="R176" s="1984"/>
      <c r="S176" s="1984"/>
      <c r="T176" s="1984"/>
      <c r="U176" s="1984"/>
      <c r="V176" s="1984"/>
      <c r="W176" s="1985"/>
      <c r="X176" s="1986" t="s">
        <v>11863</v>
      </c>
      <c r="Y176" s="1986"/>
      <c r="Z176" s="1987" t="s">
        <v>1157</v>
      </c>
      <c r="AA176" s="1987" t="s">
        <v>3667</v>
      </c>
      <c r="AB176" s="1987" t="s">
        <v>6870</v>
      </c>
      <c r="AC176" s="1986" t="s">
        <v>4500</v>
      </c>
      <c r="AD176" s="1987" t="s">
        <v>11864</v>
      </c>
      <c r="AE176" s="1988"/>
      <c r="AF176" s="1988"/>
      <c r="AG176" s="1987" t="s">
        <v>1130</v>
      </c>
      <c r="AH176" s="1988"/>
      <c r="AI176" s="1988"/>
      <c r="AJ176" s="1988"/>
      <c r="AK176" s="1988"/>
      <c r="AL176" s="1989"/>
      <c r="AM176" s="1990"/>
      <c r="AN176" s="1990"/>
      <c r="AO176" s="1990"/>
      <c r="AP176" s="1990"/>
      <c r="AQ176" s="1990"/>
      <c r="AR176" s="1990"/>
      <c r="AS176" s="1990"/>
      <c r="AT176" s="1990"/>
      <c r="AU176" s="1990"/>
      <c r="AV176" s="1991" t="s">
        <v>761</v>
      </c>
      <c r="AW176" s="1990"/>
      <c r="AX176" s="1990"/>
      <c r="AY176" s="1990"/>
      <c r="AZ176" s="1990"/>
      <c r="BA176" s="1990"/>
      <c r="BB176" s="1992"/>
      <c r="BC176" s="1992"/>
      <c r="BD176" s="1992"/>
      <c r="BE176" s="1992"/>
      <c r="BF176" s="1992"/>
      <c r="BG176" s="1992"/>
      <c r="BH176" s="1992"/>
      <c r="BI176" s="1993" t="s">
        <v>10425</v>
      </c>
      <c r="BJ176" s="1992"/>
      <c r="BK176" s="1992"/>
      <c r="BL176" s="1992"/>
      <c r="BM176" s="1992"/>
      <c r="BN176" s="1992"/>
      <c r="BO176" s="1992"/>
      <c r="BP176" s="1992"/>
      <c r="BQ176" s="1994"/>
      <c r="BR176" s="1995"/>
      <c r="BS176" s="1995"/>
      <c r="BT176" s="1996" t="s">
        <v>1830</v>
      </c>
      <c r="BU176" s="1997" t="s">
        <v>9654</v>
      </c>
      <c r="BV176" s="1995"/>
      <c r="BW176" s="1995"/>
      <c r="BX176" s="1995"/>
      <c r="BY176" s="1995"/>
      <c r="BZ176" s="1995"/>
      <c r="CA176" s="1995"/>
      <c r="CB176" s="1995"/>
      <c r="CC176" s="1995"/>
      <c r="CD176" s="1995"/>
      <c r="CE176" s="1995"/>
      <c r="CF176" s="1998"/>
      <c r="CG176" s="1999"/>
      <c r="CH176" s="2000" t="s">
        <v>11865</v>
      </c>
      <c r="CI176" s="1999"/>
      <c r="CJ176" s="1999"/>
      <c r="CK176" s="1999"/>
      <c r="CL176" s="1999"/>
      <c r="CM176" s="1999"/>
      <c r="CN176" s="1999"/>
      <c r="CO176" s="1999"/>
      <c r="CP176" s="1999"/>
      <c r="CQ176" s="1999"/>
      <c r="CR176" s="1999"/>
      <c r="CS176" s="1999"/>
      <c r="CT176" s="1999"/>
      <c r="CU176" s="2001"/>
      <c r="CV176" s="2002" t="s">
        <v>11171</v>
      </c>
      <c r="CW176" s="2002" t="s">
        <v>9374</v>
      </c>
      <c r="CX176" s="2002" t="s">
        <v>907</v>
      </c>
      <c r="CY176" s="2003"/>
      <c r="CZ176" s="2003"/>
      <c r="DA176" s="2003"/>
      <c r="DB176" s="2002" t="s">
        <v>11866</v>
      </c>
      <c r="DC176" s="2004" t="s">
        <v>8848</v>
      </c>
      <c r="DD176" s="2003"/>
      <c r="DE176" s="2003"/>
      <c r="DF176" s="2003"/>
      <c r="DG176" s="2003"/>
      <c r="DH176" s="2003"/>
      <c r="DI176" s="2005"/>
      <c r="DJ176" s="2005"/>
      <c r="DK176" s="2005"/>
      <c r="DL176" s="2005"/>
      <c r="DM176" s="2006" t="s">
        <v>4598</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5890</v>
      </c>
      <c r="B177" s="245" t="s">
        <v>11867</v>
      </c>
      <c r="C177" s="246" t="s">
        <v>271</v>
      </c>
      <c r="D177" s="247" t="s">
        <v>233</v>
      </c>
      <c r="E177" s="248" t="s">
        <v>271</v>
      </c>
      <c r="F177" s="249" t="s">
        <v>203</v>
      </c>
      <c r="G177" s="245" t="s">
        <v>203</v>
      </c>
      <c r="H177" s="320"/>
      <c r="I177" s="320"/>
      <c r="J177" s="320"/>
      <c r="K177" s="320"/>
      <c r="L177" s="320"/>
      <c r="M177" s="320"/>
      <c r="N177" s="320"/>
      <c r="O177" s="320"/>
      <c r="P177" s="320"/>
      <c r="Q177" s="320"/>
      <c r="R177" s="320"/>
      <c r="S177" s="320"/>
      <c r="T177" s="257" t="s">
        <v>2253</v>
      </c>
      <c r="U177" s="320"/>
      <c r="V177" s="320"/>
      <c r="W177" s="106"/>
      <c r="X177" s="320"/>
      <c r="Y177" s="320"/>
      <c r="Z177" s="320"/>
      <c r="AA177" s="320"/>
      <c r="AB177" s="320"/>
      <c r="AC177" s="320"/>
      <c r="AD177" s="320"/>
      <c r="AE177" s="320"/>
      <c r="AF177" s="320"/>
      <c r="AG177" s="320"/>
      <c r="AH177" s="320"/>
      <c r="AI177" s="288"/>
      <c r="AJ177" s="316" t="str">
        <f>HYPERLINK("https://youtu.be/40JTvUdo60A","1:01.68")</f>
        <v>1:01.68</v>
      </c>
      <c r="AK177" s="320"/>
      <c r="AL177" s="105"/>
      <c r="AM177" s="320"/>
      <c r="AN177" s="320"/>
      <c r="AO177" s="320"/>
      <c r="AP177" s="320"/>
      <c r="AQ177" s="320"/>
      <c r="AR177" s="320"/>
      <c r="AS177" s="320"/>
      <c r="AT177" s="320"/>
      <c r="AU177" s="320"/>
      <c r="AV177" s="320"/>
      <c r="AW177" s="320"/>
      <c r="AX177" s="320"/>
      <c r="AY177" s="320"/>
      <c r="AZ177" s="320"/>
      <c r="BA177" s="320"/>
      <c r="BB177" s="320"/>
      <c r="BC177" s="320"/>
      <c r="BD177" s="320"/>
      <c r="BE177" s="320"/>
      <c r="BF177" s="263" t="s">
        <v>1744</v>
      </c>
      <c r="BG177" s="320"/>
      <c r="BH177" s="320"/>
      <c r="BI177" s="320"/>
      <c r="BJ177" s="320"/>
      <c r="BK177" s="320"/>
      <c r="BL177" s="320"/>
      <c r="BM177" s="320"/>
      <c r="BN177" s="320"/>
      <c r="BO177" s="320"/>
      <c r="BP177" s="320"/>
      <c r="BQ177" s="824"/>
      <c r="BR177" s="320"/>
      <c r="BS177" s="320"/>
      <c r="BT177" s="257" t="s">
        <v>10035</v>
      </c>
      <c r="BU177" s="320"/>
      <c r="BV177" s="320"/>
      <c r="BW177" s="320"/>
      <c r="BX177" s="320"/>
      <c r="BY177" s="320"/>
      <c r="BZ177" s="320"/>
      <c r="CA177" s="320"/>
      <c r="CB177" s="320"/>
      <c r="CC177" s="320"/>
      <c r="CD177" s="320"/>
      <c r="CE177" s="286"/>
      <c r="CF177" s="324"/>
      <c r="CG177" s="320"/>
      <c r="CH177" s="320"/>
      <c r="CI177" s="320"/>
      <c r="CJ177" s="320"/>
      <c r="CK177" s="320"/>
      <c r="CL177" s="320"/>
      <c r="CM177" s="320"/>
      <c r="CN177" s="320"/>
      <c r="CO177" s="320"/>
      <c r="CP177" s="320"/>
      <c r="CQ177" s="320"/>
      <c r="CR177" s="320"/>
      <c r="CS177" s="320"/>
      <c r="CT177" s="330" t="s">
        <v>11868</v>
      </c>
      <c r="CU177" s="106"/>
      <c r="CV177" s="320"/>
      <c r="CW177" s="320"/>
      <c r="CX177" s="320"/>
      <c r="CY177" s="320"/>
      <c r="CZ177" s="320"/>
      <c r="DA177" s="320"/>
      <c r="DB177" s="278"/>
      <c r="DC177" s="320"/>
      <c r="DD177" s="320"/>
      <c r="DE177" s="320"/>
      <c r="DF177" s="320"/>
      <c r="DG177" s="320"/>
      <c r="DH177" s="320"/>
      <c r="DI177" s="320"/>
      <c r="DJ177" s="320"/>
      <c r="DK177" s="320"/>
      <c r="DL177" s="320"/>
      <c r="DM177" s="320"/>
      <c r="DN177" s="320"/>
      <c r="DO177" s="320"/>
      <c r="DP177" s="320"/>
      <c r="DQ177" s="320"/>
      <c r="DR177" s="320"/>
      <c r="DS177" s="320"/>
      <c r="DT177" s="320"/>
      <c r="DU177" s="320"/>
      <c r="DV177" s="320"/>
      <c r="DW177" s="320"/>
      <c r="DX177" s="320"/>
      <c r="DY177" s="320"/>
      <c r="DZ177" s="320"/>
      <c r="EA177" s="320"/>
      <c r="EB177" s="320"/>
      <c r="EC177" s="320"/>
      <c r="ED177" s="862"/>
    </row>
    <row r="178">
      <c r="A178" s="540" t="s">
        <v>11869</v>
      </c>
      <c r="B178" s="378" t="s">
        <v>11867</v>
      </c>
      <c r="C178" s="379" t="s">
        <v>271</v>
      </c>
      <c r="D178" s="380" t="s">
        <v>271</v>
      </c>
      <c r="E178" s="381" t="s">
        <v>271</v>
      </c>
      <c r="F178" s="382" t="s">
        <v>274</v>
      </c>
      <c r="G178" s="378" t="s">
        <v>274</v>
      </c>
      <c r="H178" s="835"/>
      <c r="I178" s="835"/>
      <c r="J178" s="835"/>
      <c r="K178" s="835"/>
      <c r="L178" s="387" t="str">
        <f>HYPERLINK("https://clips.twitch.tv/OriginalPlumpLorisPJSugar","43.03")</f>
        <v>43.03</v>
      </c>
      <c r="M178" s="835"/>
      <c r="N178" s="835"/>
      <c r="O178" s="835"/>
      <c r="P178" s="835"/>
      <c r="Q178" s="835"/>
      <c r="R178" s="835"/>
      <c r="S178" s="835"/>
      <c r="T178" s="835"/>
      <c r="U178" s="835"/>
      <c r="V178" s="835"/>
      <c r="W178" s="106"/>
      <c r="X178" s="837"/>
      <c r="Y178" s="837"/>
      <c r="Z178" s="837"/>
      <c r="AA178" s="395" t="str">
        <f>HYPERLINK("https://www.youtube.com/watch?v=V-qmoMPHBq0","14.67")</f>
        <v>14.67</v>
      </c>
      <c r="AB178" s="837"/>
      <c r="AC178" s="837"/>
      <c r="AD178" s="837"/>
      <c r="AE178" s="837"/>
      <c r="AF178" s="837"/>
      <c r="AG178" s="837"/>
      <c r="AH178" s="837"/>
      <c r="AI178" s="837"/>
      <c r="AJ178" s="837"/>
      <c r="AK178" s="837"/>
      <c r="AL178" s="105"/>
      <c r="AM178" s="839"/>
      <c r="AN178" s="839"/>
      <c r="AO178" s="839"/>
      <c r="AP178" s="839"/>
      <c r="AQ178" s="839"/>
      <c r="AR178" s="839"/>
      <c r="AS178" s="839"/>
      <c r="AT178" s="839"/>
      <c r="AU178" s="839"/>
      <c r="AV178" s="839"/>
      <c r="AW178" s="839"/>
      <c r="AX178" s="839"/>
      <c r="AY178" s="839"/>
      <c r="AZ178" s="839"/>
      <c r="BA178" s="839"/>
      <c r="BB178" s="580"/>
      <c r="BC178" s="580"/>
      <c r="BD178" s="580"/>
      <c r="BE178" s="580"/>
      <c r="BF178" s="580"/>
      <c r="BG178" s="580"/>
      <c r="BH178" s="580"/>
      <c r="BI178" s="580"/>
      <c r="BJ178" s="580"/>
      <c r="BK178" s="580"/>
      <c r="BL178" s="580"/>
      <c r="BM178" s="580"/>
      <c r="BN178" s="580"/>
      <c r="BO178" s="580"/>
      <c r="BP178" s="580"/>
      <c r="BQ178" s="845"/>
      <c r="BR178" s="849"/>
      <c r="BS178" s="849"/>
      <c r="BT178" s="849"/>
      <c r="BU178" s="849"/>
      <c r="BV178" s="849"/>
      <c r="BW178" s="849"/>
      <c r="BX178" s="849"/>
      <c r="BY178" s="849"/>
      <c r="BZ178" s="849"/>
      <c r="CA178" s="849"/>
      <c r="CB178" s="849"/>
      <c r="CC178" s="849"/>
      <c r="CD178" s="849"/>
      <c r="CE178" s="849"/>
      <c r="CF178" s="851"/>
      <c r="CG178" s="852"/>
      <c r="CH178" s="852"/>
      <c r="CI178" s="852"/>
      <c r="CJ178" s="852"/>
      <c r="CK178" s="852"/>
      <c r="CL178" s="852"/>
      <c r="CM178" s="852"/>
      <c r="CN178" s="852"/>
      <c r="CO178" s="852"/>
      <c r="CP178" s="852"/>
      <c r="CQ178" s="852"/>
      <c r="CR178" s="852"/>
      <c r="CS178" s="852"/>
      <c r="CT178" s="852"/>
      <c r="CU178" s="106"/>
      <c r="CV178" s="853"/>
      <c r="CW178" s="853"/>
      <c r="CX178" s="853"/>
      <c r="CY178" s="853"/>
      <c r="CZ178" s="853"/>
      <c r="DA178" s="853"/>
      <c r="DB178" s="444" t="str">
        <f>HYPERLINK("https://youtu.be/0cjjEpG5kxE","2:19.23")</f>
        <v>2:19.23</v>
      </c>
      <c r="DC178" s="853"/>
      <c r="DD178" s="853"/>
      <c r="DE178" s="853"/>
      <c r="DF178" s="853"/>
      <c r="DG178" s="853"/>
      <c r="DH178" s="853"/>
      <c r="DI178" s="855"/>
      <c r="DJ178" s="855"/>
      <c r="DK178" s="855"/>
      <c r="DL178" s="855"/>
      <c r="DM178" s="855"/>
      <c r="DN178" s="855"/>
      <c r="DO178" s="855"/>
      <c r="DP178" s="855"/>
      <c r="DQ178" s="855"/>
      <c r="DR178" s="855"/>
      <c r="DS178" s="855"/>
      <c r="DT178" s="855"/>
      <c r="DU178" s="855"/>
      <c r="DV178" s="855"/>
      <c r="DW178" s="685"/>
      <c r="DX178" s="855"/>
      <c r="DY178" s="855"/>
      <c r="DZ178" s="855"/>
      <c r="EA178" s="855"/>
      <c r="EB178" s="855"/>
      <c r="EC178" s="855"/>
      <c r="ED178" s="1039"/>
    </row>
    <row r="179">
      <c r="A179" s="2008" t="s">
        <v>11870</v>
      </c>
      <c r="B179" s="245" t="s">
        <v>11871</v>
      </c>
      <c r="C179" s="246" t="s">
        <v>271</v>
      </c>
      <c r="D179" s="247" t="s">
        <v>271</v>
      </c>
      <c r="E179" s="248" t="s">
        <v>271</v>
      </c>
      <c r="F179" s="249" t="s">
        <v>399</v>
      </c>
      <c r="G179" s="245" t="s">
        <v>399</v>
      </c>
      <c r="H179" s="351"/>
      <c r="I179" s="288"/>
      <c r="J179" s="351"/>
      <c r="K179" s="351"/>
      <c r="L179" s="351"/>
      <c r="M179" s="351"/>
      <c r="N179" s="351"/>
      <c r="O179" s="351"/>
      <c r="P179" s="257" t="s">
        <v>4551</v>
      </c>
      <c r="Q179" s="320"/>
      <c r="R179" s="320"/>
      <c r="S179" s="320"/>
      <c r="T179" s="320"/>
      <c r="U179" s="320"/>
      <c r="V179" s="320"/>
      <c r="W179" s="106"/>
      <c r="X179" s="257" t="s">
        <v>11872</v>
      </c>
      <c r="Y179" s="351"/>
      <c r="Z179" s="351"/>
      <c r="AA179" s="257" t="s">
        <v>736</v>
      </c>
      <c r="AB179" s="881"/>
      <c r="AC179" s="351"/>
      <c r="AD179" s="351"/>
      <c r="AE179" s="320"/>
      <c r="AF179" s="351"/>
      <c r="AG179" s="257" t="s">
        <v>11873</v>
      </c>
      <c r="AH179" s="320"/>
      <c r="AI179" s="320"/>
      <c r="AJ179" s="351"/>
      <c r="AK179" s="320"/>
      <c r="AL179" s="105"/>
      <c r="AM179" s="351"/>
      <c r="AN179" s="351"/>
      <c r="AO179" s="320"/>
      <c r="AP179" s="320"/>
      <c r="AQ179" s="286"/>
      <c r="AR179" s="286"/>
      <c r="AS179" s="320"/>
      <c r="AT179" s="320"/>
      <c r="AU179" s="257" t="s">
        <v>5056</v>
      </c>
      <c r="AV179" s="351"/>
      <c r="AW179" s="351"/>
      <c r="AX179" s="320"/>
      <c r="AY179" s="320"/>
      <c r="AZ179" s="320"/>
      <c r="BA179" s="320"/>
      <c r="BB179" s="351"/>
      <c r="BC179" s="351"/>
      <c r="BD179" s="351"/>
      <c r="BE179" s="351"/>
      <c r="BF179" s="351"/>
      <c r="BG179" s="351"/>
      <c r="BH179" s="320"/>
      <c r="BI179" s="351"/>
      <c r="BJ179" s="320"/>
      <c r="BK179" s="351"/>
      <c r="BL179" s="351"/>
      <c r="BM179" s="320"/>
      <c r="BN179" s="320"/>
      <c r="BO179" s="351"/>
      <c r="BP179" s="320"/>
      <c r="BQ179" s="824"/>
      <c r="BR179" s="351"/>
      <c r="BS179" s="351"/>
      <c r="BT179" s="351"/>
      <c r="BU179" s="257" t="s">
        <v>9543</v>
      </c>
      <c r="BV179" s="351"/>
      <c r="BW179" s="351"/>
      <c r="BX179" s="320"/>
      <c r="BY179" s="351"/>
      <c r="BZ179" s="351"/>
      <c r="CA179" s="351"/>
      <c r="CB179" s="320"/>
      <c r="CC179" s="320"/>
      <c r="CD179" s="320"/>
      <c r="CE179" s="1786"/>
      <c r="CF179" s="824"/>
      <c r="CG179" s="351"/>
      <c r="CH179" s="351"/>
      <c r="CI179" s="351"/>
      <c r="CJ179" s="351"/>
      <c r="CK179" s="351"/>
      <c r="CL179" s="351"/>
      <c r="CM179" s="351"/>
      <c r="CN179" s="351"/>
      <c r="CO179" s="351"/>
      <c r="CP179" s="758"/>
      <c r="CQ179" s="320"/>
      <c r="CR179" s="320"/>
      <c r="CS179" s="320"/>
      <c r="CT179" s="320"/>
      <c r="CU179" s="106"/>
      <c r="CV179" s="351"/>
      <c r="CW179" s="351"/>
      <c r="CX179" s="351"/>
      <c r="CY179" s="351"/>
      <c r="CZ179" s="351"/>
      <c r="DA179" s="351"/>
      <c r="DB179" s="351"/>
      <c r="DC179" s="351"/>
      <c r="DD179" s="320"/>
      <c r="DE179" s="320"/>
      <c r="DF179" s="320"/>
      <c r="DG179" s="320"/>
      <c r="DH179" s="320"/>
      <c r="DI179" s="351"/>
      <c r="DJ179" s="320"/>
      <c r="DK179" s="320"/>
      <c r="DL179" s="351"/>
      <c r="DM179" s="351"/>
      <c r="DN179" s="351"/>
      <c r="DO179" s="320"/>
      <c r="DP179" s="320"/>
      <c r="DQ179" s="320"/>
      <c r="DR179" s="351"/>
      <c r="DS179" s="351"/>
      <c r="DT179" s="320"/>
      <c r="DU179" s="351"/>
      <c r="DV179" s="320"/>
      <c r="DW179" s="320"/>
      <c r="DX179" s="320"/>
      <c r="DY179" s="320"/>
      <c r="DZ179" s="320"/>
      <c r="EA179" s="351"/>
      <c r="EB179" s="320"/>
      <c r="EC179" s="320"/>
      <c r="ED179" s="862"/>
    </row>
    <row r="180">
      <c r="A180" s="2009" t="s">
        <v>11874</v>
      </c>
      <c r="B180" s="378" t="s">
        <v>11875</v>
      </c>
      <c r="C180" s="379" t="s">
        <v>171</v>
      </c>
      <c r="D180" s="380" t="s">
        <v>171</v>
      </c>
      <c r="E180" s="381" t="s">
        <v>171</v>
      </c>
      <c r="F180" s="382" t="s">
        <v>176</v>
      </c>
      <c r="G180" s="378" t="s">
        <v>176</v>
      </c>
      <c r="H180" s="1700"/>
      <c r="I180" s="1788"/>
      <c r="J180" s="1700"/>
      <c r="K180" s="1700"/>
      <c r="L180" s="1700"/>
      <c r="M180" s="1700"/>
      <c r="N180" s="1700"/>
      <c r="O180" s="1700"/>
      <c r="P180" s="1700"/>
      <c r="Q180" s="835"/>
      <c r="R180" s="835"/>
      <c r="S180" s="835"/>
      <c r="T180" s="835"/>
      <c r="U180" s="835"/>
      <c r="V180" s="835"/>
      <c r="W180" s="106"/>
      <c r="X180" s="402"/>
      <c r="Y180" s="402"/>
      <c r="Z180" s="402"/>
      <c r="AA180" s="402"/>
      <c r="AB180" s="1133"/>
      <c r="AC180" s="402"/>
      <c r="AD180" s="402"/>
      <c r="AE180" s="837"/>
      <c r="AF180" s="402"/>
      <c r="AG180" s="402"/>
      <c r="AH180" s="837"/>
      <c r="AI180" s="837"/>
      <c r="AJ180" s="402"/>
      <c r="AK180" s="837"/>
      <c r="AL180" s="105"/>
      <c r="AM180" s="413"/>
      <c r="AN180" s="413"/>
      <c r="AO180" s="839"/>
      <c r="AP180" s="839"/>
      <c r="AQ180" s="570"/>
      <c r="AR180" s="570"/>
      <c r="AS180" s="572" t="s">
        <v>706</v>
      </c>
      <c r="AT180" s="839"/>
      <c r="AU180" s="413"/>
      <c r="AV180" s="413"/>
      <c r="AW180" s="413"/>
      <c r="AX180" s="839"/>
      <c r="AY180" s="839"/>
      <c r="AZ180" s="839"/>
      <c r="BA180" s="839"/>
      <c r="BB180" s="1633"/>
      <c r="BC180" s="1633"/>
      <c r="BD180" s="1633"/>
      <c r="BE180" s="1633"/>
      <c r="BF180" s="1633"/>
      <c r="BG180" s="1633"/>
      <c r="BH180" s="580"/>
      <c r="BI180" s="1633"/>
      <c r="BJ180" s="580"/>
      <c r="BK180" s="1633"/>
      <c r="BL180" s="1633"/>
      <c r="BM180" s="580"/>
      <c r="BN180" s="580"/>
      <c r="BO180" s="1633"/>
      <c r="BP180" s="580"/>
      <c r="BQ180" s="845"/>
      <c r="BR180" s="424"/>
      <c r="BS180" s="424"/>
      <c r="BT180" s="424"/>
      <c r="BU180" s="424"/>
      <c r="BV180" s="424"/>
      <c r="BW180" s="424"/>
      <c r="BX180" s="849"/>
      <c r="BY180" s="424"/>
      <c r="BZ180" s="424"/>
      <c r="CA180" s="424"/>
      <c r="CB180" s="849"/>
      <c r="CC180" s="849"/>
      <c r="CD180" s="849"/>
      <c r="CE180" s="849"/>
      <c r="CF180" s="851"/>
      <c r="CG180" s="434"/>
      <c r="CH180" s="434"/>
      <c r="CI180" s="434"/>
      <c r="CJ180" s="434"/>
      <c r="CK180" s="434"/>
      <c r="CL180" s="791" t="s">
        <v>11876</v>
      </c>
      <c r="CM180" s="434"/>
      <c r="CN180" s="433" t="s">
        <v>1371</v>
      </c>
      <c r="CO180" s="434"/>
      <c r="CP180" s="1789"/>
      <c r="CQ180" s="852"/>
      <c r="CR180" s="852"/>
      <c r="CS180" s="852"/>
      <c r="CT180" s="852"/>
      <c r="CU180" s="106"/>
      <c r="CV180" s="467"/>
      <c r="CW180" s="913" t="s">
        <v>8859</v>
      </c>
      <c r="CX180" s="467"/>
      <c r="CY180" s="467"/>
      <c r="CZ180" s="467"/>
      <c r="DA180" s="467"/>
      <c r="DB180" s="467"/>
      <c r="DC180" s="467"/>
      <c r="DD180" s="853"/>
      <c r="DE180" s="853"/>
      <c r="DF180" s="853"/>
      <c r="DG180" s="853"/>
      <c r="DH180" s="853"/>
      <c r="DI180" s="686"/>
      <c r="DJ180" s="855"/>
      <c r="DK180" s="855"/>
      <c r="DL180" s="686"/>
      <c r="DM180" s="686"/>
      <c r="DN180" s="686"/>
      <c r="DO180" s="855"/>
      <c r="DP180" s="855"/>
      <c r="DQ180" s="855"/>
      <c r="DR180" s="686"/>
      <c r="DS180" s="686"/>
      <c r="DT180" s="855"/>
      <c r="DU180" s="686"/>
      <c r="DV180" s="855"/>
      <c r="DW180" s="855"/>
      <c r="DX180" s="855"/>
      <c r="DY180" s="855"/>
      <c r="DZ180" s="855"/>
      <c r="EA180" s="686"/>
      <c r="EB180" s="855"/>
      <c r="EC180" s="855"/>
      <c r="ED180" s="1039"/>
    </row>
    <row r="181">
      <c r="A181" s="244" t="s">
        <v>11877</v>
      </c>
      <c r="B181" s="245" t="s">
        <v>11878</v>
      </c>
      <c r="C181" s="246" t="s">
        <v>271</v>
      </c>
      <c r="D181" s="247" t="s">
        <v>271</v>
      </c>
      <c r="E181" s="248" t="s">
        <v>271</v>
      </c>
      <c r="F181" s="249" t="s">
        <v>271</v>
      </c>
      <c r="G181" s="245" t="s">
        <v>1234</v>
      </c>
      <c r="H181" s="320"/>
      <c r="I181" s="286" t="s">
        <v>11879</v>
      </c>
      <c r="J181" s="286" t="s">
        <v>4140</v>
      </c>
      <c r="K181" s="286" t="s">
        <v>9339</v>
      </c>
      <c r="L181" s="286" t="s">
        <v>6135</v>
      </c>
      <c r="M181" s="286" t="s">
        <v>11880</v>
      </c>
      <c r="N181" s="320"/>
      <c r="O181" s="286" t="s">
        <v>6921</v>
      </c>
      <c r="P181" s="286" t="s">
        <v>2143</v>
      </c>
      <c r="Q181" s="320"/>
      <c r="R181" s="320"/>
      <c r="S181" s="320"/>
      <c r="T181" s="320"/>
      <c r="U181" s="320"/>
      <c r="V181" s="320"/>
      <c r="W181" s="106"/>
      <c r="X181" s="286" t="s">
        <v>3700</v>
      </c>
      <c r="Y181" s="286"/>
      <c r="Z181" s="286" t="s">
        <v>11435</v>
      </c>
      <c r="AA181" s="286" t="s">
        <v>8845</v>
      </c>
      <c r="AB181" s="286" t="s">
        <v>6076</v>
      </c>
      <c r="AC181" s="286" t="s">
        <v>11881</v>
      </c>
      <c r="AD181" s="286" t="s">
        <v>10745</v>
      </c>
      <c r="AE181" s="320"/>
      <c r="AF181" s="286" t="s">
        <v>11882</v>
      </c>
      <c r="AG181" s="286" t="s">
        <v>2963</v>
      </c>
      <c r="AH181" s="320"/>
      <c r="AI181" s="320"/>
      <c r="AJ181" s="320"/>
      <c r="AK181" s="320"/>
      <c r="AL181" s="105"/>
      <c r="AM181" s="320"/>
      <c r="AN181" s="320"/>
      <c r="AO181" s="320"/>
      <c r="AP181" s="320"/>
      <c r="AQ181" s="320"/>
      <c r="AR181" s="320"/>
      <c r="AS181" s="320"/>
      <c r="AT181" s="320"/>
      <c r="AU181" s="286" t="s">
        <v>4749</v>
      </c>
      <c r="AV181" s="286" t="s">
        <v>5489</v>
      </c>
      <c r="AW181" s="320"/>
      <c r="AX181" s="320"/>
      <c r="AY181" s="320"/>
      <c r="AZ181" s="320"/>
      <c r="BA181" s="320"/>
      <c r="BB181" s="320"/>
      <c r="BC181" s="286" t="s">
        <v>3229</v>
      </c>
      <c r="BD181" s="286" t="s">
        <v>10425</v>
      </c>
      <c r="BE181" s="286" t="s">
        <v>722</v>
      </c>
      <c r="BF181" s="286" t="s">
        <v>6321</v>
      </c>
      <c r="BG181" s="320"/>
      <c r="BH181" s="320"/>
      <c r="BI181" s="286" t="s">
        <v>11883</v>
      </c>
      <c r="BJ181" s="286" t="s">
        <v>11884</v>
      </c>
      <c r="BK181" s="286"/>
      <c r="BL181" s="286" t="s">
        <v>1795</v>
      </c>
      <c r="BM181" s="320"/>
      <c r="BN181" s="320"/>
      <c r="BO181" s="320"/>
      <c r="BP181" s="320"/>
      <c r="BQ181" s="824"/>
      <c r="BR181" s="286"/>
      <c r="BS181" s="320"/>
      <c r="BT181" s="286" t="s">
        <v>11885</v>
      </c>
      <c r="BU181" s="286" t="s">
        <v>7847</v>
      </c>
      <c r="BV181" s="320"/>
      <c r="BW181" s="286" t="s">
        <v>1264</v>
      </c>
      <c r="BX181" s="286" t="s">
        <v>11592</v>
      </c>
      <c r="BY181" s="286" t="s">
        <v>9615</v>
      </c>
      <c r="BZ181" s="320"/>
      <c r="CA181" s="286" t="s">
        <v>8661</v>
      </c>
      <c r="CB181" s="320"/>
      <c r="CC181" s="320"/>
      <c r="CD181" s="320"/>
      <c r="CE181" s="320"/>
      <c r="CF181" s="824"/>
      <c r="CG181" s="286" t="s">
        <v>6885</v>
      </c>
      <c r="CH181" s="286" t="s">
        <v>6701</v>
      </c>
      <c r="CI181" s="286" t="s">
        <v>9443</v>
      </c>
      <c r="CJ181" s="286" t="s">
        <v>8280</v>
      </c>
      <c r="CK181" s="286"/>
      <c r="CL181" s="286" t="s">
        <v>7363</v>
      </c>
      <c r="CM181" s="320"/>
      <c r="CN181" s="286" t="s">
        <v>990</v>
      </c>
      <c r="CO181" s="286" t="s">
        <v>185</v>
      </c>
      <c r="CP181" s="320"/>
      <c r="CQ181" s="320"/>
      <c r="CR181" s="320"/>
      <c r="CS181" s="320"/>
      <c r="CT181" s="320"/>
      <c r="CU181" s="106"/>
      <c r="CV181" s="286" t="s">
        <v>6657</v>
      </c>
      <c r="CW181" s="286" t="s">
        <v>11886</v>
      </c>
      <c r="CX181" s="286" t="s">
        <v>416</v>
      </c>
      <c r="CY181" s="320"/>
      <c r="CZ181" s="320"/>
      <c r="DA181" s="320"/>
      <c r="DB181" s="286" t="s">
        <v>11887</v>
      </c>
      <c r="DC181" s="286" t="s">
        <v>8840</v>
      </c>
      <c r="DD181" s="320"/>
      <c r="DE181" s="320"/>
      <c r="DF181" s="320"/>
      <c r="DG181" s="320"/>
      <c r="DH181" s="320"/>
      <c r="DI181" s="320"/>
      <c r="DJ181" s="320"/>
      <c r="DK181" s="320"/>
      <c r="DL181" s="320"/>
      <c r="DM181" s="320"/>
      <c r="DN181" s="320"/>
      <c r="DO181" s="320"/>
      <c r="DP181" s="320"/>
      <c r="DQ181" s="320"/>
      <c r="DR181" s="320"/>
      <c r="DS181" s="320"/>
      <c r="DT181" s="320"/>
      <c r="DU181" s="320"/>
      <c r="DV181" s="320"/>
      <c r="DW181" s="320"/>
      <c r="DX181" s="320"/>
      <c r="DY181" s="320"/>
      <c r="DZ181" s="320"/>
      <c r="EA181" s="320"/>
      <c r="EB181" s="320"/>
      <c r="EC181" s="320"/>
      <c r="ED181" s="862"/>
    </row>
    <row r="182">
      <c r="A182" s="540" t="s">
        <v>9240</v>
      </c>
      <c r="B182" s="378" t="s">
        <v>11888</v>
      </c>
      <c r="C182" s="379" t="s">
        <v>271</v>
      </c>
      <c r="D182" s="380" t="s">
        <v>271</v>
      </c>
      <c r="E182" s="381" t="s">
        <v>271</v>
      </c>
      <c r="F182" s="382" t="s">
        <v>271</v>
      </c>
      <c r="G182" s="378" t="s">
        <v>176</v>
      </c>
      <c r="H182" s="835"/>
      <c r="I182" s="835"/>
      <c r="J182" s="835"/>
      <c r="K182" s="835"/>
      <c r="L182" s="541" t="s">
        <v>10022</v>
      </c>
      <c r="M182" s="835"/>
      <c r="N182" s="835"/>
      <c r="O182" s="835"/>
      <c r="P182" s="835"/>
      <c r="Q182" s="835"/>
      <c r="R182" s="835"/>
      <c r="S182" s="835"/>
      <c r="T182" s="835"/>
      <c r="U182" s="835"/>
      <c r="V182" s="835"/>
      <c r="W182" s="106"/>
      <c r="X182" s="837"/>
      <c r="Y182" s="670"/>
      <c r="Z182" s="670" t="s">
        <v>9878</v>
      </c>
      <c r="AA182" s="837"/>
      <c r="AB182" s="837"/>
      <c r="AC182" s="837"/>
      <c r="AD182" s="837"/>
      <c r="AE182" s="837"/>
      <c r="AF182" s="837"/>
      <c r="AG182" s="837"/>
      <c r="AH182" s="837"/>
      <c r="AI182" s="837"/>
      <c r="AJ182" s="837"/>
      <c r="AK182" s="837"/>
      <c r="AL182" s="105"/>
      <c r="AM182" s="839"/>
      <c r="AN182" s="839"/>
      <c r="AO182" s="839"/>
      <c r="AP182" s="839"/>
      <c r="AQ182" s="839"/>
      <c r="AR182" s="839"/>
      <c r="AS182" s="839"/>
      <c r="AT182" s="839"/>
      <c r="AU182" s="839"/>
      <c r="AV182" s="839"/>
      <c r="AW182" s="839"/>
      <c r="AX182" s="839"/>
      <c r="AY182" s="839"/>
      <c r="AZ182" s="839"/>
      <c r="BA182" s="839"/>
      <c r="BB182" s="580"/>
      <c r="BC182" s="580"/>
      <c r="BD182" s="580"/>
      <c r="BE182" s="580"/>
      <c r="BF182" s="580"/>
      <c r="BG182" s="580"/>
      <c r="BH182" s="580"/>
      <c r="BI182" s="580"/>
      <c r="BJ182" s="580"/>
      <c r="BK182" s="580"/>
      <c r="BL182" s="580"/>
      <c r="BM182" s="580"/>
      <c r="BN182" s="580"/>
      <c r="BO182" s="580"/>
      <c r="BP182" s="580"/>
      <c r="BQ182" s="845"/>
      <c r="BR182" s="849"/>
      <c r="BS182" s="849"/>
      <c r="BT182" s="849"/>
      <c r="BU182" s="849"/>
      <c r="BV182" s="849"/>
      <c r="BW182" s="849"/>
      <c r="BX182" s="849"/>
      <c r="BY182" s="849"/>
      <c r="BZ182" s="849"/>
      <c r="CA182" s="849"/>
      <c r="CB182" s="849"/>
      <c r="CC182" s="849"/>
      <c r="CD182" s="849"/>
      <c r="CE182" s="849"/>
      <c r="CF182" s="851"/>
      <c r="CG182" s="852"/>
      <c r="CH182" s="852"/>
      <c r="CI182" s="852"/>
      <c r="CJ182" s="852"/>
      <c r="CK182" s="852"/>
      <c r="CL182" s="852"/>
      <c r="CM182" s="593" t="s">
        <v>11402</v>
      </c>
      <c r="CN182" s="852"/>
      <c r="CO182" s="852"/>
      <c r="CP182" s="852"/>
      <c r="CQ182" s="852"/>
      <c r="CR182" s="852"/>
      <c r="CS182" s="852"/>
      <c r="CT182" s="852"/>
      <c r="CU182" s="106"/>
      <c r="CV182" s="853"/>
      <c r="CW182" s="853"/>
      <c r="CX182" s="853"/>
      <c r="CY182" s="853"/>
      <c r="CZ182" s="853"/>
      <c r="DA182" s="853"/>
      <c r="DB182" s="683" t="s">
        <v>528</v>
      </c>
      <c r="DC182" s="853"/>
      <c r="DD182" s="853"/>
      <c r="DE182" s="853"/>
      <c r="DF182" s="853"/>
      <c r="DG182" s="853"/>
      <c r="DH182" s="853"/>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1039"/>
    </row>
    <row r="183">
      <c r="A183" s="244" t="s">
        <v>11889</v>
      </c>
      <c r="B183" s="245" t="s">
        <v>11890</v>
      </c>
      <c r="C183" s="246" t="s">
        <v>271</v>
      </c>
      <c r="D183" s="247" t="s">
        <v>271</v>
      </c>
      <c r="E183" s="248" t="s">
        <v>271</v>
      </c>
      <c r="F183" s="249" t="s">
        <v>394</v>
      </c>
      <c r="G183" s="245" t="s">
        <v>3441</v>
      </c>
      <c r="H183" s="286" t="s">
        <v>5914</v>
      </c>
      <c r="I183" s="320"/>
      <c r="J183" s="286" t="s">
        <v>11891</v>
      </c>
      <c r="K183" s="257" t="s">
        <v>10934</v>
      </c>
      <c r="L183" s="511" t="s">
        <v>9950</v>
      </c>
      <c r="M183" s="320"/>
      <c r="N183" s="320"/>
      <c r="O183" s="320"/>
      <c r="P183" s="286" t="s">
        <v>11892</v>
      </c>
      <c r="Q183" s="320"/>
      <c r="R183" s="320"/>
      <c r="S183" s="320"/>
      <c r="T183" s="320"/>
      <c r="U183" s="320"/>
      <c r="V183" s="320"/>
      <c r="W183" s="106"/>
      <c r="X183" s="257" t="s">
        <v>11893</v>
      </c>
      <c r="Y183" s="286"/>
      <c r="Z183" s="286" t="s">
        <v>1032</v>
      </c>
      <c r="AA183" s="257" t="s">
        <v>7360</v>
      </c>
      <c r="AB183" s="320"/>
      <c r="AC183" s="286" t="s">
        <v>10958</v>
      </c>
      <c r="AD183" s="320"/>
      <c r="AE183" s="320"/>
      <c r="AF183" s="320"/>
      <c r="AG183" s="286" t="s">
        <v>1989</v>
      </c>
      <c r="AH183" s="320"/>
      <c r="AI183" s="320"/>
      <c r="AJ183" s="320"/>
      <c r="AK183" s="320"/>
      <c r="AL183" s="105"/>
      <c r="AM183" s="320"/>
      <c r="AN183" s="320"/>
      <c r="AO183" s="320"/>
      <c r="AP183" s="320"/>
      <c r="AQ183" s="320"/>
      <c r="AR183" s="320"/>
      <c r="AS183" s="320"/>
      <c r="AT183" s="320"/>
      <c r="AU183" s="286" t="s">
        <v>6586</v>
      </c>
      <c r="AV183" s="286" t="s">
        <v>11894</v>
      </c>
      <c r="AW183" s="320"/>
      <c r="AX183" s="320"/>
      <c r="AY183" s="320"/>
      <c r="AZ183" s="320"/>
      <c r="BA183" s="320"/>
      <c r="BB183" s="320"/>
      <c r="BC183" s="286" t="s">
        <v>3614</v>
      </c>
      <c r="BD183" s="286" t="s">
        <v>1783</v>
      </c>
      <c r="BE183" s="286" t="s">
        <v>11895</v>
      </c>
      <c r="BF183" s="320"/>
      <c r="BG183" s="286" t="s">
        <v>10732</v>
      </c>
      <c r="BH183" s="286" t="s">
        <v>6907</v>
      </c>
      <c r="BI183" s="286" t="s">
        <v>1202</v>
      </c>
      <c r="BJ183" s="320"/>
      <c r="BK183" s="320"/>
      <c r="BL183" s="320"/>
      <c r="BM183" s="320"/>
      <c r="BN183" s="320"/>
      <c r="BO183" s="320"/>
      <c r="BP183" s="320"/>
      <c r="BQ183" s="824"/>
      <c r="BR183" s="320"/>
      <c r="BS183" s="320"/>
      <c r="BT183" s="320"/>
      <c r="BU183" s="286" t="s">
        <v>9952</v>
      </c>
      <c r="BV183" s="320"/>
      <c r="BW183" s="257" t="s">
        <v>10936</v>
      </c>
      <c r="BX183" s="320"/>
      <c r="BY183" s="320"/>
      <c r="BZ183" s="320"/>
      <c r="CA183" s="257" t="s">
        <v>2539</v>
      </c>
      <c r="CB183" s="320"/>
      <c r="CC183" s="320"/>
      <c r="CD183" s="320"/>
      <c r="CE183" s="320"/>
      <c r="CF183" s="824"/>
      <c r="CG183" s="257" t="s">
        <v>11896</v>
      </c>
      <c r="CH183" s="286" t="s">
        <v>11897</v>
      </c>
      <c r="CI183" s="320"/>
      <c r="CJ183" s="320"/>
      <c r="CK183" s="320"/>
      <c r="CL183" s="320"/>
      <c r="CM183" s="320"/>
      <c r="CN183" s="257" t="s">
        <v>11070</v>
      </c>
      <c r="CO183" s="257" t="s">
        <v>11898</v>
      </c>
      <c r="CP183" s="320"/>
      <c r="CQ183" s="320"/>
      <c r="CR183" s="320"/>
      <c r="CS183" s="320"/>
      <c r="CT183" s="320"/>
      <c r="CU183" s="106"/>
      <c r="CV183" s="351" t="s">
        <v>7459</v>
      </c>
      <c r="CW183" s="286" t="s">
        <v>644</v>
      </c>
      <c r="CX183" s="320"/>
      <c r="CY183" s="320"/>
      <c r="CZ183" s="320"/>
      <c r="DA183" s="320"/>
      <c r="DB183" s="257" t="s">
        <v>11899</v>
      </c>
      <c r="DC183" s="320"/>
      <c r="DD183" s="320"/>
      <c r="DE183" s="320"/>
      <c r="DF183" s="320"/>
      <c r="DG183" s="320"/>
      <c r="DH183" s="320"/>
      <c r="DI183" s="320"/>
      <c r="DJ183" s="320"/>
      <c r="DK183" s="320"/>
      <c r="DL183" s="320"/>
      <c r="DM183" s="320"/>
      <c r="DN183" s="320"/>
      <c r="DO183" s="320"/>
      <c r="DP183" s="320"/>
      <c r="DQ183" s="320"/>
      <c r="DR183" s="320"/>
      <c r="DS183" s="320"/>
      <c r="DT183" s="320"/>
      <c r="DU183" s="320"/>
      <c r="DV183" s="320"/>
      <c r="DW183" s="320"/>
      <c r="DX183" s="320"/>
      <c r="DY183" s="320"/>
      <c r="DZ183" s="320"/>
      <c r="EA183" s="320"/>
      <c r="EB183" s="320"/>
      <c r="EC183" s="320"/>
      <c r="ED183" s="862"/>
    </row>
    <row r="184">
      <c r="A184" s="540" t="s">
        <v>753</v>
      </c>
      <c r="B184" s="378" t="s">
        <v>11900</v>
      </c>
      <c r="C184" s="379" t="s">
        <v>271</v>
      </c>
      <c r="D184" s="380" t="s">
        <v>271</v>
      </c>
      <c r="E184" s="381" t="s">
        <v>171</v>
      </c>
      <c r="F184" s="382" t="s">
        <v>171</v>
      </c>
      <c r="G184" s="378" t="s">
        <v>176</v>
      </c>
      <c r="H184" s="835"/>
      <c r="I184" s="541"/>
      <c r="J184" s="835"/>
      <c r="K184" s="835"/>
      <c r="L184" s="835"/>
      <c r="M184" s="835"/>
      <c r="N184" s="835"/>
      <c r="O184" s="835"/>
      <c r="P184" s="835"/>
      <c r="Q184" s="835"/>
      <c r="R184" s="835"/>
      <c r="S184" s="835"/>
      <c r="T184" s="835"/>
      <c r="U184" s="835"/>
      <c r="V184" s="835"/>
      <c r="W184" s="106"/>
      <c r="X184" s="837"/>
      <c r="Y184" s="397"/>
      <c r="Z184" s="2010" t="s">
        <v>11516</v>
      </c>
      <c r="AA184" s="837"/>
      <c r="AB184" s="837"/>
      <c r="AC184" s="837"/>
      <c r="AD184" s="837"/>
      <c r="AE184" s="837"/>
      <c r="AF184" s="837"/>
      <c r="AG184" s="837"/>
      <c r="AH184" s="837"/>
      <c r="AI184" s="908"/>
      <c r="AJ184" s="908"/>
      <c r="AK184" s="837"/>
      <c r="AL184" s="105"/>
      <c r="AM184" s="839"/>
      <c r="AN184" s="839"/>
      <c r="AO184" s="839"/>
      <c r="AP184" s="839"/>
      <c r="AQ184" s="839"/>
      <c r="AR184" s="839"/>
      <c r="AS184" s="839"/>
      <c r="AT184" s="839"/>
      <c r="AU184" s="839"/>
      <c r="AV184" s="839"/>
      <c r="AW184" s="839"/>
      <c r="AX184" s="839"/>
      <c r="AY184" s="839"/>
      <c r="AZ184" s="839"/>
      <c r="BA184" s="839"/>
      <c r="BB184" s="580"/>
      <c r="BC184" s="580"/>
      <c r="BD184" s="580"/>
      <c r="BE184" s="580"/>
      <c r="BF184" s="580"/>
      <c r="BG184" s="580"/>
      <c r="BH184" s="580"/>
      <c r="BI184" s="580"/>
      <c r="BJ184" s="580"/>
      <c r="BK184" s="580"/>
      <c r="BL184" s="580"/>
      <c r="BM184" s="580"/>
      <c r="BN184" s="580"/>
      <c r="BO184" s="580"/>
      <c r="BP184" s="580"/>
      <c r="BQ184" s="845"/>
      <c r="BR184" s="849"/>
      <c r="BS184" s="849"/>
      <c r="BT184" s="849"/>
      <c r="BU184" s="849"/>
      <c r="BV184" s="849"/>
      <c r="BW184" s="849"/>
      <c r="BX184" s="1147" t="s">
        <v>11901</v>
      </c>
      <c r="BY184" s="849"/>
      <c r="BZ184" s="849"/>
      <c r="CA184" s="849"/>
      <c r="CB184" s="849"/>
      <c r="CC184" s="849"/>
      <c r="CD184" s="849"/>
      <c r="CE184" s="849"/>
      <c r="CF184" s="851"/>
      <c r="CG184" s="852"/>
      <c r="CH184" s="852"/>
      <c r="CI184" s="852"/>
      <c r="CJ184" s="1154" t="s">
        <v>5781</v>
      </c>
      <c r="CK184" s="1154" t="s">
        <v>11902</v>
      </c>
      <c r="CL184" s="869"/>
      <c r="CM184" s="852"/>
      <c r="CN184" s="852"/>
      <c r="CO184" s="852"/>
      <c r="CP184" s="852"/>
      <c r="CQ184" s="852"/>
      <c r="CR184" s="852"/>
      <c r="CS184" s="852"/>
      <c r="CT184" s="869"/>
      <c r="CU184" s="106"/>
      <c r="CV184" s="853"/>
      <c r="CW184" s="853"/>
      <c r="CX184" s="853"/>
      <c r="CY184" s="853"/>
      <c r="CZ184" s="853"/>
      <c r="DA184" s="853"/>
      <c r="DB184" s="853"/>
      <c r="DC184" s="853"/>
      <c r="DD184" s="853"/>
      <c r="DE184" s="853"/>
      <c r="DF184" s="853"/>
      <c r="DG184" s="853"/>
      <c r="DH184" s="853"/>
      <c r="DI184" s="855"/>
      <c r="DJ184" s="855"/>
      <c r="DK184" s="855"/>
      <c r="DL184" s="855"/>
      <c r="DM184" s="855"/>
      <c r="DN184" s="855"/>
      <c r="DO184" s="855"/>
      <c r="DP184" s="855"/>
      <c r="DQ184" s="855"/>
      <c r="DR184" s="855"/>
      <c r="DS184" s="855"/>
      <c r="DT184" s="855"/>
      <c r="DU184" s="855"/>
      <c r="DV184" s="855"/>
      <c r="DW184" s="855"/>
      <c r="DX184" s="855"/>
      <c r="DY184" s="855"/>
      <c r="DZ184" s="855"/>
      <c r="EA184" s="855"/>
      <c r="EB184" s="855"/>
      <c r="EC184" s="855"/>
      <c r="ED184" s="1039"/>
    </row>
    <row r="185">
      <c r="A185" s="244" t="s">
        <v>8310</v>
      </c>
      <c r="B185" s="245" t="s">
        <v>11903</v>
      </c>
      <c r="C185" s="246" t="s">
        <v>271</v>
      </c>
      <c r="D185" s="247" t="s">
        <v>271</v>
      </c>
      <c r="E185" s="248" t="s">
        <v>271</v>
      </c>
      <c r="F185" s="249" t="s">
        <v>271</v>
      </c>
      <c r="G185" s="245" t="s">
        <v>2442</v>
      </c>
      <c r="H185" s="286" t="s">
        <v>1585</v>
      </c>
      <c r="I185" s="286" t="s">
        <v>11904</v>
      </c>
      <c r="J185" s="286" t="s">
        <v>2220</v>
      </c>
      <c r="K185" s="286" t="s">
        <v>9497</v>
      </c>
      <c r="L185" s="286" t="s">
        <v>2944</v>
      </c>
      <c r="M185" s="286" t="s">
        <v>11905</v>
      </c>
      <c r="N185" s="286" t="s">
        <v>11906</v>
      </c>
      <c r="O185" s="286" t="s">
        <v>3584</v>
      </c>
      <c r="P185" s="286" t="s">
        <v>1663</v>
      </c>
      <c r="Q185" s="286"/>
      <c r="R185" s="286"/>
      <c r="S185" s="286"/>
      <c r="T185" s="286"/>
      <c r="U185" s="286"/>
      <c r="V185" s="286"/>
      <c r="W185" s="106"/>
      <c r="X185" s="286" t="s">
        <v>11907</v>
      </c>
      <c r="Y185" s="286"/>
      <c r="Z185" s="286" t="s">
        <v>11157</v>
      </c>
      <c r="AA185" s="286" t="s">
        <v>2582</v>
      </c>
      <c r="AB185" s="286" t="s">
        <v>9519</v>
      </c>
      <c r="AC185" s="286" t="s">
        <v>11610</v>
      </c>
      <c r="AD185" s="286" t="s">
        <v>11908</v>
      </c>
      <c r="AE185" s="286" t="s">
        <v>10382</v>
      </c>
      <c r="AF185" s="286" t="s">
        <v>11909</v>
      </c>
      <c r="AG185" s="286" t="s">
        <v>1130</v>
      </c>
      <c r="AH185" s="286"/>
      <c r="AI185" s="286"/>
      <c r="AJ185" s="286"/>
      <c r="AK185" s="286"/>
      <c r="AL185" s="105"/>
      <c r="AM185" s="286"/>
      <c r="AN185" s="286"/>
      <c r="AO185" s="286"/>
      <c r="AP185" s="286"/>
      <c r="AQ185" s="286"/>
      <c r="AR185" s="286"/>
      <c r="AS185" s="286"/>
      <c r="AT185" s="286"/>
      <c r="AU185" s="286" t="s">
        <v>11910</v>
      </c>
      <c r="AV185" s="286" t="s">
        <v>2058</v>
      </c>
      <c r="AW185" s="286"/>
      <c r="AX185" s="286"/>
      <c r="AY185" s="286"/>
      <c r="AZ185" s="286"/>
      <c r="BA185" s="286"/>
      <c r="BB185" s="286" t="s">
        <v>7377</v>
      </c>
      <c r="BC185" s="286" t="s">
        <v>10467</v>
      </c>
      <c r="BD185" s="286" t="s">
        <v>8440</v>
      </c>
      <c r="BE185" s="286" t="s">
        <v>11911</v>
      </c>
      <c r="BF185" s="286" t="s">
        <v>11912</v>
      </c>
      <c r="BG185" s="286" t="s">
        <v>5706</v>
      </c>
      <c r="BH185" s="286" t="s">
        <v>2639</v>
      </c>
      <c r="BI185" s="286" t="s">
        <v>3909</v>
      </c>
      <c r="BJ185" s="320"/>
      <c r="BK185" s="320"/>
      <c r="BL185" s="320"/>
      <c r="BM185" s="286"/>
      <c r="BN185" s="286"/>
      <c r="BO185" s="286"/>
      <c r="BP185" s="286"/>
      <c r="BQ185" s="324"/>
      <c r="BR185" s="286"/>
      <c r="BS185" s="320"/>
      <c r="BT185" s="1695" t="s">
        <v>8122</v>
      </c>
      <c r="BU185" s="286" t="s">
        <v>11913</v>
      </c>
      <c r="BV185" s="1695"/>
      <c r="BW185" s="286" t="s">
        <v>11122</v>
      </c>
      <c r="BX185" s="286"/>
      <c r="BY185" s="320"/>
      <c r="BZ185" s="320"/>
      <c r="CA185" s="320"/>
      <c r="CB185" s="320"/>
      <c r="CC185" s="320"/>
      <c r="CD185" s="320"/>
      <c r="CE185" s="320"/>
      <c r="CF185" s="824"/>
      <c r="CG185" s="320"/>
      <c r="CH185" s="320"/>
      <c r="CI185" s="320"/>
      <c r="CJ185" s="320"/>
      <c r="CK185" s="320"/>
      <c r="CL185" s="320"/>
      <c r="CM185" s="320"/>
      <c r="CN185" s="320"/>
      <c r="CO185" s="320"/>
      <c r="CP185" s="320"/>
      <c r="CQ185" s="320"/>
      <c r="CR185" s="320"/>
      <c r="CS185" s="320"/>
      <c r="CT185" s="320"/>
      <c r="CU185" s="106"/>
      <c r="CV185" s="286" t="s">
        <v>9677</v>
      </c>
      <c r="CW185" s="286" t="s">
        <v>5165</v>
      </c>
      <c r="CX185" s="286" t="s">
        <v>3396</v>
      </c>
      <c r="CY185" s="320"/>
      <c r="CZ185" s="286" t="s">
        <v>7706</v>
      </c>
      <c r="DA185" s="320"/>
      <c r="DB185" s="320"/>
      <c r="DC185" s="320"/>
      <c r="DD185" s="320"/>
      <c r="DE185" s="320"/>
      <c r="DF185" s="320"/>
      <c r="DG185" s="320"/>
      <c r="DH185" s="320"/>
      <c r="DI185" s="286" t="s">
        <v>9889</v>
      </c>
      <c r="DJ185" s="320"/>
      <c r="DK185" s="320"/>
      <c r="DL185" s="320"/>
      <c r="DM185" s="320"/>
      <c r="DN185" s="320"/>
      <c r="DO185" s="320"/>
      <c r="DP185" s="320"/>
      <c r="DQ185" s="320"/>
      <c r="DR185" s="286" t="s">
        <v>11914</v>
      </c>
      <c r="DS185" s="286"/>
      <c r="DT185" s="1695"/>
      <c r="DU185" s="320"/>
      <c r="DV185" s="320"/>
      <c r="DW185" s="320"/>
      <c r="DX185" s="320"/>
      <c r="DY185" s="320"/>
      <c r="DZ185" s="320"/>
      <c r="EA185" s="320"/>
      <c r="EB185" s="320"/>
      <c r="EC185" s="320"/>
      <c r="ED185" s="862"/>
    </row>
    <row r="186">
      <c r="A186" s="540" t="s">
        <v>11915</v>
      </c>
      <c r="B186" s="378" t="s">
        <v>11916</v>
      </c>
      <c r="C186" s="379" t="s">
        <v>271</v>
      </c>
      <c r="D186" s="380" t="s">
        <v>271</v>
      </c>
      <c r="E186" s="381" t="s">
        <v>271</v>
      </c>
      <c r="F186" s="382" t="s">
        <v>271</v>
      </c>
      <c r="G186" s="378" t="s">
        <v>207</v>
      </c>
      <c r="H186" s="835"/>
      <c r="I186" s="541" t="s">
        <v>11917</v>
      </c>
      <c r="J186" s="541" t="s">
        <v>886</v>
      </c>
      <c r="K186" s="541" t="s">
        <v>3353</v>
      </c>
      <c r="L186" s="541" t="s">
        <v>6438</v>
      </c>
      <c r="M186" s="541" t="s">
        <v>11918</v>
      </c>
      <c r="N186" s="835"/>
      <c r="O186" s="541" t="s">
        <v>10059</v>
      </c>
      <c r="P186" s="541" t="s">
        <v>2963</v>
      </c>
      <c r="Q186" s="835"/>
      <c r="R186" s="835"/>
      <c r="S186" s="835"/>
      <c r="T186" s="835"/>
      <c r="U186" s="835"/>
      <c r="V186" s="835"/>
      <c r="W186" s="106"/>
      <c r="X186" s="670" t="s">
        <v>666</v>
      </c>
      <c r="Y186" s="670"/>
      <c r="Z186" s="670" t="s">
        <v>10076</v>
      </c>
      <c r="AA186" s="670" t="s">
        <v>1188</v>
      </c>
      <c r="AB186" s="837"/>
      <c r="AC186" s="670" t="s">
        <v>11919</v>
      </c>
      <c r="AD186" s="837"/>
      <c r="AE186" s="837"/>
      <c r="AF186" s="837"/>
      <c r="AG186" s="670" t="s">
        <v>5651</v>
      </c>
      <c r="AH186" s="837"/>
      <c r="AI186" s="837"/>
      <c r="AJ186" s="837"/>
      <c r="AK186" s="837"/>
      <c r="AL186" s="105"/>
      <c r="AM186" s="839"/>
      <c r="AN186" s="839"/>
      <c r="AO186" s="839"/>
      <c r="AP186" s="839"/>
      <c r="AQ186" s="839"/>
      <c r="AR186" s="839"/>
      <c r="AS186" s="839"/>
      <c r="AT186" s="839"/>
      <c r="AU186" s="570" t="s">
        <v>10482</v>
      </c>
      <c r="AV186" s="570" t="s">
        <v>9276</v>
      </c>
      <c r="AW186" s="839"/>
      <c r="AX186" s="839"/>
      <c r="AY186" s="839"/>
      <c r="AZ186" s="839"/>
      <c r="BA186" s="839"/>
      <c r="BB186" s="581" t="s">
        <v>7936</v>
      </c>
      <c r="BC186" s="581" t="s">
        <v>5876</v>
      </c>
      <c r="BD186" s="580"/>
      <c r="BE186" s="581" t="s">
        <v>659</v>
      </c>
      <c r="BF186" s="580"/>
      <c r="BG186" s="580"/>
      <c r="BH186" s="580"/>
      <c r="BI186" s="581" t="s">
        <v>1095</v>
      </c>
      <c r="BJ186" s="580"/>
      <c r="BK186" s="581" t="s">
        <v>11920</v>
      </c>
      <c r="BL186" s="581" t="s">
        <v>708</v>
      </c>
      <c r="BM186" s="580"/>
      <c r="BN186" s="580"/>
      <c r="BO186" s="580"/>
      <c r="BP186" s="580"/>
      <c r="BQ186" s="845"/>
      <c r="BR186" s="849"/>
      <c r="BS186" s="849"/>
      <c r="BT186" s="849"/>
      <c r="BU186" s="589" t="s">
        <v>2861</v>
      </c>
      <c r="BV186" s="849"/>
      <c r="BW186" s="849"/>
      <c r="BX186" s="849"/>
      <c r="BY186" s="589" t="s">
        <v>11921</v>
      </c>
      <c r="BZ186" s="589" t="s">
        <v>2715</v>
      </c>
      <c r="CA186" s="589" t="s">
        <v>10219</v>
      </c>
      <c r="CB186" s="849"/>
      <c r="CC186" s="849"/>
      <c r="CD186" s="849"/>
      <c r="CE186" s="849"/>
      <c r="CF186" s="851"/>
      <c r="CG186" s="593" t="s">
        <v>5674</v>
      </c>
      <c r="CH186" s="593" t="s">
        <v>10022</v>
      </c>
      <c r="CI186" s="593" t="s">
        <v>2518</v>
      </c>
      <c r="CJ186" s="593" t="s">
        <v>11922</v>
      </c>
      <c r="CK186" s="593"/>
      <c r="CL186" s="593"/>
      <c r="CM186" s="852"/>
      <c r="CN186" s="593" t="s">
        <v>3701</v>
      </c>
      <c r="CO186" s="593" t="s">
        <v>11841</v>
      </c>
      <c r="CP186" s="852"/>
      <c r="CQ186" s="852"/>
      <c r="CR186" s="852"/>
      <c r="CS186" s="852"/>
      <c r="CT186" s="852"/>
      <c r="CU186" s="106"/>
      <c r="CV186" s="683" t="s">
        <v>11024</v>
      </c>
      <c r="CW186" s="683" t="s">
        <v>7770</v>
      </c>
      <c r="CX186" s="683" t="s">
        <v>4121</v>
      </c>
      <c r="CY186" s="683" t="s">
        <v>11923</v>
      </c>
      <c r="CZ186" s="683" t="s">
        <v>8304</v>
      </c>
      <c r="DA186" s="853"/>
      <c r="DB186" s="683" t="s">
        <v>11924</v>
      </c>
      <c r="DC186" s="683" t="s">
        <v>387</v>
      </c>
      <c r="DD186" s="853"/>
      <c r="DE186" s="853"/>
      <c r="DF186" s="853"/>
      <c r="DG186" s="853"/>
      <c r="DH186" s="853"/>
      <c r="DI186" s="855"/>
      <c r="DJ186" s="855"/>
      <c r="DK186" s="855"/>
      <c r="DL186" s="855"/>
      <c r="DM186" s="855"/>
      <c r="DN186" s="855"/>
      <c r="DO186" s="855"/>
      <c r="DP186" s="855"/>
      <c r="DQ186" s="855"/>
      <c r="DR186" s="685" t="s">
        <v>8172</v>
      </c>
      <c r="DS186" s="685"/>
      <c r="DT186" s="855"/>
      <c r="DU186" s="855"/>
      <c r="DV186" s="855"/>
      <c r="DW186" s="855"/>
      <c r="DX186" s="855"/>
      <c r="DY186" s="855"/>
      <c r="DZ186" s="855"/>
      <c r="EA186" s="855"/>
      <c r="EB186" s="855"/>
      <c r="EC186" s="855"/>
      <c r="ED186" s="1039"/>
    </row>
    <row r="187">
      <c r="A187" s="2011" t="s">
        <v>11925</v>
      </c>
      <c r="B187" s="245" t="s">
        <v>11926</v>
      </c>
      <c r="C187" s="246" t="s">
        <v>271</v>
      </c>
      <c r="D187" s="247" t="s">
        <v>271</v>
      </c>
      <c r="E187" s="248" t="s">
        <v>271</v>
      </c>
      <c r="F187" s="249" t="s">
        <v>271</v>
      </c>
      <c r="G187" s="245" t="s">
        <v>567</v>
      </c>
      <c r="H187" s="286" t="s">
        <v>11927</v>
      </c>
      <c r="I187" s="286" t="s">
        <v>11928</v>
      </c>
      <c r="J187" s="286" t="s">
        <v>6170</v>
      </c>
      <c r="K187" s="286" t="s">
        <v>192</v>
      </c>
      <c r="L187" s="286" t="s">
        <v>11929</v>
      </c>
      <c r="M187" s="320"/>
      <c r="N187" s="320"/>
      <c r="O187" s="320"/>
      <c r="P187" s="286" t="s">
        <v>4651</v>
      </c>
      <c r="Q187" s="320"/>
      <c r="R187" s="320"/>
      <c r="S187" s="320"/>
      <c r="T187" s="320"/>
      <c r="U187" s="320"/>
      <c r="V187" s="320"/>
      <c r="W187" s="106"/>
      <c r="X187" s="320"/>
      <c r="Y187" s="320"/>
      <c r="Z187" s="320"/>
      <c r="AA187" s="286" t="s">
        <v>905</v>
      </c>
      <c r="AB187" s="320"/>
      <c r="AC187" s="320"/>
      <c r="AD187" s="320"/>
      <c r="AE187" s="320"/>
      <c r="AF187" s="320"/>
      <c r="AG187" s="286" t="s">
        <v>3230</v>
      </c>
      <c r="AH187" s="320"/>
      <c r="AI187" s="320"/>
      <c r="AJ187" s="320"/>
      <c r="AK187" s="320"/>
      <c r="AL187" s="105"/>
      <c r="AM187" s="320"/>
      <c r="AN187" s="320"/>
      <c r="AO187" s="320"/>
      <c r="AP187" s="320"/>
      <c r="AQ187" s="320"/>
      <c r="AR187" s="320"/>
      <c r="AS187" s="320"/>
      <c r="AT187" s="320"/>
      <c r="AU187" s="320"/>
      <c r="AV187" s="286" t="s">
        <v>11305</v>
      </c>
      <c r="AW187" s="320"/>
      <c r="AX187" s="320"/>
      <c r="AY187" s="320"/>
      <c r="AZ187" s="320"/>
      <c r="BA187" s="320"/>
      <c r="BB187" s="320"/>
      <c r="BC187" s="320"/>
      <c r="BD187" s="286"/>
      <c r="BE187" s="320"/>
      <c r="BF187" s="320"/>
      <c r="BG187" s="320"/>
      <c r="BH187" s="320"/>
      <c r="BI187" s="320"/>
      <c r="BJ187" s="320"/>
      <c r="BK187" s="320"/>
      <c r="BL187" s="320"/>
      <c r="BM187" s="320"/>
      <c r="BN187" s="320"/>
      <c r="BO187" s="320"/>
      <c r="BP187" s="320"/>
      <c r="BQ187" s="824"/>
      <c r="BR187" s="320"/>
      <c r="BS187" s="320"/>
      <c r="BT187" s="320"/>
      <c r="BU187" s="286" t="s">
        <v>11472</v>
      </c>
      <c r="BV187" s="320"/>
      <c r="BW187" s="320"/>
      <c r="BX187" s="320"/>
      <c r="BY187" s="320"/>
      <c r="BZ187" s="320"/>
      <c r="CA187" s="320"/>
      <c r="CB187" s="320"/>
      <c r="CC187" s="320"/>
      <c r="CD187" s="320"/>
      <c r="CE187" s="320"/>
      <c r="CF187" s="824"/>
      <c r="CG187" s="320"/>
      <c r="CH187" s="286" t="s">
        <v>9463</v>
      </c>
      <c r="CI187" s="320"/>
      <c r="CJ187" s="320"/>
      <c r="CK187" s="320"/>
      <c r="CL187" s="320" t="s">
        <v>7363</v>
      </c>
      <c r="CM187" s="320"/>
      <c r="CN187" s="320"/>
      <c r="CO187" s="286" t="s">
        <v>5560</v>
      </c>
      <c r="CP187" s="320"/>
      <c r="CQ187" s="320"/>
      <c r="CR187" s="320"/>
      <c r="CS187" s="320"/>
      <c r="CT187" s="320"/>
      <c r="CU187" s="106"/>
      <c r="CV187" s="320"/>
      <c r="CW187" s="286" t="s">
        <v>1004</v>
      </c>
      <c r="CX187" s="320"/>
      <c r="CY187" s="320"/>
      <c r="CZ187" s="320"/>
      <c r="DA187" s="320"/>
      <c r="DB187" s="320"/>
      <c r="DC187" s="320"/>
      <c r="DD187" s="320"/>
      <c r="DE187" s="320"/>
      <c r="DF187" s="320"/>
      <c r="DG187" s="320"/>
      <c r="DH187" s="320"/>
      <c r="DI187" s="320"/>
      <c r="DJ187" s="320"/>
      <c r="DK187" s="320"/>
      <c r="DL187" s="320"/>
      <c r="DM187" s="320"/>
      <c r="DN187" s="320"/>
      <c r="DO187" s="320"/>
      <c r="DP187" s="320"/>
      <c r="DQ187" s="320"/>
      <c r="DR187" s="320"/>
      <c r="DS187" s="320"/>
      <c r="DT187" s="320"/>
      <c r="DU187" s="320"/>
      <c r="DV187" s="320"/>
      <c r="DW187" s="320"/>
      <c r="DX187" s="320"/>
      <c r="DY187" s="320"/>
      <c r="DZ187" s="320"/>
      <c r="EA187" s="320"/>
      <c r="EB187" s="320"/>
      <c r="EC187" s="320"/>
      <c r="ED187" s="1629"/>
    </row>
    <row r="188">
      <c r="A188" s="540" t="s">
        <v>3560</v>
      </c>
      <c r="B188" s="378" t="s">
        <v>11930</v>
      </c>
      <c r="C188" s="379" t="s">
        <v>271</v>
      </c>
      <c r="D188" s="380" t="s">
        <v>271</v>
      </c>
      <c r="E188" s="381" t="s">
        <v>271</v>
      </c>
      <c r="F188" s="382" t="s">
        <v>271</v>
      </c>
      <c r="G188" s="378" t="s">
        <v>203</v>
      </c>
      <c r="H188" s="835"/>
      <c r="I188" s="835"/>
      <c r="J188" s="835"/>
      <c r="K188" s="541" t="s">
        <v>667</v>
      </c>
      <c r="L188" s="835"/>
      <c r="M188" s="835"/>
      <c r="N188" s="835"/>
      <c r="O188" s="541" t="s">
        <v>1048</v>
      </c>
      <c r="P188" s="835"/>
      <c r="Q188" s="835"/>
      <c r="R188" s="835"/>
      <c r="S188" s="835"/>
      <c r="T188" s="835"/>
      <c r="U188" s="835"/>
      <c r="V188" s="835"/>
      <c r="W188" s="106"/>
      <c r="X188" s="670" t="s">
        <v>3801</v>
      </c>
      <c r="Y188" s="837"/>
      <c r="Z188" s="837"/>
      <c r="AA188" s="670" t="s">
        <v>10896</v>
      </c>
      <c r="AB188" s="837"/>
      <c r="AC188" s="670" t="s">
        <v>10816</v>
      </c>
      <c r="AD188" s="837"/>
      <c r="AE188" s="837"/>
      <c r="AF188" s="837"/>
      <c r="AG188" s="837"/>
      <c r="AH188" s="837"/>
      <c r="AI188" s="837"/>
      <c r="AJ188" s="837"/>
      <c r="AK188" s="837"/>
      <c r="AL188" s="105"/>
      <c r="AM188" s="839"/>
      <c r="AN188" s="839"/>
      <c r="AO188" s="839"/>
      <c r="AP188" s="839"/>
      <c r="AQ188" s="839"/>
      <c r="AR188" s="839"/>
      <c r="AS188" s="839"/>
      <c r="AT188" s="839"/>
      <c r="AU188" s="839"/>
      <c r="AV188" s="839"/>
      <c r="AW188" s="839"/>
      <c r="AX188" s="839"/>
      <c r="AY188" s="839"/>
      <c r="AZ188" s="839"/>
      <c r="BA188" s="839"/>
      <c r="BB188" s="580"/>
      <c r="BC188" s="580"/>
      <c r="BD188" s="580"/>
      <c r="BE188" s="580"/>
      <c r="BF188" s="580"/>
      <c r="BG188" s="580"/>
      <c r="BH188" s="580"/>
      <c r="BI188" s="580"/>
      <c r="BJ188" s="580"/>
      <c r="BK188" s="580"/>
      <c r="BL188" s="580"/>
      <c r="BM188" s="580"/>
      <c r="BN188" s="580"/>
      <c r="BO188" s="580"/>
      <c r="BP188" s="580"/>
      <c r="BQ188" s="845"/>
      <c r="BR188" s="849"/>
      <c r="BS188" s="849"/>
      <c r="BT188" s="849"/>
      <c r="BU188" s="849"/>
      <c r="BV188" s="849"/>
      <c r="BW188" s="849"/>
      <c r="BX188" s="849"/>
      <c r="BY188" s="849"/>
      <c r="BZ188" s="849"/>
      <c r="CA188" s="849"/>
      <c r="CB188" s="849"/>
      <c r="CC188" s="849"/>
      <c r="CD188" s="849"/>
      <c r="CE188" s="849"/>
      <c r="CF188" s="851"/>
      <c r="CG188" s="852"/>
      <c r="CH188" s="852"/>
      <c r="CI188" s="852"/>
      <c r="CJ188" s="852"/>
      <c r="CK188" s="852"/>
      <c r="CL188" s="852"/>
      <c r="CM188" s="852"/>
      <c r="CN188" s="852"/>
      <c r="CO188" s="852"/>
      <c r="CP188" s="852"/>
      <c r="CQ188" s="852"/>
      <c r="CR188" s="852"/>
      <c r="CS188" s="852"/>
      <c r="CT188" s="852"/>
      <c r="CU188" s="106"/>
      <c r="CV188" s="853"/>
      <c r="CW188" s="853"/>
      <c r="CX188" s="853"/>
      <c r="CY188" s="853"/>
      <c r="CZ188" s="853"/>
      <c r="DA188" s="853"/>
      <c r="DB188" s="853"/>
      <c r="DC188" s="853"/>
      <c r="DD188" s="853"/>
      <c r="DE188" s="853"/>
      <c r="DF188" s="853"/>
      <c r="DG188" s="853"/>
      <c r="DH188" s="853"/>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1039"/>
    </row>
    <row r="189">
      <c r="A189" s="2007" t="s">
        <v>11931</v>
      </c>
      <c r="B189" s="245" t="s">
        <v>11932</v>
      </c>
      <c r="C189" s="246" t="s">
        <v>274</v>
      </c>
      <c r="D189" s="247" t="s">
        <v>271</v>
      </c>
      <c r="E189" s="248" t="s">
        <v>271</v>
      </c>
      <c r="F189" s="249" t="s">
        <v>274</v>
      </c>
      <c r="G189" s="245" t="s">
        <v>274</v>
      </c>
      <c r="H189" s="320"/>
      <c r="I189" s="320"/>
      <c r="J189" s="320"/>
      <c r="K189" s="320"/>
      <c r="L189" s="320"/>
      <c r="M189" s="320"/>
      <c r="N189" s="320"/>
      <c r="O189" s="320"/>
      <c r="P189" s="320"/>
      <c r="Q189" s="320"/>
      <c r="R189" s="320"/>
      <c r="S189" s="320"/>
      <c r="T189" s="320"/>
      <c r="U189" s="320"/>
      <c r="V189" s="320"/>
      <c r="W189" s="106"/>
      <c r="X189" s="320"/>
      <c r="Y189" s="320"/>
      <c r="Z189" s="320"/>
      <c r="AA189" s="320"/>
      <c r="AB189" s="320"/>
      <c r="AC189" s="320"/>
      <c r="AD189" s="320"/>
      <c r="AE189" s="320"/>
      <c r="AF189" s="320"/>
      <c r="AG189" s="320"/>
      <c r="AH189" s="320"/>
      <c r="AI189" s="320"/>
      <c r="AJ189" s="320"/>
      <c r="AK189" s="320"/>
      <c r="AL189" s="105"/>
      <c r="AM189" s="320"/>
      <c r="AN189" s="320"/>
      <c r="AO189" s="320"/>
      <c r="AP189" s="320"/>
      <c r="AQ189" s="320"/>
      <c r="AR189" s="320"/>
      <c r="AS189" s="251" t="s">
        <v>11933</v>
      </c>
      <c r="AT189" s="320"/>
      <c r="AU189" s="320"/>
      <c r="AV189" s="320"/>
      <c r="AW189" s="320"/>
      <c r="AX189" s="320"/>
      <c r="AY189" s="320"/>
      <c r="AZ189" s="320"/>
      <c r="BA189" s="320"/>
      <c r="BB189" s="320"/>
      <c r="BC189" s="320"/>
      <c r="BD189" s="320"/>
      <c r="BE189" s="320"/>
      <c r="BF189" s="320"/>
      <c r="BG189" s="320"/>
      <c r="BH189" s="320"/>
      <c r="BI189" s="320"/>
      <c r="BJ189" s="320"/>
      <c r="BK189" s="320"/>
      <c r="BL189" s="320"/>
      <c r="BM189" s="320"/>
      <c r="BN189" s="320"/>
      <c r="BO189" s="320"/>
      <c r="BP189" s="320"/>
      <c r="BQ189" s="824"/>
      <c r="BR189" s="320"/>
      <c r="BS189" s="320"/>
      <c r="BT189" s="320"/>
      <c r="BU189" s="320"/>
      <c r="BV189" s="320"/>
      <c r="BW189" s="251" t="s">
        <v>5569</v>
      </c>
      <c r="BX189" s="320"/>
      <c r="BY189" s="320"/>
      <c r="BZ189" s="320"/>
      <c r="CA189" s="286"/>
      <c r="CB189" s="320"/>
      <c r="CC189" s="320"/>
      <c r="CD189" s="251" t="s">
        <v>2380</v>
      </c>
      <c r="CE189" s="320"/>
      <c r="CF189" s="824"/>
      <c r="CG189" s="320"/>
      <c r="CH189" s="320"/>
      <c r="CI189" s="320"/>
      <c r="CJ189" s="320"/>
      <c r="CK189" s="320"/>
      <c r="CL189" s="320"/>
      <c r="CM189" s="320"/>
      <c r="CN189" s="320"/>
      <c r="CO189" s="320"/>
      <c r="CP189" s="320"/>
      <c r="CQ189" s="320"/>
      <c r="CR189" s="320"/>
      <c r="CS189" s="320"/>
      <c r="CT189" s="320"/>
      <c r="CU189" s="106"/>
      <c r="CV189" s="320"/>
      <c r="CW189" s="320"/>
      <c r="CX189" s="320"/>
      <c r="CY189" s="320"/>
      <c r="CZ189" s="320"/>
      <c r="DA189" s="320"/>
      <c r="DB189" s="320"/>
      <c r="DC189" s="320"/>
      <c r="DD189" s="320"/>
      <c r="DE189" s="320"/>
      <c r="DF189" s="320"/>
      <c r="DG189" s="320"/>
      <c r="DH189" s="320"/>
      <c r="DI189" s="320"/>
      <c r="DJ189" s="320"/>
      <c r="DK189" s="320"/>
      <c r="DL189" s="320"/>
      <c r="DM189" s="320"/>
      <c r="DN189" s="320"/>
      <c r="DO189" s="320"/>
      <c r="DP189" s="320"/>
      <c r="DQ189" s="320"/>
      <c r="DR189" s="320"/>
      <c r="DS189" s="320"/>
      <c r="DT189" s="320"/>
      <c r="DU189" s="320"/>
      <c r="DV189" s="320"/>
      <c r="DW189" s="320"/>
      <c r="DX189" s="320"/>
      <c r="DY189" s="320"/>
      <c r="DZ189" s="320"/>
      <c r="EA189" s="320"/>
      <c r="EB189" s="320"/>
      <c r="EC189" s="320"/>
      <c r="ED189" s="862"/>
    </row>
    <row r="190">
      <c r="A190" s="2012" t="s">
        <v>11934</v>
      </c>
      <c r="B190" s="378" t="s">
        <v>11935</v>
      </c>
      <c r="C190" s="379" t="s">
        <v>271</v>
      </c>
      <c r="D190" s="380" t="s">
        <v>271</v>
      </c>
      <c r="E190" s="381" t="s">
        <v>271</v>
      </c>
      <c r="F190" s="382" t="s">
        <v>271</v>
      </c>
      <c r="G190" s="378" t="s">
        <v>169</v>
      </c>
      <c r="H190" s="1700"/>
      <c r="I190" s="1788"/>
      <c r="J190" s="1700" t="s">
        <v>877</v>
      </c>
      <c r="K190" s="1700" t="s">
        <v>11637</v>
      </c>
      <c r="L190" s="1700" t="s">
        <v>5141</v>
      </c>
      <c r="M190" s="1700"/>
      <c r="N190" s="1700"/>
      <c r="O190" s="1700"/>
      <c r="P190" s="1700"/>
      <c r="Q190" s="835"/>
      <c r="R190" s="835"/>
      <c r="S190" s="835"/>
      <c r="T190" s="835"/>
      <c r="U190" s="835"/>
      <c r="V190" s="835"/>
      <c r="W190" s="106"/>
      <c r="X190" s="402" t="s">
        <v>6103</v>
      </c>
      <c r="Y190" s="402"/>
      <c r="Z190" s="402"/>
      <c r="AA190" s="402" t="s">
        <v>7548</v>
      </c>
      <c r="AB190" s="1133" t="s">
        <v>4341</v>
      </c>
      <c r="AC190" s="402" t="s">
        <v>9180</v>
      </c>
      <c r="AD190" s="402" t="s">
        <v>11172</v>
      </c>
      <c r="AE190" s="837"/>
      <c r="AF190" s="402" t="s">
        <v>11936</v>
      </c>
      <c r="AG190" s="402"/>
      <c r="AH190" s="837"/>
      <c r="AI190" s="837"/>
      <c r="AJ190" s="402"/>
      <c r="AK190" s="837"/>
      <c r="AL190" s="105"/>
      <c r="AM190" s="413"/>
      <c r="AN190" s="413"/>
      <c r="AO190" s="839"/>
      <c r="AP190" s="839"/>
      <c r="AQ190" s="570"/>
      <c r="AR190" s="570"/>
      <c r="AS190" s="839"/>
      <c r="AT190" s="839"/>
      <c r="AU190" s="413"/>
      <c r="AV190" s="413"/>
      <c r="AW190" s="413"/>
      <c r="AX190" s="839"/>
      <c r="AY190" s="839"/>
      <c r="AZ190" s="839"/>
      <c r="BA190" s="839"/>
      <c r="BB190" s="1633"/>
      <c r="BC190" s="1633"/>
      <c r="BD190" s="1633"/>
      <c r="BE190" s="1633"/>
      <c r="BF190" s="1633"/>
      <c r="BG190" s="1633"/>
      <c r="BH190" s="580"/>
      <c r="BI190" s="1633" t="s">
        <v>9935</v>
      </c>
      <c r="BJ190" s="580"/>
      <c r="BK190" s="1633"/>
      <c r="BL190" s="1633" t="s">
        <v>9914</v>
      </c>
      <c r="BM190" s="580"/>
      <c r="BN190" s="580"/>
      <c r="BO190" s="1633"/>
      <c r="BP190" s="580"/>
      <c r="BQ190" s="845"/>
      <c r="BR190" s="424"/>
      <c r="BS190" s="424" t="s">
        <v>5799</v>
      </c>
      <c r="BT190" s="424" t="s">
        <v>10242</v>
      </c>
      <c r="BU190" s="424"/>
      <c r="BV190" s="424" t="s">
        <v>11937</v>
      </c>
      <c r="BW190" s="424" t="s">
        <v>11472</v>
      </c>
      <c r="BX190" s="849"/>
      <c r="BY190" s="424"/>
      <c r="BZ190" s="424"/>
      <c r="CA190" s="424"/>
      <c r="CB190" s="849"/>
      <c r="CC190" s="849"/>
      <c r="CD190" s="849"/>
      <c r="CE190" s="849"/>
      <c r="CF190" s="851"/>
      <c r="CG190" s="434"/>
      <c r="CH190" s="434"/>
      <c r="CI190" s="434"/>
      <c r="CJ190" s="434" t="s">
        <v>1936</v>
      </c>
      <c r="CK190" s="434" t="s">
        <v>8084</v>
      </c>
      <c r="CL190" s="434"/>
      <c r="CM190" s="434"/>
      <c r="CN190" s="434"/>
      <c r="CO190" s="434" t="s">
        <v>9776</v>
      </c>
      <c r="CP190" s="1789"/>
      <c r="CQ190" s="852"/>
      <c r="CR190" s="852"/>
      <c r="CS190" s="852"/>
      <c r="CT190" s="852"/>
      <c r="CU190" s="106"/>
      <c r="CV190" s="467"/>
      <c r="CW190" s="467"/>
      <c r="CX190" s="467"/>
      <c r="CY190" s="467"/>
      <c r="CZ190" s="467"/>
      <c r="DA190" s="467"/>
      <c r="DB190" s="467"/>
      <c r="DC190" s="467"/>
      <c r="DD190" s="853"/>
      <c r="DE190" s="853"/>
      <c r="DF190" s="853"/>
      <c r="DG190" s="853"/>
      <c r="DH190" s="853"/>
      <c r="DI190" s="686"/>
      <c r="DJ190" s="855"/>
      <c r="DK190" s="855"/>
      <c r="DL190" s="686"/>
      <c r="DM190" s="686"/>
      <c r="DN190" s="686"/>
      <c r="DO190" s="855"/>
      <c r="DP190" s="855"/>
      <c r="DQ190" s="855"/>
      <c r="DR190" s="686"/>
      <c r="DS190" s="686" t="s">
        <v>9864</v>
      </c>
      <c r="DT190" s="855"/>
      <c r="DU190" s="686"/>
      <c r="DV190" s="855"/>
      <c r="DW190" s="855"/>
      <c r="DX190" s="855"/>
      <c r="DY190" s="855"/>
      <c r="DZ190" s="855"/>
      <c r="EA190" s="686"/>
      <c r="EB190" s="855"/>
      <c r="EC190" s="855"/>
      <c r="ED190" s="1039"/>
    </row>
    <row r="191">
      <c r="A191" s="2013" t="s">
        <v>11938</v>
      </c>
      <c r="B191" s="245" t="s">
        <v>11939</v>
      </c>
      <c r="C191" s="246" t="s">
        <v>271</v>
      </c>
      <c r="D191" s="247" t="s">
        <v>271</v>
      </c>
      <c r="E191" s="248" t="s">
        <v>271</v>
      </c>
      <c r="F191" s="249" t="s">
        <v>233</v>
      </c>
      <c r="G191" s="245" t="s">
        <v>233</v>
      </c>
      <c r="H191" s="320"/>
      <c r="I191" s="257" t="s">
        <v>11940</v>
      </c>
      <c r="J191" s="320"/>
      <c r="K191" s="257" t="s">
        <v>714</v>
      </c>
      <c r="L191" s="320"/>
      <c r="M191" s="320"/>
      <c r="N191" s="320"/>
      <c r="O191" s="320"/>
      <c r="P191" s="320"/>
      <c r="Q191" s="320"/>
      <c r="R191" s="320"/>
      <c r="S191" s="320"/>
      <c r="T191" s="320"/>
      <c r="U191" s="320"/>
      <c r="V191" s="320"/>
      <c r="W191" s="106"/>
      <c r="X191" s="320"/>
      <c r="Y191" s="320"/>
      <c r="Z191" s="320"/>
      <c r="AA191" s="320"/>
      <c r="AB191" s="320"/>
      <c r="AC191" s="320"/>
      <c r="AD191" s="320"/>
      <c r="AE191" s="320"/>
      <c r="AF191" s="320"/>
      <c r="AG191" s="320"/>
      <c r="AH191" s="320"/>
      <c r="AI191" s="320"/>
      <c r="AJ191" s="320"/>
      <c r="AK191" s="320"/>
      <c r="AL191" s="105"/>
      <c r="AM191" s="320"/>
      <c r="AN191" s="320"/>
      <c r="AO191" s="320"/>
      <c r="AP191" s="320"/>
      <c r="AQ191" s="320"/>
      <c r="AR191" s="320"/>
      <c r="AS191" s="320"/>
      <c r="AT191" s="320"/>
      <c r="AU191" s="320"/>
      <c r="AV191" s="320"/>
      <c r="AW191" s="320"/>
      <c r="AX191" s="320"/>
      <c r="AY191" s="320"/>
      <c r="AZ191" s="320"/>
      <c r="BA191" s="320"/>
      <c r="BB191" s="320"/>
      <c r="BC191" s="320"/>
      <c r="BD191" s="320"/>
      <c r="BE191" s="320"/>
      <c r="BF191" s="320"/>
      <c r="BG191" s="320"/>
      <c r="BH191" s="320"/>
      <c r="BI191" s="320"/>
      <c r="BJ191" s="320"/>
      <c r="BK191" s="320"/>
      <c r="BL191" s="320"/>
      <c r="BM191" s="320"/>
      <c r="BN191" s="320"/>
      <c r="BO191" s="320"/>
      <c r="BP191" s="320"/>
      <c r="BQ191" s="824"/>
      <c r="BR191" s="320"/>
      <c r="BS191" s="320"/>
      <c r="BT191" s="320"/>
      <c r="BU191" s="320"/>
      <c r="BV191" s="320"/>
      <c r="BW191" s="320"/>
      <c r="BX191" s="320"/>
      <c r="BY191" s="320"/>
      <c r="BZ191" s="320"/>
      <c r="CA191" s="320"/>
      <c r="CB191" s="320"/>
      <c r="CC191" s="320"/>
      <c r="CD191" s="320"/>
      <c r="CE191" s="320"/>
      <c r="CF191" s="824"/>
      <c r="CG191" s="320"/>
      <c r="CH191" s="320"/>
      <c r="CI191" s="320"/>
      <c r="CJ191" s="320"/>
      <c r="CK191" s="320"/>
      <c r="CL191" s="320"/>
      <c r="CM191" s="320"/>
      <c r="CN191" s="320"/>
      <c r="CO191" s="320"/>
      <c r="CP191" s="320"/>
      <c r="CQ191" s="320"/>
      <c r="CR191" s="320"/>
      <c r="CS191" s="320"/>
      <c r="CT191" s="320"/>
      <c r="CU191" s="106"/>
      <c r="CV191" s="320"/>
      <c r="CW191" s="320"/>
      <c r="CX191" s="320"/>
      <c r="CY191" s="320"/>
      <c r="CZ191" s="320"/>
      <c r="DA191" s="320"/>
      <c r="DB191" s="320"/>
      <c r="DC191" s="320"/>
      <c r="DD191" s="320"/>
      <c r="DE191" s="320"/>
      <c r="DF191" s="320"/>
      <c r="DG191" s="320"/>
      <c r="DH191" s="320"/>
      <c r="DI191" s="320"/>
      <c r="DJ191" s="320"/>
      <c r="DK191" s="320"/>
      <c r="DL191" s="320"/>
      <c r="DM191" s="320"/>
      <c r="DN191" s="320"/>
      <c r="DO191" s="320"/>
      <c r="DP191" s="320"/>
      <c r="DQ191" s="320"/>
      <c r="DR191" s="320"/>
      <c r="DS191" s="320"/>
      <c r="DT191" s="320"/>
      <c r="DU191" s="320"/>
      <c r="DV191" s="320"/>
      <c r="DW191" s="320"/>
      <c r="DX191" s="320"/>
      <c r="DY191" s="320"/>
      <c r="DZ191" s="320"/>
      <c r="EA191" s="320"/>
      <c r="EB191" s="320"/>
      <c r="EC191" s="320"/>
      <c r="ED191" s="1629"/>
    </row>
    <row r="192">
      <c r="A192" s="540" t="s">
        <v>11941</v>
      </c>
      <c r="B192" s="378" t="s">
        <v>11942</v>
      </c>
      <c r="C192" s="379" t="s">
        <v>271</v>
      </c>
      <c r="D192" s="380" t="s">
        <v>271</v>
      </c>
      <c r="E192" s="381" t="s">
        <v>271</v>
      </c>
      <c r="F192" s="382" t="s">
        <v>233</v>
      </c>
      <c r="G192" s="378" t="s">
        <v>233</v>
      </c>
      <c r="H192" s="835"/>
      <c r="I192" s="835"/>
      <c r="J192" s="835"/>
      <c r="K192" s="835"/>
      <c r="L192" s="835"/>
      <c r="M192" s="835"/>
      <c r="N192" s="835"/>
      <c r="O192" s="835"/>
      <c r="P192" s="835"/>
      <c r="Q192" s="835"/>
      <c r="R192" s="835"/>
      <c r="S192" s="835"/>
      <c r="T192" s="835"/>
      <c r="U192" s="835"/>
      <c r="V192" s="835"/>
      <c r="W192" s="106"/>
      <c r="X192" s="837"/>
      <c r="Y192" s="837"/>
      <c r="Z192" s="837"/>
      <c r="AA192" s="837"/>
      <c r="AB192" s="837"/>
      <c r="AC192" s="837"/>
      <c r="AD192" s="837"/>
      <c r="AE192" s="837"/>
      <c r="AF192" s="837"/>
      <c r="AG192" s="837"/>
      <c r="AH192" s="837"/>
      <c r="AI192" s="837"/>
      <c r="AJ192" s="837"/>
      <c r="AK192" s="837"/>
      <c r="AL192" s="105"/>
      <c r="AM192" s="839"/>
      <c r="AN192" s="839"/>
      <c r="AO192" s="839"/>
      <c r="AP192" s="839"/>
      <c r="AQ192" s="839"/>
      <c r="AR192" s="839"/>
      <c r="AS192" s="839"/>
      <c r="AT192" s="839"/>
      <c r="AU192" s="839"/>
      <c r="AV192" s="839"/>
      <c r="AW192" s="839"/>
      <c r="AX192" s="839"/>
      <c r="AY192" s="839"/>
      <c r="AZ192" s="839"/>
      <c r="BA192" s="839"/>
      <c r="BB192" s="580"/>
      <c r="BC192" s="580"/>
      <c r="BD192" s="580"/>
      <c r="BE192" s="580"/>
      <c r="BF192" s="580"/>
      <c r="BG192" s="580"/>
      <c r="BH192" s="580"/>
      <c r="BI192" s="414" t="str">
        <f>HYPERLINK("https://www.youtube.com/watch?v=KgpRNy13aD8","27.21")</f>
        <v>27.21</v>
      </c>
      <c r="BJ192" s="580"/>
      <c r="BK192" s="580"/>
      <c r="BL192" s="580"/>
      <c r="BM192" s="580"/>
      <c r="BN192" s="580"/>
      <c r="BO192" s="580"/>
      <c r="BP192" s="580"/>
      <c r="BQ192" s="845"/>
      <c r="BR192" s="849"/>
      <c r="BS192" s="849"/>
      <c r="BT192" s="421" t="str">
        <f>HYPERLINK("https://www.youtube.com/watch?v=ikxqzHaz7sE","35.16")</f>
        <v>35.16</v>
      </c>
      <c r="BU192" s="849"/>
      <c r="BV192" s="849"/>
      <c r="BW192" s="849"/>
      <c r="BX192" s="849"/>
      <c r="BY192" s="849"/>
      <c r="BZ192" s="849"/>
      <c r="CA192" s="849"/>
      <c r="CB192" s="849"/>
      <c r="CC192" s="849"/>
      <c r="CD192" s="849"/>
      <c r="CE192" s="849"/>
      <c r="CF192" s="851"/>
      <c r="CG192" s="852"/>
      <c r="CH192" s="852"/>
      <c r="CI192" s="852"/>
      <c r="CJ192" s="852"/>
      <c r="CK192" s="852"/>
      <c r="CL192" s="852"/>
      <c r="CM192" s="852"/>
      <c r="CN192" s="852"/>
      <c r="CO192" s="852"/>
      <c r="CP192" s="852"/>
      <c r="CQ192" s="852"/>
      <c r="CR192" s="852"/>
      <c r="CS192" s="852"/>
      <c r="CT192" s="852"/>
      <c r="CU192" s="106"/>
      <c r="CV192" s="853"/>
      <c r="CW192" s="853"/>
      <c r="CX192" s="853"/>
      <c r="CY192" s="853"/>
      <c r="CZ192" s="853"/>
      <c r="DA192" s="853"/>
      <c r="DB192" s="853"/>
      <c r="DC192" s="853"/>
      <c r="DD192" s="853"/>
      <c r="DE192" s="853"/>
      <c r="DF192" s="853"/>
      <c r="DG192" s="853"/>
      <c r="DH192" s="853"/>
      <c r="DI192" s="855"/>
      <c r="DJ192" s="855"/>
      <c r="DK192" s="855"/>
      <c r="DL192" s="855"/>
      <c r="DM192" s="855"/>
      <c r="DN192" s="855"/>
      <c r="DO192" s="855"/>
      <c r="DP192" s="855"/>
      <c r="DQ192" s="855"/>
      <c r="DR192" s="855"/>
      <c r="DS192" s="855"/>
      <c r="DT192" s="855"/>
      <c r="DU192" s="855"/>
      <c r="DV192" s="855"/>
      <c r="DW192" s="855"/>
      <c r="DX192" s="855"/>
      <c r="DY192" s="855"/>
      <c r="DZ192" s="855"/>
      <c r="EA192" s="855"/>
      <c r="EB192" s="855"/>
      <c r="EC192" s="855"/>
      <c r="ED192" s="1039"/>
    </row>
    <row r="193">
      <c r="A193" s="2014" t="s">
        <v>4153</v>
      </c>
      <c r="B193" s="245" t="s">
        <v>11943</v>
      </c>
      <c r="C193" s="246" t="s">
        <v>271</v>
      </c>
      <c r="D193" s="247" t="s">
        <v>271</v>
      </c>
      <c r="E193" s="248" t="s">
        <v>271</v>
      </c>
      <c r="F193" s="249" t="s">
        <v>171</v>
      </c>
      <c r="G193" s="245" t="s">
        <v>1926</v>
      </c>
      <c r="H193" s="351"/>
      <c r="I193" s="288" t="s">
        <v>8299</v>
      </c>
      <c r="J193" s="351" t="s">
        <v>468</v>
      </c>
      <c r="K193" s="257" t="s">
        <v>2339</v>
      </c>
      <c r="L193" s="351" t="s">
        <v>5720</v>
      </c>
      <c r="M193" s="351"/>
      <c r="N193" s="351"/>
      <c r="O193" s="351" t="s">
        <v>9756</v>
      </c>
      <c r="P193" s="351" t="s">
        <v>4837</v>
      </c>
      <c r="Q193" s="320"/>
      <c r="R193" s="320"/>
      <c r="S193" s="320"/>
      <c r="T193" s="320"/>
      <c r="U193" s="320"/>
      <c r="V193" s="320"/>
      <c r="W193" s="106"/>
      <c r="X193" s="351" t="s">
        <v>10651</v>
      </c>
      <c r="Y193" s="351"/>
      <c r="Z193" s="351"/>
      <c r="AA193" s="351"/>
      <c r="AB193" s="881" t="s">
        <v>11944</v>
      </c>
      <c r="AC193" s="351" t="s">
        <v>9449</v>
      </c>
      <c r="AD193" s="351"/>
      <c r="AE193" s="320"/>
      <c r="AF193" s="351"/>
      <c r="AG193" s="351" t="s">
        <v>4551</v>
      </c>
      <c r="AH193" s="320"/>
      <c r="AI193" s="320"/>
      <c r="AJ193" s="351"/>
      <c r="AK193" s="320"/>
      <c r="AL193" s="105"/>
      <c r="AM193" s="351"/>
      <c r="AN193" s="351" t="s">
        <v>9841</v>
      </c>
      <c r="AO193" s="320"/>
      <c r="AP193" s="320"/>
      <c r="AQ193" s="286"/>
      <c r="AR193" s="286"/>
      <c r="AS193" s="320"/>
      <c r="AT193" s="320"/>
      <c r="AU193" s="351" t="s">
        <v>4646</v>
      </c>
      <c r="AV193" s="351" t="s">
        <v>9450</v>
      </c>
      <c r="AW193" s="351"/>
      <c r="AX193" s="320"/>
      <c r="AY193" s="320"/>
      <c r="AZ193" s="320"/>
      <c r="BA193" s="320"/>
      <c r="BB193" s="351"/>
      <c r="BC193" s="351"/>
      <c r="BD193" s="351" t="s">
        <v>6596</v>
      </c>
      <c r="BE193" s="351" t="s">
        <v>4195</v>
      </c>
      <c r="BF193" s="351"/>
      <c r="BG193" s="351"/>
      <c r="BH193" s="320"/>
      <c r="BI193" s="351"/>
      <c r="BJ193" s="320"/>
      <c r="BK193" s="351"/>
      <c r="BL193" s="351"/>
      <c r="BM193" s="320"/>
      <c r="BN193" s="320"/>
      <c r="BO193" s="351"/>
      <c r="BP193" s="320"/>
      <c r="BQ193" s="824"/>
      <c r="BR193" s="351"/>
      <c r="BS193" s="351"/>
      <c r="BT193" s="351"/>
      <c r="BU193" s="351"/>
      <c r="BV193" s="351"/>
      <c r="BW193" s="351"/>
      <c r="BX193" s="320"/>
      <c r="BY193" s="351"/>
      <c r="BZ193" s="351"/>
      <c r="CA193" s="351"/>
      <c r="CB193" s="320"/>
      <c r="CC193" s="320"/>
      <c r="CD193" s="320"/>
      <c r="CE193" s="320"/>
      <c r="CF193" s="824"/>
      <c r="CG193" s="351"/>
      <c r="CH193" s="351"/>
      <c r="CI193" s="351"/>
      <c r="CJ193" s="351"/>
      <c r="CK193" s="351"/>
      <c r="CL193" s="351"/>
      <c r="CM193" s="351"/>
      <c r="CN193" s="351"/>
      <c r="CO193" s="351"/>
      <c r="CP193" s="758"/>
      <c r="CQ193" s="320"/>
      <c r="CR193" s="320"/>
      <c r="CS193" s="320"/>
      <c r="CT193" s="320"/>
      <c r="CU193" s="106"/>
      <c r="CV193" s="351"/>
      <c r="CW193" s="351"/>
      <c r="CX193" s="351" t="s">
        <v>10760</v>
      </c>
      <c r="CY193" s="351"/>
      <c r="CZ193" s="351"/>
      <c r="DA193" s="351"/>
      <c r="DB193" s="351"/>
      <c r="DC193" s="351" t="s">
        <v>11945</v>
      </c>
      <c r="DD193" s="320"/>
      <c r="DE193" s="320"/>
      <c r="DF193" s="320"/>
      <c r="DG193" s="320"/>
      <c r="DH193" s="320"/>
      <c r="DI193" s="351"/>
      <c r="DJ193" s="320"/>
      <c r="DK193" s="320"/>
      <c r="DL193" s="351"/>
      <c r="DM193" s="351"/>
      <c r="DN193" s="351"/>
      <c r="DO193" s="320"/>
      <c r="DP193" s="320"/>
      <c r="DQ193" s="320"/>
      <c r="DR193" s="351"/>
      <c r="DS193" s="351"/>
      <c r="DT193" s="320"/>
      <c r="DU193" s="351"/>
      <c r="DV193" s="320"/>
      <c r="DW193" s="320"/>
      <c r="DX193" s="320"/>
      <c r="DY193" s="320"/>
      <c r="DZ193" s="320"/>
      <c r="EA193" s="351"/>
      <c r="EB193" s="320"/>
      <c r="EC193" s="320"/>
      <c r="ED193" s="862"/>
    </row>
    <row r="194">
      <c r="A194" s="540" t="s">
        <v>11946</v>
      </c>
      <c r="B194" s="378" t="s">
        <v>2892</v>
      </c>
      <c r="C194" s="379" t="s">
        <v>271</v>
      </c>
      <c r="D194" s="380" t="s">
        <v>271</v>
      </c>
      <c r="E194" s="381" t="s">
        <v>271</v>
      </c>
      <c r="F194" s="382" t="s">
        <v>171</v>
      </c>
      <c r="G194" s="378" t="s">
        <v>274</v>
      </c>
      <c r="H194" s="835"/>
      <c r="I194" s="835"/>
      <c r="J194" s="775"/>
      <c r="K194" s="775"/>
      <c r="L194" s="775"/>
      <c r="M194" s="835"/>
      <c r="N194" s="835"/>
      <c r="O194" s="541"/>
      <c r="P194" s="541"/>
      <c r="Q194" s="835"/>
      <c r="R194" s="835"/>
      <c r="S194" s="835"/>
      <c r="T194" s="835"/>
      <c r="U194" s="835"/>
      <c r="V194" s="835"/>
      <c r="W194" s="106"/>
      <c r="X194" s="837"/>
      <c r="Y194" s="670"/>
      <c r="Z194" s="670"/>
      <c r="AA194" s="670"/>
      <c r="AB194" s="908"/>
      <c r="AC194" s="908"/>
      <c r="AD194" s="670"/>
      <c r="AE194" s="837"/>
      <c r="AF194" s="837"/>
      <c r="AG194" s="837"/>
      <c r="AH194" s="837"/>
      <c r="AI194" s="837"/>
      <c r="AJ194" s="837"/>
      <c r="AK194" s="837"/>
      <c r="AL194" s="105"/>
      <c r="AM194" s="839"/>
      <c r="AN194" s="839"/>
      <c r="AO194" s="839"/>
      <c r="AP194" s="839"/>
      <c r="AQ194" s="839"/>
      <c r="AR194" s="839"/>
      <c r="AS194" s="839"/>
      <c r="AT194" s="839"/>
      <c r="AU194" s="570"/>
      <c r="AV194" s="573"/>
      <c r="AW194" s="839"/>
      <c r="AX194" s="839"/>
      <c r="AY194" s="839"/>
      <c r="AZ194" s="839"/>
      <c r="BA194" s="839"/>
      <c r="BB194" s="1289"/>
      <c r="BC194" s="580"/>
      <c r="BD194" s="581"/>
      <c r="BE194" s="1289"/>
      <c r="BF194" s="581"/>
      <c r="BG194" s="580"/>
      <c r="BH194" s="580"/>
      <c r="BI194" s="581"/>
      <c r="BJ194" s="580"/>
      <c r="BK194" s="581" t="s">
        <v>11947</v>
      </c>
      <c r="BL194" s="581"/>
      <c r="BM194" s="580"/>
      <c r="BN194" s="580"/>
      <c r="BO194" s="580"/>
      <c r="BP194" s="580"/>
      <c r="BQ194" s="845"/>
      <c r="BR194" s="849"/>
      <c r="BS194" s="849"/>
      <c r="BT194" s="589"/>
      <c r="BU194" s="849"/>
      <c r="BV194" s="849"/>
      <c r="BW194" s="590"/>
      <c r="BX194" s="849"/>
      <c r="BY194" s="590"/>
      <c r="BZ194" s="589"/>
      <c r="CA194" s="849"/>
      <c r="CB194" s="849"/>
      <c r="CC194" s="589"/>
      <c r="CD194" s="849"/>
      <c r="CE194" s="589"/>
      <c r="CF194" s="1150"/>
      <c r="CG194" s="593"/>
      <c r="CH194" s="593"/>
      <c r="CI194" s="593" t="s">
        <v>10739</v>
      </c>
      <c r="CJ194" s="852"/>
      <c r="CK194" s="852"/>
      <c r="CL194" s="852"/>
      <c r="CM194" s="869"/>
      <c r="CN194" s="869"/>
      <c r="CO194" s="852"/>
      <c r="CP194" s="852"/>
      <c r="CQ194" s="852"/>
      <c r="CR194" s="852"/>
      <c r="CS194" s="852"/>
      <c r="CT194" s="593"/>
      <c r="CU194" s="106"/>
      <c r="CV194" s="683"/>
      <c r="CW194" s="853"/>
      <c r="CX194" s="793"/>
      <c r="CY194" s="683"/>
      <c r="CZ194" s="683"/>
      <c r="DA194" s="683"/>
      <c r="DB194" s="458" t="s">
        <v>9735</v>
      </c>
      <c r="DC194" s="683"/>
      <c r="DD194" s="853"/>
      <c r="DE194" s="853"/>
      <c r="DF194" s="683"/>
      <c r="DG194" s="853"/>
      <c r="DH194" s="853"/>
      <c r="DI194" s="685"/>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1039"/>
    </row>
    <row r="195">
      <c r="A195" s="244" t="s">
        <v>11948</v>
      </c>
      <c r="B195" s="245" t="s">
        <v>2933</v>
      </c>
      <c r="C195" s="246" t="s">
        <v>271</v>
      </c>
      <c r="D195" s="247" t="s">
        <v>271</v>
      </c>
      <c r="E195" s="248" t="s">
        <v>271</v>
      </c>
      <c r="F195" s="249" t="s">
        <v>171</v>
      </c>
      <c r="G195" s="245" t="s">
        <v>567</v>
      </c>
      <c r="H195" s="320"/>
      <c r="I195" s="320"/>
      <c r="J195" s="320"/>
      <c r="K195" s="286" t="s">
        <v>4445</v>
      </c>
      <c r="L195" s="320"/>
      <c r="M195" s="320"/>
      <c r="N195" s="320"/>
      <c r="O195" s="320"/>
      <c r="P195" s="320"/>
      <c r="Q195" s="320"/>
      <c r="R195" s="320"/>
      <c r="S195" s="320"/>
      <c r="T195" s="320"/>
      <c r="U195" s="320"/>
      <c r="V195" s="320"/>
      <c r="W195" s="106"/>
      <c r="X195" s="286" t="s">
        <v>6870</v>
      </c>
      <c r="Y195" s="320"/>
      <c r="Z195" s="320"/>
      <c r="AA195" s="286" t="s">
        <v>758</v>
      </c>
      <c r="AB195" s="320"/>
      <c r="AC195" s="257" t="s">
        <v>2328</v>
      </c>
      <c r="AD195" s="286" t="s">
        <v>9733</v>
      </c>
      <c r="AE195" s="320"/>
      <c r="AF195" s="320"/>
      <c r="AG195" s="286" t="s">
        <v>2393</v>
      </c>
      <c r="AH195" s="320"/>
      <c r="AI195" s="320"/>
      <c r="AJ195" s="320"/>
      <c r="AK195" s="320"/>
      <c r="AL195" s="105"/>
      <c r="AM195" s="320"/>
      <c r="AN195" s="320"/>
      <c r="AO195" s="320"/>
      <c r="AP195" s="320"/>
      <c r="AQ195" s="320"/>
      <c r="AR195" s="320"/>
      <c r="AS195" s="320"/>
      <c r="AT195" s="320"/>
      <c r="AU195" s="320"/>
      <c r="AV195" s="286" t="s">
        <v>2286</v>
      </c>
      <c r="AW195" s="320"/>
      <c r="AX195" s="320"/>
      <c r="AY195" s="320"/>
      <c r="AZ195" s="320"/>
      <c r="BA195" s="320"/>
      <c r="BB195" s="320"/>
      <c r="BC195" s="320"/>
      <c r="BD195" s="320"/>
      <c r="BE195" s="320"/>
      <c r="BF195" s="320"/>
      <c r="BG195" s="320"/>
      <c r="BH195" s="320"/>
      <c r="BI195" s="286" t="s">
        <v>8650</v>
      </c>
      <c r="BJ195" s="320"/>
      <c r="BK195" s="320"/>
      <c r="BL195" s="320"/>
      <c r="BM195" s="320"/>
      <c r="BN195" s="320"/>
      <c r="BO195" s="320"/>
      <c r="BP195" s="320"/>
      <c r="BQ195" s="824"/>
      <c r="BR195" s="320"/>
      <c r="BS195" s="320"/>
      <c r="BT195" s="320"/>
      <c r="BU195" s="320"/>
      <c r="BV195" s="320"/>
      <c r="BW195" s="320"/>
      <c r="BX195" s="320"/>
      <c r="BY195" s="320"/>
      <c r="BZ195" s="320"/>
      <c r="CA195" s="320"/>
      <c r="CB195" s="320"/>
      <c r="CC195" s="320"/>
      <c r="CD195" s="320"/>
      <c r="CE195" s="320"/>
      <c r="CF195" s="824"/>
      <c r="CG195" s="286" t="s">
        <v>11949</v>
      </c>
      <c r="CH195" s="286" t="s">
        <v>481</v>
      </c>
      <c r="CI195" s="286" t="s">
        <v>7063</v>
      </c>
      <c r="CJ195" s="320"/>
      <c r="CK195" s="320"/>
      <c r="CL195" s="320" t="s">
        <v>9946</v>
      </c>
      <c r="CM195" s="320"/>
      <c r="CN195" s="286" t="s">
        <v>10823</v>
      </c>
      <c r="CO195" s="320"/>
      <c r="CP195" s="320"/>
      <c r="CQ195" s="320"/>
      <c r="CR195" s="320"/>
      <c r="CS195" s="320"/>
      <c r="CT195" s="320"/>
      <c r="CU195" s="106"/>
      <c r="CV195" s="286" t="s">
        <v>11950</v>
      </c>
      <c r="CW195" s="320"/>
      <c r="CX195" s="320"/>
      <c r="CY195" s="320"/>
      <c r="CZ195" s="320"/>
      <c r="DA195" s="320"/>
      <c r="DB195" s="320"/>
      <c r="DC195" s="320"/>
      <c r="DD195" s="320"/>
      <c r="DE195" s="320"/>
      <c r="DF195" s="320"/>
      <c r="DG195" s="320"/>
      <c r="DH195" s="320"/>
      <c r="DI195" s="320"/>
      <c r="DJ195" s="320"/>
      <c r="DK195" s="320"/>
      <c r="DL195" s="320"/>
      <c r="DM195" s="320"/>
      <c r="DN195" s="320"/>
      <c r="DO195" s="320"/>
      <c r="DP195" s="320"/>
      <c r="DQ195" s="320"/>
      <c r="DR195" s="320"/>
      <c r="DS195" s="320"/>
      <c r="DT195" s="320"/>
      <c r="DU195" s="320"/>
      <c r="DV195" s="320"/>
      <c r="DW195" s="320"/>
      <c r="DX195" s="320"/>
      <c r="DY195" s="320"/>
      <c r="DZ195" s="320"/>
      <c r="EA195" s="320"/>
      <c r="EB195" s="320"/>
      <c r="EC195" s="320"/>
      <c r="ED195" s="862"/>
    </row>
    <row r="196">
      <c r="A196" s="1911" t="s">
        <v>11951</v>
      </c>
      <c r="B196" s="378" t="s">
        <v>11952</v>
      </c>
      <c r="C196" s="379" t="s">
        <v>271</v>
      </c>
      <c r="D196" s="380" t="s">
        <v>271</v>
      </c>
      <c r="E196" s="381" t="s">
        <v>271</v>
      </c>
      <c r="F196" s="382" t="s">
        <v>271</v>
      </c>
      <c r="G196" s="378" t="s">
        <v>565</v>
      </c>
      <c r="H196" s="835"/>
      <c r="I196" s="541" t="s">
        <v>11953</v>
      </c>
      <c r="J196" s="541" t="s">
        <v>10461</v>
      </c>
      <c r="K196" s="541" t="s">
        <v>2326</v>
      </c>
      <c r="L196" s="541" t="s">
        <v>11954</v>
      </c>
      <c r="M196" s="835"/>
      <c r="N196" s="835"/>
      <c r="O196" s="541" t="s">
        <v>4468</v>
      </c>
      <c r="P196" s="835"/>
      <c r="Q196" s="835"/>
      <c r="R196" s="835"/>
      <c r="S196" s="541" t="s">
        <v>5396</v>
      </c>
      <c r="T196" s="835"/>
      <c r="U196" s="835"/>
      <c r="V196" s="835"/>
      <c r="W196" s="106"/>
      <c r="X196" s="837"/>
      <c r="Y196" s="837"/>
      <c r="Z196" s="837"/>
      <c r="AA196" s="670" t="s">
        <v>1863</v>
      </c>
      <c r="AB196" s="837"/>
      <c r="AC196" s="670" t="s">
        <v>11818</v>
      </c>
      <c r="AD196" s="837"/>
      <c r="AE196" s="837"/>
      <c r="AF196" s="837"/>
      <c r="AG196" s="837"/>
      <c r="AH196" s="837"/>
      <c r="AI196" s="837"/>
      <c r="AJ196" s="837"/>
      <c r="AK196" s="837"/>
      <c r="AL196" s="105"/>
      <c r="AM196" s="839"/>
      <c r="AN196" s="839"/>
      <c r="AO196" s="839"/>
      <c r="AP196" s="839"/>
      <c r="AQ196" s="839"/>
      <c r="AR196" s="839"/>
      <c r="AS196" s="839"/>
      <c r="AT196" s="839"/>
      <c r="AU196" s="839"/>
      <c r="AV196" s="570" t="s">
        <v>8036</v>
      </c>
      <c r="AW196" s="839"/>
      <c r="AX196" s="839"/>
      <c r="AY196" s="839"/>
      <c r="AZ196" s="839"/>
      <c r="BA196" s="839"/>
      <c r="BB196" s="580"/>
      <c r="BC196" s="581" t="s">
        <v>2606</v>
      </c>
      <c r="BD196" s="579" t="s">
        <v>8663</v>
      </c>
      <c r="BE196" s="580"/>
      <c r="BF196" s="580"/>
      <c r="BG196" s="580"/>
      <c r="BH196" s="580"/>
      <c r="BI196" s="580"/>
      <c r="BJ196" s="580"/>
      <c r="BK196" s="581" t="s">
        <v>9264</v>
      </c>
      <c r="BL196" s="580"/>
      <c r="BM196" s="580"/>
      <c r="BN196" s="580"/>
      <c r="BO196" s="580"/>
      <c r="BP196" s="580"/>
      <c r="BQ196" s="845"/>
      <c r="BR196" s="849"/>
      <c r="BS196" s="849"/>
      <c r="BT196" s="849"/>
      <c r="BU196" s="589" t="s">
        <v>11330</v>
      </c>
      <c r="BV196" s="849"/>
      <c r="BW196" s="589" t="s">
        <v>4196</v>
      </c>
      <c r="BX196" s="849"/>
      <c r="BY196" s="849"/>
      <c r="BZ196" s="849"/>
      <c r="CA196" s="849"/>
      <c r="CB196" s="849"/>
      <c r="CC196" s="849"/>
      <c r="CD196" s="589" t="s">
        <v>6254</v>
      </c>
      <c r="CE196" s="849"/>
      <c r="CF196" s="851"/>
      <c r="CG196" s="852"/>
      <c r="CH196" s="593" t="s">
        <v>4257</v>
      </c>
      <c r="CI196" s="852"/>
      <c r="CJ196" s="852"/>
      <c r="CK196" s="852"/>
      <c r="CL196" s="852"/>
      <c r="CM196" s="852"/>
      <c r="CN196" s="852"/>
      <c r="CO196" s="852"/>
      <c r="CP196" s="852"/>
      <c r="CQ196" s="852"/>
      <c r="CR196" s="852"/>
      <c r="CS196" s="852"/>
      <c r="CT196" s="852"/>
      <c r="CU196" s="106"/>
      <c r="CV196" s="853"/>
      <c r="CW196" s="853"/>
      <c r="CX196" s="683" t="s">
        <v>4184</v>
      </c>
      <c r="CY196" s="853"/>
      <c r="CZ196" s="853"/>
      <c r="DA196" s="853"/>
      <c r="DB196" s="853"/>
      <c r="DC196" s="853"/>
      <c r="DD196" s="853"/>
      <c r="DE196" s="683" t="s">
        <v>3912</v>
      </c>
      <c r="DF196" s="853"/>
      <c r="DG196" s="853"/>
      <c r="DH196" s="853"/>
      <c r="DI196" s="855"/>
      <c r="DJ196" s="855"/>
      <c r="DK196" s="855"/>
      <c r="DL196" s="855"/>
      <c r="DM196" s="855"/>
      <c r="DN196" s="855"/>
      <c r="DO196" s="855"/>
      <c r="DP196" s="855"/>
      <c r="DQ196" s="855"/>
      <c r="DR196" s="855"/>
      <c r="DS196" s="685" t="s">
        <v>6165</v>
      </c>
      <c r="DT196" s="685" t="s">
        <v>10715</v>
      </c>
      <c r="DU196" s="855"/>
      <c r="DV196" s="855"/>
      <c r="DW196" s="855"/>
      <c r="DX196" s="855"/>
      <c r="DY196" s="855"/>
      <c r="DZ196" s="855"/>
      <c r="EA196" s="855"/>
      <c r="EB196" s="855"/>
      <c r="EC196" s="855"/>
      <c r="ED196" s="1039" t="s">
        <v>11955</v>
      </c>
    </row>
    <row r="197">
      <c r="A197" s="2015" t="s">
        <v>11956</v>
      </c>
      <c r="B197" s="245" t="s">
        <v>11957</v>
      </c>
      <c r="C197" s="246" t="s">
        <v>271</v>
      </c>
      <c r="D197" s="247" t="s">
        <v>171</v>
      </c>
      <c r="E197" s="248" t="s">
        <v>271</v>
      </c>
      <c r="F197" s="249" t="s">
        <v>274</v>
      </c>
      <c r="G197" s="245" t="s">
        <v>204</v>
      </c>
      <c r="H197" s="351"/>
      <c r="I197" s="288"/>
      <c r="J197" s="351"/>
      <c r="K197" s="351" t="s">
        <v>2349</v>
      </c>
      <c r="L197" s="351" t="s">
        <v>11445</v>
      </c>
      <c r="M197" s="351"/>
      <c r="N197" s="351"/>
      <c r="O197" s="351" t="s">
        <v>2944</v>
      </c>
      <c r="P197" s="351"/>
      <c r="Q197" s="320"/>
      <c r="R197" s="320"/>
      <c r="S197" s="320"/>
      <c r="T197" s="320"/>
      <c r="U197" s="320"/>
      <c r="V197" s="320"/>
      <c r="W197" s="106"/>
      <c r="X197" s="257" t="s">
        <v>2764</v>
      </c>
      <c r="Y197" s="351"/>
      <c r="Z197" s="351" t="s">
        <v>11958</v>
      </c>
      <c r="AA197" s="351"/>
      <c r="AB197" s="881"/>
      <c r="AC197" s="351"/>
      <c r="AD197" s="351"/>
      <c r="AE197" s="257" t="s">
        <v>9517</v>
      </c>
      <c r="AF197" s="351" t="s">
        <v>929</v>
      </c>
      <c r="AG197" s="351"/>
      <c r="AH197" s="320"/>
      <c r="AI197" s="320"/>
      <c r="AJ197" s="351"/>
      <c r="AK197" s="320"/>
      <c r="AL197" s="105"/>
      <c r="AM197" s="351"/>
      <c r="AN197" s="351" t="s">
        <v>695</v>
      </c>
      <c r="AO197" s="320"/>
      <c r="AP197" s="320"/>
      <c r="AQ197" s="286"/>
      <c r="AR197" s="286"/>
      <c r="AS197" s="286" t="s">
        <v>8781</v>
      </c>
      <c r="AT197" s="320"/>
      <c r="AU197" s="351"/>
      <c r="AV197" s="351" t="s">
        <v>617</v>
      </c>
      <c r="AW197" s="351"/>
      <c r="AX197" s="320"/>
      <c r="AY197" s="320"/>
      <c r="AZ197" s="320"/>
      <c r="BA197" s="320"/>
      <c r="BB197" s="351"/>
      <c r="BC197" s="351"/>
      <c r="BD197" s="351" t="s">
        <v>11959</v>
      </c>
      <c r="BE197" s="351"/>
      <c r="BF197" s="351"/>
      <c r="BG197" s="351"/>
      <c r="BH197" s="320"/>
      <c r="BI197" s="351"/>
      <c r="BJ197" s="320"/>
      <c r="BK197" s="351"/>
      <c r="BL197" s="351"/>
      <c r="BM197" s="320"/>
      <c r="BN197" s="320"/>
      <c r="BO197" s="351"/>
      <c r="BP197" s="320"/>
      <c r="BQ197" s="824"/>
      <c r="BR197" s="351"/>
      <c r="BS197" s="351"/>
      <c r="BT197" s="351"/>
      <c r="BU197" s="351"/>
      <c r="BV197" s="351"/>
      <c r="BW197" s="351"/>
      <c r="BX197" s="320"/>
      <c r="BY197" s="351"/>
      <c r="BZ197" s="351"/>
      <c r="CA197" s="351"/>
      <c r="CB197" s="320"/>
      <c r="CC197" s="320"/>
      <c r="CD197" s="320"/>
      <c r="CE197" s="320"/>
      <c r="CF197" s="824"/>
      <c r="CG197" s="351"/>
      <c r="CH197" s="351"/>
      <c r="CI197" s="351"/>
      <c r="CJ197" s="351"/>
      <c r="CK197" s="351"/>
      <c r="CL197" s="351"/>
      <c r="CM197" s="351"/>
      <c r="CN197" s="351"/>
      <c r="CO197" s="351"/>
      <c r="CP197" s="758"/>
      <c r="CQ197" s="320"/>
      <c r="CR197" s="320"/>
      <c r="CS197" s="320"/>
      <c r="CT197" s="320"/>
      <c r="CU197" s="106"/>
      <c r="CV197" s="351"/>
      <c r="CW197" s="351"/>
      <c r="CX197" s="351"/>
      <c r="CY197" s="351"/>
      <c r="CZ197" s="351"/>
      <c r="DA197" s="351"/>
      <c r="DB197" s="351" t="s">
        <v>11960</v>
      </c>
      <c r="DC197" s="351"/>
      <c r="DD197" s="320"/>
      <c r="DE197" s="320"/>
      <c r="DF197" s="320"/>
      <c r="DG197" s="320"/>
      <c r="DH197" s="320"/>
      <c r="DI197" s="351"/>
      <c r="DJ197" s="320"/>
      <c r="DK197" s="320"/>
      <c r="DL197" s="351"/>
      <c r="DM197" s="263" t="s">
        <v>516</v>
      </c>
      <c r="DN197" s="351"/>
      <c r="DO197" s="320"/>
      <c r="DP197" s="320"/>
      <c r="DQ197" s="320"/>
      <c r="DR197" s="351"/>
      <c r="DS197" s="351"/>
      <c r="DT197" s="320"/>
      <c r="DU197" s="351"/>
      <c r="DV197" s="320"/>
      <c r="DW197" s="320"/>
      <c r="DX197" s="320"/>
      <c r="DY197" s="320"/>
      <c r="DZ197" s="320"/>
      <c r="EA197" s="351"/>
      <c r="EB197" s="320"/>
      <c r="EC197" s="320"/>
      <c r="ED197" s="862"/>
    </row>
    <row r="198">
      <c r="A198" s="2016" t="s">
        <v>11961</v>
      </c>
      <c r="B198" s="378" t="s">
        <v>11962</v>
      </c>
      <c r="C198" s="379" t="s">
        <v>271</v>
      </c>
      <c r="D198" s="380" t="s">
        <v>271</v>
      </c>
      <c r="E198" s="381" t="s">
        <v>271</v>
      </c>
      <c r="F198" s="382" t="s">
        <v>233</v>
      </c>
      <c r="G198" s="378" t="s">
        <v>233</v>
      </c>
      <c r="H198" s="541"/>
      <c r="I198" s="835"/>
      <c r="J198" s="835"/>
      <c r="K198" s="835"/>
      <c r="L198" s="835"/>
      <c r="M198" s="835"/>
      <c r="N198" s="835"/>
      <c r="O198" s="835"/>
      <c r="P198" s="390" t="s">
        <v>1140</v>
      </c>
      <c r="Q198" s="835"/>
      <c r="R198" s="835"/>
      <c r="S198" s="835"/>
      <c r="T198" s="835"/>
      <c r="U198" s="835"/>
      <c r="V198" s="835"/>
      <c r="W198" s="106"/>
      <c r="X198" s="837"/>
      <c r="Y198" s="837"/>
      <c r="Z198" s="837"/>
      <c r="AA198" s="837"/>
      <c r="AB198" s="837"/>
      <c r="AC198" s="837"/>
      <c r="AD198" s="837"/>
      <c r="AE198" s="837"/>
      <c r="AF198" s="837"/>
      <c r="AG198" s="399" t="s">
        <v>10155</v>
      </c>
      <c r="AH198" s="837"/>
      <c r="AI198" s="837"/>
      <c r="AJ198" s="837"/>
      <c r="AK198" s="837"/>
      <c r="AL198" s="105"/>
      <c r="AM198" s="839"/>
      <c r="AN198" s="839"/>
      <c r="AO198" s="839"/>
      <c r="AP198" s="839"/>
      <c r="AQ198" s="839"/>
      <c r="AR198" s="839"/>
      <c r="AS198" s="839"/>
      <c r="AT198" s="839"/>
      <c r="AU198" s="839"/>
      <c r="AV198" s="839"/>
      <c r="AW198" s="839"/>
      <c r="AX198" s="839"/>
      <c r="AY198" s="839"/>
      <c r="AZ198" s="839"/>
      <c r="BA198" s="839"/>
      <c r="BB198" s="580"/>
      <c r="BC198" s="580"/>
      <c r="BD198" s="580"/>
      <c r="BE198" s="580"/>
      <c r="BF198" s="580"/>
      <c r="BG198" s="580"/>
      <c r="BH198" s="580"/>
      <c r="BI198" s="580"/>
      <c r="BJ198" s="580"/>
      <c r="BK198" s="580"/>
      <c r="BL198" s="580"/>
      <c r="BM198" s="580"/>
      <c r="BN198" s="580"/>
      <c r="BO198" s="580"/>
      <c r="BP198" s="580"/>
      <c r="BQ198" s="845"/>
      <c r="BR198" s="849"/>
      <c r="BS198" s="849"/>
      <c r="BT198" s="849"/>
      <c r="BU198" s="849"/>
      <c r="BV198" s="849"/>
      <c r="BW198" s="849"/>
      <c r="BX198" s="849"/>
      <c r="BY198" s="849"/>
      <c r="BZ198" s="849"/>
      <c r="CA198" s="849"/>
      <c r="CB198" s="849"/>
      <c r="CC198" s="849"/>
      <c r="CD198" s="849"/>
      <c r="CE198" s="849"/>
      <c r="CF198" s="851"/>
      <c r="CG198" s="852"/>
      <c r="CH198" s="852"/>
      <c r="CI198" s="852"/>
      <c r="CJ198" s="852"/>
      <c r="CK198" s="852"/>
      <c r="CL198" s="852"/>
      <c r="CM198" s="852"/>
      <c r="CN198" s="852"/>
      <c r="CO198" s="852"/>
      <c r="CP198" s="852"/>
      <c r="CQ198" s="852"/>
      <c r="CR198" s="852"/>
      <c r="CS198" s="852"/>
      <c r="CT198" s="852"/>
      <c r="CU198" s="106"/>
      <c r="CV198" s="853"/>
      <c r="CW198" s="853"/>
      <c r="CX198" s="853"/>
      <c r="CY198" s="853"/>
      <c r="CZ198" s="853"/>
      <c r="DA198" s="853"/>
      <c r="DB198" s="853"/>
      <c r="DC198" s="853"/>
      <c r="DD198" s="853"/>
      <c r="DE198" s="853"/>
      <c r="DF198" s="853"/>
      <c r="DG198" s="853"/>
      <c r="DH198" s="853"/>
      <c r="DI198" s="855"/>
      <c r="DJ198" s="855"/>
      <c r="DK198" s="855"/>
      <c r="DL198" s="855"/>
      <c r="DM198" s="855"/>
      <c r="DN198" s="855"/>
      <c r="DO198" s="855"/>
      <c r="DP198" s="855"/>
      <c r="DQ198" s="855"/>
      <c r="DR198" s="855"/>
      <c r="DS198" s="855"/>
      <c r="DT198" s="855"/>
      <c r="DU198" s="855"/>
      <c r="DV198" s="855"/>
      <c r="DW198" s="855"/>
      <c r="DX198" s="855"/>
      <c r="DY198" s="855"/>
      <c r="DZ198" s="855"/>
      <c r="EA198" s="855"/>
      <c r="EB198" s="855"/>
      <c r="EC198" s="855"/>
      <c r="ED198" s="1039"/>
    </row>
    <row r="199">
      <c r="A199" s="1707" t="s">
        <v>11963</v>
      </c>
      <c r="B199" s="245" t="s">
        <v>2978</v>
      </c>
      <c r="C199" s="246" t="s">
        <v>271</v>
      </c>
      <c r="D199" s="247" t="s">
        <v>271</v>
      </c>
      <c r="E199" s="248" t="s">
        <v>271</v>
      </c>
      <c r="F199" s="249" t="s">
        <v>271</v>
      </c>
      <c r="G199" s="245" t="s">
        <v>233</v>
      </c>
      <c r="H199" s="351"/>
      <c r="I199" s="288"/>
      <c r="J199" s="351"/>
      <c r="K199" s="351" t="s">
        <v>9898</v>
      </c>
      <c r="L199" s="351"/>
      <c r="M199" s="351"/>
      <c r="N199" s="351"/>
      <c r="O199" s="351"/>
      <c r="P199" s="351"/>
      <c r="Q199" s="320"/>
      <c r="R199" s="320"/>
      <c r="S199" s="320"/>
      <c r="T199" s="320"/>
      <c r="U199" s="320"/>
      <c r="V199" s="320"/>
      <c r="W199" s="106"/>
      <c r="X199" s="351"/>
      <c r="Y199" s="351"/>
      <c r="Z199" s="351"/>
      <c r="AA199" s="351"/>
      <c r="AB199" s="881"/>
      <c r="AC199" s="351"/>
      <c r="AD199" s="351"/>
      <c r="AE199" s="320"/>
      <c r="AF199" s="351"/>
      <c r="AG199" s="351"/>
      <c r="AH199" s="320"/>
      <c r="AI199" s="320"/>
      <c r="AJ199" s="351"/>
      <c r="AK199" s="320"/>
      <c r="AL199" s="105"/>
      <c r="AM199" s="351"/>
      <c r="AN199" s="351"/>
      <c r="AO199" s="320"/>
      <c r="AP199" s="320"/>
      <c r="AQ199" s="286"/>
      <c r="AR199" s="286"/>
      <c r="AS199" s="320"/>
      <c r="AT199" s="320"/>
      <c r="AU199" s="351"/>
      <c r="AV199" s="351"/>
      <c r="AW199" s="351"/>
      <c r="AX199" s="320"/>
      <c r="AY199" s="320"/>
      <c r="AZ199" s="320"/>
      <c r="BA199" s="320"/>
      <c r="BB199" s="351"/>
      <c r="BC199" s="351"/>
      <c r="BD199" s="351"/>
      <c r="BE199" s="351"/>
      <c r="BF199" s="351"/>
      <c r="BG199" s="351"/>
      <c r="BH199" s="320"/>
      <c r="BI199" s="351"/>
      <c r="BJ199" s="320"/>
      <c r="BK199" s="351"/>
      <c r="BL199" s="351"/>
      <c r="BM199" s="320"/>
      <c r="BN199" s="320"/>
      <c r="BO199" s="351"/>
      <c r="BP199" s="320"/>
      <c r="BQ199" s="824"/>
      <c r="BR199" s="351"/>
      <c r="BS199" s="351"/>
      <c r="BT199" s="351"/>
      <c r="BU199" s="351"/>
      <c r="BV199" s="351"/>
      <c r="BW199" s="351"/>
      <c r="BX199" s="320"/>
      <c r="BY199" s="351"/>
      <c r="BZ199" s="351"/>
      <c r="CA199" s="351"/>
      <c r="CB199" s="320"/>
      <c r="CC199" s="320"/>
      <c r="CD199" s="320"/>
      <c r="CE199" s="320"/>
      <c r="CF199" s="824"/>
      <c r="CG199" s="351"/>
      <c r="CH199" s="351" t="s">
        <v>10440</v>
      </c>
      <c r="CI199" s="351"/>
      <c r="CJ199" s="351"/>
      <c r="CK199" s="351"/>
      <c r="CL199" s="351"/>
      <c r="CM199" s="351"/>
      <c r="CN199" s="351"/>
      <c r="CO199" s="351"/>
      <c r="CP199" s="758"/>
      <c r="CQ199" s="320"/>
      <c r="CR199" s="320"/>
      <c r="CS199" s="320"/>
      <c r="CT199" s="320"/>
      <c r="CU199" s="106"/>
      <c r="CV199" s="351"/>
      <c r="CW199" s="351"/>
      <c r="CX199" s="351"/>
      <c r="CY199" s="351"/>
      <c r="CZ199" s="351"/>
      <c r="DA199" s="351"/>
      <c r="DB199" s="351"/>
      <c r="DC199" s="351"/>
      <c r="DD199" s="320"/>
      <c r="DE199" s="320"/>
      <c r="DF199" s="320"/>
      <c r="DG199" s="320"/>
      <c r="DH199" s="320"/>
      <c r="DI199" s="351"/>
      <c r="DJ199" s="320"/>
      <c r="DK199" s="320"/>
      <c r="DL199" s="351"/>
      <c r="DM199" s="351"/>
      <c r="DN199" s="351"/>
      <c r="DO199" s="320"/>
      <c r="DP199" s="320"/>
      <c r="DQ199" s="320"/>
      <c r="DR199" s="351"/>
      <c r="DS199" s="351"/>
      <c r="DT199" s="320"/>
      <c r="DU199" s="351"/>
      <c r="DV199" s="320"/>
      <c r="DW199" s="320"/>
      <c r="DX199" s="320"/>
      <c r="DY199" s="320"/>
      <c r="DZ199" s="320"/>
      <c r="EA199" s="351"/>
      <c r="EB199" s="320"/>
      <c r="EC199" s="320"/>
      <c r="ED199" s="862"/>
    </row>
    <row r="200">
      <c r="A200" s="540" t="s">
        <v>11964</v>
      </c>
      <c r="B200" s="378" t="s">
        <v>11965</v>
      </c>
      <c r="C200" s="379" t="s">
        <v>271</v>
      </c>
      <c r="D200" s="380" t="s">
        <v>271</v>
      </c>
      <c r="E200" s="381" t="s">
        <v>271</v>
      </c>
      <c r="F200" s="382" t="s">
        <v>274</v>
      </c>
      <c r="G200" s="378" t="s">
        <v>270</v>
      </c>
      <c r="H200" s="390" t="s">
        <v>2991</v>
      </c>
      <c r="I200" s="835"/>
      <c r="J200" s="541" t="s">
        <v>8890</v>
      </c>
      <c r="K200" s="390" t="s">
        <v>4447</v>
      </c>
      <c r="L200" s="835"/>
      <c r="M200" s="835"/>
      <c r="N200" s="835"/>
      <c r="O200" s="835"/>
      <c r="P200" s="541" t="s">
        <v>1105</v>
      </c>
      <c r="Q200" s="835"/>
      <c r="R200" s="835"/>
      <c r="S200" s="835"/>
      <c r="T200" s="835"/>
      <c r="U200" s="835"/>
      <c r="V200" s="835"/>
      <c r="W200" s="106"/>
      <c r="X200" s="837"/>
      <c r="Y200" s="837"/>
      <c r="Z200" s="837"/>
      <c r="AA200" s="670" t="s">
        <v>11966</v>
      </c>
      <c r="AB200" s="837"/>
      <c r="AC200" s="837"/>
      <c r="AD200" s="837"/>
      <c r="AE200" s="837"/>
      <c r="AF200" s="837"/>
      <c r="AG200" s="837"/>
      <c r="AH200" s="837"/>
      <c r="AI200" s="837"/>
      <c r="AJ200" s="837"/>
      <c r="AK200" s="837"/>
      <c r="AL200" s="105"/>
      <c r="AM200" s="839"/>
      <c r="AN200" s="839"/>
      <c r="AO200" s="839"/>
      <c r="AP200" s="839"/>
      <c r="AQ200" s="839"/>
      <c r="AR200" s="839"/>
      <c r="AS200" s="839"/>
      <c r="AT200" s="839"/>
      <c r="AU200" s="839"/>
      <c r="AV200" s="839"/>
      <c r="AW200" s="839"/>
      <c r="AX200" s="839"/>
      <c r="AY200" s="839"/>
      <c r="AZ200" s="839"/>
      <c r="BA200" s="839"/>
      <c r="BB200" s="580"/>
      <c r="BC200" s="581" t="s">
        <v>834</v>
      </c>
      <c r="BD200" s="2017" t="s">
        <v>2666</v>
      </c>
      <c r="BE200" s="580"/>
      <c r="BF200" s="580"/>
      <c r="BG200" s="580"/>
      <c r="BH200" s="580"/>
      <c r="BI200" s="580"/>
      <c r="BJ200" s="580"/>
      <c r="BK200" s="580"/>
      <c r="BL200" s="580"/>
      <c r="BM200" s="580"/>
      <c r="BN200" s="580"/>
      <c r="BO200" s="580"/>
      <c r="BP200" s="580"/>
      <c r="BQ200" s="845"/>
      <c r="BR200" s="849"/>
      <c r="BS200" s="849"/>
      <c r="BT200" s="849"/>
      <c r="BU200" s="849"/>
      <c r="BV200" s="849"/>
      <c r="BW200" s="849"/>
      <c r="BX200" s="849"/>
      <c r="BY200" s="849"/>
      <c r="BZ200" s="849"/>
      <c r="CA200" s="849"/>
      <c r="CB200" s="849"/>
      <c r="CC200" s="849"/>
      <c r="CD200" s="849"/>
      <c r="CE200" s="849"/>
      <c r="CF200" s="851"/>
      <c r="CG200" s="852"/>
      <c r="CH200" s="852"/>
      <c r="CI200" s="852"/>
      <c r="CJ200" s="852"/>
      <c r="CK200" s="852"/>
      <c r="CL200" s="852"/>
      <c r="CM200" s="852"/>
      <c r="CN200" s="852"/>
      <c r="CO200" s="852"/>
      <c r="CP200" s="852"/>
      <c r="CQ200" s="852"/>
      <c r="CR200" s="852"/>
      <c r="CS200" s="852"/>
      <c r="CT200" s="852"/>
      <c r="CU200" s="106"/>
      <c r="CV200" s="853"/>
      <c r="CW200" s="853"/>
      <c r="CX200" s="853"/>
      <c r="CY200" s="853"/>
      <c r="CZ200" s="853"/>
      <c r="DA200" s="853"/>
      <c r="DB200" s="853"/>
      <c r="DC200" s="853"/>
      <c r="DD200" s="853"/>
      <c r="DE200" s="853"/>
      <c r="DF200" s="853"/>
      <c r="DG200" s="853"/>
      <c r="DH200" s="853"/>
      <c r="DI200" s="855"/>
      <c r="DJ200" s="855"/>
      <c r="DK200" s="855"/>
      <c r="DL200" s="685"/>
      <c r="DM200" s="855"/>
      <c r="DN200" s="685" t="s">
        <v>3763</v>
      </c>
      <c r="DO200" s="685" t="s">
        <v>4411</v>
      </c>
      <c r="DP200" s="685" t="s">
        <v>4232</v>
      </c>
      <c r="DQ200" s="685" t="s">
        <v>11967</v>
      </c>
      <c r="DR200" s="855"/>
      <c r="DS200" s="855"/>
      <c r="DT200" s="855"/>
      <c r="DU200" s="855"/>
      <c r="DV200" s="855"/>
      <c r="DW200" s="685" t="s">
        <v>998</v>
      </c>
      <c r="DX200" s="855"/>
      <c r="DY200" s="855"/>
      <c r="DZ200" s="855"/>
      <c r="EA200" s="855"/>
      <c r="EB200" s="855"/>
      <c r="EC200" s="855"/>
      <c r="ED200" s="1039"/>
    </row>
    <row r="201">
      <c r="A201" s="1040" t="s">
        <v>11968</v>
      </c>
      <c r="B201" s="245" t="s">
        <v>11969</v>
      </c>
      <c r="C201" s="246" t="s">
        <v>271</v>
      </c>
      <c r="D201" s="247" t="s">
        <v>271</v>
      </c>
      <c r="E201" s="248" t="s">
        <v>271</v>
      </c>
      <c r="F201" s="249" t="s">
        <v>271</v>
      </c>
      <c r="G201" s="245" t="s">
        <v>1920</v>
      </c>
      <c r="H201" s="286" t="s">
        <v>11568</v>
      </c>
      <c r="I201" s="286" t="s">
        <v>9376</v>
      </c>
      <c r="J201" s="286" t="s">
        <v>4442</v>
      </c>
      <c r="K201" s="286" t="s">
        <v>11970</v>
      </c>
      <c r="L201" s="286" t="s">
        <v>11971</v>
      </c>
      <c r="M201" s="286" t="s">
        <v>11972</v>
      </c>
      <c r="N201" s="286" t="s">
        <v>11973</v>
      </c>
      <c r="O201" s="286" t="s">
        <v>926</v>
      </c>
      <c r="P201" s="286" t="s">
        <v>2069</v>
      </c>
      <c r="Q201" s="320"/>
      <c r="R201" s="320"/>
      <c r="S201" s="320"/>
      <c r="T201" s="320"/>
      <c r="U201" s="320"/>
      <c r="V201" s="320"/>
      <c r="W201" s="106"/>
      <c r="X201" s="286" t="s">
        <v>7759</v>
      </c>
      <c r="Y201" s="286"/>
      <c r="Z201" s="286" t="s">
        <v>11974</v>
      </c>
      <c r="AA201" s="286" t="s">
        <v>11975</v>
      </c>
      <c r="AB201" s="320" t="s">
        <v>4983</v>
      </c>
      <c r="AC201" s="286" t="s">
        <v>11610</v>
      </c>
      <c r="AD201" s="320" t="s">
        <v>7688</v>
      </c>
      <c r="AE201" s="320"/>
      <c r="AF201" s="320" t="s">
        <v>4061</v>
      </c>
      <c r="AG201" s="286" t="s">
        <v>11359</v>
      </c>
      <c r="AH201" s="320"/>
      <c r="AI201" s="320"/>
      <c r="AJ201" s="320"/>
      <c r="AK201" s="320"/>
      <c r="AL201" s="105"/>
      <c r="AM201" s="320"/>
      <c r="AN201" s="320"/>
      <c r="AO201" s="320"/>
      <c r="AP201" s="320"/>
      <c r="AQ201" s="320"/>
      <c r="AR201" s="320"/>
      <c r="AS201" s="320"/>
      <c r="AT201" s="320"/>
      <c r="AU201" s="286" t="s">
        <v>560</v>
      </c>
      <c r="AV201" s="320" t="s">
        <v>10584</v>
      </c>
      <c r="AW201" s="286" t="s">
        <v>2550</v>
      </c>
      <c r="AX201" s="320"/>
      <c r="AY201" s="320"/>
      <c r="AZ201" s="320"/>
      <c r="BA201" s="320"/>
      <c r="BB201" s="286"/>
      <c r="BC201" s="320" t="s">
        <v>8800</v>
      </c>
      <c r="BD201" s="286" t="s">
        <v>5673</v>
      </c>
      <c r="BE201" s="320" t="s">
        <v>11976</v>
      </c>
      <c r="BF201" s="320" t="s">
        <v>11977</v>
      </c>
      <c r="BG201" s="320" t="s">
        <v>8078</v>
      </c>
      <c r="BH201" s="320" t="s">
        <v>11978</v>
      </c>
      <c r="BI201" s="286" t="s">
        <v>4120</v>
      </c>
      <c r="BJ201" s="320"/>
      <c r="BK201" s="320"/>
      <c r="BL201" s="286" t="s">
        <v>11979</v>
      </c>
      <c r="BM201" s="320"/>
      <c r="BN201" s="320"/>
      <c r="BO201" s="320"/>
      <c r="BP201" s="320"/>
      <c r="BQ201" s="824"/>
      <c r="BR201" s="320" t="s">
        <v>11980</v>
      </c>
      <c r="BS201" s="320" t="s">
        <v>8849</v>
      </c>
      <c r="BT201" s="320" t="s">
        <v>11981</v>
      </c>
      <c r="BU201" s="286" t="s">
        <v>11742</v>
      </c>
      <c r="BV201" s="320" t="s">
        <v>11982</v>
      </c>
      <c r="BW201" s="320" t="s">
        <v>11983</v>
      </c>
      <c r="BX201" s="286" t="s">
        <v>11984</v>
      </c>
      <c r="BY201" s="286" t="s">
        <v>5555</v>
      </c>
      <c r="BZ201" s="320"/>
      <c r="CA201" s="286" t="s">
        <v>10746</v>
      </c>
      <c r="CB201" s="320"/>
      <c r="CC201" s="320"/>
      <c r="CD201" s="320"/>
      <c r="CE201" s="320"/>
      <c r="CF201" s="824"/>
      <c r="CG201" s="286" t="s">
        <v>11405</v>
      </c>
      <c r="CH201" s="286" t="s">
        <v>1011</v>
      </c>
      <c r="CI201" s="286" t="s">
        <v>6429</v>
      </c>
      <c r="CJ201" s="286" t="s">
        <v>10085</v>
      </c>
      <c r="CK201" s="286"/>
      <c r="CL201" s="286" t="s">
        <v>1133</v>
      </c>
      <c r="CM201" s="286" t="s">
        <v>8486</v>
      </c>
      <c r="CN201" s="286" t="s">
        <v>11985</v>
      </c>
      <c r="CO201" s="286" t="s">
        <v>806</v>
      </c>
      <c r="CP201" s="320"/>
      <c r="CQ201" s="320"/>
      <c r="CR201" s="320"/>
      <c r="CS201" s="320"/>
      <c r="CT201" s="320"/>
      <c r="CU201" s="106"/>
      <c r="CV201" s="320" t="s">
        <v>5826</v>
      </c>
      <c r="CW201" s="320" t="s">
        <v>8887</v>
      </c>
      <c r="CX201" s="320" t="s">
        <v>4122</v>
      </c>
      <c r="CY201" s="320" t="s">
        <v>11986</v>
      </c>
      <c r="CZ201" s="320" t="s">
        <v>11987</v>
      </c>
      <c r="DA201" s="320" t="s">
        <v>3082</v>
      </c>
      <c r="DB201" s="320" t="s">
        <v>11988</v>
      </c>
      <c r="DC201" s="286" t="s">
        <v>2675</v>
      </c>
      <c r="DD201" s="320"/>
      <c r="DE201" s="320"/>
      <c r="DF201" s="320"/>
      <c r="DG201" s="320"/>
      <c r="DH201" s="320"/>
      <c r="DI201" s="320"/>
      <c r="DJ201" s="320"/>
      <c r="DK201" s="320"/>
      <c r="DL201" s="320"/>
      <c r="DM201" s="320" t="s">
        <v>5569</v>
      </c>
      <c r="DN201" s="286"/>
      <c r="DO201" s="286" t="s">
        <v>11989</v>
      </c>
      <c r="DP201" s="286" t="s">
        <v>10272</v>
      </c>
      <c r="DQ201" s="286" t="s">
        <v>9679</v>
      </c>
      <c r="DR201" s="320"/>
      <c r="DS201" s="320"/>
      <c r="DT201" s="320"/>
      <c r="DU201" s="320"/>
      <c r="DV201" s="320"/>
      <c r="DW201" s="320"/>
      <c r="DX201" s="320"/>
      <c r="DY201" s="320"/>
      <c r="DZ201" s="320"/>
      <c r="EA201" s="320"/>
      <c r="EB201" s="320"/>
      <c r="EC201" s="320"/>
      <c r="ED201" s="862"/>
    </row>
    <row r="202">
      <c r="A202" s="2018" t="s">
        <v>3730</v>
      </c>
      <c r="B202" s="378" t="s">
        <v>11990</v>
      </c>
      <c r="C202" s="379" t="s">
        <v>271</v>
      </c>
      <c r="D202" s="380" t="s">
        <v>271</v>
      </c>
      <c r="E202" s="381" t="s">
        <v>271</v>
      </c>
      <c r="F202" s="382" t="s">
        <v>271</v>
      </c>
      <c r="G202" s="378" t="s">
        <v>713</v>
      </c>
      <c r="H202" s="1700"/>
      <c r="I202" s="1788"/>
      <c r="J202" s="1700"/>
      <c r="K202" s="1700"/>
      <c r="L202" s="1700"/>
      <c r="M202" s="1700"/>
      <c r="N202" s="1700"/>
      <c r="O202" s="1538" t="s">
        <v>11597</v>
      </c>
      <c r="P202" s="1538" t="s">
        <v>9635</v>
      </c>
      <c r="Q202" s="835"/>
      <c r="R202" s="835"/>
      <c r="S202" s="835"/>
      <c r="T202" s="835"/>
      <c r="U202" s="835"/>
      <c r="V202" s="835"/>
      <c r="W202" s="106"/>
      <c r="X202" s="402"/>
      <c r="Y202" s="402"/>
      <c r="Z202" s="402"/>
      <c r="AA202" s="402"/>
      <c r="AB202" s="1133"/>
      <c r="AC202" s="1287" t="s">
        <v>6182</v>
      </c>
      <c r="AD202" s="402"/>
      <c r="AE202" s="837"/>
      <c r="AF202" s="402"/>
      <c r="AG202" s="1287" t="s">
        <v>7164</v>
      </c>
      <c r="AH202" s="837"/>
      <c r="AI202" s="837"/>
      <c r="AJ202" s="402"/>
      <c r="AK202" s="670" t="s">
        <v>11991</v>
      </c>
      <c r="AL202" s="105"/>
      <c r="AM202" s="413"/>
      <c r="AN202" s="413" t="s">
        <v>11992</v>
      </c>
      <c r="AO202" s="839"/>
      <c r="AP202" s="839"/>
      <c r="AQ202" s="570"/>
      <c r="AR202" s="570"/>
      <c r="AS202" s="839"/>
      <c r="AT202" s="839"/>
      <c r="AU202" s="1714" t="s">
        <v>8514</v>
      </c>
      <c r="AV202" s="413"/>
      <c r="AW202" s="413"/>
      <c r="AX202" s="839"/>
      <c r="AY202" s="839"/>
      <c r="AZ202" s="839"/>
      <c r="BA202" s="839"/>
      <c r="BB202" s="1633"/>
      <c r="BC202" s="1633"/>
      <c r="BD202" s="1633"/>
      <c r="BE202" s="1633"/>
      <c r="BF202" s="1633"/>
      <c r="BG202" s="1633"/>
      <c r="BH202" s="580"/>
      <c r="BI202" s="674" t="s">
        <v>2378</v>
      </c>
      <c r="BJ202" s="580"/>
      <c r="BK202" s="1633"/>
      <c r="BL202" s="674" t="s">
        <v>11993</v>
      </c>
      <c r="BM202" s="580"/>
      <c r="BN202" s="580"/>
      <c r="BO202" s="1633"/>
      <c r="BP202" s="580"/>
      <c r="BQ202" s="845"/>
      <c r="BR202" s="1706" t="s">
        <v>11994</v>
      </c>
      <c r="BS202" s="1706" t="s">
        <v>7451</v>
      </c>
      <c r="BT202" s="424"/>
      <c r="BU202" s="1706" t="s">
        <v>623</v>
      </c>
      <c r="BV202" s="1706" t="s">
        <v>11995</v>
      </c>
      <c r="BW202" s="1706" t="s">
        <v>462</v>
      </c>
      <c r="BX202" s="849"/>
      <c r="BY202" s="424"/>
      <c r="BZ202" s="1706" t="s">
        <v>11996</v>
      </c>
      <c r="CA202" s="1706" t="s">
        <v>7670</v>
      </c>
      <c r="CB202" s="589" t="s">
        <v>11997</v>
      </c>
      <c r="CC202" s="849"/>
      <c r="CD202" s="849"/>
      <c r="CE202" s="849"/>
      <c r="CF202" s="851"/>
      <c r="CG202" s="434"/>
      <c r="CH202" s="434"/>
      <c r="CI202" s="434"/>
      <c r="CJ202" s="434"/>
      <c r="CK202" s="434"/>
      <c r="CL202" s="434"/>
      <c r="CM202" s="434"/>
      <c r="CN202" s="434"/>
      <c r="CO202" s="434"/>
      <c r="CP202" s="1789"/>
      <c r="CQ202" s="852"/>
      <c r="CR202" s="852"/>
      <c r="CS202" s="852"/>
      <c r="CT202" s="593" t="s">
        <v>2122</v>
      </c>
      <c r="CU202" s="106"/>
      <c r="CV202" s="467"/>
      <c r="CW202" s="467"/>
      <c r="CX202" s="467"/>
      <c r="CY202" s="467"/>
      <c r="CZ202" s="467"/>
      <c r="DA202" s="467"/>
      <c r="DB202" s="467"/>
      <c r="DC202" s="1030" t="s">
        <v>4718</v>
      </c>
      <c r="DD202" s="853"/>
      <c r="DE202" s="853"/>
      <c r="DF202" s="853"/>
      <c r="DG202" s="853"/>
      <c r="DH202" s="853"/>
      <c r="DI202" s="686"/>
      <c r="DJ202" s="855"/>
      <c r="DK202" s="855"/>
      <c r="DL202" s="686"/>
      <c r="DM202" s="1039" t="s">
        <v>11998</v>
      </c>
      <c r="DN202" s="686"/>
      <c r="DO202" s="855"/>
      <c r="DP202" s="855"/>
      <c r="DQ202" s="855"/>
      <c r="DR202" s="686"/>
      <c r="DS202" s="686"/>
      <c r="DT202" s="685" t="s">
        <v>8680</v>
      </c>
      <c r="DU202" s="686"/>
      <c r="DV202" s="855"/>
      <c r="DW202" s="685" t="s">
        <v>805</v>
      </c>
      <c r="DX202" s="855"/>
      <c r="DY202" s="855"/>
      <c r="DZ202" s="855"/>
      <c r="EA202" s="686" t="s">
        <v>11480</v>
      </c>
      <c r="EB202" s="855"/>
      <c r="EC202" s="855"/>
      <c r="ED202" s="1039"/>
    </row>
    <row r="203">
      <c r="A203" s="1844" t="s">
        <v>11999</v>
      </c>
      <c r="B203" s="245" t="s">
        <v>3755</v>
      </c>
      <c r="C203" s="246" t="s">
        <v>271</v>
      </c>
      <c r="D203" s="247" t="s">
        <v>271</v>
      </c>
      <c r="E203" s="248" t="s">
        <v>271</v>
      </c>
      <c r="F203" s="249" t="s">
        <v>271</v>
      </c>
      <c r="G203" s="245" t="s">
        <v>1010</v>
      </c>
      <c r="H203" s="320"/>
      <c r="I203" s="286" t="s">
        <v>12000</v>
      </c>
      <c r="J203" s="286" t="s">
        <v>4405</v>
      </c>
      <c r="K203" s="286" t="s">
        <v>8368</v>
      </c>
      <c r="L203" s="286" t="s">
        <v>12001</v>
      </c>
      <c r="M203" s="286" t="s">
        <v>12002</v>
      </c>
      <c r="N203" s="320"/>
      <c r="O203" s="320"/>
      <c r="P203" s="286" t="s">
        <v>541</v>
      </c>
      <c r="Q203" s="320"/>
      <c r="R203" s="320"/>
      <c r="S203" s="320"/>
      <c r="T203" s="320"/>
      <c r="U203" s="320"/>
      <c r="V203" s="320"/>
      <c r="W203" s="106"/>
      <c r="X203" s="320"/>
      <c r="Y203" s="320"/>
      <c r="Z203" s="320"/>
      <c r="AA203" s="286" t="s">
        <v>485</v>
      </c>
      <c r="AB203" s="320"/>
      <c r="AC203" s="320"/>
      <c r="AD203" s="320"/>
      <c r="AE203" s="320"/>
      <c r="AF203" s="320"/>
      <c r="AG203" s="286" t="s">
        <v>236</v>
      </c>
      <c r="AH203" s="320"/>
      <c r="AI203" s="320"/>
      <c r="AJ203" s="320"/>
      <c r="AK203" s="320"/>
      <c r="AL203" s="105"/>
      <c r="AM203" s="320"/>
      <c r="AN203" s="320"/>
      <c r="AO203" s="320"/>
      <c r="AP203" s="320"/>
      <c r="AQ203" s="320"/>
      <c r="AR203" s="320"/>
      <c r="AS203" s="320"/>
      <c r="AT203" s="320"/>
      <c r="AU203" s="320"/>
      <c r="AV203" s="320"/>
      <c r="AW203" s="320"/>
      <c r="AX203" s="320"/>
      <c r="AY203" s="320"/>
      <c r="AZ203" s="320"/>
      <c r="BA203" s="320"/>
      <c r="BB203" s="320"/>
      <c r="BC203" s="320"/>
      <c r="BD203" s="320"/>
      <c r="BE203" s="320"/>
      <c r="BF203" s="320"/>
      <c r="BG203" s="320"/>
      <c r="BH203" s="320"/>
      <c r="BI203" s="320"/>
      <c r="BJ203" s="320"/>
      <c r="BK203" s="320"/>
      <c r="BL203" s="320"/>
      <c r="BM203" s="320"/>
      <c r="BN203" s="320"/>
      <c r="BO203" s="320"/>
      <c r="BP203" s="320"/>
      <c r="BQ203" s="824"/>
      <c r="BR203" s="320"/>
      <c r="BS203" s="320"/>
      <c r="BT203" s="320"/>
      <c r="BU203" s="320"/>
      <c r="BV203" s="320"/>
      <c r="BW203" s="320"/>
      <c r="BX203" s="320"/>
      <c r="BY203" s="320"/>
      <c r="BZ203" s="320"/>
      <c r="CA203" s="320"/>
      <c r="CB203" s="320"/>
      <c r="CC203" s="320"/>
      <c r="CD203" s="320"/>
      <c r="CE203" s="320"/>
      <c r="CF203" s="824"/>
      <c r="CG203" s="320"/>
      <c r="CH203" s="320"/>
      <c r="CI203" s="286" t="s">
        <v>7684</v>
      </c>
      <c r="CJ203" s="320"/>
      <c r="CK203" s="320"/>
      <c r="CL203" s="320" t="s">
        <v>9468</v>
      </c>
      <c r="CM203" s="320"/>
      <c r="CN203" s="320"/>
      <c r="CO203" s="320"/>
      <c r="CP203" s="320"/>
      <c r="CQ203" s="320"/>
      <c r="CR203" s="320"/>
      <c r="CS203" s="320"/>
      <c r="CT203" s="320"/>
      <c r="CU203" s="106"/>
      <c r="CV203" s="320"/>
      <c r="CW203" s="320"/>
      <c r="CX203" s="320"/>
      <c r="CY203" s="320"/>
      <c r="CZ203" s="320"/>
      <c r="DA203" s="320"/>
      <c r="DB203" s="320"/>
      <c r="DC203" s="286" t="s">
        <v>12003</v>
      </c>
      <c r="DD203" s="320"/>
      <c r="DE203" s="320"/>
      <c r="DF203" s="320"/>
      <c r="DG203" s="320"/>
      <c r="DH203" s="320"/>
      <c r="DI203" s="320"/>
      <c r="DJ203" s="320"/>
      <c r="DK203" s="320"/>
      <c r="DL203" s="320"/>
      <c r="DM203" s="320"/>
      <c r="DN203" s="320"/>
      <c r="DO203" s="320"/>
      <c r="DP203" s="320"/>
      <c r="DQ203" s="320"/>
      <c r="DR203" s="320"/>
      <c r="DS203" s="320"/>
      <c r="DT203" s="320"/>
      <c r="DU203" s="320"/>
      <c r="DV203" s="320"/>
      <c r="DW203" s="320"/>
      <c r="DX203" s="320"/>
      <c r="DY203" s="320"/>
      <c r="DZ203" s="320"/>
      <c r="EA203" s="320"/>
      <c r="EB203" s="320"/>
      <c r="EC203" s="320"/>
      <c r="ED203" s="1629"/>
    </row>
    <row r="204">
      <c r="A204" s="540" t="s">
        <v>12004</v>
      </c>
      <c r="B204" s="378" t="s">
        <v>12005</v>
      </c>
      <c r="C204" s="379" t="s">
        <v>271</v>
      </c>
      <c r="D204" s="380" t="s">
        <v>271</v>
      </c>
      <c r="E204" s="381" t="s">
        <v>271</v>
      </c>
      <c r="F204" s="382" t="s">
        <v>271</v>
      </c>
      <c r="G204" s="378" t="s">
        <v>9219</v>
      </c>
      <c r="H204" s="835"/>
      <c r="I204" s="541" t="s">
        <v>12006</v>
      </c>
      <c r="J204" s="541" t="s">
        <v>2534</v>
      </c>
      <c r="K204" s="541" t="s">
        <v>1594</v>
      </c>
      <c r="L204" s="541" t="s">
        <v>12007</v>
      </c>
      <c r="M204" s="541" t="s">
        <v>12008</v>
      </c>
      <c r="N204" s="541" t="s">
        <v>12009</v>
      </c>
      <c r="O204" s="541" t="s">
        <v>12010</v>
      </c>
      <c r="P204" s="541" t="s">
        <v>10679</v>
      </c>
      <c r="Q204" s="835"/>
      <c r="R204" s="835"/>
      <c r="S204" s="835"/>
      <c r="T204" s="835"/>
      <c r="U204" s="835"/>
      <c r="V204" s="835"/>
      <c r="W204" s="106"/>
      <c r="X204" s="670" t="s">
        <v>286</v>
      </c>
      <c r="Y204" s="670"/>
      <c r="Z204" s="670" t="s">
        <v>8978</v>
      </c>
      <c r="AA204" s="670" t="s">
        <v>5465</v>
      </c>
      <c r="AB204" s="670" t="s">
        <v>12011</v>
      </c>
      <c r="AC204" s="670" t="s">
        <v>5412</v>
      </c>
      <c r="AD204" s="670" t="s">
        <v>6263</v>
      </c>
      <c r="AE204" s="837"/>
      <c r="AF204" s="670" t="s">
        <v>7753</v>
      </c>
      <c r="AG204" s="670" t="s">
        <v>1525</v>
      </c>
      <c r="AH204" s="837"/>
      <c r="AI204" s="837"/>
      <c r="AJ204" s="837"/>
      <c r="AK204" s="837"/>
      <c r="AL204" s="105"/>
      <c r="AM204" s="570" t="s">
        <v>6103</v>
      </c>
      <c r="AN204" s="570" t="s">
        <v>1187</v>
      </c>
      <c r="AO204" s="570" t="s">
        <v>12012</v>
      </c>
      <c r="AP204" s="570" t="s">
        <v>12013</v>
      </c>
      <c r="AQ204" s="570" t="s">
        <v>12014</v>
      </c>
      <c r="AR204" s="570"/>
      <c r="AS204" s="570" t="s">
        <v>8859</v>
      </c>
      <c r="AT204" s="570" t="s">
        <v>12015</v>
      </c>
      <c r="AU204" s="570" t="s">
        <v>10213</v>
      </c>
      <c r="AV204" s="570" t="s">
        <v>2773</v>
      </c>
      <c r="AW204" s="839"/>
      <c r="AX204" s="839"/>
      <c r="AY204" s="839"/>
      <c r="AZ204" s="839"/>
      <c r="BA204" s="839"/>
      <c r="BB204" s="581" t="s">
        <v>2291</v>
      </c>
      <c r="BC204" s="581" t="s">
        <v>6150</v>
      </c>
      <c r="BD204" s="581" t="s">
        <v>12016</v>
      </c>
      <c r="BE204" s="581" t="s">
        <v>12017</v>
      </c>
      <c r="BF204" s="581" t="s">
        <v>12018</v>
      </c>
      <c r="BG204" s="581" t="s">
        <v>4120</v>
      </c>
      <c r="BH204" s="581" t="s">
        <v>12019</v>
      </c>
      <c r="BI204" s="581" t="s">
        <v>11135</v>
      </c>
      <c r="BJ204" s="581"/>
      <c r="BK204" s="581"/>
      <c r="BL204" s="581" t="s">
        <v>3900</v>
      </c>
      <c r="BM204" s="580"/>
      <c r="BN204" s="580"/>
      <c r="BO204" s="580"/>
      <c r="BP204" s="580"/>
      <c r="BQ204" s="845"/>
      <c r="BR204" s="589"/>
      <c r="BS204" s="589" t="s">
        <v>12020</v>
      </c>
      <c r="BT204" s="589" t="s">
        <v>12021</v>
      </c>
      <c r="BU204" s="589" t="s">
        <v>426</v>
      </c>
      <c r="BV204" s="589" t="s">
        <v>7972</v>
      </c>
      <c r="BW204" s="589" t="s">
        <v>7865</v>
      </c>
      <c r="BX204" s="589" t="s">
        <v>12022</v>
      </c>
      <c r="BY204" s="589" t="s">
        <v>6553</v>
      </c>
      <c r="BZ204" s="849"/>
      <c r="CA204" s="589" t="s">
        <v>10053</v>
      </c>
      <c r="CB204" s="849"/>
      <c r="CC204" s="849"/>
      <c r="CD204" s="849"/>
      <c r="CE204" s="849"/>
      <c r="CF204" s="851"/>
      <c r="CG204" s="593" t="s">
        <v>12023</v>
      </c>
      <c r="CH204" s="593" t="s">
        <v>12024</v>
      </c>
      <c r="CI204" s="593" t="s">
        <v>5440</v>
      </c>
      <c r="CJ204" s="593" t="s">
        <v>12025</v>
      </c>
      <c r="CK204" s="593"/>
      <c r="CL204" s="593" t="s">
        <v>10460</v>
      </c>
      <c r="CM204" s="593" t="s">
        <v>5766</v>
      </c>
      <c r="CN204" s="593" t="s">
        <v>785</v>
      </c>
      <c r="CO204" s="593" t="s">
        <v>2490</v>
      </c>
      <c r="CP204" s="852"/>
      <c r="CQ204" s="852"/>
      <c r="CR204" s="852"/>
      <c r="CS204" s="852"/>
      <c r="CT204" s="852"/>
      <c r="CU204" s="106"/>
      <c r="CV204" s="683" t="s">
        <v>12026</v>
      </c>
      <c r="CW204" s="683" t="s">
        <v>12027</v>
      </c>
      <c r="CX204" s="683" t="s">
        <v>2485</v>
      </c>
      <c r="CY204" s="683" t="s">
        <v>5459</v>
      </c>
      <c r="CZ204" s="683" t="s">
        <v>12028</v>
      </c>
      <c r="DA204" s="683" t="s">
        <v>3110</v>
      </c>
      <c r="DB204" s="683" t="s">
        <v>4991</v>
      </c>
      <c r="DC204" s="683" t="s">
        <v>12029</v>
      </c>
      <c r="DD204" s="853"/>
      <c r="DE204" s="853"/>
      <c r="DF204" s="853"/>
      <c r="DG204" s="853"/>
      <c r="DH204" s="853"/>
      <c r="DI204" s="855"/>
      <c r="DJ204" s="855"/>
      <c r="DK204" s="855"/>
      <c r="DL204" s="855"/>
      <c r="DM204" s="855"/>
      <c r="DN204" s="855"/>
      <c r="DO204" s="855"/>
      <c r="DP204" s="855"/>
      <c r="DQ204" s="855"/>
      <c r="DR204" s="685" t="s">
        <v>12030</v>
      </c>
      <c r="DS204" s="685"/>
      <c r="DT204" s="855"/>
      <c r="DU204" s="855"/>
      <c r="DV204" s="855"/>
      <c r="DW204" s="855"/>
      <c r="DX204" s="855"/>
      <c r="DY204" s="855"/>
      <c r="DZ204" s="855"/>
      <c r="EA204" s="855"/>
      <c r="EB204" s="855"/>
      <c r="EC204" s="855"/>
      <c r="ED204" s="1039"/>
    </row>
    <row r="205">
      <c r="A205" s="244" t="s">
        <v>82</v>
      </c>
      <c r="B205" s="245" t="s">
        <v>3778</v>
      </c>
      <c r="C205" s="246" t="s">
        <v>271</v>
      </c>
      <c r="D205" s="247" t="s">
        <v>271</v>
      </c>
      <c r="E205" s="248" t="s">
        <v>271</v>
      </c>
      <c r="F205" s="249" t="s">
        <v>271</v>
      </c>
      <c r="G205" s="245" t="s">
        <v>233</v>
      </c>
      <c r="H205" s="351"/>
      <c r="I205" s="288"/>
      <c r="J205" s="351"/>
      <c r="K205" s="351"/>
      <c r="L205" s="351"/>
      <c r="M205" s="351"/>
      <c r="N205" s="351"/>
      <c r="O205" s="351"/>
      <c r="P205" s="351"/>
      <c r="Q205" s="320"/>
      <c r="R205" s="320"/>
      <c r="S205" s="320"/>
      <c r="T205" s="320"/>
      <c r="U205" s="320"/>
      <c r="V205" s="320"/>
      <c r="W205" s="106"/>
      <c r="X205" s="351"/>
      <c r="Y205" s="351"/>
      <c r="Z205" s="351"/>
      <c r="AA205" s="2019" t="s">
        <v>4555</v>
      </c>
      <c r="AB205" s="881"/>
      <c r="AC205" s="351"/>
      <c r="AD205" s="351" t="s">
        <v>1640</v>
      </c>
      <c r="AE205" s="320"/>
      <c r="AF205" s="351"/>
      <c r="AG205" s="351"/>
      <c r="AH205" s="320"/>
      <c r="AI205" s="320"/>
      <c r="AJ205" s="351"/>
      <c r="AK205" s="320"/>
      <c r="AL205" s="105"/>
      <c r="AM205" s="351"/>
      <c r="AN205" s="351"/>
      <c r="AO205" s="320"/>
      <c r="AP205" s="320"/>
      <c r="AQ205" s="286"/>
      <c r="AR205" s="286"/>
      <c r="AS205" s="320"/>
      <c r="AT205" s="320"/>
      <c r="AU205" s="351"/>
      <c r="AV205" s="351"/>
      <c r="AW205" s="351"/>
      <c r="AX205" s="320"/>
      <c r="AY205" s="320"/>
      <c r="AZ205" s="320"/>
      <c r="BA205" s="320"/>
      <c r="BB205" s="351"/>
      <c r="BC205" s="351"/>
      <c r="BD205" s="351"/>
      <c r="BE205" s="351"/>
      <c r="BF205" s="351"/>
      <c r="BG205" s="351"/>
      <c r="BH205" s="320"/>
      <c r="BI205" s="351"/>
      <c r="BJ205" s="320"/>
      <c r="BK205" s="351"/>
      <c r="BL205" s="351"/>
      <c r="BM205" s="320"/>
      <c r="BN205" s="320"/>
      <c r="BO205" s="351"/>
      <c r="BP205" s="320"/>
      <c r="BQ205" s="824"/>
      <c r="BR205" s="351"/>
      <c r="BS205" s="351"/>
      <c r="BT205" s="351"/>
      <c r="BU205" s="351"/>
      <c r="BV205" s="351"/>
      <c r="BW205" s="351"/>
      <c r="BX205" s="320"/>
      <c r="BY205" s="351"/>
      <c r="BZ205" s="351"/>
      <c r="CA205" s="351"/>
      <c r="CB205" s="320"/>
      <c r="CC205" s="320"/>
      <c r="CD205" s="320"/>
      <c r="CE205" s="320"/>
      <c r="CF205" s="824"/>
      <c r="CG205" s="351"/>
      <c r="CH205" s="351"/>
      <c r="CI205" s="351"/>
      <c r="CJ205" s="351"/>
      <c r="CK205" s="351"/>
      <c r="CL205" s="351"/>
      <c r="CM205" s="351"/>
      <c r="CN205" s="351"/>
      <c r="CO205" s="351"/>
      <c r="CP205" s="758"/>
      <c r="CQ205" s="320"/>
      <c r="CR205" s="320"/>
      <c r="CS205" s="320"/>
      <c r="CT205" s="320"/>
      <c r="CU205" s="106"/>
      <c r="CV205" s="351"/>
      <c r="CW205" s="351"/>
      <c r="CX205" s="351"/>
      <c r="CY205" s="351"/>
      <c r="CZ205" s="351"/>
      <c r="DA205" s="351"/>
      <c r="DB205" s="351"/>
      <c r="DC205" s="351"/>
      <c r="DD205" s="320"/>
      <c r="DE205" s="320"/>
      <c r="DF205" s="320"/>
      <c r="DG205" s="320"/>
      <c r="DH205" s="320"/>
      <c r="DI205" s="351"/>
      <c r="DJ205" s="320"/>
      <c r="DK205" s="320"/>
      <c r="DL205" s="351"/>
      <c r="DM205" s="351"/>
      <c r="DN205" s="351"/>
      <c r="DO205" s="320"/>
      <c r="DP205" s="320"/>
      <c r="DQ205" s="320"/>
      <c r="DR205" s="351"/>
      <c r="DS205" s="351"/>
      <c r="DT205" s="320"/>
      <c r="DU205" s="351"/>
      <c r="DV205" s="320"/>
      <c r="DW205" s="320"/>
      <c r="DX205" s="320"/>
      <c r="DY205" s="320"/>
      <c r="DZ205" s="320"/>
      <c r="EA205" s="351"/>
      <c r="EB205" s="320"/>
      <c r="EC205" s="320"/>
      <c r="ED205" s="862"/>
    </row>
    <row r="206">
      <c r="A206" s="2020" t="s">
        <v>12031</v>
      </c>
      <c r="B206" s="378" t="s">
        <v>12032</v>
      </c>
      <c r="C206" s="379" t="s">
        <v>271</v>
      </c>
      <c r="D206" s="380" t="s">
        <v>271</v>
      </c>
      <c r="E206" s="381" t="s">
        <v>271</v>
      </c>
      <c r="F206" s="382" t="s">
        <v>271</v>
      </c>
      <c r="G206" s="378" t="s">
        <v>944</v>
      </c>
      <c r="H206" s="541" t="s">
        <v>12033</v>
      </c>
      <c r="I206" s="541" t="s">
        <v>6401</v>
      </c>
      <c r="J206" s="541" t="s">
        <v>7450</v>
      </c>
      <c r="K206" s="541" t="s">
        <v>2963</v>
      </c>
      <c r="L206" s="541" t="s">
        <v>2191</v>
      </c>
      <c r="M206" s="541" t="s">
        <v>12034</v>
      </c>
      <c r="N206" s="541" t="s">
        <v>12035</v>
      </c>
      <c r="O206" s="541" t="s">
        <v>5248</v>
      </c>
      <c r="P206" s="541" t="s">
        <v>10713</v>
      </c>
      <c r="Q206" s="835"/>
      <c r="R206" s="835"/>
      <c r="S206" s="835"/>
      <c r="T206" s="835"/>
      <c r="U206" s="835"/>
      <c r="V206" s="835"/>
      <c r="W206" s="106"/>
      <c r="X206" s="670" t="s">
        <v>12036</v>
      </c>
      <c r="Y206" s="670"/>
      <c r="Z206" s="670" t="s">
        <v>4225</v>
      </c>
      <c r="AA206" s="837"/>
      <c r="AB206" s="837"/>
      <c r="AC206" s="670" t="s">
        <v>5035</v>
      </c>
      <c r="AD206" s="837"/>
      <c r="AE206" s="837"/>
      <c r="AF206" s="837"/>
      <c r="AG206" s="670" t="s">
        <v>1130</v>
      </c>
      <c r="AH206" s="837"/>
      <c r="AI206" s="837"/>
      <c r="AJ206" s="837"/>
      <c r="AK206" s="837"/>
      <c r="AL206" s="105"/>
      <c r="AM206" s="839"/>
      <c r="AN206" s="839"/>
      <c r="AO206" s="839"/>
      <c r="AP206" s="839"/>
      <c r="AQ206" s="839"/>
      <c r="AR206" s="839"/>
      <c r="AS206" s="839"/>
      <c r="AT206" s="839"/>
      <c r="AU206" s="570" t="s">
        <v>10510</v>
      </c>
      <c r="AV206" s="839"/>
      <c r="AW206" s="839"/>
      <c r="AX206" s="839"/>
      <c r="AY206" s="839"/>
      <c r="AZ206" s="839"/>
      <c r="BA206" s="839"/>
      <c r="BB206" s="581" t="s">
        <v>9949</v>
      </c>
      <c r="BC206" s="580"/>
      <c r="BD206" s="581" t="s">
        <v>9414</v>
      </c>
      <c r="BE206" s="580"/>
      <c r="BF206" s="580"/>
      <c r="BG206" s="580"/>
      <c r="BH206" s="580"/>
      <c r="BI206" s="581" t="s">
        <v>5992</v>
      </c>
      <c r="BJ206" s="580"/>
      <c r="BK206" s="580"/>
      <c r="BL206" s="581" t="s">
        <v>11439</v>
      </c>
      <c r="BM206" s="580"/>
      <c r="BN206" s="580"/>
      <c r="BO206" s="580"/>
      <c r="BP206" s="580"/>
      <c r="BQ206" s="845"/>
      <c r="BR206" s="849"/>
      <c r="BS206" s="849"/>
      <c r="BT206" s="849"/>
      <c r="BU206" s="589" t="s">
        <v>4195</v>
      </c>
      <c r="BV206" s="849"/>
      <c r="BW206" s="849"/>
      <c r="BX206" s="849"/>
      <c r="BY206" s="589" t="s">
        <v>441</v>
      </c>
      <c r="BZ206" s="849"/>
      <c r="CA206" s="849"/>
      <c r="CB206" s="849"/>
      <c r="CC206" s="849"/>
      <c r="CD206" s="849"/>
      <c r="CE206" s="849"/>
      <c r="CF206" s="851"/>
      <c r="CG206" s="593" t="s">
        <v>12037</v>
      </c>
      <c r="CH206" s="593" t="s">
        <v>3474</v>
      </c>
      <c r="CI206" s="593" t="s">
        <v>3261</v>
      </c>
      <c r="CJ206" s="593" t="s">
        <v>12038</v>
      </c>
      <c r="CK206" s="593"/>
      <c r="CL206" s="593" t="s">
        <v>3301</v>
      </c>
      <c r="CM206" s="593" t="s">
        <v>12039</v>
      </c>
      <c r="CN206" s="852"/>
      <c r="CO206" s="852"/>
      <c r="CP206" s="852"/>
      <c r="CQ206" s="852"/>
      <c r="CR206" s="852"/>
      <c r="CS206" s="852"/>
      <c r="CT206" s="852"/>
      <c r="CU206" s="106"/>
      <c r="CV206" s="853"/>
      <c r="CW206" s="853"/>
      <c r="CX206" s="853"/>
      <c r="CY206" s="853"/>
      <c r="CZ206" s="853"/>
      <c r="DA206" s="853"/>
      <c r="DB206" s="853"/>
      <c r="DC206" s="853"/>
      <c r="DD206" s="853"/>
      <c r="DE206" s="853"/>
      <c r="DF206" s="853"/>
      <c r="DG206" s="853"/>
      <c r="DH206" s="853"/>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1039"/>
    </row>
    <row r="207">
      <c r="A207" s="244" t="s">
        <v>5410</v>
      </c>
      <c r="B207" s="245" t="s">
        <v>3104</v>
      </c>
      <c r="C207" s="246" t="s">
        <v>271</v>
      </c>
      <c r="D207" s="247" t="s">
        <v>271</v>
      </c>
      <c r="E207" s="248" t="s">
        <v>271</v>
      </c>
      <c r="F207" s="249" t="s">
        <v>171</v>
      </c>
      <c r="G207" s="245" t="s">
        <v>171</v>
      </c>
      <c r="H207" s="320"/>
      <c r="I207" s="320"/>
      <c r="J207" s="320"/>
      <c r="K207" s="320"/>
      <c r="L207" s="320"/>
      <c r="M207" s="320"/>
      <c r="N207" s="320"/>
      <c r="O207" s="320"/>
      <c r="P207" s="320"/>
      <c r="Q207" s="320"/>
      <c r="R207" s="320"/>
      <c r="S207" s="320"/>
      <c r="T207" s="320"/>
      <c r="U207" s="320"/>
      <c r="V207" s="320"/>
      <c r="W207" s="106"/>
      <c r="X207" s="320"/>
      <c r="Y207" s="320"/>
      <c r="Z207" s="320"/>
      <c r="AA207" s="320"/>
      <c r="AB207" s="257" t="s">
        <v>12040</v>
      </c>
      <c r="AC207" s="320"/>
      <c r="AD207" s="320"/>
      <c r="AE207" s="320"/>
      <c r="AF207" s="320"/>
      <c r="AG207" s="320"/>
      <c r="AH207" s="320"/>
      <c r="AI207" s="320"/>
      <c r="AJ207" s="320"/>
      <c r="AK207" s="320"/>
      <c r="AL207" s="105"/>
      <c r="AM207" s="320"/>
      <c r="AN207" s="320"/>
      <c r="AO207" s="320"/>
      <c r="AP207" s="320"/>
      <c r="AQ207" s="320"/>
      <c r="AR207" s="320"/>
      <c r="AS207" s="320"/>
      <c r="AT207" s="320"/>
      <c r="AU207" s="320"/>
      <c r="AV207" s="320"/>
      <c r="AW207" s="320"/>
      <c r="AX207" s="320"/>
      <c r="AY207" s="320"/>
      <c r="AZ207" s="320"/>
      <c r="BA207" s="320"/>
      <c r="BB207" s="320"/>
      <c r="BC207" s="320"/>
      <c r="BD207" s="320"/>
      <c r="BE207" s="320"/>
      <c r="BF207" s="320"/>
      <c r="BG207" s="320"/>
      <c r="BH207" s="320"/>
      <c r="BI207" s="320"/>
      <c r="BJ207" s="320"/>
      <c r="BK207" s="320"/>
      <c r="BL207" s="320"/>
      <c r="BM207" s="320"/>
      <c r="BN207" s="320"/>
      <c r="BO207" s="320"/>
      <c r="BP207" s="320"/>
      <c r="BQ207" s="824"/>
      <c r="BR207" s="320"/>
      <c r="BS207" s="320"/>
      <c r="BT207" s="320"/>
      <c r="BU207" s="320"/>
      <c r="BV207" s="320"/>
      <c r="BW207" s="320"/>
      <c r="BX207" s="320"/>
      <c r="BY207" s="320"/>
      <c r="BZ207" s="320"/>
      <c r="CA207" s="320"/>
      <c r="CB207" s="320"/>
      <c r="CC207" s="320"/>
      <c r="CD207" s="320"/>
      <c r="CE207" s="320"/>
      <c r="CF207" s="824"/>
      <c r="CG207" s="320"/>
      <c r="CH207" s="320"/>
      <c r="CI207" s="320"/>
      <c r="CJ207" s="320"/>
      <c r="CK207" s="320"/>
      <c r="CL207" s="320"/>
      <c r="CM207" s="320"/>
      <c r="CN207" s="320"/>
      <c r="CO207" s="320"/>
      <c r="CP207" s="320"/>
      <c r="CQ207" s="320"/>
      <c r="CR207" s="320"/>
      <c r="CS207" s="320"/>
      <c r="CT207" s="320"/>
      <c r="CU207" s="106"/>
      <c r="CV207" s="320"/>
      <c r="CW207" s="320"/>
      <c r="CX207" s="320"/>
      <c r="CY207" s="320"/>
      <c r="CZ207" s="320"/>
      <c r="DA207" s="320"/>
      <c r="DB207" s="320"/>
      <c r="DC207" s="320"/>
      <c r="DD207" s="320"/>
      <c r="DE207" s="320"/>
      <c r="DF207" s="320"/>
      <c r="DG207" s="320"/>
      <c r="DH207" s="320"/>
      <c r="DI207" s="320"/>
      <c r="DJ207" s="320"/>
      <c r="DK207" s="320"/>
      <c r="DL207" s="320"/>
      <c r="DM207" s="320"/>
      <c r="DN207" s="320"/>
      <c r="DO207" s="320"/>
      <c r="DP207" s="320"/>
      <c r="DQ207" s="320"/>
      <c r="DR207" s="320"/>
      <c r="DS207" s="320"/>
      <c r="DT207" s="320"/>
      <c r="DU207" s="320"/>
      <c r="DV207" s="320"/>
      <c r="DW207" s="320"/>
      <c r="DX207" s="320"/>
      <c r="DY207" s="320"/>
      <c r="DZ207" s="320"/>
      <c r="EA207" s="320"/>
      <c r="EB207" s="320"/>
      <c r="EC207" s="320"/>
      <c r="ED207" s="1629"/>
    </row>
    <row r="208">
      <c r="A208" s="2021" t="s">
        <v>12041</v>
      </c>
      <c r="B208" s="378" t="s">
        <v>3165</v>
      </c>
      <c r="C208" s="379" t="s">
        <v>271</v>
      </c>
      <c r="D208" s="380" t="s">
        <v>271</v>
      </c>
      <c r="E208" s="381" t="s">
        <v>271</v>
      </c>
      <c r="F208" s="382" t="s">
        <v>171</v>
      </c>
      <c r="G208" s="378" t="s">
        <v>176</v>
      </c>
      <c r="H208" s="1700"/>
      <c r="I208" s="1788"/>
      <c r="J208" s="1700"/>
      <c r="K208" s="1700"/>
      <c r="L208" s="1700"/>
      <c r="M208" s="1700"/>
      <c r="N208" s="1700"/>
      <c r="O208" s="1700"/>
      <c r="P208" s="1700"/>
      <c r="Q208" s="835"/>
      <c r="R208" s="835"/>
      <c r="S208" s="835"/>
      <c r="T208" s="835"/>
      <c r="U208" s="835"/>
      <c r="V208" s="835"/>
      <c r="W208" s="106"/>
      <c r="X208" s="402"/>
      <c r="Y208" s="402"/>
      <c r="Z208" s="402"/>
      <c r="AA208" s="402"/>
      <c r="AB208" s="1133"/>
      <c r="AC208" s="402"/>
      <c r="AD208" s="402"/>
      <c r="AE208" s="837"/>
      <c r="AF208" s="402"/>
      <c r="AG208" s="402"/>
      <c r="AH208" s="837"/>
      <c r="AI208" s="837"/>
      <c r="AJ208" s="402"/>
      <c r="AK208" s="837"/>
      <c r="AL208" s="105"/>
      <c r="AM208" s="413"/>
      <c r="AN208" s="413"/>
      <c r="AO208" s="839"/>
      <c r="AP208" s="839"/>
      <c r="AQ208" s="570"/>
      <c r="AR208" s="570"/>
      <c r="AS208" s="839"/>
      <c r="AT208" s="839"/>
      <c r="AU208" s="413"/>
      <c r="AV208" s="413" t="s">
        <v>11439</v>
      </c>
      <c r="AW208" s="413"/>
      <c r="AX208" s="839"/>
      <c r="AY208" s="839"/>
      <c r="AZ208" s="839"/>
      <c r="BA208" s="839"/>
      <c r="BB208" s="1633"/>
      <c r="BC208" s="1633"/>
      <c r="BD208" s="1633"/>
      <c r="BE208" s="1633"/>
      <c r="BF208" s="1633"/>
      <c r="BG208" s="1633"/>
      <c r="BH208" s="580"/>
      <c r="BI208" s="417" t="s">
        <v>3796</v>
      </c>
      <c r="BJ208" s="580"/>
      <c r="BK208" s="1633"/>
      <c r="BL208" s="1633"/>
      <c r="BM208" s="580"/>
      <c r="BN208" s="580"/>
      <c r="BO208" s="1633"/>
      <c r="BP208" s="580"/>
      <c r="BQ208" s="845"/>
      <c r="BR208" s="424"/>
      <c r="BS208" s="424"/>
      <c r="BT208" s="424"/>
      <c r="BU208" s="424"/>
      <c r="BV208" s="424"/>
      <c r="BW208" s="424"/>
      <c r="BX208" s="849"/>
      <c r="BY208" s="424"/>
      <c r="BZ208" s="424"/>
      <c r="CA208" s="424"/>
      <c r="CB208" s="849"/>
      <c r="CC208" s="849"/>
      <c r="CD208" s="849"/>
      <c r="CE208" s="849"/>
      <c r="CF208" s="851"/>
      <c r="CG208" s="434" t="s">
        <v>3905</v>
      </c>
      <c r="CH208" s="434"/>
      <c r="CI208" s="434"/>
      <c r="CJ208" s="434"/>
      <c r="CK208" s="434"/>
      <c r="CL208" s="434"/>
      <c r="CM208" s="434"/>
      <c r="CN208" s="434"/>
      <c r="CO208" s="434"/>
      <c r="CP208" s="1789"/>
      <c r="CQ208" s="852"/>
      <c r="CR208" s="852"/>
      <c r="CS208" s="852"/>
      <c r="CT208" s="852"/>
      <c r="CU208" s="106"/>
      <c r="CV208" s="467"/>
      <c r="CW208" s="467"/>
      <c r="CX208" s="467"/>
      <c r="CY208" s="467"/>
      <c r="CZ208" s="467"/>
      <c r="DA208" s="467"/>
      <c r="DB208" s="467" t="s">
        <v>5561</v>
      </c>
      <c r="DC208" s="467"/>
      <c r="DD208" s="853"/>
      <c r="DE208" s="853"/>
      <c r="DF208" s="853"/>
      <c r="DG208" s="853"/>
      <c r="DH208" s="853"/>
      <c r="DI208" s="686"/>
      <c r="DJ208" s="855"/>
      <c r="DK208" s="855"/>
      <c r="DL208" s="686"/>
      <c r="DM208" s="686"/>
      <c r="DN208" s="686"/>
      <c r="DO208" s="855"/>
      <c r="DP208" s="855"/>
      <c r="DQ208" s="855"/>
      <c r="DR208" s="686"/>
      <c r="DS208" s="686"/>
      <c r="DT208" s="855"/>
      <c r="DU208" s="686"/>
      <c r="DV208" s="855"/>
      <c r="DW208" s="855"/>
      <c r="DX208" s="855"/>
      <c r="DY208" s="855"/>
      <c r="DZ208" s="855"/>
      <c r="EA208" s="686"/>
      <c r="EB208" s="855"/>
      <c r="EC208" s="855"/>
      <c r="ED208" s="1039"/>
    </row>
    <row r="209">
      <c r="A209" s="1983" t="s">
        <v>12042</v>
      </c>
      <c r="B209" s="245" t="s">
        <v>3257</v>
      </c>
      <c r="C209" s="246" t="s">
        <v>271</v>
      </c>
      <c r="D209" s="247" t="s">
        <v>271</v>
      </c>
      <c r="E209" s="248" t="s">
        <v>271</v>
      </c>
      <c r="F209" s="249" t="s">
        <v>274</v>
      </c>
      <c r="G209" s="245" t="s">
        <v>274</v>
      </c>
      <c r="H209" s="351"/>
      <c r="I209" s="288"/>
      <c r="J209" s="257" t="s">
        <v>12043</v>
      </c>
      <c r="K209" s="257" t="s">
        <v>12044</v>
      </c>
      <c r="L209" s="257" t="s">
        <v>4699</v>
      </c>
      <c r="M209" s="351"/>
      <c r="N209" s="351"/>
      <c r="O209" s="351"/>
      <c r="P209" s="351"/>
      <c r="Q209" s="320"/>
      <c r="R209" s="320"/>
      <c r="S209" s="320"/>
      <c r="T209" s="320"/>
      <c r="U209" s="320"/>
      <c r="V209" s="320"/>
      <c r="W209" s="106"/>
      <c r="X209" s="351"/>
      <c r="Y209" s="351"/>
      <c r="Z209" s="351"/>
      <c r="AA209" s="351"/>
      <c r="AB209" s="881"/>
      <c r="AC209" s="351"/>
      <c r="AD209" s="351"/>
      <c r="AE209" s="320"/>
      <c r="AF209" s="351"/>
      <c r="AG209" s="351"/>
      <c r="AH209" s="320"/>
      <c r="AI209" s="320"/>
      <c r="AJ209" s="351"/>
      <c r="AK209" s="320"/>
      <c r="AL209" s="105"/>
      <c r="AM209" s="351"/>
      <c r="AN209" s="351"/>
      <c r="AO209" s="320"/>
      <c r="AP209" s="320"/>
      <c r="AQ209" s="286"/>
      <c r="AR209" s="286"/>
      <c r="AS209" s="320"/>
      <c r="AT209" s="320"/>
      <c r="AU209" s="351"/>
      <c r="AV209" s="351"/>
      <c r="AW209" s="351"/>
      <c r="AX209" s="320"/>
      <c r="AY209" s="320"/>
      <c r="AZ209" s="320"/>
      <c r="BA209" s="320"/>
      <c r="BB209" s="351"/>
      <c r="BC209" s="351"/>
      <c r="BD209" s="351"/>
      <c r="BE209" s="351"/>
      <c r="BF209" s="351"/>
      <c r="BG209" s="351"/>
      <c r="BH209" s="320"/>
      <c r="BI209" s="351"/>
      <c r="BJ209" s="320"/>
      <c r="BK209" s="351"/>
      <c r="BL209" s="351"/>
      <c r="BM209" s="320"/>
      <c r="BN209" s="320"/>
      <c r="BO209" s="351"/>
      <c r="BP209" s="320"/>
      <c r="BQ209" s="824"/>
      <c r="BR209" s="351"/>
      <c r="BS209" s="351"/>
      <c r="BT209" s="351"/>
      <c r="BU209" s="351"/>
      <c r="BV209" s="351"/>
      <c r="BW209" s="351"/>
      <c r="BX209" s="320"/>
      <c r="BY209" s="351"/>
      <c r="BZ209" s="351"/>
      <c r="CA209" s="351"/>
      <c r="CB209" s="320"/>
      <c r="CC209" s="320"/>
      <c r="CD209" s="320"/>
      <c r="CE209" s="320"/>
      <c r="CF209" s="824"/>
      <c r="CG209" s="351"/>
      <c r="CH209" s="351"/>
      <c r="CI209" s="351"/>
      <c r="CJ209" s="351"/>
      <c r="CK209" s="351"/>
      <c r="CL209" s="351"/>
      <c r="CM209" s="351"/>
      <c r="CN209" s="351"/>
      <c r="CO209" s="351"/>
      <c r="CP209" s="758"/>
      <c r="CQ209" s="320"/>
      <c r="CR209" s="320"/>
      <c r="CS209" s="320"/>
      <c r="CT209" s="320"/>
      <c r="CU209" s="106"/>
      <c r="CV209" s="351"/>
      <c r="CW209" s="351"/>
      <c r="CX209" s="351"/>
      <c r="CY209" s="351"/>
      <c r="CZ209" s="351"/>
      <c r="DA209" s="351"/>
      <c r="DB209" s="351"/>
      <c r="DC209" s="351"/>
      <c r="DD209" s="320"/>
      <c r="DE209" s="320"/>
      <c r="DF209" s="320"/>
      <c r="DG209" s="320"/>
      <c r="DH209" s="320"/>
      <c r="DI209" s="351"/>
      <c r="DJ209" s="320"/>
      <c r="DK209" s="320"/>
      <c r="DL209" s="351"/>
      <c r="DM209" s="351"/>
      <c r="DN209" s="351"/>
      <c r="DO209" s="320"/>
      <c r="DP209" s="320"/>
      <c r="DQ209" s="320"/>
      <c r="DR209" s="351"/>
      <c r="DS209" s="351"/>
      <c r="DT209" s="320"/>
      <c r="DU209" s="351"/>
      <c r="DV209" s="320"/>
      <c r="DW209" s="320"/>
      <c r="DX209" s="320"/>
      <c r="DY209" s="320"/>
      <c r="DZ209" s="320"/>
      <c r="EA209" s="351"/>
      <c r="EB209" s="320"/>
      <c r="EC209" s="320"/>
      <c r="ED209" s="862"/>
    </row>
    <row r="210">
      <c r="A210" s="540" t="s">
        <v>12045</v>
      </c>
      <c r="B210" s="378" t="s">
        <v>10415</v>
      </c>
      <c r="C210" s="379" t="s">
        <v>271</v>
      </c>
      <c r="D210" s="380" t="s">
        <v>271</v>
      </c>
      <c r="E210" s="381" t="s">
        <v>271</v>
      </c>
      <c r="F210" s="382" t="s">
        <v>271</v>
      </c>
      <c r="G210" s="378" t="s">
        <v>169</v>
      </c>
      <c r="H210" s="541"/>
      <c r="I210" s="541" t="s">
        <v>12046</v>
      </c>
      <c r="J210" s="541" t="s">
        <v>9889</v>
      </c>
      <c r="K210" s="541" t="s">
        <v>2349</v>
      </c>
      <c r="L210" s="835"/>
      <c r="M210" s="835"/>
      <c r="N210" s="835"/>
      <c r="O210" s="835"/>
      <c r="P210" s="541" t="s">
        <v>3953</v>
      </c>
      <c r="Q210" s="835"/>
      <c r="R210" s="835"/>
      <c r="S210" s="835"/>
      <c r="T210" s="835"/>
      <c r="U210" s="835"/>
      <c r="V210" s="835"/>
      <c r="W210" s="106"/>
      <c r="X210" s="837"/>
      <c r="Y210" s="837"/>
      <c r="Z210" s="837"/>
      <c r="AA210" s="670" t="s">
        <v>10204</v>
      </c>
      <c r="AB210" s="837"/>
      <c r="AC210" s="670" t="s">
        <v>2546</v>
      </c>
      <c r="AD210" s="837"/>
      <c r="AE210" s="837"/>
      <c r="AF210" s="837"/>
      <c r="AG210" s="1287" t="s">
        <v>529</v>
      </c>
      <c r="AH210" s="837"/>
      <c r="AI210" s="837"/>
      <c r="AJ210" s="837"/>
      <c r="AK210" s="837"/>
      <c r="AL210" s="105"/>
      <c r="AM210" s="570"/>
      <c r="AN210" s="839"/>
      <c r="AO210" s="839"/>
      <c r="AP210" s="839"/>
      <c r="AQ210" s="839"/>
      <c r="AR210" s="839"/>
      <c r="AS210" s="839"/>
      <c r="AT210" s="839"/>
      <c r="AU210" s="839"/>
      <c r="AV210" s="570" t="s">
        <v>3742</v>
      </c>
      <c r="AW210" s="839"/>
      <c r="AX210" s="839"/>
      <c r="AY210" s="839"/>
      <c r="AZ210" s="839"/>
      <c r="BA210" s="839"/>
      <c r="BB210" s="580"/>
      <c r="BC210" s="581" t="s">
        <v>1823</v>
      </c>
      <c r="BD210" s="581" t="s">
        <v>552</v>
      </c>
      <c r="BE210" s="581" t="s">
        <v>5260</v>
      </c>
      <c r="BF210" s="580"/>
      <c r="BG210" s="580"/>
      <c r="BH210" s="580"/>
      <c r="BI210" s="581" t="s">
        <v>818</v>
      </c>
      <c r="BJ210" s="580"/>
      <c r="BK210" s="580"/>
      <c r="BL210" s="580"/>
      <c r="BM210" s="580"/>
      <c r="BN210" s="580"/>
      <c r="BO210" s="580"/>
      <c r="BP210" s="580"/>
      <c r="BQ210" s="845"/>
      <c r="BR210" s="849"/>
      <c r="BS210" s="589" t="s">
        <v>3852</v>
      </c>
      <c r="BT210" s="589" t="s">
        <v>820</v>
      </c>
      <c r="BU210" s="589" t="s">
        <v>11180</v>
      </c>
      <c r="BV210" s="849"/>
      <c r="BW210" s="849"/>
      <c r="BX210" s="849"/>
      <c r="BY210" s="849"/>
      <c r="BZ210" s="849"/>
      <c r="CA210" s="849"/>
      <c r="CB210" s="849"/>
      <c r="CC210" s="849"/>
      <c r="CD210" s="849"/>
      <c r="CE210" s="849"/>
      <c r="CF210" s="851"/>
      <c r="CG210" s="593" t="s">
        <v>12047</v>
      </c>
      <c r="CH210" s="593" t="s">
        <v>1575</v>
      </c>
      <c r="CI210" s="852"/>
      <c r="CJ210" s="852"/>
      <c r="CK210" s="852"/>
      <c r="CL210" s="852"/>
      <c r="CM210" s="852"/>
      <c r="CN210" s="852"/>
      <c r="CO210" s="852"/>
      <c r="CP210" s="852"/>
      <c r="CQ210" s="852"/>
      <c r="CR210" s="852"/>
      <c r="CS210" s="852"/>
      <c r="CT210" s="852"/>
      <c r="CU210" s="106"/>
      <c r="CV210" s="853"/>
      <c r="CW210" s="853"/>
      <c r="CX210" s="683" t="s">
        <v>2418</v>
      </c>
      <c r="CY210" s="853"/>
      <c r="CZ210" s="853"/>
      <c r="DA210" s="853"/>
      <c r="DB210" s="853"/>
      <c r="DC210" s="853"/>
      <c r="DD210" s="853"/>
      <c r="DE210" s="853"/>
      <c r="DF210" s="853"/>
      <c r="DG210" s="853"/>
      <c r="DH210" s="853"/>
      <c r="DI210" s="855"/>
      <c r="DJ210" s="855"/>
      <c r="DK210" s="855"/>
      <c r="DL210" s="855"/>
      <c r="DM210" s="855"/>
      <c r="DN210" s="855"/>
      <c r="DO210" s="855"/>
      <c r="DP210" s="855"/>
      <c r="DQ210" s="855"/>
      <c r="DR210" s="855"/>
      <c r="DS210" s="685" t="s">
        <v>5570</v>
      </c>
      <c r="DT210" s="855"/>
      <c r="DU210" s="855"/>
      <c r="DV210" s="855"/>
      <c r="DW210" s="855"/>
      <c r="DX210" s="855"/>
      <c r="DY210" s="855"/>
      <c r="DZ210" s="855"/>
      <c r="EA210" s="855"/>
      <c r="EB210" s="855"/>
      <c r="EC210" s="855"/>
      <c r="ED210" s="1912"/>
    </row>
    <row r="211">
      <c r="A211" s="802" t="s">
        <v>12048</v>
      </c>
      <c r="B211" s="245" t="s">
        <v>4909</v>
      </c>
      <c r="C211" s="246" t="s">
        <v>271</v>
      </c>
      <c r="D211" s="247" t="s">
        <v>271</v>
      </c>
      <c r="E211" s="248" t="s">
        <v>271</v>
      </c>
      <c r="F211" s="249" t="s">
        <v>171</v>
      </c>
      <c r="G211" s="245" t="s">
        <v>203</v>
      </c>
      <c r="H211" s="351"/>
      <c r="I211" s="288"/>
      <c r="J211" s="351"/>
      <c r="K211" s="257" t="s">
        <v>12049</v>
      </c>
      <c r="L211" s="351"/>
      <c r="M211" s="351"/>
      <c r="N211" s="351"/>
      <c r="O211" s="351"/>
      <c r="P211" s="351"/>
      <c r="Q211" s="320"/>
      <c r="R211" s="320"/>
      <c r="S211" s="320"/>
      <c r="T211" s="320"/>
      <c r="U211" s="320"/>
      <c r="V211" s="320"/>
      <c r="W211" s="106"/>
      <c r="X211" s="351"/>
      <c r="Y211" s="351"/>
      <c r="Z211" s="351"/>
      <c r="AA211" s="351" t="s">
        <v>2446</v>
      </c>
      <c r="AB211" s="881"/>
      <c r="AC211" s="351"/>
      <c r="AD211" s="351"/>
      <c r="AE211" s="320"/>
      <c r="AF211" s="351" t="s">
        <v>5227</v>
      </c>
      <c r="AG211" s="351"/>
      <c r="AH211" s="320"/>
      <c r="AI211" s="320"/>
      <c r="AJ211" s="351"/>
      <c r="AK211" s="320"/>
      <c r="AL211" s="105"/>
      <c r="AM211" s="351"/>
      <c r="AN211" s="351"/>
      <c r="AO211" s="320"/>
      <c r="AP211" s="320"/>
      <c r="AQ211" s="286"/>
      <c r="AR211" s="286"/>
      <c r="AS211" s="320"/>
      <c r="AT211" s="320"/>
      <c r="AU211" s="862" t="s">
        <v>9261</v>
      </c>
      <c r="AV211" s="351"/>
      <c r="AW211" s="351"/>
      <c r="AX211" s="320"/>
      <c r="AY211" s="320"/>
      <c r="AZ211" s="320"/>
      <c r="BA211" s="320"/>
      <c r="BB211" s="351"/>
      <c r="BC211" s="351"/>
      <c r="BD211" s="351"/>
      <c r="BE211" s="351"/>
      <c r="BF211" s="351"/>
      <c r="BG211" s="351"/>
      <c r="BH211" s="320"/>
      <c r="BI211" s="351"/>
      <c r="BJ211" s="320"/>
      <c r="BK211" s="351"/>
      <c r="BL211" s="351"/>
      <c r="BM211" s="320"/>
      <c r="BN211" s="320"/>
      <c r="BO211" s="351"/>
      <c r="BP211" s="320"/>
      <c r="BQ211" s="824"/>
      <c r="BR211" s="351"/>
      <c r="BS211" s="351"/>
      <c r="BT211" s="351"/>
      <c r="BU211" s="351"/>
      <c r="BV211" s="351"/>
      <c r="BW211" s="351"/>
      <c r="BX211" s="320"/>
      <c r="BY211" s="351"/>
      <c r="BZ211" s="351"/>
      <c r="CA211" s="351"/>
      <c r="CB211" s="320"/>
      <c r="CC211" s="320"/>
      <c r="CD211" s="320"/>
      <c r="CE211" s="320"/>
      <c r="CF211" s="824"/>
      <c r="CG211" s="351"/>
      <c r="CH211" s="351"/>
      <c r="CI211" s="351"/>
      <c r="CJ211" s="351"/>
      <c r="CK211" s="351"/>
      <c r="CL211" s="351"/>
      <c r="CM211" s="351"/>
      <c r="CN211" s="351"/>
      <c r="CO211" s="351"/>
      <c r="CP211" s="758"/>
      <c r="CQ211" s="320"/>
      <c r="CR211" s="320"/>
      <c r="CS211" s="320"/>
      <c r="CT211" s="320"/>
      <c r="CU211" s="106"/>
      <c r="CV211" s="862" t="s">
        <v>3023</v>
      </c>
      <c r="CW211" s="351"/>
      <c r="CX211" s="351"/>
      <c r="CY211" s="351"/>
      <c r="CZ211" s="351"/>
      <c r="DA211" s="351"/>
      <c r="DB211" s="351"/>
      <c r="DC211" s="351"/>
      <c r="DD211" s="320"/>
      <c r="DE211" s="320"/>
      <c r="DF211" s="320"/>
      <c r="DG211" s="320"/>
      <c r="DH211" s="320"/>
      <c r="DI211" s="351"/>
      <c r="DJ211" s="320"/>
      <c r="DK211" s="320"/>
      <c r="DL211" s="351"/>
      <c r="DM211" s="351"/>
      <c r="DN211" s="351"/>
      <c r="DO211" s="320"/>
      <c r="DP211" s="320"/>
      <c r="DQ211" s="320"/>
      <c r="DR211" s="351"/>
      <c r="DS211" s="351"/>
      <c r="DT211" s="320"/>
      <c r="DU211" s="351"/>
      <c r="DV211" s="320"/>
      <c r="DW211" s="320"/>
      <c r="DX211" s="320"/>
      <c r="DY211" s="320"/>
      <c r="DZ211" s="320"/>
      <c r="EA211" s="351"/>
      <c r="EB211" s="320"/>
      <c r="EC211" s="320"/>
      <c r="ED211" s="862"/>
    </row>
    <row r="212">
      <c r="A212" s="2022" t="s">
        <v>8030</v>
      </c>
      <c r="B212" s="378" t="s">
        <v>3910</v>
      </c>
      <c r="C212" s="379" t="s">
        <v>271</v>
      </c>
      <c r="D212" s="380" t="s">
        <v>271</v>
      </c>
      <c r="E212" s="381" t="s">
        <v>271</v>
      </c>
      <c r="F212" s="382" t="s">
        <v>233</v>
      </c>
      <c r="G212" s="378" t="s">
        <v>233</v>
      </c>
      <c r="H212" s="835"/>
      <c r="I212" s="835"/>
      <c r="J212" s="835"/>
      <c r="K212" s="835"/>
      <c r="L212" s="835"/>
      <c r="M212" s="835"/>
      <c r="N212" s="835"/>
      <c r="O212" s="835"/>
      <c r="P212" s="835"/>
      <c r="Q212" s="835"/>
      <c r="R212" s="835"/>
      <c r="S212" s="835"/>
      <c r="T212" s="835"/>
      <c r="U212" s="835"/>
      <c r="V212" s="835"/>
      <c r="W212" s="106"/>
      <c r="X212" s="837"/>
      <c r="Y212" s="837"/>
      <c r="Z212" s="837"/>
      <c r="AA212" s="837"/>
      <c r="AB212" s="837"/>
      <c r="AC212" s="837"/>
      <c r="AD212" s="837"/>
      <c r="AE212" s="837"/>
      <c r="AF212" s="837"/>
      <c r="AG212" s="837"/>
      <c r="AH212" s="837"/>
      <c r="AI212" s="837"/>
      <c r="AJ212" s="837"/>
      <c r="AK212" s="837"/>
      <c r="AL212" s="105"/>
      <c r="AM212" s="839"/>
      <c r="AN212" s="839"/>
      <c r="AO212" s="839"/>
      <c r="AP212" s="839"/>
      <c r="AQ212" s="839"/>
      <c r="AR212" s="839"/>
      <c r="AS212" s="839"/>
      <c r="AT212" s="839"/>
      <c r="AU212" s="839"/>
      <c r="AV212" s="839"/>
      <c r="AW212" s="839"/>
      <c r="AX212" s="839"/>
      <c r="AY212" s="839"/>
      <c r="AZ212" s="839"/>
      <c r="BA212" s="839"/>
      <c r="BB212" s="580"/>
      <c r="BC212" s="580"/>
      <c r="BD212" s="580"/>
      <c r="BE212" s="581"/>
      <c r="BF212" s="580"/>
      <c r="BG212" s="580"/>
      <c r="BH212" s="580"/>
      <c r="BI212" s="580"/>
      <c r="BJ212" s="580"/>
      <c r="BK212" s="580"/>
      <c r="BL212" s="580"/>
      <c r="BM212" s="580"/>
      <c r="BN212" s="580"/>
      <c r="BO212" s="580"/>
      <c r="BP212" s="580"/>
      <c r="BQ212" s="845"/>
      <c r="BR212" s="849"/>
      <c r="BS212" s="849"/>
      <c r="BT212" s="849"/>
      <c r="BU212" s="849"/>
      <c r="BV212" s="849"/>
      <c r="BW212" s="849"/>
      <c r="BX212" s="849"/>
      <c r="BY212" s="421" t="str">
        <f>HYPERLINK("https://twitter.com/md_chosen/status/807405341659041792","2:32.80")</f>
        <v>2:32.80</v>
      </c>
      <c r="BZ212" s="421" t="str">
        <f>HYPERLINK("https://www.youtube.com/watch?v=QrrqNYKxkjE","2:29.17")</f>
        <v>2:29.17</v>
      </c>
      <c r="CA212" s="849"/>
      <c r="CB212" s="849"/>
      <c r="CC212" s="849"/>
      <c r="CD212" s="849"/>
      <c r="CE212" s="849"/>
      <c r="CF212" s="851"/>
      <c r="CG212" s="852"/>
      <c r="CH212" s="852"/>
      <c r="CI212" s="852"/>
      <c r="CJ212" s="852"/>
      <c r="CK212" s="852"/>
      <c r="CL212" s="852"/>
      <c r="CM212" s="852"/>
      <c r="CN212" s="593"/>
      <c r="CO212" s="852"/>
      <c r="CP212" s="852"/>
      <c r="CQ212" s="852"/>
      <c r="CR212" s="852"/>
      <c r="CS212" s="852"/>
      <c r="CT212" s="852"/>
      <c r="CU212" s="106"/>
      <c r="CV212" s="853"/>
      <c r="CW212" s="853"/>
      <c r="CX212" s="853"/>
      <c r="CY212" s="853"/>
      <c r="CZ212" s="853"/>
      <c r="DA212" s="853"/>
      <c r="DB212" s="853"/>
      <c r="DC212" s="853"/>
      <c r="DD212" s="853"/>
      <c r="DE212" s="853"/>
      <c r="DF212" s="853"/>
      <c r="DG212" s="853"/>
      <c r="DH212" s="853"/>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1039"/>
    </row>
    <row r="213">
      <c r="A213" s="2007" t="s">
        <v>697</v>
      </c>
      <c r="B213" s="245" t="s">
        <v>3817</v>
      </c>
      <c r="C213" s="246" t="s">
        <v>171</v>
      </c>
      <c r="D213" s="247" t="s">
        <v>271</v>
      </c>
      <c r="E213" s="248" t="s">
        <v>271</v>
      </c>
      <c r="F213" s="249" t="s">
        <v>233</v>
      </c>
      <c r="G213" s="245" t="s">
        <v>233</v>
      </c>
      <c r="H213" s="320"/>
      <c r="I213" s="286"/>
      <c r="J213" s="320"/>
      <c r="K213" s="286"/>
      <c r="L213" s="320"/>
      <c r="M213" s="320"/>
      <c r="N213" s="320"/>
      <c r="O213" s="320"/>
      <c r="P213" s="320"/>
      <c r="Q213" s="320"/>
      <c r="R213" s="320"/>
      <c r="S213" s="320"/>
      <c r="T213" s="320"/>
      <c r="U213" s="320"/>
      <c r="V213" s="320"/>
      <c r="W213" s="106"/>
      <c r="X213" s="320"/>
      <c r="Y213" s="320"/>
      <c r="Z213" s="320"/>
      <c r="AA213" s="320"/>
      <c r="AB213" s="320"/>
      <c r="AC213" s="320"/>
      <c r="AD213" s="320"/>
      <c r="AE213" s="320"/>
      <c r="AF213" s="320"/>
      <c r="AG213" s="320"/>
      <c r="AH213" s="320"/>
      <c r="AI213" s="251" t="s">
        <v>12050</v>
      </c>
      <c r="AJ213" s="320"/>
      <c r="AK213" s="320"/>
      <c r="AL213" s="105"/>
      <c r="AM213" s="320"/>
      <c r="AN213" s="320"/>
      <c r="AO213" s="320"/>
      <c r="AP213" s="320"/>
      <c r="AQ213" s="320"/>
      <c r="AR213" s="320"/>
      <c r="AS213" s="320"/>
      <c r="AT213" s="320"/>
      <c r="AU213" s="320"/>
      <c r="AV213" s="320"/>
      <c r="AW213" s="320"/>
      <c r="AX213" s="320"/>
      <c r="AY213" s="320"/>
      <c r="AZ213" s="320"/>
      <c r="BA213" s="320"/>
      <c r="BB213" s="320"/>
      <c r="BC213" s="320"/>
      <c r="BD213" s="320"/>
      <c r="BE213" s="286"/>
      <c r="BF213" s="320"/>
      <c r="BG213" s="320"/>
      <c r="BH213" s="320"/>
      <c r="BI213" s="320"/>
      <c r="BJ213" s="320"/>
      <c r="BK213" s="320"/>
      <c r="BL213" s="320"/>
      <c r="BM213" s="320"/>
      <c r="BN213" s="320"/>
      <c r="BO213" s="320"/>
      <c r="BP213" s="320"/>
      <c r="BQ213" s="824"/>
      <c r="BR213" s="320"/>
      <c r="BS213" s="320"/>
      <c r="BT213" s="320"/>
      <c r="BU213" s="320"/>
      <c r="BV213" s="320"/>
      <c r="BW213" s="320"/>
      <c r="BX213" s="320"/>
      <c r="BY213" s="320"/>
      <c r="BZ213" s="320"/>
      <c r="CA213" s="320"/>
      <c r="CB213" s="320"/>
      <c r="CC213" s="320"/>
      <c r="CD213" s="316" t="str">
        <f>HYPERLINK("https://youtu.be/mV2ghJzuZR8","45.03")</f>
        <v>45.03</v>
      </c>
      <c r="CE213" s="320"/>
      <c r="CF213" s="824"/>
      <c r="CG213" s="320"/>
      <c r="CH213" s="320"/>
      <c r="CI213" s="320"/>
      <c r="CJ213" s="320"/>
      <c r="CK213" s="320"/>
      <c r="CL213" s="320"/>
      <c r="CM213" s="320"/>
      <c r="CN213" s="320"/>
      <c r="CO213" s="320"/>
      <c r="CP213" s="320"/>
      <c r="CQ213" s="320"/>
      <c r="CR213" s="320"/>
      <c r="CS213" s="320"/>
      <c r="CT213" s="320"/>
      <c r="CU213" s="106"/>
      <c r="CV213" s="320"/>
      <c r="CW213" s="320"/>
      <c r="CX213" s="320"/>
      <c r="CY213" s="320"/>
      <c r="CZ213" s="320"/>
      <c r="DA213" s="320"/>
      <c r="DB213" s="320"/>
      <c r="DC213" s="320"/>
      <c r="DD213" s="320"/>
      <c r="DE213" s="320"/>
      <c r="DF213" s="320"/>
      <c r="DG213" s="320"/>
      <c r="DH213" s="320"/>
      <c r="DI213" s="320"/>
      <c r="DJ213" s="320"/>
      <c r="DK213" s="320"/>
      <c r="DL213" s="320"/>
      <c r="DM213" s="320"/>
      <c r="DN213" s="320"/>
      <c r="DO213" s="320"/>
      <c r="DP213" s="320"/>
      <c r="DQ213" s="320"/>
      <c r="DR213" s="320"/>
      <c r="DS213" s="320"/>
      <c r="DT213" s="320"/>
      <c r="DU213" s="320"/>
      <c r="DV213" s="320"/>
      <c r="DW213" s="320"/>
      <c r="DX213" s="320"/>
      <c r="DY213" s="320"/>
      <c r="DZ213" s="320"/>
      <c r="EA213" s="320"/>
      <c r="EB213" s="320"/>
      <c r="EC213" s="320"/>
      <c r="ED213" s="862"/>
    </row>
    <row r="214">
      <c r="A214" s="2022" t="s">
        <v>12051</v>
      </c>
      <c r="B214" s="378" t="s">
        <v>12052</v>
      </c>
      <c r="C214" s="379" t="s">
        <v>171</v>
      </c>
      <c r="D214" s="380" t="s">
        <v>271</v>
      </c>
      <c r="E214" s="381" t="s">
        <v>271</v>
      </c>
      <c r="F214" s="382" t="s">
        <v>171</v>
      </c>
      <c r="G214" s="378" t="s">
        <v>171</v>
      </c>
      <c r="H214" s="541"/>
      <c r="I214" s="541"/>
      <c r="J214" s="835"/>
      <c r="K214" s="835"/>
      <c r="L214" s="835"/>
      <c r="M214" s="835"/>
      <c r="N214" s="835"/>
      <c r="O214" s="835"/>
      <c r="P214" s="835"/>
      <c r="Q214" s="835"/>
      <c r="R214" s="835"/>
      <c r="S214" s="835"/>
      <c r="T214" s="835"/>
      <c r="U214" s="835"/>
      <c r="V214" s="835"/>
      <c r="W214" s="106"/>
      <c r="X214" s="837"/>
      <c r="Y214" s="908"/>
      <c r="Z214" s="908"/>
      <c r="AA214" s="837"/>
      <c r="AB214" s="837"/>
      <c r="AC214" s="837"/>
      <c r="AD214" s="837"/>
      <c r="AE214" s="837"/>
      <c r="AF214" s="837"/>
      <c r="AG214" s="837"/>
      <c r="AH214" s="837"/>
      <c r="AI214" s="908"/>
      <c r="AJ214" s="908"/>
      <c r="AK214" s="837"/>
      <c r="AL214" s="105"/>
      <c r="AM214" s="839"/>
      <c r="AN214" s="839"/>
      <c r="AO214" s="839"/>
      <c r="AP214" s="839"/>
      <c r="AQ214" s="839"/>
      <c r="AR214" s="839"/>
      <c r="AS214" s="839"/>
      <c r="AT214" s="839"/>
      <c r="AU214" s="839"/>
      <c r="AV214" s="839"/>
      <c r="AW214" s="839"/>
      <c r="AX214" s="839"/>
      <c r="AY214" s="839"/>
      <c r="AZ214" s="839"/>
      <c r="BA214" s="839"/>
      <c r="BB214" s="580"/>
      <c r="BC214" s="580"/>
      <c r="BD214" s="580"/>
      <c r="BE214" s="580"/>
      <c r="BF214" s="580"/>
      <c r="BG214" s="580"/>
      <c r="BH214" s="580"/>
      <c r="BI214" s="580"/>
      <c r="BJ214" s="580"/>
      <c r="BK214" s="580"/>
      <c r="BL214" s="580"/>
      <c r="BM214" s="580"/>
      <c r="BN214" s="580"/>
      <c r="BO214" s="580"/>
      <c r="BP214" s="580"/>
      <c r="BQ214" s="845"/>
      <c r="BR214" s="849"/>
      <c r="BS214" s="849"/>
      <c r="BT214" s="849"/>
      <c r="BU214" s="849"/>
      <c r="BV214" s="849"/>
      <c r="BW214" s="849"/>
      <c r="BX214" s="590"/>
      <c r="BY214" s="849"/>
      <c r="BZ214" s="849"/>
      <c r="CA214" s="849"/>
      <c r="CB214" s="849"/>
      <c r="CC214" s="849"/>
      <c r="CD214" s="849"/>
      <c r="CE214" s="849"/>
      <c r="CF214" s="851"/>
      <c r="CG214" s="852"/>
      <c r="CH214" s="852"/>
      <c r="CI214" s="852"/>
      <c r="CJ214" s="852"/>
      <c r="CK214" s="852"/>
      <c r="CL214" s="852"/>
      <c r="CM214" s="852"/>
      <c r="CN214" s="852"/>
      <c r="CO214" s="852"/>
      <c r="CP214" s="852"/>
      <c r="CQ214" s="852"/>
      <c r="CR214" s="852"/>
      <c r="CS214" s="852"/>
      <c r="CT214" s="869"/>
      <c r="CU214" s="106"/>
      <c r="CV214" s="853"/>
      <c r="CW214" s="853"/>
      <c r="CX214" s="853"/>
      <c r="CY214" s="853"/>
      <c r="CZ214" s="853"/>
      <c r="DA214" s="853"/>
      <c r="DB214" s="853"/>
      <c r="DC214" s="853"/>
      <c r="DD214" s="853"/>
      <c r="DE214" s="853"/>
      <c r="DF214" s="853"/>
      <c r="DG214" s="853"/>
      <c r="DH214" s="853"/>
      <c r="DI214" s="855"/>
      <c r="DJ214" s="855"/>
      <c r="DK214" s="855"/>
      <c r="DL214" s="855"/>
      <c r="DM214" s="855"/>
      <c r="DN214" s="855"/>
      <c r="DO214" s="855"/>
      <c r="DP214" s="855"/>
      <c r="DQ214" s="855"/>
      <c r="DR214" s="855"/>
      <c r="DS214" s="855"/>
      <c r="DT214" s="855"/>
      <c r="DU214" s="855"/>
      <c r="DV214" s="855"/>
      <c r="DW214" s="855"/>
      <c r="DX214" s="855"/>
      <c r="DY214" s="855"/>
      <c r="DZ214" s="855"/>
      <c r="EA214" s="484" t="s">
        <v>3301</v>
      </c>
      <c r="EB214" s="855"/>
      <c r="EC214" s="855"/>
      <c r="ED214" s="1039"/>
    </row>
    <row r="215">
      <c r="A215" s="244" t="s">
        <v>12053</v>
      </c>
      <c r="B215" s="245" t="s">
        <v>1056</v>
      </c>
      <c r="C215" s="246" t="s">
        <v>271</v>
      </c>
      <c r="D215" s="247" t="s">
        <v>271</v>
      </c>
      <c r="E215" s="248" t="s">
        <v>271</v>
      </c>
      <c r="F215" s="249" t="s">
        <v>233</v>
      </c>
      <c r="G215" s="245" t="s">
        <v>233</v>
      </c>
      <c r="H215" s="320"/>
      <c r="I215" s="320"/>
      <c r="J215" s="320"/>
      <c r="K215" s="320"/>
      <c r="L215" s="320"/>
      <c r="M215" s="320"/>
      <c r="N215" s="320"/>
      <c r="O215" s="320"/>
      <c r="P215" s="286"/>
      <c r="Q215" s="320"/>
      <c r="R215" s="320"/>
      <c r="S215" s="320"/>
      <c r="T215" s="320"/>
      <c r="U215" s="320"/>
      <c r="V215" s="320"/>
      <c r="W215" s="106"/>
      <c r="X215" s="320"/>
      <c r="Y215" s="320"/>
      <c r="Z215" s="320"/>
      <c r="AA215" s="320"/>
      <c r="AB215" s="320"/>
      <c r="AC215" s="320"/>
      <c r="AD215" s="320"/>
      <c r="AE215" s="320"/>
      <c r="AF215" s="320"/>
      <c r="AG215" s="351"/>
      <c r="AH215" s="320"/>
      <c r="AI215" s="320"/>
      <c r="AJ215" s="320"/>
      <c r="AK215" s="320"/>
      <c r="AL215" s="105"/>
      <c r="AM215" s="320"/>
      <c r="AN215" s="320"/>
      <c r="AO215" s="320"/>
      <c r="AP215" s="320"/>
      <c r="AQ215" s="320"/>
      <c r="AR215" s="320"/>
      <c r="AS215" s="320"/>
      <c r="AT215" s="320"/>
      <c r="AU215" s="320"/>
      <c r="AV215" s="320"/>
      <c r="AW215" s="320"/>
      <c r="AX215" s="320"/>
      <c r="AY215" s="320"/>
      <c r="AZ215" s="320"/>
      <c r="BA215" s="320"/>
      <c r="BB215" s="320"/>
      <c r="BC215" s="320"/>
      <c r="BD215" s="257" t="s">
        <v>10403</v>
      </c>
      <c r="BE215" s="320"/>
      <c r="BF215" s="320"/>
      <c r="BG215" s="320"/>
      <c r="BH215" s="320"/>
      <c r="BI215" s="320"/>
      <c r="BJ215" s="320"/>
      <c r="BK215" s="320"/>
      <c r="BL215" s="320"/>
      <c r="BM215" s="320"/>
      <c r="BN215" s="320"/>
      <c r="BO215" s="320"/>
      <c r="BP215" s="320"/>
      <c r="BQ215" s="824"/>
      <c r="BR215" s="320"/>
      <c r="BS215" s="320"/>
      <c r="BT215" s="320"/>
      <c r="BU215" s="320"/>
      <c r="BV215" s="320"/>
      <c r="BW215" s="320"/>
      <c r="BX215" s="320"/>
      <c r="BY215" s="320"/>
      <c r="BZ215" s="320"/>
      <c r="CA215" s="320"/>
      <c r="CB215" s="320"/>
      <c r="CC215" s="320"/>
      <c r="CD215" s="320"/>
      <c r="CE215" s="320"/>
      <c r="CF215" s="824"/>
      <c r="CG215" s="320"/>
      <c r="CH215" s="320"/>
      <c r="CI215" s="320"/>
      <c r="CJ215" s="320"/>
      <c r="CK215" s="320"/>
      <c r="CL215" s="320"/>
      <c r="CM215" s="320"/>
      <c r="CN215" s="320"/>
      <c r="CO215" s="320"/>
      <c r="CP215" s="320"/>
      <c r="CQ215" s="320"/>
      <c r="CR215" s="320"/>
      <c r="CS215" s="320"/>
      <c r="CT215" s="320"/>
      <c r="CU215" s="106"/>
      <c r="CV215" s="320"/>
      <c r="CW215" s="320"/>
      <c r="CX215" s="320"/>
      <c r="CY215" s="320"/>
      <c r="CZ215" s="320"/>
      <c r="DA215" s="320"/>
      <c r="DB215" s="320"/>
      <c r="DC215" s="320"/>
      <c r="DD215" s="320"/>
      <c r="DE215" s="320"/>
      <c r="DF215" s="320"/>
      <c r="DG215" s="320"/>
      <c r="DH215" s="320"/>
      <c r="DI215" s="286"/>
      <c r="DJ215" s="320"/>
      <c r="DK215" s="320"/>
      <c r="DL215" s="320"/>
      <c r="DM215" s="257" t="s">
        <v>1768</v>
      </c>
      <c r="DN215" s="320"/>
      <c r="DO215" s="320"/>
      <c r="DP215" s="320"/>
      <c r="DQ215" s="320"/>
      <c r="DR215" s="320"/>
      <c r="DS215" s="320"/>
      <c r="DT215" s="320"/>
      <c r="DU215" s="320"/>
      <c r="DV215" s="320"/>
      <c r="DW215" s="320"/>
      <c r="DX215" s="320"/>
      <c r="DY215" s="320"/>
      <c r="DZ215" s="320"/>
      <c r="EA215" s="320"/>
      <c r="EB215" s="320"/>
      <c r="EC215" s="320"/>
      <c r="ED215" s="1629"/>
    </row>
    <row r="216">
      <c r="A216" s="540" t="s">
        <v>4228</v>
      </c>
      <c r="B216" s="378" t="s">
        <v>1920</v>
      </c>
      <c r="C216" s="379" t="s">
        <v>271</v>
      </c>
      <c r="D216" s="380" t="s">
        <v>271</v>
      </c>
      <c r="E216" s="381" t="s">
        <v>271</v>
      </c>
      <c r="F216" s="382" t="s">
        <v>567</v>
      </c>
      <c r="G216" s="378" t="s">
        <v>567</v>
      </c>
      <c r="H216" s="1710" t="s">
        <v>12054</v>
      </c>
      <c r="I216" s="541"/>
      <c r="J216" s="835"/>
      <c r="K216" s="2023" t="s">
        <v>10477</v>
      </c>
      <c r="L216" s="541"/>
      <c r="M216" s="835"/>
      <c r="N216" s="835"/>
      <c r="O216" s="541"/>
      <c r="P216" s="835"/>
      <c r="Q216" s="835"/>
      <c r="R216" s="835"/>
      <c r="S216" s="835"/>
      <c r="T216" s="835"/>
      <c r="U216" s="835"/>
      <c r="V216" s="835"/>
      <c r="W216" s="106"/>
      <c r="X216" s="837"/>
      <c r="Y216" s="837"/>
      <c r="Z216" s="2024" t="s">
        <v>11435</v>
      </c>
      <c r="AA216" s="837"/>
      <c r="AB216" s="837"/>
      <c r="AC216" s="837"/>
      <c r="AD216" s="837"/>
      <c r="AE216" s="837"/>
      <c r="AF216" s="837"/>
      <c r="AG216" s="837"/>
      <c r="AH216" s="837"/>
      <c r="AI216" s="837"/>
      <c r="AJ216" s="837"/>
      <c r="AK216" s="837"/>
      <c r="AL216" s="105"/>
      <c r="AM216" s="839"/>
      <c r="AN216" s="2025" t="s">
        <v>9754</v>
      </c>
      <c r="AO216" s="839"/>
      <c r="AP216" s="2025" t="s">
        <v>12055</v>
      </c>
      <c r="AQ216" s="839"/>
      <c r="AR216" s="839"/>
      <c r="AS216" s="839"/>
      <c r="AT216" s="839"/>
      <c r="AU216" s="839"/>
      <c r="AV216" s="839"/>
      <c r="AW216" s="839"/>
      <c r="AX216" s="839"/>
      <c r="AY216" s="2025" t="s">
        <v>1740</v>
      </c>
      <c r="AZ216" s="839"/>
      <c r="BA216" s="839"/>
      <c r="BB216" s="2017" t="s">
        <v>12056</v>
      </c>
      <c r="BC216" s="580"/>
      <c r="BD216" s="2017" t="s">
        <v>10787</v>
      </c>
      <c r="BE216" s="580"/>
      <c r="BF216" s="580"/>
      <c r="BG216" s="580"/>
      <c r="BH216" s="580"/>
      <c r="BI216" s="580"/>
      <c r="BJ216" s="580"/>
      <c r="BK216" s="580"/>
      <c r="BL216" s="580"/>
      <c r="BM216" s="580"/>
      <c r="BN216" s="2017" t="s">
        <v>12057</v>
      </c>
      <c r="BO216" s="580"/>
      <c r="BP216" s="580"/>
      <c r="BQ216" s="845"/>
      <c r="BR216" s="849"/>
      <c r="BS216" s="849"/>
      <c r="BT216" s="849"/>
      <c r="BU216" s="849"/>
      <c r="BV216" s="849"/>
      <c r="BW216" s="589"/>
      <c r="BX216" s="849"/>
      <c r="BY216" s="849"/>
      <c r="BZ216" s="849"/>
      <c r="CA216" s="849"/>
      <c r="CB216" s="849"/>
      <c r="CC216" s="849"/>
      <c r="CD216" s="849"/>
      <c r="CE216" s="849"/>
      <c r="CF216" s="851"/>
      <c r="CG216" s="1980" t="s">
        <v>2202</v>
      </c>
      <c r="CH216" s="852"/>
      <c r="CI216" s="852"/>
      <c r="CJ216" s="852"/>
      <c r="CK216" s="852"/>
      <c r="CL216" s="852"/>
      <c r="CM216" s="852"/>
      <c r="CN216" s="852"/>
      <c r="CO216" s="852"/>
      <c r="CP216" s="852"/>
      <c r="CQ216" s="852"/>
      <c r="CR216" s="852"/>
      <c r="CS216" s="852"/>
      <c r="CT216" s="852"/>
      <c r="CU216" s="106"/>
      <c r="CV216" s="853"/>
      <c r="CW216" s="853"/>
      <c r="CX216" s="853"/>
      <c r="CY216" s="853"/>
      <c r="CZ216" s="853"/>
      <c r="DA216" s="853"/>
      <c r="DB216" s="853"/>
      <c r="DC216" s="853"/>
      <c r="DD216" s="853"/>
      <c r="DE216" s="853"/>
      <c r="DF216" s="853"/>
      <c r="DG216" s="853"/>
      <c r="DH216" s="853"/>
      <c r="DI216" s="855"/>
      <c r="DJ216" s="855"/>
      <c r="DK216" s="855"/>
      <c r="DL216" s="855"/>
      <c r="DM216" s="855"/>
      <c r="DN216" s="855"/>
      <c r="DO216" s="2026" t="s">
        <v>11140</v>
      </c>
      <c r="DP216" s="2026" t="s">
        <v>11331</v>
      </c>
      <c r="DQ216" s="2026" t="s">
        <v>12058</v>
      </c>
      <c r="DR216" s="855"/>
      <c r="DS216" s="855"/>
      <c r="DT216" s="855"/>
      <c r="DU216" s="855"/>
      <c r="DV216" s="855"/>
      <c r="DW216" s="855"/>
      <c r="DX216" s="855"/>
      <c r="DY216" s="855"/>
      <c r="DZ216" s="855"/>
      <c r="EA216" s="855"/>
      <c r="EB216" s="855"/>
      <c r="EC216" s="855"/>
      <c r="ED216" s="2027" t="s">
        <v>2858</v>
      </c>
    </row>
    <row r="217">
      <c r="A217" s="487" t="s">
        <v>3734</v>
      </c>
      <c r="B217" s="245" t="s">
        <v>3258</v>
      </c>
      <c r="C217" s="246" t="s">
        <v>271</v>
      </c>
      <c r="D217" s="247" t="s">
        <v>271</v>
      </c>
      <c r="E217" s="248" t="s">
        <v>271</v>
      </c>
      <c r="F217" s="249" t="s">
        <v>271</v>
      </c>
      <c r="G217" s="245" t="s">
        <v>171</v>
      </c>
      <c r="H217" s="286"/>
      <c r="I217" s="286"/>
      <c r="J217" s="286"/>
      <c r="K217" s="286"/>
      <c r="L217" s="286"/>
      <c r="M217" s="286"/>
      <c r="N217" s="286"/>
      <c r="O217" s="286"/>
      <c r="P217" s="286"/>
      <c r="Q217" s="320"/>
      <c r="R217" s="320"/>
      <c r="S217" s="320"/>
      <c r="T217" s="320"/>
      <c r="U217" s="320"/>
      <c r="V217" s="320"/>
      <c r="W217" s="106"/>
      <c r="X217" s="286"/>
      <c r="Y217" s="286"/>
      <c r="Z217" s="286"/>
      <c r="AA217" s="286"/>
      <c r="AB217" s="278"/>
      <c r="AC217" s="286"/>
      <c r="AD217" s="278"/>
      <c r="AE217" s="320"/>
      <c r="AF217" s="286"/>
      <c r="AG217" s="286"/>
      <c r="AH217" s="320"/>
      <c r="AI217" s="320"/>
      <c r="AJ217" s="320"/>
      <c r="AK217" s="320"/>
      <c r="AL217" s="105"/>
      <c r="AM217" s="320"/>
      <c r="AN217" s="320"/>
      <c r="AO217" s="320"/>
      <c r="AP217" s="320"/>
      <c r="AQ217" s="320"/>
      <c r="AR217" s="320"/>
      <c r="AS217" s="320"/>
      <c r="AT217" s="320"/>
      <c r="AU217" s="286"/>
      <c r="AV217" s="286"/>
      <c r="AW217" s="320"/>
      <c r="AX217" s="320"/>
      <c r="AY217" s="320"/>
      <c r="AZ217" s="320"/>
      <c r="BA217" s="320"/>
      <c r="BB217" s="286"/>
      <c r="BC217" s="286"/>
      <c r="BD217" s="278"/>
      <c r="BE217" s="286"/>
      <c r="BF217" s="286"/>
      <c r="BG217" s="320"/>
      <c r="BH217" s="320"/>
      <c r="BI217" s="286"/>
      <c r="BJ217" s="286"/>
      <c r="BK217" s="286"/>
      <c r="BL217" s="286"/>
      <c r="BM217" s="320"/>
      <c r="BN217" s="320"/>
      <c r="BO217" s="320"/>
      <c r="BP217" s="320"/>
      <c r="BQ217" s="824"/>
      <c r="BR217" s="278"/>
      <c r="BS217" s="320"/>
      <c r="BT217" s="286"/>
      <c r="BU217" s="286"/>
      <c r="BV217" s="286"/>
      <c r="BW217" s="278"/>
      <c r="BX217" s="320"/>
      <c r="BY217" s="278"/>
      <c r="BZ217" s="278"/>
      <c r="CA217" s="320"/>
      <c r="CB217" s="320"/>
      <c r="CC217" s="320"/>
      <c r="CD217" s="320"/>
      <c r="CE217" s="320"/>
      <c r="CF217" s="824"/>
      <c r="CG217" s="286"/>
      <c r="CH217" s="286"/>
      <c r="CI217" s="286"/>
      <c r="CJ217" s="320"/>
      <c r="CK217" s="320"/>
      <c r="CL217" s="320"/>
      <c r="CM217" s="286"/>
      <c r="CN217" s="286" t="s">
        <v>10787</v>
      </c>
      <c r="CO217" s="320"/>
      <c r="CP217" s="320"/>
      <c r="CQ217" s="320"/>
      <c r="CR217" s="320"/>
      <c r="CS217" s="320"/>
      <c r="CT217" s="320"/>
      <c r="CU217" s="106"/>
      <c r="CV217" s="286"/>
      <c r="CW217" s="320"/>
      <c r="CX217" s="286"/>
      <c r="CY217" s="286"/>
      <c r="CZ217" s="286"/>
      <c r="DA217" s="278"/>
      <c r="DB217" s="286"/>
      <c r="DC217" s="286"/>
      <c r="DD217" s="320"/>
      <c r="DE217" s="320"/>
      <c r="DF217" s="320"/>
      <c r="DG217" s="320"/>
      <c r="DH217" s="320"/>
      <c r="DI217" s="320"/>
      <c r="DJ217" s="320"/>
      <c r="DK217" s="320"/>
      <c r="DL217" s="320"/>
      <c r="DM217" s="320"/>
      <c r="DN217" s="320"/>
      <c r="DO217" s="320"/>
      <c r="DP217" s="320"/>
      <c r="DQ217" s="320"/>
      <c r="DR217" s="286"/>
      <c r="DS217" s="286"/>
      <c r="DT217" s="320"/>
      <c r="DU217" s="320"/>
      <c r="DV217" s="320"/>
      <c r="DW217" s="320"/>
      <c r="DX217" s="320"/>
      <c r="DY217" s="320"/>
      <c r="DZ217" s="320"/>
      <c r="EA217" s="320"/>
      <c r="EB217" s="320"/>
      <c r="EC217" s="320"/>
      <c r="ED217" s="862"/>
    </row>
    <row r="218">
      <c r="A218" s="540" t="s">
        <v>12059</v>
      </c>
      <c r="B218" s="378" t="s">
        <v>10362</v>
      </c>
      <c r="C218" s="379" t="s">
        <v>271</v>
      </c>
      <c r="D218" s="380" t="s">
        <v>271</v>
      </c>
      <c r="E218" s="381" t="s">
        <v>271</v>
      </c>
      <c r="F218" s="382" t="s">
        <v>271</v>
      </c>
      <c r="G218" s="378" t="s">
        <v>274</v>
      </c>
      <c r="H218" s="835"/>
      <c r="I218" s="541" t="s">
        <v>12060</v>
      </c>
      <c r="J218" s="835"/>
      <c r="K218" s="835"/>
      <c r="L218" s="835"/>
      <c r="M218" s="835"/>
      <c r="N218" s="835"/>
      <c r="O218" s="835"/>
      <c r="P218" s="835"/>
      <c r="Q218" s="835"/>
      <c r="R218" s="835"/>
      <c r="S218" s="835"/>
      <c r="T218" s="835"/>
      <c r="U218" s="835"/>
      <c r="V218" s="835"/>
      <c r="W218" s="106"/>
      <c r="X218" s="837"/>
      <c r="Y218" s="837"/>
      <c r="Z218" s="837"/>
      <c r="AA218" s="837"/>
      <c r="AB218" s="837"/>
      <c r="AC218" s="837"/>
      <c r="AD218" s="837"/>
      <c r="AE218" s="837"/>
      <c r="AF218" s="837"/>
      <c r="AG218" s="837"/>
      <c r="AH218" s="837"/>
      <c r="AI218" s="837"/>
      <c r="AJ218" s="837"/>
      <c r="AK218" s="837"/>
      <c r="AL218" s="105"/>
      <c r="AM218" s="839"/>
      <c r="AN218" s="839"/>
      <c r="AO218" s="839"/>
      <c r="AP218" s="839"/>
      <c r="AQ218" s="839"/>
      <c r="AR218" s="839"/>
      <c r="AS218" s="839"/>
      <c r="AT218" s="839"/>
      <c r="AU218" s="839"/>
      <c r="AV218" s="839"/>
      <c r="AW218" s="839"/>
      <c r="AX218" s="839"/>
      <c r="AY218" s="839"/>
      <c r="AZ218" s="839"/>
      <c r="BA218" s="839"/>
      <c r="BB218" s="580"/>
      <c r="BC218" s="581" t="s">
        <v>9871</v>
      </c>
      <c r="BD218" s="580"/>
      <c r="BE218" s="580"/>
      <c r="BF218" s="580"/>
      <c r="BG218" s="580"/>
      <c r="BH218" s="580"/>
      <c r="BI218" s="580"/>
      <c r="BJ218" s="580"/>
      <c r="BK218" s="580"/>
      <c r="BL218" s="580"/>
      <c r="BM218" s="580"/>
      <c r="BN218" s="580"/>
      <c r="BO218" s="580"/>
      <c r="BP218" s="580"/>
      <c r="BQ218" s="845"/>
      <c r="BR218" s="849"/>
      <c r="BS218" s="849"/>
      <c r="BT218" s="849"/>
      <c r="BU218" s="849"/>
      <c r="BV218" s="849"/>
      <c r="BW218" s="849"/>
      <c r="BX218" s="849"/>
      <c r="BY218" s="849"/>
      <c r="BZ218" s="849"/>
      <c r="CA218" s="849"/>
      <c r="CB218" s="849"/>
      <c r="CC218" s="849"/>
      <c r="CD218" s="849"/>
      <c r="CE218" s="849"/>
      <c r="CF218" s="851"/>
      <c r="CG218" s="852"/>
      <c r="CH218" s="852"/>
      <c r="CI218" s="852"/>
      <c r="CJ218" s="852"/>
      <c r="CK218" s="852"/>
      <c r="CL218" s="852"/>
      <c r="CM218" s="852"/>
      <c r="CN218" s="852"/>
      <c r="CO218" s="852"/>
      <c r="CP218" s="852"/>
      <c r="CQ218" s="852"/>
      <c r="CR218" s="852"/>
      <c r="CS218" s="852"/>
      <c r="CT218" s="852"/>
      <c r="CU218" s="106"/>
      <c r="CV218" s="683" t="s">
        <v>4685</v>
      </c>
      <c r="CW218" s="853"/>
      <c r="CX218" s="853"/>
      <c r="CY218" s="853"/>
      <c r="CZ218" s="853"/>
      <c r="DA218" s="853"/>
      <c r="DB218" s="853"/>
      <c r="DC218" s="853"/>
      <c r="DD218" s="853"/>
      <c r="DE218" s="853"/>
      <c r="DF218" s="853"/>
      <c r="DG218" s="853"/>
      <c r="DH218" s="853"/>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1039"/>
    </row>
    <row r="219">
      <c r="A219" s="244" t="s">
        <v>12061</v>
      </c>
      <c r="B219" s="245" t="s">
        <v>1234</v>
      </c>
      <c r="C219" s="246" t="s">
        <v>271</v>
      </c>
      <c r="D219" s="247" t="s">
        <v>271</v>
      </c>
      <c r="E219" s="248" t="s">
        <v>271</v>
      </c>
      <c r="F219" s="249" t="s">
        <v>171</v>
      </c>
      <c r="G219" s="245" t="s">
        <v>233</v>
      </c>
      <c r="H219" s="320"/>
      <c r="I219" s="320"/>
      <c r="J219" s="320"/>
      <c r="K219" s="320"/>
      <c r="L219" s="320"/>
      <c r="M219" s="320"/>
      <c r="N219" s="320"/>
      <c r="O219" s="320"/>
      <c r="P219" s="320"/>
      <c r="Q219" s="320"/>
      <c r="R219" s="320"/>
      <c r="S219" s="320"/>
      <c r="T219" s="320"/>
      <c r="U219" s="320"/>
      <c r="V219" s="320"/>
      <c r="W219" s="106"/>
      <c r="X219" s="320"/>
      <c r="Y219" s="320"/>
      <c r="Z219" s="320"/>
      <c r="AA219" s="320"/>
      <c r="AB219" s="320"/>
      <c r="AC219" s="320"/>
      <c r="AD219" s="320"/>
      <c r="AE219" s="320"/>
      <c r="AF219" s="320"/>
      <c r="AG219" s="320"/>
      <c r="AH219" s="320"/>
      <c r="AI219" s="288"/>
      <c r="AJ219" s="316" t="str">
        <f>HYPERLINK("https://youtu.be/jtb-Ev3JIwc","58.21")</f>
        <v>58.21</v>
      </c>
      <c r="AK219" s="320"/>
      <c r="AL219" s="105"/>
      <c r="AM219" s="320"/>
      <c r="AN219" s="320"/>
      <c r="AO219" s="320"/>
      <c r="AP219" s="320"/>
      <c r="AQ219" s="320"/>
      <c r="AR219" s="320"/>
      <c r="AS219" s="320"/>
      <c r="AT219" s="320"/>
      <c r="AU219" s="320"/>
      <c r="AV219" s="320"/>
      <c r="AW219" s="320"/>
      <c r="AX219" s="320"/>
      <c r="AY219" s="320"/>
      <c r="AZ219" s="320"/>
      <c r="BA219" s="320"/>
      <c r="BB219" s="320"/>
      <c r="BC219" s="320"/>
      <c r="BD219" s="320"/>
      <c r="BE219" s="320"/>
      <c r="BF219" s="320"/>
      <c r="BG219" s="320"/>
      <c r="BH219" s="320"/>
      <c r="BI219" s="320"/>
      <c r="BJ219" s="320"/>
      <c r="BK219" s="320"/>
      <c r="BL219" s="320"/>
      <c r="BM219" s="320"/>
      <c r="BN219" s="286" t="s">
        <v>3843</v>
      </c>
      <c r="BO219" s="320"/>
      <c r="BP219" s="320"/>
      <c r="BQ219" s="824"/>
      <c r="BR219" s="320"/>
      <c r="BS219" s="320"/>
      <c r="BT219" s="320"/>
      <c r="BU219" s="320"/>
      <c r="BV219" s="320"/>
      <c r="BW219" s="320"/>
      <c r="BX219" s="320"/>
      <c r="BY219" s="320"/>
      <c r="BZ219" s="320"/>
      <c r="CA219" s="320"/>
      <c r="CB219" s="320"/>
      <c r="CC219" s="320"/>
      <c r="CD219" s="320"/>
      <c r="CE219" s="320"/>
      <c r="CF219" s="824"/>
      <c r="CG219" s="320"/>
      <c r="CH219" s="320"/>
      <c r="CI219" s="320"/>
      <c r="CJ219" s="320"/>
      <c r="CK219" s="320"/>
      <c r="CL219" s="320"/>
      <c r="CM219" s="320"/>
      <c r="CN219" s="320"/>
      <c r="CO219" s="320"/>
      <c r="CP219" s="320"/>
      <c r="CQ219" s="320"/>
      <c r="CR219" s="320"/>
      <c r="CS219" s="320"/>
      <c r="CT219" s="320"/>
      <c r="CU219" s="106"/>
      <c r="CV219" s="320"/>
      <c r="CW219" s="320"/>
      <c r="CX219" s="320"/>
      <c r="CY219" s="320"/>
      <c r="CZ219" s="320"/>
      <c r="DA219" s="320"/>
      <c r="DB219" s="320"/>
      <c r="DC219" s="320"/>
      <c r="DD219" s="320"/>
      <c r="DE219" s="320"/>
      <c r="DF219" s="320"/>
      <c r="DG219" s="320"/>
      <c r="DH219" s="320"/>
      <c r="DI219" s="320"/>
      <c r="DJ219" s="320"/>
      <c r="DK219" s="320"/>
      <c r="DL219" s="320"/>
      <c r="DM219" s="320"/>
      <c r="DN219" s="320"/>
      <c r="DO219" s="320"/>
      <c r="DP219" s="320"/>
      <c r="DQ219" s="320"/>
      <c r="DR219" s="320"/>
      <c r="DS219" s="320"/>
      <c r="DT219" s="320"/>
      <c r="DU219" s="320"/>
      <c r="DV219" s="320"/>
      <c r="DW219" s="320"/>
      <c r="DX219" s="320"/>
      <c r="DY219" s="320"/>
      <c r="DZ219" s="320"/>
      <c r="EA219" s="320"/>
      <c r="EB219" s="320"/>
      <c r="EC219" s="320"/>
      <c r="ED219" s="862"/>
    </row>
    <row r="220">
      <c r="A220" s="540" t="s">
        <v>12062</v>
      </c>
      <c r="B220" s="378" t="s">
        <v>207</v>
      </c>
      <c r="C220" s="379" t="s">
        <v>271</v>
      </c>
      <c r="D220" s="380" t="s">
        <v>271</v>
      </c>
      <c r="E220" s="381" t="s">
        <v>271</v>
      </c>
      <c r="F220" s="382" t="s">
        <v>271</v>
      </c>
      <c r="G220" s="378" t="s">
        <v>274</v>
      </c>
      <c r="H220" s="835"/>
      <c r="I220" s="541"/>
      <c r="J220" s="835"/>
      <c r="K220" s="541" t="s">
        <v>10934</v>
      </c>
      <c r="L220" s="541" t="s">
        <v>12063</v>
      </c>
      <c r="M220" s="835"/>
      <c r="N220" s="835"/>
      <c r="O220" s="541"/>
      <c r="P220" s="835"/>
      <c r="Q220" s="835"/>
      <c r="R220" s="835"/>
      <c r="S220" s="835"/>
      <c r="T220" s="835"/>
      <c r="U220" s="835"/>
      <c r="V220" s="835"/>
      <c r="W220" s="106"/>
      <c r="X220" s="837"/>
      <c r="Y220" s="837"/>
      <c r="Z220" s="837"/>
      <c r="AA220" s="837"/>
      <c r="AB220" s="837"/>
      <c r="AC220" s="837"/>
      <c r="AD220" s="837"/>
      <c r="AE220" s="837"/>
      <c r="AF220" s="837"/>
      <c r="AG220" s="837"/>
      <c r="AH220" s="837"/>
      <c r="AI220" s="837"/>
      <c r="AJ220" s="837"/>
      <c r="AK220" s="837"/>
      <c r="AL220" s="105"/>
      <c r="AM220" s="839"/>
      <c r="AN220" s="839"/>
      <c r="AO220" s="839"/>
      <c r="AP220" s="839"/>
      <c r="AQ220" s="839"/>
      <c r="AR220" s="839"/>
      <c r="AS220" s="839"/>
      <c r="AT220" s="839"/>
      <c r="AU220" s="839"/>
      <c r="AV220" s="839"/>
      <c r="AW220" s="839"/>
      <c r="AX220" s="839"/>
      <c r="AY220" s="839"/>
      <c r="AZ220" s="839"/>
      <c r="BA220" s="839"/>
      <c r="BB220" s="580"/>
      <c r="BC220" s="580"/>
      <c r="BD220" s="580"/>
      <c r="BE220" s="580"/>
      <c r="BF220" s="580"/>
      <c r="BG220" s="580"/>
      <c r="BH220" s="580"/>
      <c r="BI220" s="580"/>
      <c r="BJ220" s="580"/>
      <c r="BK220" s="580"/>
      <c r="BL220" s="580"/>
      <c r="BM220" s="580"/>
      <c r="BN220" s="580"/>
      <c r="BO220" s="580"/>
      <c r="BP220" s="580"/>
      <c r="BQ220" s="845"/>
      <c r="BR220" s="849"/>
      <c r="BS220" s="849"/>
      <c r="BT220" s="849"/>
      <c r="BU220" s="849"/>
      <c r="BV220" s="849"/>
      <c r="BW220" s="589" t="s">
        <v>1741</v>
      </c>
      <c r="BX220" s="849"/>
      <c r="BY220" s="849"/>
      <c r="BZ220" s="849"/>
      <c r="CA220" s="849"/>
      <c r="CB220" s="849"/>
      <c r="CC220" s="849"/>
      <c r="CD220" s="849"/>
      <c r="CE220" s="849"/>
      <c r="CF220" s="851"/>
      <c r="CG220" s="852"/>
      <c r="CH220" s="852"/>
      <c r="CI220" s="852"/>
      <c r="CJ220" s="852"/>
      <c r="CK220" s="852"/>
      <c r="CL220" s="852"/>
      <c r="CM220" s="852"/>
      <c r="CN220" s="852"/>
      <c r="CO220" s="852"/>
      <c r="CP220" s="852"/>
      <c r="CQ220" s="852"/>
      <c r="CR220" s="852"/>
      <c r="CS220" s="852"/>
      <c r="CT220" s="852"/>
      <c r="CU220" s="106"/>
      <c r="CV220" s="853"/>
      <c r="CW220" s="853"/>
      <c r="CX220" s="853"/>
      <c r="CY220" s="853"/>
      <c r="CZ220" s="853"/>
      <c r="DA220" s="853"/>
      <c r="DB220" s="853"/>
      <c r="DC220" s="853"/>
      <c r="DD220" s="853"/>
      <c r="DE220" s="853"/>
      <c r="DF220" s="853"/>
      <c r="DG220" s="853"/>
      <c r="DH220" s="853"/>
      <c r="DI220" s="855"/>
      <c r="DJ220" s="855"/>
      <c r="DK220" s="855"/>
      <c r="DL220" s="855"/>
      <c r="DM220" s="855"/>
      <c r="DN220" s="855"/>
      <c r="DO220" s="855"/>
      <c r="DP220" s="855"/>
      <c r="DQ220" s="855"/>
      <c r="DR220" s="855"/>
      <c r="DS220" s="855"/>
      <c r="DT220" s="855"/>
      <c r="DU220" s="855"/>
      <c r="DV220" s="855"/>
      <c r="DW220" s="855"/>
      <c r="DX220" s="855"/>
      <c r="DY220" s="855"/>
      <c r="DZ220" s="855"/>
      <c r="EA220" s="855"/>
      <c r="EB220" s="855"/>
      <c r="EC220" s="855"/>
      <c r="ED220" s="1912"/>
    </row>
    <row r="221">
      <c r="A221" s="1972" t="s">
        <v>12064</v>
      </c>
      <c r="B221" s="245" t="s">
        <v>3441</v>
      </c>
      <c r="C221" s="246" t="s">
        <v>271</v>
      </c>
      <c r="D221" s="247" t="s">
        <v>271</v>
      </c>
      <c r="E221" s="248" t="s">
        <v>271</v>
      </c>
      <c r="F221" s="249" t="s">
        <v>271</v>
      </c>
      <c r="G221" s="245" t="s">
        <v>178</v>
      </c>
      <c r="H221" s="320"/>
      <c r="I221" s="320"/>
      <c r="J221" s="320"/>
      <c r="K221" s="320"/>
      <c r="L221" s="320"/>
      <c r="M221" s="320"/>
      <c r="N221" s="320"/>
      <c r="O221" s="320"/>
      <c r="P221" s="320"/>
      <c r="Q221" s="320"/>
      <c r="R221" s="320"/>
      <c r="S221" s="320"/>
      <c r="T221" s="320"/>
      <c r="U221" s="320"/>
      <c r="V221" s="320"/>
      <c r="W221" s="106"/>
      <c r="X221" s="320"/>
      <c r="Y221" s="320"/>
      <c r="Z221" s="320"/>
      <c r="AA221" s="320"/>
      <c r="AB221" s="320"/>
      <c r="AC221" s="320"/>
      <c r="AD221" s="320"/>
      <c r="AE221" s="320"/>
      <c r="AF221" s="320"/>
      <c r="AG221" s="286" t="s">
        <v>2352</v>
      </c>
      <c r="AH221" s="320"/>
      <c r="AI221" s="320"/>
      <c r="AJ221" s="320"/>
      <c r="AK221" s="320"/>
      <c r="AL221" s="105"/>
      <c r="AM221" s="320"/>
      <c r="AN221" s="320"/>
      <c r="AO221" s="320"/>
      <c r="AP221" s="320"/>
      <c r="AQ221" s="320"/>
      <c r="AR221" s="320"/>
      <c r="AS221" s="320"/>
      <c r="AT221" s="320"/>
      <c r="AU221" s="320"/>
      <c r="AV221" s="320"/>
      <c r="AW221" s="320"/>
      <c r="AX221" s="320"/>
      <c r="AY221" s="320"/>
      <c r="AZ221" s="320"/>
      <c r="BA221" s="320"/>
      <c r="BB221" s="320"/>
      <c r="BC221" s="320"/>
      <c r="BD221" s="320"/>
      <c r="BE221" s="320"/>
      <c r="BF221" s="320"/>
      <c r="BG221" s="320"/>
      <c r="BH221" s="320"/>
      <c r="BI221" s="320"/>
      <c r="BJ221" s="320"/>
      <c r="BK221" s="320"/>
      <c r="BL221" s="320"/>
      <c r="BM221" s="320"/>
      <c r="BN221" s="320"/>
      <c r="BO221" s="320"/>
      <c r="BP221" s="320"/>
      <c r="BQ221" s="824"/>
      <c r="BR221" s="320"/>
      <c r="BS221" s="320"/>
      <c r="BT221" s="320"/>
      <c r="BU221" s="320"/>
      <c r="BV221" s="320"/>
      <c r="BW221" s="320"/>
      <c r="BX221" s="320"/>
      <c r="BY221" s="320"/>
      <c r="BZ221" s="320"/>
      <c r="CA221" s="320"/>
      <c r="CB221" s="320"/>
      <c r="CC221" s="320"/>
      <c r="CD221" s="320"/>
      <c r="CE221" s="320"/>
      <c r="CF221" s="824"/>
      <c r="CG221" s="286" t="s">
        <v>12065</v>
      </c>
      <c r="CH221" s="286" t="s">
        <v>6967</v>
      </c>
      <c r="CI221" s="286" t="s">
        <v>7233</v>
      </c>
      <c r="CJ221" s="320"/>
      <c r="CK221" s="320"/>
      <c r="CL221" s="320" t="s">
        <v>12066</v>
      </c>
      <c r="CM221" s="320"/>
      <c r="CN221" s="320"/>
      <c r="CO221" s="320"/>
      <c r="CP221" s="320"/>
      <c r="CQ221" s="320"/>
      <c r="CR221" s="320"/>
      <c r="CS221" s="320"/>
      <c r="CT221" s="320"/>
      <c r="CU221" s="106"/>
      <c r="CV221" s="320"/>
      <c r="CW221" s="320"/>
      <c r="CX221" s="320"/>
      <c r="CY221" s="320"/>
      <c r="CZ221" s="320"/>
      <c r="DA221" s="320"/>
      <c r="DB221" s="320"/>
      <c r="DC221" s="320"/>
      <c r="DD221" s="320"/>
      <c r="DE221" s="320"/>
      <c r="DF221" s="320"/>
      <c r="DG221" s="320"/>
      <c r="DH221" s="320"/>
      <c r="DI221" s="286" t="s">
        <v>996</v>
      </c>
      <c r="DJ221" s="320"/>
      <c r="DK221" s="320"/>
      <c r="DL221" s="286"/>
      <c r="DM221" s="286" t="s">
        <v>3878</v>
      </c>
      <c r="DN221" s="286"/>
      <c r="DO221" s="320"/>
      <c r="DP221" s="320"/>
      <c r="DQ221" s="320"/>
      <c r="DR221" s="320"/>
      <c r="DS221" s="320"/>
      <c r="DT221" s="320"/>
      <c r="DU221" s="320"/>
      <c r="DV221" s="320"/>
      <c r="DW221" s="320"/>
      <c r="DX221" s="320"/>
      <c r="DY221" s="320"/>
      <c r="DZ221" s="320"/>
      <c r="EA221" s="320"/>
      <c r="EB221" s="320"/>
      <c r="EC221" s="320"/>
      <c r="ED221" s="1629"/>
    </row>
    <row r="222">
      <c r="A222" s="540" t="s">
        <v>12067</v>
      </c>
      <c r="B222" s="378" t="s">
        <v>398</v>
      </c>
      <c r="C222" s="379" t="s">
        <v>271</v>
      </c>
      <c r="D222" s="380" t="s">
        <v>271</v>
      </c>
      <c r="E222" s="381" t="s">
        <v>271</v>
      </c>
      <c r="F222" s="382" t="s">
        <v>271</v>
      </c>
      <c r="G222" s="378" t="s">
        <v>233</v>
      </c>
      <c r="H222" s="835"/>
      <c r="I222" s="835"/>
      <c r="J222" s="835"/>
      <c r="K222" s="835"/>
      <c r="L222" s="835"/>
      <c r="M222" s="835"/>
      <c r="N222" s="835"/>
      <c r="O222" s="835"/>
      <c r="P222" s="835"/>
      <c r="Q222" s="835"/>
      <c r="R222" s="835"/>
      <c r="S222" s="541"/>
      <c r="T222" s="541" t="s">
        <v>10257</v>
      </c>
      <c r="U222" s="835"/>
      <c r="V222" s="835"/>
      <c r="W222" s="106"/>
      <c r="X222" s="837"/>
      <c r="Y222" s="837"/>
      <c r="Z222" s="837"/>
      <c r="AA222" s="837"/>
      <c r="AB222" s="837"/>
      <c r="AC222" s="837"/>
      <c r="AD222" s="837"/>
      <c r="AE222" s="837"/>
      <c r="AF222" s="837"/>
      <c r="AG222" s="837"/>
      <c r="AH222" s="837"/>
      <c r="AI222" s="837"/>
      <c r="AJ222" s="837"/>
      <c r="AK222" s="837"/>
      <c r="AL222" s="105"/>
      <c r="AM222" s="839"/>
      <c r="AN222" s="839"/>
      <c r="AO222" s="839"/>
      <c r="AP222" s="839"/>
      <c r="AQ222" s="839"/>
      <c r="AR222" s="839"/>
      <c r="AS222" s="839"/>
      <c r="AT222" s="839"/>
      <c r="AU222" s="839"/>
      <c r="AV222" s="839"/>
      <c r="AW222" s="839"/>
      <c r="AX222" s="839"/>
      <c r="AY222" s="839"/>
      <c r="AZ222" s="839"/>
      <c r="BA222" s="839"/>
      <c r="BB222" s="580"/>
      <c r="BC222" s="580"/>
      <c r="BD222" s="580"/>
      <c r="BE222" s="580"/>
      <c r="BF222" s="580"/>
      <c r="BG222" s="580"/>
      <c r="BH222" s="580"/>
      <c r="BI222" s="580"/>
      <c r="BJ222" s="580"/>
      <c r="BK222" s="580"/>
      <c r="BL222" s="580"/>
      <c r="BM222" s="580"/>
      <c r="BN222" s="580"/>
      <c r="BO222" s="580"/>
      <c r="BP222" s="580"/>
      <c r="BQ222" s="845"/>
      <c r="BR222" s="849"/>
      <c r="BS222" s="849"/>
      <c r="BT222" s="849"/>
      <c r="BU222" s="849"/>
      <c r="BV222" s="849"/>
      <c r="BW222" s="849"/>
      <c r="BX222" s="849"/>
      <c r="BY222" s="849"/>
      <c r="BZ222" s="849"/>
      <c r="CA222" s="849"/>
      <c r="CB222" s="849"/>
      <c r="CC222" s="849"/>
      <c r="CD222" s="849"/>
      <c r="CE222" s="849"/>
      <c r="CF222" s="851"/>
      <c r="CG222" s="852"/>
      <c r="CH222" s="852"/>
      <c r="CI222" s="852"/>
      <c r="CJ222" s="852"/>
      <c r="CK222" s="852"/>
      <c r="CL222" s="852"/>
      <c r="CM222" s="852"/>
      <c r="CN222" s="852"/>
      <c r="CO222" s="852"/>
      <c r="CP222" s="852"/>
      <c r="CQ222" s="852"/>
      <c r="CR222" s="852"/>
      <c r="CS222" s="852"/>
      <c r="CT222" s="852"/>
      <c r="CU222" s="106"/>
      <c r="CV222" s="853"/>
      <c r="CW222" s="853"/>
      <c r="CX222" s="853"/>
      <c r="CY222" s="853"/>
      <c r="CZ222" s="853"/>
      <c r="DA222" s="853"/>
      <c r="DB222" s="853"/>
      <c r="DC222" s="853"/>
      <c r="DD222" s="853"/>
      <c r="DE222" s="853"/>
      <c r="DF222" s="683" t="s">
        <v>472</v>
      </c>
      <c r="DG222" s="853"/>
      <c r="DH222" s="853"/>
      <c r="DI222" s="855"/>
      <c r="DJ222" s="855"/>
      <c r="DK222" s="855"/>
      <c r="DL222" s="855"/>
      <c r="DM222" s="855"/>
      <c r="DN222" s="855"/>
      <c r="DO222" s="855"/>
      <c r="DP222" s="855"/>
      <c r="DQ222" s="855"/>
      <c r="DR222" s="855"/>
      <c r="DS222" s="855"/>
      <c r="DT222" s="855"/>
      <c r="DU222" s="855"/>
      <c r="DV222" s="855"/>
      <c r="DW222" s="855"/>
      <c r="DX222" s="855"/>
      <c r="DY222" s="855"/>
      <c r="DZ222" s="855"/>
      <c r="EA222" s="855"/>
      <c r="EB222" s="855"/>
      <c r="EC222" s="855"/>
      <c r="ED222" s="1039"/>
    </row>
    <row r="223">
      <c r="A223" s="244" t="s">
        <v>12068</v>
      </c>
      <c r="B223" s="245" t="s">
        <v>169</v>
      </c>
      <c r="C223" s="246" t="s">
        <v>271</v>
      </c>
      <c r="D223" s="247" t="s">
        <v>271</v>
      </c>
      <c r="E223" s="248" t="s">
        <v>271</v>
      </c>
      <c r="F223" s="249" t="s">
        <v>271</v>
      </c>
      <c r="G223" s="245" t="s">
        <v>171</v>
      </c>
      <c r="H223" s="286"/>
      <c r="I223" s="286"/>
      <c r="J223" s="286"/>
      <c r="K223" s="286" t="s">
        <v>2305</v>
      </c>
      <c r="L223" s="286"/>
      <c r="M223" s="286"/>
      <c r="N223" s="320"/>
      <c r="O223" s="286"/>
      <c r="P223" s="286"/>
      <c r="Q223" s="320"/>
      <c r="R223" s="286"/>
      <c r="S223" s="286"/>
      <c r="T223" s="320"/>
      <c r="U223" s="320"/>
      <c r="V223" s="286"/>
      <c r="W223" s="394"/>
      <c r="X223" s="320"/>
      <c r="Y223" s="286"/>
      <c r="Z223" s="286"/>
      <c r="AA223" s="286"/>
      <c r="AB223" s="320"/>
      <c r="AC223" s="320"/>
      <c r="AD223" s="320"/>
      <c r="AE223" s="320"/>
      <c r="AF223" s="320"/>
      <c r="AG223" s="286"/>
      <c r="AH223" s="320"/>
      <c r="AI223" s="320"/>
      <c r="AJ223" s="320"/>
      <c r="AK223" s="320"/>
      <c r="AL223" s="105"/>
      <c r="AM223" s="286"/>
      <c r="AN223" s="286"/>
      <c r="AO223" s="320"/>
      <c r="AP223" s="320"/>
      <c r="AQ223" s="286"/>
      <c r="AR223" s="286"/>
      <c r="AS223" s="286"/>
      <c r="AT223" s="320"/>
      <c r="AU223" s="286"/>
      <c r="AV223" s="286"/>
      <c r="AW223" s="320"/>
      <c r="AX223" s="320"/>
      <c r="AY223" s="320"/>
      <c r="AZ223" s="320"/>
      <c r="BA223" s="320"/>
      <c r="BB223" s="320"/>
      <c r="BC223" s="286"/>
      <c r="BD223" s="286"/>
      <c r="BE223" s="320"/>
      <c r="BF223" s="286"/>
      <c r="BG223" s="286"/>
      <c r="BH223" s="320"/>
      <c r="BI223" s="320"/>
      <c r="BJ223" s="320"/>
      <c r="BK223" s="320"/>
      <c r="BL223" s="320"/>
      <c r="BM223" s="320"/>
      <c r="BN223" s="320"/>
      <c r="BO223" s="320"/>
      <c r="BP223" s="320"/>
      <c r="BQ223" s="824"/>
      <c r="BR223" s="320"/>
      <c r="BS223" s="320"/>
      <c r="BT223" s="320"/>
      <c r="BU223" s="320"/>
      <c r="BV223" s="320"/>
      <c r="BW223" s="320"/>
      <c r="BX223" s="320"/>
      <c r="BY223" s="320"/>
      <c r="BZ223" s="320"/>
      <c r="CA223" s="320"/>
      <c r="CB223" s="320"/>
      <c r="CC223" s="320"/>
      <c r="CD223" s="320"/>
      <c r="CE223" s="320"/>
      <c r="CF223" s="824"/>
      <c r="CG223" s="320"/>
      <c r="CH223" s="320"/>
      <c r="CI223" s="320"/>
      <c r="CJ223" s="320"/>
      <c r="CK223" s="320"/>
      <c r="CL223" s="320"/>
      <c r="CM223" s="320"/>
      <c r="CN223" s="320"/>
      <c r="CO223" s="320"/>
      <c r="CP223" s="320"/>
      <c r="CQ223" s="320"/>
      <c r="CR223" s="320"/>
      <c r="CS223" s="320"/>
      <c r="CT223" s="320"/>
      <c r="CU223" s="106"/>
      <c r="CV223" s="320"/>
      <c r="CW223" s="320"/>
      <c r="CX223" s="320"/>
      <c r="CY223" s="320"/>
      <c r="CZ223" s="320"/>
      <c r="DA223" s="320"/>
      <c r="DB223" s="320"/>
      <c r="DC223" s="320"/>
      <c r="DD223" s="320"/>
      <c r="DE223" s="320"/>
      <c r="DF223" s="320"/>
      <c r="DG223" s="320"/>
      <c r="DH223" s="320"/>
      <c r="DI223" s="320"/>
      <c r="DJ223" s="320"/>
      <c r="DK223" s="320"/>
      <c r="DL223" s="320"/>
      <c r="DM223" s="320"/>
      <c r="DN223" s="320"/>
      <c r="DO223" s="320"/>
      <c r="DP223" s="320"/>
      <c r="DQ223" s="320"/>
      <c r="DR223" s="320"/>
      <c r="DS223" s="320"/>
      <c r="DT223" s="320"/>
      <c r="DU223" s="320"/>
      <c r="DV223" s="320"/>
      <c r="DW223" s="320"/>
      <c r="DX223" s="320"/>
      <c r="DY223" s="320"/>
      <c r="DZ223" s="320"/>
      <c r="EA223" s="320"/>
      <c r="EB223" s="320"/>
      <c r="EC223" s="320"/>
      <c r="ED223" s="862"/>
    </row>
    <row r="224">
      <c r="A224" s="540" t="s">
        <v>12069</v>
      </c>
      <c r="B224" s="378" t="s">
        <v>231</v>
      </c>
      <c r="C224" s="379" t="s">
        <v>271</v>
      </c>
      <c r="D224" s="380" t="s">
        <v>271</v>
      </c>
      <c r="E224" s="381" t="s">
        <v>271</v>
      </c>
      <c r="F224" s="382" t="s">
        <v>271</v>
      </c>
      <c r="G224" s="378" t="s">
        <v>233</v>
      </c>
      <c r="H224" s="835"/>
      <c r="I224" s="835"/>
      <c r="J224" s="835"/>
      <c r="K224" s="835"/>
      <c r="L224" s="835"/>
      <c r="M224" s="835"/>
      <c r="N224" s="835"/>
      <c r="O224" s="835"/>
      <c r="P224" s="835"/>
      <c r="Q224" s="835"/>
      <c r="R224" s="835"/>
      <c r="S224" s="835"/>
      <c r="T224" s="835"/>
      <c r="U224" s="835"/>
      <c r="V224" s="835"/>
      <c r="W224" s="106"/>
      <c r="X224" s="837"/>
      <c r="Y224" s="837"/>
      <c r="Z224" s="837"/>
      <c r="AA224" s="837"/>
      <c r="AB224" s="837"/>
      <c r="AC224" s="837"/>
      <c r="AD224" s="837"/>
      <c r="AE224" s="837"/>
      <c r="AF224" s="837"/>
      <c r="AG224" s="837"/>
      <c r="AH224" s="837"/>
      <c r="AI224" s="837"/>
      <c r="AJ224" s="837"/>
      <c r="AK224" s="837"/>
      <c r="AL224" s="105"/>
      <c r="AM224" s="839"/>
      <c r="AN224" s="839"/>
      <c r="AO224" s="839"/>
      <c r="AP224" s="839"/>
      <c r="AQ224" s="839"/>
      <c r="AR224" s="839"/>
      <c r="AS224" s="839"/>
      <c r="AT224" s="839"/>
      <c r="AU224" s="570" t="s">
        <v>4820</v>
      </c>
      <c r="AV224" s="570" t="s">
        <v>674</v>
      </c>
      <c r="AW224" s="839"/>
      <c r="AX224" s="839"/>
      <c r="AY224" s="839"/>
      <c r="AZ224" s="839"/>
      <c r="BA224" s="839"/>
      <c r="BB224" s="580"/>
      <c r="BC224" s="580"/>
      <c r="BD224" s="580"/>
      <c r="BE224" s="580"/>
      <c r="BF224" s="580"/>
      <c r="BG224" s="580"/>
      <c r="BH224" s="580"/>
      <c r="BI224" s="580"/>
      <c r="BJ224" s="580"/>
      <c r="BK224" s="580"/>
      <c r="BL224" s="580"/>
      <c r="BM224" s="580"/>
      <c r="BN224" s="580"/>
      <c r="BO224" s="580"/>
      <c r="BP224" s="580"/>
      <c r="BQ224" s="845"/>
      <c r="BR224" s="849"/>
      <c r="BS224" s="849"/>
      <c r="BT224" s="849"/>
      <c r="BU224" s="849"/>
      <c r="BV224" s="849"/>
      <c r="BW224" s="849"/>
      <c r="BX224" s="849"/>
      <c r="BY224" s="849"/>
      <c r="BZ224" s="849"/>
      <c r="CA224" s="849"/>
      <c r="CB224" s="849"/>
      <c r="CC224" s="849"/>
      <c r="CD224" s="849"/>
      <c r="CE224" s="849"/>
      <c r="CF224" s="851"/>
      <c r="CG224" s="852"/>
      <c r="CH224" s="852"/>
      <c r="CI224" s="852"/>
      <c r="CJ224" s="852"/>
      <c r="CK224" s="852"/>
      <c r="CL224" s="852"/>
      <c r="CM224" s="852"/>
      <c r="CN224" s="852"/>
      <c r="CO224" s="852"/>
      <c r="CP224" s="852"/>
      <c r="CQ224" s="852"/>
      <c r="CR224" s="852"/>
      <c r="CS224" s="852"/>
      <c r="CT224" s="852"/>
      <c r="CU224" s="106"/>
      <c r="CV224" s="853"/>
      <c r="CW224" s="853"/>
      <c r="CX224" s="853"/>
      <c r="CY224" s="853"/>
      <c r="CZ224" s="853"/>
      <c r="DA224" s="853"/>
      <c r="DB224" s="853"/>
      <c r="DC224" s="853"/>
      <c r="DD224" s="853"/>
      <c r="DE224" s="853"/>
      <c r="DF224" s="853"/>
      <c r="DG224" s="853"/>
      <c r="DH224" s="853"/>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1039"/>
    </row>
    <row r="225">
      <c r="A225" s="244" t="s">
        <v>12070</v>
      </c>
      <c r="B225" s="245" t="s">
        <v>1926</v>
      </c>
      <c r="C225" s="246" t="s">
        <v>271</v>
      </c>
      <c r="D225" s="247" t="s">
        <v>271</v>
      </c>
      <c r="E225" s="248" t="s">
        <v>271</v>
      </c>
      <c r="F225" s="249" t="s">
        <v>233</v>
      </c>
      <c r="G225" s="245" t="s">
        <v>233</v>
      </c>
      <c r="H225" s="257" t="s">
        <v>12071</v>
      </c>
      <c r="I225" s="288"/>
      <c r="J225" s="351"/>
      <c r="K225" s="351"/>
      <c r="L225" s="351"/>
      <c r="M225" s="351"/>
      <c r="N225" s="351"/>
      <c r="O225" s="351"/>
      <c r="P225" s="351"/>
      <c r="Q225" s="320"/>
      <c r="R225" s="320"/>
      <c r="S225" s="320"/>
      <c r="T225" s="320"/>
      <c r="U225" s="320"/>
      <c r="V225" s="320"/>
      <c r="W225" s="106"/>
      <c r="X225" s="351"/>
      <c r="Y225" s="351"/>
      <c r="Z225" s="351"/>
      <c r="AA225" s="351"/>
      <c r="AB225" s="881"/>
      <c r="AC225" s="351"/>
      <c r="AD225" s="351"/>
      <c r="AE225" s="320"/>
      <c r="AF225" s="351"/>
      <c r="AG225" s="351"/>
      <c r="AH225" s="320"/>
      <c r="AI225" s="320"/>
      <c r="AJ225" s="351"/>
      <c r="AK225" s="320"/>
      <c r="AL225" s="105"/>
      <c r="AM225" s="351"/>
      <c r="AN225" s="351"/>
      <c r="AO225" s="320"/>
      <c r="AP225" s="320"/>
      <c r="AQ225" s="286"/>
      <c r="AR225" s="286"/>
      <c r="AS225" s="320"/>
      <c r="AT225" s="320"/>
      <c r="AU225" s="351"/>
      <c r="AV225" s="351"/>
      <c r="AW225" s="316" t="s">
        <v>12072</v>
      </c>
      <c r="AX225" s="320"/>
      <c r="AY225" s="320"/>
      <c r="AZ225" s="320"/>
      <c r="BA225" s="320"/>
      <c r="BB225" s="351"/>
      <c r="BC225" s="351"/>
      <c r="BD225" s="351"/>
      <c r="BE225" s="351"/>
      <c r="BF225" s="351"/>
      <c r="BG225" s="351"/>
      <c r="BH225" s="320"/>
      <c r="BI225" s="351"/>
      <c r="BJ225" s="320"/>
      <c r="BK225" s="351"/>
      <c r="BL225" s="351"/>
      <c r="BM225" s="320"/>
      <c r="BN225" s="320"/>
      <c r="BO225" s="351"/>
      <c r="BP225" s="320"/>
      <c r="BQ225" s="824"/>
      <c r="BR225" s="351"/>
      <c r="BS225" s="351"/>
      <c r="BT225" s="351"/>
      <c r="BU225" s="351"/>
      <c r="BV225" s="351"/>
      <c r="BW225" s="351"/>
      <c r="BX225" s="320"/>
      <c r="BY225" s="351"/>
      <c r="BZ225" s="351"/>
      <c r="CA225" s="351"/>
      <c r="CB225" s="320"/>
      <c r="CC225" s="320"/>
      <c r="CD225" s="320"/>
      <c r="CE225" s="320"/>
      <c r="CF225" s="824"/>
      <c r="CG225" s="351"/>
      <c r="CH225" s="351"/>
      <c r="CI225" s="351"/>
      <c r="CJ225" s="351"/>
      <c r="CK225" s="351"/>
      <c r="CL225" s="351"/>
      <c r="CM225" s="351"/>
      <c r="CN225" s="351"/>
      <c r="CO225" s="351"/>
      <c r="CP225" s="758"/>
      <c r="CQ225" s="320"/>
      <c r="CR225" s="320"/>
      <c r="CS225" s="320"/>
      <c r="CT225" s="320"/>
      <c r="CU225" s="106"/>
      <c r="CV225" s="351"/>
      <c r="CW225" s="351"/>
      <c r="CX225" s="351"/>
      <c r="CY225" s="351"/>
      <c r="CZ225" s="351"/>
      <c r="DA225" s="351"/>
      <c r="DB225" s="351"/>
      <c r="DC225" s="351"/>
      <c r="DD225" s="320"/>
      <c r="DE225" s="320"/>
      <c r="DF225" s="320"/>
      <c r="DG225" s="320"/>
      <c r="DH225" s="320"/>
      <c r="DI225" s="351"/>
      <c r="DJ225" s="320"/>
      <c r="DK225" s="320"/>
      <c r="DL225" s="351"/>
      <c r="DM225" s="351"/>
      <c r="DN225" s="351"/>
      <c r="DO225" s="320"/>
      <c r="DP225" s="320"/>
      <c r="DQ225" s="320"/>
      <c r="DR225" s="351"/>
      <c r="DS225" s="351"/>
      <c r="DT225" s="320"/>
      <c r="DU225" s="351"/>
      <c r="DV225" s="320"/>
      <c r="DW225" s="320"/>
      <c r="DX225" s="320"/>
      <c r="DY225" s="320"/>
      <c r="DZ225" s="320"/>
      <c r="EA225" s="351"/>
      <c r="EB225" s="320"/>
      <c r="EC225" s="320"/>
      <c r="ED225" s="862"/>
    </row>
    <row r="226">
      <c r="A226" s="1787" t="s">
        <v>12073</v>
      </c>
      <c r="B226" s="378" t="s">
        <v>394</v>
      </c>
      <c r="C226" s="379" t="s">
        <v>271</v>
      </c>
      <c r="D226" s="380" t="s">
        <v>271</v>
      </c>
      <c r="E226" s="381" t="s">
        <v>271</v>
      </c>
      <c r="F226" s="382" t="s">
        <v>271</v>
      </c>
      <c r="G226" s="378" t="s">
        <v>171</v>
      </c>
      <c r="H226" s="835"/>
      <c r="I226" s="835"/>
      <c r="J226" s="835"/>
      <c r="K226" s="835" t="s">
        <v>11970</v>
      </c>
      <c r="L226" s="835"/>
      <c r="M226" s="835"/>
      <c r="N226" s="835"/>
      <c r="O226" s="835"/>
      <c r="P226" s="835"/>
      <c r="Q226" s="835"/>
      <c r="R226" s="835"/>
      <c r="S226" s="835"/>
      <c r="T226" s="835"/>
      <c r="U226" s="835"/>
      <c r="V226" s="835"/>
      <c r="W226" s="106"/>
      <c r="X226" s="837"/>
      <c r="Y226" s="837"/>
      <c r="Z226" s="837"/>
      <c r="AA226" s="837"/>
      <c r="AB226" s="837"/>
      <c r="AC226" s="837"/>
      <c r="AD226" s="837"/>
      <c r="AE226" s="837"/>
      <c r="AF226" s="837"/>
      <c r="AG226" s="837"/>
      <c r="AH226" s="837"/>
      <c r="AI226" s="837"/>
      <c r="AJ226" s="837"/>
      <c r="AK226" s="837"/>
      <c r="AL226" s="105"/>
      <c r="AM226" s="839"/>
      <c r="AN226" s="839"/>
      <c r="AO226" s="839"/>
      <c r="AP226" s="839"/>
      <c r="AQ226" s="839"/>
      <c r="AR226" s="839"/>
      <c r="AS226" s="839"/>
      <c r="AT226" s="839"/>
      <c r="AU226" s="839"/>
      <c r="AV226" s="839"/>
      <c r="AW226" s="839"/>
      <c r="AX226" s="839"/>
      <c r="AY226" s="839"/>
      <c r="AZ226" s="839"/>
      <c r="BA226" s="839"/>
      <c r="BB226" s="580"/>
      <c r="BC226" s="580"/>
      <c r="BD226" s="580"/>
      <c r="BE226" s="581"/>
      <c r="BF226" s="580"/>
      <c r="BG226" s="580"/>
      <c r="BH226" s="580"/>
      <c r="BI226" s="580"/>
      <c r="BJ226" s="580"/>
      <c r="BK226" s="580"/>
      <c r="BL226" s="580"/>
      <c r="BM226" s="580"/>
      <c r="BN226" s="580"/>
      <c r="BO226" s="580"/>
      <c r="BP226" s="580"/>
      <c r="BQ226" s="845"/>
      <c r="BR226" s="849"/>
      <c r="BS226" s="849"/>
      <c r="BT226" s="849"/>
      <c r="BU226" s="849"/>
      <c r="BV226" s="849"/>
      <c r="BW226" s="849"/>
      <c r="BX226" s="849"/>
      <c r="BY226" s="785"/>
      <c r="BZ226" s="785"/>
      <c r="CA226" s="849"/>
      <c r="CB226" s="849"/>
      <c r="CC226" s="849"/>
      <c r="CD226" s="849"/>
      <c r="CE226" s="849"/>
      <c r="CF226" s="851"/>
      <c r="CG226" s="852"/>
      <c r="CH226" s="852"/>
      <c r="CI226" s="852"/>
      <c r="CJ226" s="852"/>
      <c r="CK226" s="852"/>
      <c r="CL226" s="852"/>
      <c r="CM226" s="852"/>
      <c r="CN226" s="593"/>
      <c r="CO226" s="852"/>
      <c r="CP226" s="852"/>
      <c r="CQ226" s="852"/>
      <c r="CR226" s="852"/>
      <c r="CS226" s="852"/>
      <c r="CT226" s="852"/>
      <c r="CU226" s="106"/>
      <c r="CV226" s="853"/>
      <c r="CW226" s="853"/>
      <c r="CX226" s="853"/>
      <c r="CY226" s="853"/>
      <c r="CZ226" s="853"/>
      <c r="DA226" s="853"/>
      <c r="DB226" s="853"/>
      <c r="DC226" s="853"/>
      <c r="DD226" s="853"/>
      <c r="DE226" s="853"/>
      <c r="DF226" s="853"/>
      <c r="DG226" s="853"/>
      <c r="DH226" s="853"/>
      <c r="DI226" s="855"/>
      <c r="DJ226" s="855"/>
      <c r="DK226" s="855"/>
      <c r="DL226" s="855"/>
      <c r="DM226" s="855"/>
      <c r="DN226" s="855"/>
      <c r="DO226" s="855"/>
      <c r="DP226" s="855"/>
      <c r="DQ226" s="855"/>
      <c r="DR226" s="855"/>
      <c r="DS226" s="855"/>
      <c r="DT226" s="855"/>
      <c r="DU226" s="855"/>
      <c r="DV226" s="855"/>
      <c r="DW226" s="855"/>
      <c r="DX226" s="855"/>
      <c r="DY226" s="855"/>
      <c r="DZ226" s="855"/>
      <c r="EA226" s="855"/>
      <c r="EB226" s="855"/>
      <c r="EC226" s="855"/>
      <c r="ED226" s="1039"/>
    </row>
    <row r="227">
      <c r="A227" s="244" t="s">
        <v>12074</v>
      </c>
      <c r="B227" s="245" t="s">
        <v>394</v>
      </c>
      <c r="C227" s="246" t="s">
        <v>271</v>
      </c>
      <c r="D227" s="247" t="s">
        <v>271</v>
      </c>
      <c r="E227" s="248" t="s">
        <v>271</v>
      </c>
      <c r="F227" s="249" t="s">
        <v>271</v>
      </c>
      <c r="G227" s="245" t="s">
        <v>176</v>
      </c>
      <c r="H227" s="320"/>
      <c r="I227" s="320"/>
      <c r="J227" s="320"/>
      <c r="K227" s="286" t="s">
        <v>9642</v>
      </c>
      <c r="L227" s="320"/>
      <c r="M227" s="320"/>
      <c r="N227" s="320"/>
      <c r="O227" s="286" t="s">
        <v>6183</v>
      </c>
      <c r="P227" s="320"/>
      <c r="Q227" s="320"/>
      <c r="R227" s="320"/>
      <c r="S227" s="320"/>
      <c r="T227" s="320"/>
      <c r="U227" s="320"/>
      <c r="V227" s="320"/>
      <c r="W227" s="106"/>
      <c r="X227" s="320"/>
      <c r="Y227" s="320"/>
      <c r="Z227" s="320"/>
      <c r="AA227" s="320"/>
      <c r="AB227" s="320"/>
      <c r="AC227" s="320"/>
      <c r="AD227" s="320"/>
      <c r="AE227" s="320"/>
      <c r="AF227" s="320"/>
      <c r="AG227" s="320"/>
      <c r="AH227" s="320"/>
      <c r="AI227" s="320"/>
      <c r="AJ227" s="320"/>
      <c r="AK227" s="320"/>
      <c r="AL227" s="105"/>
      <c r="AM227" s="320"/>
      <c r="AN227" s="320"/>
      <c r="AO227" s="320"/>
      <c r="AP227" s="320"/>
      <c r="AQ227" s="320"/>
      <c r="AR227" s="320"/>
      <c r="AS227" s="320"/>
      <c r="AT227" s="320"/>
      <c r="AU227" s="320"/>
      <c r="AV227" s="320"/>
      <c r="AW227" s="320"/>
      <c r="AX227" s="320"/>
      <c r="AY227" s="320"/>
      <c r="AZ227" s="320"/>
      <c r="BA227" s="320"/>
      <c r="BB227" s="320"/>
      <c r="BC227" s="320"/>
      <c r="BD227" s="286" t="s">
        <v>1546</v>
      </c>
      <c r="BE227" s="320"/>
      <c r="BF227" s="320"/>
      <c r="BG227" s="320"/>
      <c r="BH227" s="320"/>
      <c r="BI227" s="286" t="s">
        <v>9275</v>
      </c>
      <c r="BJ227" s="320"/>
      <c r="BK227" s="320"/>
      <c r="BL227" s="320"/>
      <c r="BM227" s="320"/>
      <c r="BN227" s="320"/>
      <c r="BO227" s="320"/>
      <c r="BP227" s="320"/>
      <c r="BQ227" s="824"/>
      <c r="BR227" s="320"/>
      <c r="BS227" s="320"/>
      <c r="BT227" s="320"/>
      <c r="BU227" s="320"/>
      <c r="BV227" s="320"/>
      <c r="BW227" s="320"/>
      <c r="BX227" s="320"/>
      <c r="BY227" s="320"/>
      <c r="BZ227" s="320"/>
      <c r="CA227" s="320"/>
      <c r="CB227" s="320"/>
      <c r="CC227" s="320"/>
      <c r="CD227" s="320"/>
      <c r="CE227" s="320"/>
      <c r="CF227" s="824"/>
      <c r="CG227" s="320"/>
      <c r="CH227" s="320"/>
      <c r="CI227" s="320"/>
      <c r="CJ227" s="320"/>
      <c r="CK227" s="320"/>
      <c r="CL227" s="320"/>
      <c r="CM227" s="320"/>
      <c r="CN227" s="320"/>
      <c r="CO227" s="320"/>
      <c r="CP227" s="320"/>
      <c r="CQ227" s="320"/>
      <c r="CR227" s="320"/>
      <c r="CS227" s="320"/>
      <c r="CT227" s="320"/>
      <c r="CU227" s="106"/>
      <c r="CV227" s="320"/>
      <c r="CW227" s="320"/>
      <c r="CX227" s="320"/>
      <c r="CY227" s="320"/>
      <c r="CZ227" s="320"/>
      <c r="DA227" s="320"/>
      <c r="DB227" s="320"/>
      <c r="DC227" s="320"/>
      <c r="DD227" s="320"/>
      <c r="DE227" s="320"/>
      <c r="DF227" s="320"/>
      <c r="DG227" s="320"/>
      <c r="DH227" s="320"/>
      <c r="DI227" s="320"/>
      <c r="DJ227" s="320"/>
      <c r="DK227" s="320"/>
      <c r="DL227" s="320"/>
      <c r="DM227" s="320"/>
      <c r="DN227" s="320"/>
      <c r="DO227" s="320"/>
      <c r="DP227" s="320"/>
      <c r="DQ227" s="320"/>
      <c r="DR227" s="320"/>
      <c r="DS227" s="320"/>
      <c r="DT227" s="320"/>
      <c r="DU227" s="320"/>
      <c r="DV227" s="320"/>
      <c r="DW227" s="320"/>
      <c r="DX227" s="320"/>
      <c r="DY227" s="320"/>
      <c r="DZ227" s="320"/>
      <c r="EA227" s="320"/>
      <c r="EB227" s="320"/>
      <c r="EC227" s="320"/>
      <c r="ED227" s="862"/>
    </row>
    <row r="228">
      <c r="A228" s="1787" t="s">
        <v>98</v>
      </c>
      <c r="B228" s="378" t="s">
        <v>399</v>
      </c>
      <c r="C228" s="379" t="s">
        <v>271</v>
      </c>
      <c r="D228" s="380" t="s">
        <v>271</v>
      </c>
      <c r="E228" s="381" t="s">
        <v>271</v>
      </c>
      <c r="F228" s="382" t="s">
        <v>271</v>
      </c>
      <c r="G228" s="378" t="s">
        <v>171</v>
      </c>
      <c r="H228" s="1700"/>
      <c r="I228" s="1788"/>
      <c r="J228" s="1700"/>
      <c r="K228" s="1700"/>
      <c r="L228" s="1700"/>
      <c r="M228" s="1700"/>
      <c r="N228" s="1700"/>
      <c r="O228" s="1700"/>
      <c r="P228" s="1700"/>
      <c r="Q228" s="835"/>
      <c r="R228" s="835"/>
      <c r="S228" s="835"/>
      <c r="T228" s="835"/>
      <c r="U228" s="835"/>
      <c r="V228" s="835"/>
      <c r="W228" s="106"/>
      <c r="X228" s="402"/>
      <c r="Y228" s="402"/>
      <c r="Z228" s="402"/>
      <c r="AA228" s="402"/>
      <c r="AB228" s="1133"/>
      <c r="AC228" s="402"/>
      <c r="AD228" s="402"/>
      <c r="AE228" s="837"/>
      <c r="AF228" s="402"/>
      <c r="AG228" s="402"/>
      <c r="AH228" s="837"/>
      <c r="AI228" s="837"/>
      <c r="AJ228" s="402"/>
      <c r="AK228" s="837"/>
      <c r="AL228" s="105"/>
      <c r="AM228" s="413"/>
      <c r="AN228" s="413"/>
      <c r="AO228" s="839"/>
      <c r="AP228" s="839"/>
      <c r="AQ228" s="570"/>
      <c r="AR228" s="570"/>
      <c r="AS228" s="839"/>
      <c r="AT228" s="839"/>
      <c r="AU228" s="413"/>
      <c r="AV228" s="413" t="s">
        <v>3916</v>
      </c>
      <c r="AW228" s="413"/>
      <c r="AX228" s="839"/>
      <c r="AY228" s="839"/>
      <c r="AZ228" s="839"/>
      <c r="BA228" s="839"/>
      <c r="BB228" s="1633"/>
      <c r="BC228" s="1633"/>
      <c r="BD228" s="1633"/>
      <c r="BE228" s="1633"/>
      <c r="BF228" s="1633"/>
      <c r="BG228" s="1633"/>
      <c r="BH228" s="580"/>
      <c r="BI228" s="1633"/>
      <c r="BJ228" s="580"/>
      <c r="BK228" s="1633"/>
      <c r="BL228" s="1633"/>
      <c r="BM228" s="580"/>
      <c r="BN228" s="580"/>
      <c r="BO228" s="1633"/>
      <c r="BP228" s="580"/>
      <c r="BQ228" s="845"/>
      <c r="BR228" s="424"/>
      <c r="BS228" s="424"/>
      <c r="BT228" s="424"/>
      <c r="BU228" s="424"/>
      <c r="BV228" s="424"/>
      <c r="BW228" s="424"/>
      <c r="BX228" s="849"/>
      <c r="BY228" s="424"/>
      <c r="BZ228" s="424"/>
      <c r="CA228" s="424"/>
      <c r="CB228" s="849"/>
      <c r="CC228" s="849"/>
      <c r="CD228" s="849"/>
      <c r="CE228" s="849"/>
      <c r="CF228" s="851"/>
      <c r="CG228" s="434"/>
      <c r="CH228" s="434"/>
      <c r="CI228" s="434"/>
      <c r="CJ228" s="434"/>
      <c r="CK228" s="434"/>
      <c r="CL228" s="434"/>
      <c r="CM228" s="434"/>
      <c r="CN228" s="434"/>
      <c r="CO228" s="434"/>
      <c r="CP228" s="1789"/>
      <c r="CQ228" s="852"/>
      <c r="CR228" s="852"/>
      <c r="CS228" s="852"/>
      <c r="CT228" s="852"/>
      <c r="CU228" s="106"/>
      <c r="CV228" s="467"/>
      <c r="CW228" s="467"/>
      <c r="CX228" s="467"/>
      <c r="CY228" s="467"/>
      <c r="CZ228" s="467"/>
      <c r="DA228" s="467"/>
      <c r="DB228" s="467"/>
      <c r="DC228" s="467"/>
      <c r="DD228" s="853"/>
      <c r="DE228" s="853"/>
      <c r="DF228" s="853"/>
      <c r="DG228" s="853"/>
      <c r="DH228" s="853"/>
      <c r="DI228" s="686"/>
      <c r="DJ228" s="855"/>
      <c r="DK228" s="855"/>
      <c r="DL228" s="686"/>
      <c r="DM228" s="686"/>
      <c r="DN228" s="686"/>
      <c r="DO228" s="855"/>
      <c r="DP228" s="855"/>
      <c r="DQ228" s="855"/>
      <c r="DR228" s="686"/>
      <c r="DS228" s="686"/>
      <c r="DT228" s="855"/>
      <c r="DU228" s="686"/>
      <c r="DV228" s="855"/>
      <c r="DW228" s="855"/>
      <c r="DX228" s="855"/>
      <c r="DY228" s="855"/>
      <c r="DZ228" s="855"/>
      <c r="EA228" s="686"/>
      <c r="EB228" s="855"/>
      <c r="EC228" s="855"/>
      <c r="ED228" s="1039"/>
    </row>
    <row r="229">
      <c r="A229" s="1628" t="s">
        <v>4127</v>
      </c>
      <c r="B229" s="245" t="s">
        <v>274</v>
      </c>
      <c r="C229" s="246" t="s">
        <v>271</v>
      </c>
      <c r="D229" s="247" t="s">
        <v>271</v>
      </c>
      <c r="E229" s="248" t="s">
        <v>271</v>
      </c>
      <c r="F229" s="249" t="s">
        <v>271</v>
      </c>
      <c r="G229" s="245" t="s">
        <v>274</v>
      </c>
      <c r="H229" s="351"/>
      <c r="I229" s="288"/>
      <c r="J229" s="351"/>
      <c r="K229" s="351"/>
      <c r="L229" s="351"/>
      <c r="M229" s="351"/>
      <c r="N229" s="351"/>
      <c r="O229" s="351"/>
      <c r="P229" s="351"/>
      <c r="Q229" s="320"/>
      <c r="R229" s="320"/>
      <c r="S229" s="320"/>
      <c r="T229" s="320"/>
      <c r="U229" s="320"/>
      <c r="V229" s="320"/>
      <c r="W229" s="106"/>
      <c r="X229" s="351"/>
      <c r="Y229" s="351"/>
      <c r="Z229" s="351"/>
      <c r="AA229" s="351"/>
      <c r="AB229" s="881"/>
      <c r="AC229" s="351"/>
      <c r="AD229" s="351"/>
      <c r="AE229" s="320"/>
      <c r="AF229" s="351"/>
      <c r="AG229" s="351"/>
      <c r="AH229" s="286" t="s">
        <v>3426</v>
      </c>
      <c r="AI229" s="320"/>
      <c r="AJ229" s="351"/>
      <c r="AK229" s="320"/>
      <c r="AL229" s="105"/>
      <c r="AM229" s="351"/>
      <c r="AN229" s="351"/>
      <c r="AO229" s="320"/>
      <c r="AP229" s="286" t="s">
        <v>4863</v>
      </c>
      <c r="AQ229" s="286"/>
      <c r="AR229" s="286"/>
      <c r="AS229" s="320"/>
      <c r="AT229" s="320"/>
      <c r="AU229" s="351"/>
      <c r="AV229" s="351"/>
      <c r="AW229" s="351"/>
      <c r="AX229" s="320"/>
      <c r="AY229" s="320"/>
      <c r="AZ229" s="320"/>
      <c r="BA229" s="320"/>
      <c r="BB229" s="351"/>
      <c r="BC229" s="351"/>
      <c r="BD229" s="351"/>
      <c r="BE229" s="351"/>
      <c r="BF229" s="351"/>
      <c r="BG229" s="351"/>
      <c r="BH229" s="320"/>
      <c r="BI229" s="351"/>
      <c r="BJ229" s="320"/>
      <c r="BK229" s="351"/>
      <c r="BL229" s="351"/>
      <c r="BM229" s="320"/>
      <c r="BN229" s="320"/>
      <c r="BO229" s="351"/>
      <c r="BP229" s="320"/>
      <c r="BQ229" s="824"/>
      <c r="BR229" s="351"/>
      <c r="BS229" s="351"/>
      <c r="BT229" s="351"/>
      <c r="BU229" s="351"/>
      <c r="BV229" s="351"/>
      <c r="BW229" s="351"/>
      <c r="BX229" s="320"/>
      <c r="BY229" s="351"/>
      <c r="BZ229" s="351"/>
      <c r="CA229" s="351"/>
      <c r="CB229" s="320"/>
      <c r="CC229" s="320"/>
      <c r="CD229" s="320"/>
      <c r="CE229" s="320"/>
      <c r="CF229" s="824"/>
      <c r="CG229" s="351"/>
      <c r="CH229" s="351"/>
      <c r="CI229" s="351"/>
      <c r="CJ229" s="351"/>
      <c r="CK229" s="351"/>
      <c r="CL229" s="351"/>
      <c r="CM229" s="351"/>
      <c r="CN229" s="351"/>
      <c r="CO229" s="351" t="s">
        <v>9812</v>
      </c>
      <c r="CP229" s="758"/>
      <c r="CQ229" s="320"/>
      <c r="CR229" s="320"/>
      <c r="CS229" s="320"/>
      <c r="CT229" s="320"/>
      <c r="CU229" s="106"/>
      <c r="CV229" s="351"/>
      <c r="CW229" s="351"/>
      <c r="CX229" s="351"/>
      <c r="CY229" s="351"/>
      <c r="CZ229" s="351"/>
      <c r="DA229" s="351"/>
      <c r="DB229" s="351"/>
      <c r="DC229" s="351"/>
      <c r="DD229" s="320"/>
      <c r="DE229" s="320"/>
      <c r="DF229" s="320"/>
      <c r="DG229" s="320"/>
      <c r="DH229" s="320"/>
      <c r="DI229" s="351"/>
      <c r="DJ229" s="320"/>
      <c r="DK229" s="320"/>
      <c r="DL229" s="351"/>
      <c r="DM229" s="351"/>
      <c r="DN229" s="351"/>
      <c r="DO229" s="320"/>
      <c r="DP229" s="320"/>
      <c r="DQ229" s="320"/>
      <c r="DR229" s="351"/>
      <c r="DS229" s="351"/>
      <c r="DT229" s="320"/>
      <c r="DU229" s="351"/>
      <c r="DV229" s="320"/>
      <c r="DW229" s="320"/>
      <c r="DX229" s="320"/>
      <c r="DY229" s="320"/>
      <c r="DZ229" s="320"/>
      <c r="EA229" s="351"/>
      <c r="EB229" s="320"/>
      <c r="EC229" s="320"/>
      <c r="ED229" s="862"/>
    </row>
    <row r="230">
      <c r="A230" s="540" t="s">
        <v>12075</v>
      </c>
      <c r="B230" s="378" t="s">
        <v>271</v>
      </c>
      <c r="C230" s="379" t="s">
        <v>271</v>
      </c>
      <c r="D230" s="380" t="s">
        <v>271</v>
      </c>
      <c r="E230" s="381" t="s">
        <v>271</v>
      </c>
      <c r="F230" s="382" t="s">
        <v>271</v>
      </c>
      <c r="G230" s="378" t="s">
        <v>271</v>
      </c>
      <c r="H230" s="1700"/>
      <c r="I230" s="1788"/>
      <c r="J230" s="1700"/>
      <c r="K230" s="1700"/>
      <c r="L230" s="1700"/>
      <c r="M230" s="1700"/>
      <c r="N230" s="1700"/>
      <c r="O230" s="1700"/>
      <c r="P230" s="1700"/>
      <c r="Q230" s="835"/>
      <c r="R230" s="835"/>
      <c r="S230" s="835"/>
      <c r="T230" s="835"/>
      <c r="U230" s="835"/>
      <c r="V230" s="835"/>
      <c r="W230" s="106"/>
      <c r="X230" s="402"/>
      <c r="Y230" s="402"/>
      <c r="Z230" s="402"/>
      <c r="AA230" s="402"/>
      <c r="AB230" s="1133"/>
      <c r="AC230" s="402"/>
      <c r="AD230" s="402"/>
      <c r="AE230" s="837"/>
      <c r="AF230" s="402"/>
      <c r="AG230" s="402"/>
      <c r="AH230" s="837"/>
      <c r="AI230" s="837"/>
      <c r="AJ230" s="402"/>
      <c r="AK230" s="837"/>
      <c r="AL230" s="105"/>
      <c r="AM230" s="413"/>
      <c r="AN230" s="413"/>
      <c r="AO230" s="839"/>
      <c r="AP230" s="839"/>
      <c r="AQ230" s="570"/>
      <c r="AR230" s="570"/>
      <c r="AS230" s="570"/>
      <c r="AT230" s="839"/>
      <c r="AU230" s="413"/>
      <c r="AV230" s="413"/>
      <c r="AW230" s="413"/>
      <c r="AX230" s="839"/>
      <c r="AY230" s="839"/>
      <c r="AZ230" s="839"/>
      <c r="BA230" s="839"/>
      <c r="BB230" s="1633"/>
      <c r="BC230" s="1633"/>
      <c r="BD230" s="1633"/>
      <c r="BE230" s="1633"/>
      <c r="BF230" s="1633"/>
      <c r="BG230" s="1633"/>
      <c r="BH230" s="580"/>
      <c r="BI230" s="1633"/>
      <c r="BJ230" s="580"/>
      <c r="BK230" s="1633"/>
      <c r="BL230" s="1633"/>
      <c r="BM230" s="580"/>
      <c r="BN230" s="580"/>
      <c r="BO230" s="1633"/>
      <c r="BP230" s="580"/>
      <c r="BQ230" s="845"/>
      <c r="BR230" s="424"/>
      <c r="BS230" s="424"/>
      <c r="BT230" s="424"/>
      <c r="BU230" s="424"/>
      <c r="BV230" s="424"/>
      <c r="BW230" s="424"/>
      <c r="BX230" s="849"/>
      <c r="BY230" s="424"/>
      <c r="BZ230" s="424"/>
      <c r="CA230" s="424"/>
      <c r="CB230" s="849"/>
      <c r="CC230" s="849"/>
      <c r="CD230" s="849"/>
      <c r="CE230" s="849"/>
      <c r="CF230" s="851"/>
      <c r="CG230" s="434"/>
      <c r="CH230" s="434"/>
      <c r="CI230" s="434"/>
      <c r="CJ230" s="434"/>
      <c r="CK230" s="434"/>
      <c r="CL230" s="434"/>
      <c r="CM230" s="434"/>
      <c r="CN230" s="434"/>
      <c r="CO230" s="434"/>
      <c r="CP230" s="1789"/>
      <c r="CQ230" s="852"/>
      <c r="CR230" s="852"/>
      <c r="CS230" s="852"/>
      <c r="CT230" s="852"/>
      <c r="CU230" s="106"/>
      <c r="CV230" s="467"/>
      <c r="CW230" s="467"/>
      <c r="CX230" s="467"/>
      <c r="CY230" s="467"/>
      <c r="CZ230" s="467"/>
      <c r="DA230" s="467"/>
      <c r="DB230" s="467"/>
      <c r="DC230" s="467"/>
      <c r="DD230" s="853"/>
      <c r="DE230" s="853"/>
      <c r="DF230" s="853"/>
      <c r="DG230" s="853"/>
      <c r="DH230" s="853"/>
      <c r="DI230" s="686"/>
      <c r="DJ230" s="855"/>
      <c r="DK230" s="855"/>
      <c r="DL230" s="686"/>
      <c r="DM230" s="686"/>
      <c r="DN230" s="686"/>
      <c r="DO230" s="855"/>
      <c r="DP230" s="855"/>
      <c r="DQ230" s="855"/>
      <c r="DR230" s="686"/>
      <c r="DS230" s="686"/>
      <c r="DT230" s="855"/>
      <c r="DU230" s="686"/>
      <c r="DV230" s="855"/>
      <c r="DW230" s="855"/>
      <c r="DX230" s="855"/>
      <c r="DY230" s="855"/>
      <c r="DZ230" s="855"/>
      <c r="EA230" s="686"/>
      <c r="EB230" s="855"/>
      <c r="EC230" s="855"/>
      <c r="ED230" s="1039"/>
    </row>
    <row r="231">
      <c r="A231" s="802" t="s">
        <v>12076</v>
      </c>
      <c r="B231" s="245" t="s">
        <v>271</v>
      </c>
      <c r="C231" s="246" t="s">
        <v>271</v>
      </c>
      <c r="D231" s="247" t="s">
        <v>271</v>
      </c>
      <c r="E231" s="248" t="s">
        <v>271</v>
      </c>
      <c r="F231" s="249" t="s">
        <v>271</v>
      </c>
      <c r="G231" s="245" t="s">
        <v>271</v>
      </c>
      <c r="H231" s="351"/>
      <c r="I231" s="288"/>
      <c r="J231" s="351"/>
      <c r="K231" s="351"/>
      <c r="L231" s="351"/>
      <c r="M231" s="351"/>
      <c r="N231" s="351"/>
      <c r="O231" s="351"/>
      <c r="P231" s="351"/>
      <c r="Q231" s="320"/>
      <c r="R231" s="320"/>
      <c r="S231" s="320"/>
      <c r="T231" s="320"/>
      <c r="U231" s="320"/>
      <c r="V231" s="320"/>
      <c r="W231" s="106"/>
      <c r="X231" s="351"/>
      <c r="Y231" s="351"/>
      <c r="Z231" s="351"/>
      <c r="AA231" s="351"/>
      <c r="AB231" s="881"/>
      <c r="AC231" s="351"/>
      <c r="AD231" s="351"/>
      <c r="AE231" s="320"/>
      <c r="AF231" s="351"/>
      <c r="AG231" s="351"/>
      <c r="AH231" s="320"/>
      <c r="AI231" s="320"/>
      <c r="AJ231" s="351"/>
      <c r="AK231" s="320"/>
      <c r="AL231" s="105"/>
      <c r="AM231" s="351"/>
      <c r="AN231" s="351"/>
      <c r="AO231" s="320"/>
      <c r="AP231" s="320"/>
      <c r="AQ231" s="286"/>
      <c r="AR231" s="286"/>
      <c r="AS231" s="320"/>
      <c r="AT231" s="320"/>
      <c r="AU231" s="351"/>
      <c r="AV231" s="351"/>
      <c r="AW231" s="351"/>
      <c r="AX231" s="320"/>
      <c r="AY231" s="320"/>
      <c r="AZ231" s="320"/>
      <c r="BA231" s="320"/>
      <c r="BB231" s="351"/>
      <c r="BC231" s="351"/>
      <c r="BD231" s="351"/>
      <c r="BE231" s="351"/>
      <c r="BF231" s="351"/>
      <c r="BG231" s="351"/>
      <c r="BH231" s="320"/>
      <c r="BI231" s="351"/>
      <c r="BJ231" s="320"/>
      <c r="BK231" s="351"/>
      <c r="BL231" s="351"/>
      <c r="BM231" s="320"/>
      <c r="BN231" s="320"/>
      <c r="BO231" s="351"/>
      <c r="BP231" s="320"/>
      <c r="BQ231" s="824"/>
      <c r="BR231" s="351"/>
      <c r="BS231" s="351"/>
      <c r="BT231" s="351"/>
      <c r="BU231" s="351"/>
      <c r="BV231" s="351"/>
      <c r="BW231" s="351"/>
      <c r="BX231" s="320"/>
      <c r="BY231" s="351"/>
      <c r="BZ231" s="351"/>
      <c r="CA231" s="351"/>
      <c r="CB231" s="320"/>
      <c r="CC231" s="320"/>
      <c r="CD231" s="320"/>
      <c r="CE231" s="320"/>
      <c r="CF231" s="824"/>
      <c r="CG231" s="351"/>
      <c r="CH231" s="351"/>
      <c r="CI231" s="351"/>
      <c r="CJ231" s="351"/>
      <c r="CK231" s="351"/>
      <c r="CL231" s="351"/>
      <c r="CM231" s="351"/>
      <c r="CN231" s="351"/>
      <c r="CO231" s="351"/>
      <c r="CP231" s="758"/>
      <c r="CQ231" s="320"/>
      <c r="CR231" s="320"/>
      <c r="CS231" s="320"/>
      <c r="CT231" s="320"/>
      <c r="CU231" s="106"/>
      <c r="CV231" s="351"/>
      <c r="CW231" s="351"/>
      <c r="CX231" s="351"/>
      <c r="CY231" s="351"/>
      <c r="CZ231" s="351"/>
      <c r="DA231" s="351"/>
      <c r="DB231" s="351"/>
      <c r="DC231" s="351"/>
      <c r="DD231" s="320"/>
      <c r="DE231" s="320"/>
      <c r="DF231" s="320"/>
      <c r="DG231" s="320"/>
      <c r="DH231" s="320"/>
      <c r="DI231" s="351"/>
      <c r="DJ231" s="320"/>
      <c r="DK231" s="320"/>
      <c r="DL231" s="351"/>
      <c r="DM231" s="351"/>
      <c r="DN231" s="351"/>
      <c r="DO231" s="320"/>
      <c r="DP231" s="320"/>
      <c r="DQ231" s="320"/>
      <c r="DR231" s="351"/>
      <c r="DS231" s="351"/>
      <c r="DT231" s="320"/>
      <c r="DU231" s="351"/>
      <c r="DV231" s="320"/>
      <c r="DW231" s="320"/>
      <c r="DX231" s="320"/>
      <c r="DY231" s="320"/>
      <c r="DZ231" s="320"/>
      <c r="EA231" s="351"/>
      <c r="EB231" s="320"/>
      <c r="EC231" s="320"/>
      <c r="ED231" s="862"/>
    </row>
    <row r="232">
      <c r="A232" s="1787"/>
      <c r="B232" s="378" t="s">
        <v>271</v>
      </c>
      <c r="C232" s="379" t="s">
        <v>271</v>
      </c>
      <c r="D232" s="380" t="s">
        <v>271</v>
      </c>
      <c r="E232" s="381" t="s">
        <v>271</v>
      </c>
      <c r="F232" s="382" t="s">
        <v>271</v>
      </c>
      <c r="G232" s="378" t="s">
        <v>271</v>
      </c>
      <c r="H232" s="1700"/>
      <c r="I232" s="1788"/>
      <c r="J232" s="1700"/>
      <c r="K232" s="1700"/>
      <c r="L232" s="1700"/>
      <c r="M232" s="1700"/>
      <c r="N232" s="1700"/>
      <c r="O232" s="1700"/>
      <c r="P232" s="1700"/>
      <c r="Q232" s="835"/>
      <c r="R232" s="835"/>
      <c r="S232" s="835"/>
      <c r="T232" s="835"/>
      <c r="U232" s="835"/>
      <c r="V232" s="835"/>
      <c r="W232" s="106"/>
      <c r="X232" s="402"/>
      <c r="Y232" s="402"/>
      <c r="Z232" s="402"/>
      <c r="AA232" s="402"/>
      <c r="AB232" s="1133"/>
      <c r="AC232" s="402"/>
      <c r="AD232" s="402"/>
      <c r="AE232" s="837"/>
      <c r="AF232" s="402"/>
      <c r="AG232" s="402"/>
      <c r="AH232" s="837"/>
      <c r="AI232" s="837"/>
      <c r="AJ232" s="402"/>
      <c r="AK232" s="837"/>
      <c r="AL232" s="105"/>
      <c r="AM232" s="413"/>
      <c r="AN232" s="413"/>
      <c r="AO232" s="839"/>
      <c r="AP232" s="839"/>
      <c r="AQ232" s="570"/>
      <c r="AR232" s="570"/>
      <c r="AS232" s="839"/>
      <c r="AT232" s="839"/>
      <c r="AU232" s="413"/>
      <c r="AV232" s="413"/>
      <c r="AW232" s="413"/>
      <c r="AX232" s="839"/>
      <c r="AY232" s="839"/>
      <c r="AZ232" s="839"/>
      <c r="BA232" s="839"/>
      <c r="BB232" s="1633"/>
      <c r="BC232" s="1633"/>
      <c r="BD232" s="1633"/>
      <c r="BE232" s="1633"/>
      <c r="BF232" s="1633"/>
      <c r="BG232" s="1633"/>
      <c r="BH232" s="580"/>
      <c r="BI232" s="1633"/>
      <c r="BJ232" s="580"/>
      <c r="BK232" s="1633"/>
      <c r="BL232" s="1633"/>
      <c r="BM232" s="580"/>
      <c r="BN232" s="580"/>
      <c r="BO232" s="1633"/>
      <c r="BP232" s="580"/>
      <c r="BQ232" s="845"/>
      <c r="BR232" s="424"/>
      <c r="BS232" s="424"/>
      <c r="BT232" s="424"/>
      <c r="BU232" s="424"/>
      <c r="BV232" s="424"/>
      <c r="BW232" s="424"/>
      <c r="BX232" s="849"/>
      <c r="BY232" s="424"/>
      <c r="BZ232" s="424"/>
      <c r="CA232" s="424"/>
      <c r="CB232" s="849"/>
      <c r="CC232" s="849"/>
      <c r="CD232" s="849"/>
      <c r="CE232" s="849"/>
      <c r="CF232" s="851"/>
      <c r="CG232" s="434"/>
      <c r="CH232" s="434"/>
      <c r="CI232" s="434"/>
      <c r="CJ232" s="434"/>
      <c r="CK232" s="434"/>
      <c r="CL232" s="434"/>
      <c r="CM232" s="434"/>
      <c r="CN232" s="434"/>
      <c r="CO232" s="434"/>
      <c r="CP232" s="1789"/>
      <c r="CQ232" s="852"/>
      <c r="CR232" s="852"/>
      <c r="CS232" s="852"/>
      <c r="CT232" s="852"/>
      <c r="CU232" s="106"/>
      <c r="CV232" s="467"/>
      <c r="CW232" s="467"/>
      <c r="CX232" s="467"/>
      <c r="CY232" s="467"/>
      <c r="CZ232" s="467"/>
      <c r="DA232" s="467"/>
      <c r="DB232" s="467"/>
      <c r="DC232" s="467"/>
      <c r="DD232" s="853"/>
      <c r="DE232" s="853"/>
      <c r="DF232" s="853"/>
      <c r="DG232" s="853"/>
      <c r="DH232" s="853"/>
      <c r="DI232" s="686"/>
      <c r="DJ232" s="855"/>
      <c r="DK232" s="855"/>
      <c r="DL232" s="686"/>
      <c r="DM232" s="686"/>
      <c r="DN232" s="686"/>
      <c r="DO232" s="855"/>
      <c r="DP232" s="855"/>
      <c r="DQ232" s="855"/>
      <c r="DR232" s="686"/>
      <c r="DS232" s="686"/>
      <c r="DT232" s="855"/>
      <c r="DU232" s="686"/>
      <c r="DV232" s="855"/>
      <c r="DW232" s="855"/>
      <c r="DX232" s="855"/>
      <c r="DY232" s="855"/>
      <c r="DZ232" s="855"/>
      <c r="EA232" s="686"/>
      <c r="EB232" s="855"/>
      <c r="EC232" s="855"/>
      <c r="ED232" s="1039"/>
    </row>
    <row r="233">
      <c r="A233" s="1707"/>
      <c r="B233" s="245" t="s">
        <v>271</v>
      </c>
      <c r="C233" s="246" t="s">
        <v>271</v>
      </c>
      <c r="D233" s="247" t="s">
        <v>271</v>
      </c>
      <c r="E233" s="248" t="s">
        <v>271</v>
      </c>
      <c r="F233" s="249" t="s">
        <v>271</v>
      </c>
      <c r="G233" s="245" t="s">
        <v>271</v>
      </c>
      <c r="H233" s="351"/>
      <c r="I233" s="288"/>
      <c r="J233" s="351"/>
      <c r="K233" s="351"/>
      <c r="L233" s="351"/>
      <c r="M233" s="351"/>
      <c r="N233" s="351"/>
      <c r="O233" s="351"/>
      <c r="P233" s="351"/>
      <c r="Q233" s="320"/>
      <c r="R233" s="320"/>
      <c r="S233" s="320"/>
      <c r="T233" s="320"/>
      <c r="U233" s="320"/>
      <c r="V233" s="320"/>
      <c r="W233" s="106"/>
      <c r="X233" s="351"/>
      <c r="Y233" s="351"/>
      <c r="Z233" s="351"/>
      <c r="AA233" s="351"/>
      <c r="AB233" s="881"/>
      <c r="AC233" s="351"/>
      <c r="AD233" s="351"/>
      <c r="AE233" s="320"/>
      <c r="AF233" s="351"/>
      <c r="AG233" s="351"/>
      <c r="AH233" s="320"/>
      <c r="AI233" s="320"/>
      <c r="AJ233" s="351"/>
      <c r="AK233" s="320"/>
      <c r="AL233" s="105"/>
      <c r="AM233" s="351"/>
      <c r="AN233" s="351"/>
      <c r="AO233" s="320"/>
      <c r="AP233" s="320"/>
      <c r="AQ233" s="286"/>
      <c r="AR233" s="286"/>
      <c r="AS233" s="320"/>
      <c r="AT233" s="320"/>
      <c r="AU233" s="351"/>
      <c r="AV233" s="351"/>
      <c r="AW233" s="351"/>
      <c r="AX233" s="320"/>
      <c r="AY233" s="320"/>
      <c r="AZ233" s="320"/>
      <c r="BA233" s="320"/>
      <c r="BB233" s="351"/>
      <c r="BC233" s="351"/>
      <c r="BD233" s="351"/>
      <c r="BE233" s="351"/>
      <c r="BF233" s="351"/>
      <c r="BG233" s="351"/>
      <c r="BH233" s="320"/>
      <c r="BI233" s="351"/>
      <c r="BJ233" s="320"/>
      <c r="BK233" s="351"/>
      <c r="BL233" s="351"/>
      <c r="BM233" s="320"/>
      <c r="BN233" s="320"/>
      <c r="BO233" s="351"/>
      <c r="BP233" s="320"/>
      <c r="BQ233" s="824"/>
      <c r="BR233" s="351"/>
      <c r="BS233" s="351"/>
      <c r="BT233" s="351"/>
      <c r="BU233" s="351"/>
      <c r="BV233" s="351"/>
      <c r="BW233" s="351"/>
      <c r="BX233" s="320"/>
      <c r="BY233" s="351"/>
      <c r="BZ233" s="351"/>
      <c r="CA233" s="351"/>
      <c r="CB233" s="320"/>
      <c r="CC233" s="320"/>
      <c r="CD233" s="320"/>
      <c r="CE233" s="320"/>
      <c r="CF233" s="824"/>
      <c r="CG233" s="351"/>
      <c r="CH233" s="351"/>
      <c r="CI233" s="351"/>
      <c r="CJ233" s="351"/>
      <c r="CK233" s="351"/>
      <c r="CL233" s="351"/>
      <c r="CM233" s="351"/>
      <c r="CN233" s="351"/>
      <c r="CO233" s="351"/>
      <c r="CP233" s="758"/>
      <c r="CQ233" s="320"/>
      <c r="CR233" s="320"/>
      <c r="CS233" s="320"/>
      <c r="CT233" s="320"/>
      <c r="CU233" s="106"/>
      <c r="CV233" s="351"/>
      <c r="CW233" s="351"/>
      <c r="CX233" s="351"/>
      <c r="CY233" s="351"/>
      <c r="CZ233" s="351"/>
      <c r="DA233" s="351"/>
      <c r="DB233" s="351"/>
      <c r="DC233" s="351"/>
      <c r="DD233" s="320"/>
      <c r="DE233" s="320"/>
      <c r="DF233" s="320"/>
      <c r="DG233" s="320"/>
      <c r="DH233" s="320"/>
      <c r="DI233" s="351"/>
      <c r="DJ233" s="320"/>
      <c r="DK233" s="320"/>
      <c r="DL233" s="351"/>
      <c r="DM233" s="351"/>
      <c r="DN233" s="351"/>
      <c r="DO233" s="320"/>
      <c r="DP233" s="320"/>
      <c r="DQ233" s="320"/>
      <c r="DR233" s="351"/>
      <c r="DS233" s="351"/>
      <c r="DT233" s="320"/>
      <c r="DU233" s="351"/>
      <c r="DV233" s="320"/>
      <c r="DW233" s="320"/>
      <c r="DX233" s="320"/>
      <c r="DY233" s="320"/>
      <c r="DZ233" s="320"/>
      <c r="EA233" s="351"/>
      <c r="EB233" s="320"/>
      <c r="EC233" s="320"/>
      <c r="ED233" s="862"/>
    </row>
    <row r="234">
      <c r="A234" s="1787"/>
      <c r="B234" s="378" t="s">
        <v>271</v>
      </c>
      <c r="C234" s="379" t="s">
        <v>271</v>
      </c>
      <c r="D234" s="380" t="s">
        <v>271</v>
      </c>
      <c r="E234" s="381" t="s">
        <v>271</v>
      </c>
      <c r="F234" s="382" t="s">
        <v>271</v>
      </c>
      <c r="G234" s="378" t="s">
        <v>271</v>
      </c>
      <c r="H234" s="1700"/>
      <c r="I234" s="1788"/>
      <c r="J234" s="1700"/>
      <c r="K234" s="1700"/>
      <c r="L234" s="1700"/>
      <c r="M234" s="1700"/>
      <c r="N234" s="1700"/>
      <c r="O234" s="1700"/>
      <c r="P234" s="1700"/>
      <c r="Q234" s="835"/>
      <c r="R234" s="835"/>
      <c r="S234" s="835"/>
      <c r="T234" s="835"/>
      <c r="U234" s="835"/>
      <c r="V234" s="835"/>
      <c r="W234" s="106"/>
      <c r="X234" s="402"/>
      <c r="Y234" s="402"/>
      <c r="Z234" s="402"/>
      <c r="AA234" s="402"/>
      <c r="AB234" s="1133"/>
      <c r="AC234" s="402"/>
      <c r="AD234" s="402"/>
      <c r="AE234" s="837"/>
      <c r="AF234" s="402"/>
      <c r="AG234" s="402"/>
      <c r="AH234" s="837"/>
      <c r="AI234" s="837"/>
      <c r="AJ234" s="402"/>
      <c r="AK234" s="837"/>
      <c r="AL234" s="105"/>
      <c r="AM234" s="413"/>
      <c r="AN234" s="413"/>
      <c r="AO234" s="839"/>
      <c r="AP234" s="839"/>
      <c r="AQ234" s="570"/>
      <c r="AR234" s="570"/>
      <c r="AS234" s="839"/>
      <c r="AT234" s="839"/>
      <c r="AU234" s="413"/>
      <c r="AV234" s="413"/>
      <c r="AW234" s="413"/>
      <c r="AX234" s="839"/>
      <c r="AY234" s="839"/>
      <c r="AZ234" s="839"/>
      <c r="BA234" s="839"/>
      <c r="BB234" s="1633"/>
      <c r="BC234" s="1633"/>
      <c r="BD234" s="1633"/>
      <c r="BE234" s="1633"/>
      <c r="BF234" s="1633"/>
      <c r="BG234" s="1633"/>
      <c r="BH234" s="580"/>
      <c r="BI234" s="1633"/>
      <c r="BJ234" s="580"/>
      <c r="BK234" s="1633"/>
      <c r="BL234" s="1633"/>
      <c r="BM234" s="580"/>
      <c r="BN234" s="580"/>
      <c r="BO234" s="1633"/>
      <c r="BP234" s="580"/>
      <c r="BQ234" s="845"/>
      <c r="BR234" s="424"/>
      <c r="BS234" s="424"/>
      <c r="BT234" s="424"/>
      <c r="BU234" s="424"/>
      <c r="BV234" s="424"/>
      <c r="BW234" s="424"/>
      <c r="BX234" s="849"/>
      <c r="BY234" s="424"/>
      <c r="BZ234" s="424"/>
      <c r="CA234" s="424"/>
      <c r="CB234" s="849"/>
      <c r="CC234" s="849"/>
      <c r="CD234" s="849"/>
      <c r="CE234" s="849"/>
      <c r="CF234" s="851"/>
      <c r="CG234" s="434"/>
      <c r="CH234" s="434"/>
      <c r="CI234" s="434"/>
      <c r="CJ234" s="434"/>
      <c r="CK234" s="434"/>
      <c r="CL234" s="434"/>
      <c r="CM234" s="434"/>
      <c r="CN234" s="434"/>
      <c r="CO234" s="434"/>
      <c r="CP234" s="1789"/>
      <c r="CQ234" s="852"/>
      <c r="CR234" s="852"/>
      <c r="CS234" s="852"/>
      <c r="CT234" s="852"/>
      <c r="CU234" s="106"/>
      <c r="CV234" s="467"/>
      <c r="CW234" s="467"/>
      <c r="CX234" s="467"/>
      <c r="CY234" s="467"/>
      <c r="CZ234" s="467"/>
      <c r="DA234" s="467"/>
      <c r="DB234" s="467"/>
      <c r="DC234" s="467"/>
      <c r="DD234" s="853"/>
      <c r="DE234" s="853"/>
      <c r="DF234" s="853"/>
      <c r="DG234" s="853"/>
      <c r="DH234" s="853"/>
      <c r="DI234" s="686"/>
      <c r="DJ234" s="855"/>
      <c r="DK234" s="855"/>
      <c r="DL234" s="686"/>
      <c r="DM234" s="686"/>
      <c r="DN234" s="686"/>
      <c r="DO234" s="855"/>
      <c r="DP234" s="855"/>
      <c r="DQ234" s="855"/>
      <c r="DR234" s="686"/>
      <c r="DS234" s="686"/>
      <c r="DT234" s="855"/>
      <c r="DU234" s="686"/>
      <c r="DV234" s="855"/>
      <c r="DW234" s="855"/>
      <c r="DX234" s="855"/>
      <c r="DY234" s="855"/>
      <c r="DZ234" s="855"/>
      <c r="EA234" s="686"/>
      <c r="EB234" s="855"/>
      <c r="EC234" s="855"/>
      <c r="ED234" s="1039"/>
    </row>
    <row r="235">
      <c r="A235" s="1707"/>
      <c r="B235" s="245" t="s">
        <v>271</v>
      </c>
      <c r="C235" s="246" t="s">
        <v>271</v>
      </c>
      <c r="D235" s="247" t="s">
        <v>271</v>
      </c>
      <c r="E235" s="248" t="s">
        <v>271</v>
      </c>
      <c r="F235" s="249" t="s">
        <v>271</v>
      </c>
      <c r="G235" s="245" t="s">
        <v>271</v>
      </c>
      <c r="H235" s="351"/>
      <c r="I235" s="288"/>
      <c r="J235" s="351"/>
      <c r="K235" s="351"/>
      <c r="L235" s="351"/>
      <c r="M235" s="351"/>
      <c r="N235" s="351"/>
      <c r="O235" s="351"/>
      <c r="P235" s="351"/>
      <c r="Q235" s="320"/>
      <c r="R235" s="320"/>
      <c r="S235" s="320"/>
      <c r="T235" s="320"/>
      <c r="U235" s="320"/>
      <c r="V235" s="320"/>
      <c r="W235" s="106"/>
      <c r="X235" s="351"/>
      <c r="Y235" s="351"/>
      <c r="Z235" s="351"/>
      <c r="AA235" s="351"/>
      <c r="AB235" s="881"/>
      <c r="AC235" s="351"/>
      <c r="AD235" s="351"/>
      <c r="AE235" s="320"/>
      <c r="AF235" s="351"/>
      <c r="AG235" s="351"/>
      <c r="AH235" s="320"/>
      <c r="AI235" s="320"/>
      <c r="AJ235" s="351"/>
      <c r="AK235" s="320"/>
      <c r="AL235" s="105"/>
      <c r="AM235" s="351"/>
      <c r="AN235" s="351"/>
      <c r="AO235" s="320"/>
      <c r="AP235" s="320"/>
      <c r="AQ235" s="286"/>
      <c r="AR235" s="286"/>
      <c r="AS235" s="320"/>
      <c r="AT235" s="320"/>
      <c r="AU235" s="351"/>
      <c r="AV235" s="351"/>
      <c r="AW235" s="351"/>
      <c r="AX235" s="320"/>
      <c r="AY235" s="320"/>
      <c r="AZ235" s="320"/>
      <c r="BA235" s="320"/>
      <c r="BB235" s="351"/>
      <c r="BC235" s="351"/>
      <c r="BD235" s="351"/>
      <c r="BE235" s="351"/>
      <c r="BF235" s="351"/>
      <c r="BG235" s="351"/>
      <c r="BH235" s="320"/>
      <c r="BI235" s="351"/>
      <c r="BJ235" s="320"/>
      <c r="BK235" s="351"/>
      <c r="BL235" s="351"/>
      <c r="BM235" s="320"/>
      <c r="BN235" s="320"/>
      <c r="BO235" s="351"/>
      <c r="BP235" s="320"/>
      <c r="BQ235" s="824"/>
      <c r="BR235" s="351"/>
      <c r="BS235" s="351"/>
      <c r="BT235" s="351"/>
      <c r="BU235" s="351"/>
      <c r="BV235" s="351"/>
      <c r="BW235" s="351"/>
      <c r="BX235" s="320"/>
      <c r="BY235" s="351"/>
      <c r="BZ235" s="351"/>
      <c r="CA235" s="351"/>
      <c r="CB235" s="320"/>
      <c r="CC235" s="320"/>
      <c r="CD235" s="320"/>
      <c r="CE235" s="320"/>
      <c r="CF235" s="824"/>
      <c r="CG235" s="351"/>
      <c r="CH235" s="351"/>
      <c r="CI235" s="351"/>
      <c r="CJ235" s="351"/>
      <c r="CK235" s="351"/>
      <c r="CL235" s="351"/>
      <c r="CM235" s="351"/>
      <c r="CN235" s="351"/>
      <c r="CO235" s="351"/>
      <c r="CP235" s="758"/>
      <c r="CQ235" s="320"/>
      <c r="CR235" s="320"/>
      <c r="CS235" s="320"/>
      <c r="CT235" s="320"/>
      <c r="CU235" s="106"/>
      <c r="CV235" s="351"/>
      <c r="CW235" s="351"/>
      <c r="CX235" s="351"/>
      <c r="CY235" s="351"/>
      <c r="CZ235" s="351"/>
      <c r="DA235" s="351"/>
      <c r="DB235" s="351"/>
      <c r="DC235" s="351"/>
      <c r="DD235" s="320"/>
      <c r="DE235" s="320"/>
      <c r="DF235" s="320"/>
      <c r="DG235" s="320"/>
      <c r="DH235" s="320"/>
      <c r="DI235" s="351"/>
      <c r="DJ235" s="320"/>
      <c r="DK235" s="320"/>
      <c r="DL235" s="351"/>
      <c r="DM235" s="351"/>
      <c r="DN235" s="351"/>
      <c r="DO235" s="320"/>
      <c r="DP235" s="320"/>
      <c r="DQ235" s="320"/>
      <c r="DR235" s="351"/>
      <c r="DS235" s="351"/>
      <c r="DT235" s="320"/>
      <c r="DU235" s="351"/>
      <c r="DV235" s="320"/>
      <c r="DW235" s="320"/>
      <c r="DX235" s="320"/>
      <c r="DY235" s="320"/>
      <c r="DZ235" s="320"/>
      <c r="EA235" s="351"/>
      <c r="EB235" s="320"/>
      <c r="EC235" s="320"/>
      <c r="ED235" s="862"/>
    </row>
    <row r="236">
      <c r="A236" s="1787"/>
      <c r="B236" s="378" t="s">
        <v>271</v>
      </c>
      <c r="C236" s="379" t="s">
        <v>271</v>
      </c>
      <c r="D236" s="380" t="s">
        <v>271</v>
      </c>
      <c r="E236" s="381" t="s">
        <v>271</v>
      </c>
      <c r="F236" s="382" t="s">
        <v>271</v>
      </c>
      <c r="G236" s="378" t="s">
        <v>271</v>
      </c>
      <c r="H236" s="1700"/>
      <c r="I236" s="1788"/>
      <c r="J236" s="1700"/>
      <c r="K236" s="1700"/>
      <c r="L236" s="1700"/>
      <c r="M236" s="1700"/>
      <c r="N236" s="1700"/>
      <c r="O236" s="1700"/>
      <c r="P236" s="1700"/>
      <c r="Q236" s="835"/>
      <c r="R236" s="835"/>
      <c r="S236" s="835"/>
      <c r="T236" s="835"/>
      <c r="U236" s="835"/>
      <c r="V236" s="835"/>
      <c r="W236" s="106"/>
      <c r="X236" s="402"/>
      <c r="Y236" s="402"/>
      <c r="Z236" s="402"/>
      <c r="AA236" s="402"/>
      <c r="AB236" s="1133"/>
      <c r="AC236" s="402"/>
      <c r="AD236" s="402"/>
      <c r="AE236" s="837"/>
      <c r="AF236" s="402"/>
      <c r="AG236" s="402"/>
      <c r="AH236" s="837"/>
      <c r="AI236" s="837"/>
      <c r="AJ236" s="402"/>
      <c r="AK236" s="837"/>
      <c r="AL236" s="105"/>
      <c r="AM236" s="413"/>
      <c r="AN236" s="413"/>
      <c r="AO236" s="839"/>
      <c r="AP236" s="839"/>
      <c r="AQ236" s="570"/>
      <c r="AR236" s="570"/>
      <c r="AS236" s="839"/>
      <c r="AT236" s="839"/>
      <c r="AU236" s="413"/>
      <c r="AV236" s="413"/>
      <c r="AW236" s="413"/>
      <c r="AX236" s="839"/>
      <c r="AY236" s="839"/>
      <c r="AZ236" s="839"/>
      <c r="BA236" s="839"/>
      <c r="BB236" s="1633"/>
      <c r="BC236" s="1633"/>
      <c r="BD236" s="1633"/>
      <c r="BE236" s="1633"/>
      <c r="BF236" s="1633"/>
      <c r="BG236" s="1633"/>
      <c r="BH236" s="580"/>
      <c r="BI236" s="1633"/>
      <c r="BJ236" s="580"/>
      <c r="BK236" s="1633"/>
      <c r="BL236" s="1633"/>
      <c r="BM236" s="580"/>
      <c r="BN236" s="580"/>
      <c r="BO236" s="1633"/>
      <c r="BP236" s="580"/>
      <c r="BQ236" s="845"/>
      <c r="BR236" s="424"/>
      <c r="BS236" s="424"/>
      <c r="BT236" s="424"/>
      <c r="BU236" s="424"/>
      <c r="BV236" s="424"/>
      <c r="BW236" s="424"/>
      <c r="BX236" s="849"/>
      <c r="BY236" s="424"/>
      <c r="BZ236" s="424"/>
      <c r="CA236" s="424"/>
      <c r="CB236" s="849"/>
      <c r="CC236" s="849"/>
      <c r="CD236" s="849"/>
      <c r="CE236" s="849"/>
      <c r="CF236" s="851"/>
      <c r="CG236" s="434"/>
      <c r="CH236" s="434"/>
      <c r="CI236" s="434"/>
      <c r="CJ236" s="434"/>
      <c r="CK236" s="434"/>
      <c r="CL236" s="434"/>
      <c r="CM236" s="434"/>
      <c r="CN236" s="434"/>
      <c r="CO236" s="434"/>
      <c r="CP236" s="1789"/>
      <c r="CQ236" s="852"/>
      <c r="CR236" s="852"/>
      <c r="CS236" s="852"/>
      <c r="CT236" s="852"/>
      <c r="CU236" s="106"/>
      <c r="CV236" s="467"/>
      <c r="CW236" s="467"/>
      <c r="CX236" s="467"/>
      <c r="CY236" s="467"/>
      <c r="CZ236" s="467"/>
      <c r="DA236" s="467"/>
      <c r="DB236" s="467"/>
      <c r="DC236" s="467"/>
      <c r="DD236" s="853"/>
      <c r="DE236" s="853"/>
      <c r="DF236" s="853"/>
      <c r="DG236" s="853"/>
      <c r="DH236" s="853"/>
      <c r="DI236" s="686"/>
      <c r="DJ236" s="855"/>
      <c r="DK236" s="855"/>
      <c r="DL236" s="686"/>
      <c r="DM236" s="686"/>
      <c r="DN236" s="686"/>
      <c r="DO236" s="855"/>
      <c r="DP236" s="855"/>
      <c r="DQ236" s="855"/>
      <c r="DR236" s="686"/>
      <c r="DS236" s="686"/>
      <c r="DT236" s="855"/>
      <c r="DU236" s="686"/>
      <c r="DV236" s="855"/>
      <c r="DW236" s="855"/>
      <c r="DX236" s="855"/>
      <c r="DY236" s="855"/>
      <c r="DZ236" s="855"/>
      <c r="EA236" s="686"/>
      <c r="EB236" s="855"/>
      <c r="EC236" s="855"/>
      <c r="ED236" s="1039"/>
    </row>
    <row r="237">
      <c r="A237" s="1707"/>
      <c r="B237" s="245" t="s">
        <v>271</v>
      </c>
      <c r="C237" s="246" t="s">
        <v>271</v>
      </c>
      <c r="D237" s="247" t="s">
        <v>271</v>
      </c>
      <c r="E237" s="248" t="s">
        <v>271</v>
      </c>
      <c r="F237" s="249" t="s">
        <v>271</v>
      </c>
      <c r="G237" s="245" t="s">
        <v>271</v>
      </c>
      <c r="H237" s="351"/>
      <c r="I237" s="288"/>
      <c r="J237" s="351"/>
      <c r="K237" s="351"/>
      <c r="L237" s="351"/>
      <c r="M237" s="351"/>
      <c r="N237" s="351"/>
      <c r="O237" s="351"/>
      <c r="P237" s="351"/>
      <c r="Q237" s="320"/>
      <c r="R237" s="320"/>
      <c r="S237" s="320"/>
      <c r="T237" s="320"/>
      <c r="U237" s="320"/>
      <c r="V237" s="320"/>
      <c r="W237" s="106"/>
      <c r="X237" s="351"/>
      <c r="Y237" s="351"/>
      <c r="Z237" s="351"/>
      <c r="AA237" s="351"/>
      <c r="AB237" s="881"/>
      <c r="AC237" s="351"/>
      <c r="AD237" s="351"/>
      <c r="AE237" s="320"/>
      <c r="AF237" s="351"/>
      <c r="AG237" s="351"/>
      <c r="AH237" s="320"/>
      <c r="AI237" s="320"/>
      <c r="AJ237" s="351"/>
      <c r="AK237" s="320"/>
      <c r="AL237" s="105"/>
      <c r="AM237" s="351"/>
      <c r="AN237" s="351"/>
      <c r="AO237" s="320"/>
      <c r="AP237" s="320"/>
      <c r="AQ237" s="286"/>
      <c r="AR237" s="286"/>
      <c r="AS237" s="320"/>
      <c r="AT237" s="320"/>
      <c r="AU237" s="351"/>
      <c r="AV237" s="351"/>
      <c r="AW237" s="351"/>
      <c r="AX237" s="320"/>
      <c r="AY237" s="320"/>
      <c r="AZ237" s="320"/>
      <c r="BA237" s="320"/>
      <c r="BB237" s="351"/>
      <c r="BC237" s="351"/>
      <c r="BD237" s="351"/>
      <c r="BE237" s="351"/>
      <c r="BF237" s="351"/>
      <c r="BG237" s="351"/>
      <c r="BH237" s="320"/>
      <c r="BI237" s="351"/>
      <c r="BJ237" s="320"/>
      <c r="BK237" s="351"/>
      <c r="BL237" s="351"/>
      <c r="BM237" s="320"/>
      <c r="BN237" s="320"/>
      <c r="BO237" s="351"/>
      <c r="BP237" s="320"/>
      <c r="BQ237" s="824"/>
      <c r="BR237" s="351"/>
      <c r="BS237" s="351"/>
      <c r="BT237" s="351"/>
      <c r="BU237" s="351"/>
      <c r="BV237" s="351"/>
      <c r="BW237" s="351"/>
      <c r="BX237" s="320"/>
      <c r="BY237" s="351"/>
      <c r="BZ237" s="351"/>
      <c r="CA237" s="351"/>
      <c r="CB237" s="320"/>
      <c r="CC237" s="320"/>
      <c r="CD237" s="320"/>
      <c r="CE237" s="320"/>
      <c r="CF237" s="824"/>
      <c r="CG237" s="351"/>
      <c r="CH237" s="351"/>
      <c r="CI237" s="351"/>
      <c r="CJ237" s="351"/>
      <c r="CK237" s="351"/>
      <c r="CL237" s="351"/>
      <c r="CM237" s="351"/>
      <c r="CN237" s="351"/>
      <c r="CO237" s="351"/>
      <c r="CP237" s="758"/>
      <c r="CQ237" s="320"/>
      <c r="CR237" s="320"/>
      <c r="CS237" s="320"/>
      <c r="CT237" s="320"/>
      <c r="CU237" s="106"/>
      <c r="CV237" s="351"/>
      <c r="CW237" s="351"/>
      <c r="CX237" s="351"/>
      <c r="CY237" s="351"/>
      <c r="CZ237" s="351"/>
      <c r="DA237" s="351"/>
      <c r="DB237" s="351"/>
      <c r="DC237" s="351"/>
      <c r="DD237" s="320"/>
      <c r="DE237" s="320"/>
      <c r="DF237" s="320"/>
      <c r="DG237" s="320"/>
      <c r="DH237" s="320"/>
      <c r="DI237" s="351"/>
      <c r="DJ237" s="320"/>
      <c r="DK237" s="320"/>
      <c r="DL237" s="351"/>
      <c r="DM237" s="351"/>
      <c r="DN237" s="351"/>
      <c r="DO237" s="320"/>
      <c r="DP237" s="320"/>
      <c r="DQ237" s="320"/>
      <c r="DR237" s="351"/>
      <c r="DS237" s="351"/>
      <c r="DT237" s="320"/>
      <c r="DU237" s="351"/>
      <c r="DV237" s="320"/>
      <c r="DW237" s="320"/>
      <c r="DX237" s="320"/>
      <c r="DY237" s="320"/>
      <c r="DZ237" s="320"/>
      <c r="EA237" s="351"/>
      <c r="EB237" s="320"/>
      <c r="EC237" s="320"/>
      <c r="ED237" s="862"/>
    </row>
    <row r="238">
      <c r="A238" s="1787"/>
      <c r="B238" s="378" t="s">
        <v>271</v>
      </c>
      <c r="C238" s="379" t="s">
        <v>271</v>
      </c>
      <c r="D238" s="380" t="s">
        <v>271</v>
      </c>
      <c r="E238" s="381" t="s">
        <v>271</v>
      </c>
      <c r="F238" s="382" t="s">
        <v>271</v>
      </c>
      <c r="G238" s="378" t="s">
        <v>271</v>
      </c>
      <c r="H238" s="1700"/>
      <c r="I238" s="1788"/>
      <c r="J238" s="1700"/>
      <c r="K238" s="1700"/>
      <c r="L238" s="1700"/>
      <c r="M238" s="1700"/>
      <c r="N238" s="1700"/>
      <c r="O238" s="1700"/>
      <c r="P238" s="1700"/>
      <c r="Q238" s="835"/>
      <c r="R238" s="835"/>
      <c r="S238" s="835"/>
      <c r="T238" s="835"/>
      <c r="U238" s="835"/>
      <c r="V238" s="835"/>
      <c r="W238" s="106"/>
      <c r="X238" s="402"/>
      <c r="Y238" s="402"/>
      <c r="Z238" s="402"/>
      <c r="AA238" s="402"/>
      <c r="AB238" s="1133"/>
      <c r="AC238" s="402"/>
      <c r="AD238" s="402"/>
      <c r="AE238" s="837"/>
      <c r="AF238" s="402"/>
      <c r="AG238" s="402"/>
      <c r="AH238" s="837"/>
      <c r="AI238" s="837"/>
      <c r="AJ238" s="402"/>
      <c r="AK238" s="837"/>
      <c r="AL238" s="105"/>
      <c r="AM238" s="413"/>
      <c r="AN238" s="413"/>
      <c r="AO238" s="839"/>
      <c r="AP238" s="839"/>
      <c r="AQ238" s="570"/>
      <c r="AR238" s="570"/>
      <c r="AS238" s="839"/>
      <c r="AT238" s="839"/>
      <c r="AU238" s="413"/>
      <c r="AV238" s="413"/>
      <c r="AW238" s="413"/>
      <c r="AX238" s="839"/>
      <c r="AY238" s="839"/>
      <c r="AZ238" s="839"/>
      <c r="BA238" s="839"/>
      <c r="BB238" s="1633"/>
      <c r="BC238" s="1633"/>
      <c r="BD238" s="1633"/>
      <c r="BE238" s="1633"/>
      <c r="BF238" s="1633"/>
      <c r="BG238" s="1633"/>
      <c r="BH238" s="580"/>
      <c r="BI238" s="1633"/>
      <c r="BJ238" s="580"/>
      <c r="BK238" s="1633"/>
      <c r="BL238" s="1633"/>
      <c r="BM238" s="580"/>
      <c r="BN238" s="580"/>
      <c r="BO238" s="1633"/>
      <c r="BP238" s="580"/>
      <c r="BQ238" s="845"/>
      <c r="BR238" s="424"/>
      <c r="BS238" s="424"/>
      <c r="BT238" s="424"/>
      <c r="BU238" s="424"/>
      <c r="BV238" s="424"/>
      <c r="BW238" s="424"/>
      <c r="BX238" s="849"/>
      <c r="BY238" s="424"/>
      <c r="BZ238" s="424"/>
      <c r="CA238" s="424"/>
      <c r="CB238" s="849"/>
      <c r="CC238" s="849"/>
      <c r="CD238" s="849"/>
      <c r="CE238" s="849"/>
      <c r="CF238" s="851"/>
      <c r="CG238" s="434"/>
      <c r="CH238" s="434"/>
      <c r="CI238" s="434"/>
      <c r="CJ238" s="434"/>
      <c r="CK238" s="434"/>
      <c r="CL238" s="434"/>
      <c r="CM238" s="434"/>
      <c r="CN238" s="434"/>
      <c r="CO238" s="434"/>
      <c r="CP238" s="1789"/>
      <c r="CQ238" s="852"/>
      <c r="CR238" s="852"/>
      <c r="CS238" s="852"/>
      <c r="CT238" s="852"/>
      <c r="CU238" s="106"/>
      <c r="CV238" s="467"/>
      <c r="CW238" s="467"/>
      <c r="CX238" s="467"/>
      <c r="CY238" s="467"/>
      <c r="CZ238" s="467"/>
      <c r="DA238" s="467"/>
      <c r="DB238" s="467"/>
      <c r="DC238" s="467"/>
      <c r="DD238" s="853"/>
      <c r="DE238" s="853"/>
      <c r="DF238" s="853"/>
      <c r="DG238" s="853"/>
      <c r="DH238" s="853"/>
      <c r="DI238" s="686"/>
      <c r="DJ238" s="855"/>
      <c r="DK238" s="855"/>
      <c r="DL238" s="686"/>
      <c r="DM238" s="686"/>
      <c r="DN238" s="686"/>
      <c r="DO238" s="855"/>
      <c r="DP238" s="855"/>
      <c r="DQ238" s="855"/>
      <c r="DR238" s="686"/>
      <c r="DS238" s="686"/>
      <c r="DT238" s="855"/>
      <c r="DU238" s="686"/>
      <c r="DV238" s="855"/>
      <c r="DW238" s="855"/>
      <c r="DX238" s="855"/>
      <c r="DY238" s="855"/>
      <c r="DZ238" s="855"/>
      <c r="EA238" s="686"/>
      <c r="EB238" s="855"/>
      <c r="EC238" s="855"/>
      <c r="ED238" s="1039"/>
    </row>
    <row r="239">
      <c r="A239" s="1707"/>
      <c r="B239" s="245" t="s">
        <v>271</v>
      </c>
      <c r="C239" s="246" t="s">
        <v>271</v>
      </c>
      <c r="D239" s="247" t="s">
        <v>271</v>
      </c>
      <c r="E239" s="248" t="s">
        <v>271</v>
      </c>
      <c r="F239" s="249" t="s">
        <v>271</v>
      </c>
      <c r="G239" s="245" t="s">
        <v>271</v>
      </c>
      <c r="H239" s="351"/>
      <c r="I239" s="288"/>
      <c r="J239" s="351"/>
      <c r="K239" s="351"/>
      <c r="L239" s="351"/>
      <c r="M239" s="351"/>
      <c r="N239" s="351"/>
      <c r="O239" s="351"/>
      <c r="P239" s="351"/>
      <c r="Q239" s="320"/>
      <c r="R239" s="320"/>
      <c r="S239" s="320"/>
      <c r="T239" s="320"/>
      <c r="U239" s="320"/>
      <c r="V239" s="320"/>
      <c r="W239" s="106"/>
      <c r="X239" s="351"/>
      <c r="Y239" s="351"/>
      <c r="Z239" s="351"/>
      <c r="AA239" s="351"/>
      <c r="AB239" s="881"/>
      <c r="AC239" s="351"/>
      <c r="AD239" s="351"/>
      <c r="AE239" s="320"/>
      <c r="AF239" s="351"/>
      <c r="AG239" s="351"/>
      <c r="AH239" s="320"/>
      <c r="AI239" s="320"/>
      <c r="AJ239" s="351"/>
      <c r="AK239" s="320"/>
      <c r="AL239" s="105"/>
      <c r="AM239" s="351"/>
      <c r="AN239" s="351"/>
      <c r="AO239" s="320"/>
      <c r="AP239" s="320"/>
      <c r="AQ239" s="286"/>
      <c r="AR239" s="286"/>
      <c r="AS239" s="320"/>
      <c r="AT239" s="320"/>
      <c r="AU239" s="351"/>
      <c r="AV239" s="351"/>
      <c r="AW239" s="351"/>
      <c r="AX239" s="320"/>
      <c r="AY239" s="320"/>
      <c r="AZ239" s="320"/>
      <c r="BA239" s="320"/>
      <c r="BB239" s="351"/>
      <c r="BC239" s="351"/>
      <c r="BD239" s="351"/>
      <c r="BE239" s="351"/>
      <c r="BF239" s="351"/>
      <c r="BG239" s="351"/>
      <c r="BH239" s="320"/>
      <c r="BI239" s="351"/>
      <c r="BJ239" s="320"/>
      <c r="BK239" s="351"/>
      <c r="BL239" s="351"/>
      <c r="BM239" s="320"/>
      <c r="BN239" s="320"/>
      <c r="BO239" s="351"/>
      <c r="BP239" s="320"/>
      <c r="BQ239" s="824"/>
      <c r="BR239" s="351"/>
      <c r="BS239" s="351"/>
      <c r="BT239" s="351"/>
      <c r="BU239" s="351"/>
      <c r="BV239" s="351"/>
      <c r="BW239" s="351"/>
      <c r="BX239" s="320"/>
      <c r="BY239" s="351"/>
      <c r="BZ239" s="351"/>
      <c r="CA239" s="351"/>
      <c r="CB239" s="320"/>
      <c r="CC239" s="320"/>
      <c r="CD239" s="320"/>
      <c r="CE239" s="320"/>
      <c r="CF239" s="824"/>
      <c r="CG239" s="351"/>
      <c r="CH239" s="351"/>
      <c r="CI239" s="351"/>
      <c r="CJ239" s="351"/>
      <c r="CK239" s="351"/>
      <c r="CL239" s="351"/>
      <c r="CM239" s="351"/>
      <c r="CN239" s="351"/>
      <c r="CO239" s="351"/>
      <c r="CP239" s="758"/>
      <c r="CQ239" s="320"/>
      <c r="CR239" s="320"/>
      <c r="CS239" s="320"/>
      <c r="CT239" s="320"/>
      <c r="CU239" s="106"/>
      <c r="CV239" s="351"/>
      <c r="CW239" s="351"/>
      <c r="CX239" s="351"/>
      <c r="CY239" s="351"/>
      <c r="CZ239" s="351"/>
      <c r="DA239" s="351"/>
      <c r="DB239" s="351"/>
      <c r="DC239" s="351"/>
      <c r="DD239" s="320"/>
      <c r="DE239" s="320"/>
      <c r="DF239" s="320"/>
      <c r="DG239" s="320"/>
      <c r="DH239" s="320"/>
      <c r="DI239" s="351"/>
      <c r="DJ239" s="320"/>
      <c r="DK239" s="320"/>
      <c r="DL239" s="351"/>
      <c r="DM239" s="351"/>
      <c r="DN239" s="351"/>
      <c r="DO239" s="320"/>
      <c r="DP239" s="320"/>
      <c r="DQ239" s="320"/>
      <c r="DR239" s="351"/>
      <c r="DS239" s="351"/>
      <c r="DT239" s="320"/>
      <c r="DU239" s="351"/>
      <c r="DV239" s="320"/>
      <c r="DW239" s="320"/>
      <c r="DX239" s="320"/>
      <c r="DY239" s="320"/>
      <c r="DZ239" s="320"/>
      <c r="EA239" s="351"/>
      <c r="EB239" s="320"/>
      <c r="EC239" s="320"/>
      <c r="ED239" s="862"/>
    </row>
    <row r="240">
      <c r="A240" s="1787"/>
      <c r="B240" s="378" t="s">
        <v>271</v>
      </c>
      <c r="C240" s="379" t="s">
        <v>271</v>
      </c>
      <c r="D240" s="380" t="s">
        <v>271</v>
      </c>
      <c r="E240" s="381" t="s">
        <v>271</v>
      </c>
      <c r="F240" s="382" t="s">
        <v>271</v>
      </c>
      <c r="G240" s="378" t="s">
        <v>271</v>
      </c>
      <c r="H240" s="1700"/>
      <c r="I240" s="1788"/>
      <c r="J240" s="1700"/>
      <c r="K240" s="1700"/>
      <c r="L240" s="1700"/>
      <c r="M240" s="1700"/>
      <c r="N240" s="1700"/>
      <c r="O240" s="1700"/>
      <c r="P240" s="1700"/>
      <c r="Q240" s="835"/>
      <c r="R240" s="835"/>
      <c r="S240" s="835"/>
      <c r="T240" s="835"/>
      <c r="U240" s="835"/>
      <c r="V240" s="835"/>
      <c r="W240" s="106"/>
      <c r="X240" s="402"/>
      <c r="Y240" s="402"/>
      <c r="Z240" s="402"/>
      <c r="AA240" s="402"/>
      <c r="AB240" s="1133"/>
      <c r="AC240" s="402"/>
      <c r="AD240" s="402"/>
      <c r="AE240" s="837"/>
      <c r="AF240" s="402"/>
      <c r="AG240" s="402"/>
      <c r="AH240" s="837"/>
      <c r="AI240" s="837"/>
      <c r="AJ240" s="402"/>
      <c r="AK240" s="837"/>
      <c r="AL240" s="105"/>
      <c r="AM240" s="413"/>
      <c r="AN240" s="413"/>
      <c r="AO240" s="839"/>
      <c r="AP240" s="839"/>
      <c r="AQ240" s="570"/>
      <c r="AR240" s="570"/>
      <c r="AS240" s="839"/>
      <c r="AT240" s="839"/>
      <c r="AU240" s="413"/>
      <c r="AV240" s="413"/>
      <c r="AW240" s="413"/>
      <c r="AX240" s="839"/>
      <c r="AY240" s="839"/>
      <c r="AZ240" s="839"/>
      <c r="BA240" s="839"/>
      <c r="BB240" s="1633"/>
      <c r="BC240" s="1633"/>
      <c r="BD240" s="1633"/>
      <c r="BE240" s="1633"/>
      <c r="BF240" s="1633"/>
      <c r="BG240" s="1633"/>
      <c r="BH240" s="580"/>
      <c r="BI240" s="1633"/>
      <c r="BJ240" s="580"/>
      <c r="BK240" s="1633"/>
      <c r="BL240" s="1633"/>
      <c r="BM240" s="580"/>
      <c r="BN240" s="580"/>
      <c r="BO240" s="1633"/>
      <c r="BP240" s="580"/>
      <c r="BQ240" s="845"/>
      <c r="BR240" s="424"/>
      <c r="BS240" s="424"/>
      <c r="BT240" s="424"/>
      <c r="BU240" s="424"/>
      <c r="BV240" s="424"/>
      <c r="BW240" s="424"/>
      <c r="BX240" s="849"/>
      <c r="BY240" s="424"/>
      <c r="BZ240" s="424"/>
      <c r="CA240" s="424"/>
      <c r="CB240" s="849"/>
      <c r="CC240" s="849"/>
      <c r="CD240" s="849"/>
      <c r="CE240" s="849"/>
      <c r="CF240" s="851"/>
      <c r="CG240" s="434"/>
      <c r="CH240" s="434"/>
      <c r="CI240" s="434"/>
      <c r="CJ240" s="434"/>
      <c r="CK240" s="434"/>
      <c r="CL240" s="434"/>
      <c r="CM240" s="434"/>
      <c r="CN240" s="434"/>
      <c r="CO240" s="434"/>
      <c r="CP240" s="1789"/>
      <c r="CQ240" s="852"/>
      <c r="CR240" s="852"/>
      <c r="CS240" s="852"/>
      <c r="CT240" s="852"/>
      <c r="CU240" s="106"/>
      <c r="CV240" s="467"/>
      <c r="CW240" s="467"/>
      <c r="CX240" s="467"/>
      <c r="CY240" s="467"/>
      <c r="CZ240" s="467"/>
      <c r="DA240" s="467"/>
      <c r="DB240" s="467"/>
      <c r="DC240" s="467"/>
      <c r="DD240" s="853"/>
      <c r="DE240" s="853"/>
      <c r="DF240" s="853"/>
      <c r="DG240" s="853"/>
      <c r="DH240" s="853"/>
      <c r="DI240" s="686"/>
      <c r="DJ240" s="855"/>
      <c r="DK240" s="855"/>
      <c r="DL240" s="686"/>
      <c r="DM240" s="686"/>
      <c r="DN240" s="686"/>
      <c r="DO240" s="855"/>
      <c r="DP240" s="855"/>
      <c r="DQ240" s="855"/>
      <c r="DR240" s="686"/>
      <c r="DS240" s="686"/>
      <c r="DT240" s="855"/>
      <c r="DU240" s="686"/>
      <c r="DV240" s="855"/>
      <c r="DW240" s="855"/>
      <c r="DX240" s="855"/>
      <c r="DY240" s="855"/>
      <c r="DZ240" s="855"/>
      <c r="EA240" s="686"/>
      <c r="EB240" s="855"/>
      <c r="EC240" s="855"/>
      <c r="ED240" s="1039"/>
    </row>
    <row r="241">
      <c r="A241" s="1707"/>
      <c r="B241" s="245" t="s">
        <v>271</v>
      </c>
      <c r="C241" s="246" t="s">
        <v>271</v>
      </c>
      <c r="D241" s="247" t="s">
        <v>271</v>
      </c>
      <c r="E241" s="248" t="s">
        <v>271</v>
      </c>
      <c r="F241" s="249" t="s">
        <v>271</v>
      </c>
      <c r="G241" s="245" t="s">
        <v>271</v>
      </c>
      <c r="H241" s="351"/>
      <c r="I241" s="288"/>
      <c r="J241" s="351"/>
      <c r="K241" s="351"/>
      <c r="L241" s="351"/>
      <c r="M241" s="351"/>
      <c r="N241" s="351"/>
      <c r="O241" s="351"/>
      <c r="P241" s="351"/>
      <c r="Q241" s="320"/>
      <c r="R241" s="320"/>
      <c r="S241" s="320"/>
      <c r="T241" s="320"/>
      <c r="U241" s="320"/>
      <c r="V241" s="320"/>
      <c r="W241" s="106"/>
      <c r="X241" s="351"/>
      <c r="Y241" s="351"/>
      <c r="Z241" s="351"/>
      <c r="AA241" s="351"/>
      <c r="AB241" s="881"/>
      <c r="AC241" s="351"/>
      <c r="AD241" s="351"/>
      <c r="AE241" s="320"/>
      <c r="AF241" s="351"/>
      <c r="AG241" s="351"/>
      <c r="AH241" s="320"/>
      <c r="AI241" s="320"/>
      <c r="AJ241" s="351"/>
      <c r="AK241" s="320"/>
      <c r="AL241" s="105"/>
      <c r="AM241" s="351"/>
      <c r="AN241" s="351"/>
      <c r="AO241" s="320"/>
      <c r="AP241" s="320"/>
      <c r="AQ241" s="286"/>
      <c r="AR241" s="286"/>
      <c r="AS241" s="320"/>
      <c r="AT241" s="320"/>
      <c r="AU241" s="351"/>
      <c r="AV241" s="351"/>
      <c r="AW241" s="351"/>
      <c r="AX241" s="320"/>
      <c r="AY241" s="320"/>
      <c r="AZ241" s="320"/>
      <c r="BA241" s="320"/>
      <c r="BB241" s="351"/>
      <c r="BC241" s="351"/>
      <c r="BD241" s="351"/>
      <c r="BE241" s="351"/>
      <c r="BF241" s="351"/>
      <c r="BG241" s="351"/>
      <c r="BH241" s="320"/>
      <c r="BI241" s="351"/>
      <c r="BJ241" s="320"/>
      <c r="BK241" s="351"/>
      <c r="BL241" s="351"/>
      <c r="BM241" s="320"/>
      <c r="BN241" s="320"/>
      <c r="BO241" s="351"/>
      <c r="BP241" s="320"/>
      <c r="BQ241" s="824"/>
      <c r="BR241" s="351"/>
      <c r="BS241" s="351"/>
      <c r="BT241" s="351"/>
      <c r="BU241" s="351"/>
      <c r="BV241" s="351"/>
      <c r="BW241" s="351"/>
      <c r="BX241" s="320"/>
      <c r="BY241" s="351"/>
      <c r="BZ241" s="351"/>
      <c r="CA241" s="351"/>
      <c r="CB241" s="320"/>
      <c r="CC241" s="320"/>
      <c r="CD241" s="320"/>
      <c r="CE241" s="320"/>
      <c r="CF241" s="824"/>
      <c r="CG241" s="351"/>
      <c r="CH241" s="351"/>
      <c r="CI241" s="351"/>
      <c r="CJ241" s="351"/>
      <c r="CK241" s="351"/>
      <c r="CL241" s="351"/>
      <c r="CM241" s="351"/>
      <c r="CN241" s="351"/>
      <c r="CO241" s="351"/>
      <c r="CP241" s="758"/>
      <c r="CQ241" s="320"/>
      <c r="CR241" s="320"/>
      <c r="CS241" s="320"/>
      <c r="CT241" s="320"/>
      <c r="CU241" s="106"/>
      <c r="CV241" s="351"/>
      <c r="CW241" s="351"/>
      <c r="CX241" s="351"/>
      <c r="CY241" s="351"/>
      <c r="CZ241" s="351"/>
      <c r="DA241" s="351"/>
      <c r="DB241" s="351"/>
      <c r="DC241" s="351"/>
      <c r="DD241" s="320"/>
      <c r="DE241" s="320"/>
      <c r="DF241" s="320"/>
      <c r="DG241" s="320"/>
      <c r="DH241" s="320"/>
      <c r="DI241" s="351"/>
      <c r="DJ241" s="320"/>
      <c r="DK241" s="320"/>
      <c r="DL241" s="351"/>
      <c r="DM241" s="351"/>
      <c r="DN241" s="351"/>
      <c r="DO241" s="320"/>
      <c r="DP241" s="320"/>
      <c r="DQ241" s="320"/>
      <c r="DR241" s="351"/>
      <c r="DS241" s="351"/>
      <c r="DT241" s="320"/>
      <c r="DU241" s="351"/>
      <c r="DV241" s="320"/>
      <c r="DW241" s="320"/>
      <c r="DX241" s="320"/>
      <c r="DY241" s="320"/>
      <c r="DZ241" s="320"/>
      <c r="EA241" s="351"/>
      <c r="EB241" s="320"/>
      <c r="EC241" s="320"/>
      <c r="ED241" s="862"/>
    </row>
    <row r="242">
      <c r="A242" s="1787"/>
      <c r="B242" s="378" t="s">
        <v>271</v>
      </c>
      <c r="C242" s="379" t="s">
        <v>271</v>
      </c>
      <c r="D242" s="380" t="s">
        <v>271</v>
      </c>
      <c r="E242" s="381" t="s">
        <v>271</v>
      </c>
      <c r="F242" s="382" t="s">
        <v>271</v>
      </c>
      <c r="G242" s="378" t="s">
        <v>271</v>
      </c>
      <c r="H242" s="1700"/>
      <c r="I242" s="1788"/>
      <c r="J242" s="1700"/>
      <c r="K242" s="1700"/>
      <c r="L242" s="1700"/>
      <c r="M242" s="1700"/>
      <c r="N242" s="1700"/>
      <c r="O242" s="1700"/>
      <c r="P242" s="1700"/>
      <c r="Q242" s="835"/>
      <c r="R242" s="835"/>
      <c r="S242" s="835"/>
      <c r="T242" s="835"/>
      <c r="U242" s="835"/>
      <c r="V242" s="835"/>
      <c r="W242" s="106"/>
      <c r="X242" s="402"/>
      <c r="Y242" s="402"/>
      <c r="Z242" s="402"/>
      <c r="AA242" s="402"/>
      <c r="AB242" s="1133"/>
      <c r="AC242" s="402"/>
      <c r="AD242" s="402"/>
      <c r="AE242" s="837"/>
      <c r="AF242" s="402"/>
      <c r="AG242" s="402"/>
      <c r="AH242" s="837"/>
      <c r="AI242" s="837"/>
      <c r="AJ242" s="402"/>
      <c r="AK242" s="837"/>
      <c r="AL242" s="105"/>
      <c r="AM242" s="413"/>
      <c r="AN242" s="413"/>
      <c r="AO242" s="839"/>
      <c r="AP242" s="839"/>
      <c r="AQ242" s="570"/>
      <c r="AR242" s="570"/>
      <c r="AS242" s="839"/>
      <c r="AT242" s="839"/>
      <c r="AU242" s="413"/>
      <c r="AV242" s="413"/>
      <c r="AW242" s="413"/>
      <c r="AX242" s="839"/>
      <c r="AY242" s="839"/>
      <c r="AZ242" s="839"/>
      <c r="BA242" s="839"/>
      <c r="BB242" s="1633"/>
      <c r="BC242" s="1633"/>
      <c r="BD242" s="1633"/>
      <c r="BE242" s="1633"/>
      <c r="BF242" s="1633"/>
      <c r="BG242" s="1633"/>
      <c r="BH242" s="580"/>
      <c r="BI242" s="1633"/>
      <c r="BJ242" s="580"/>
      <c r="BK242" s="1633"/>
      <c r="BL242" s="1633"/>
      <c r="BM242" s="580"/>
      <c r="BN242" s="580"/>
      <c r="BO242" s="1633"/>
      <c r="BP242" s="580"/>
      <c r="BQ242" s="845"/>
      <c r="BR242" s="424"/>
      <c r="BS242" s="424"/>
      <c r="BT242" s="424"/>
      <c r="BU242" s="424"/>
      <c r="BV242" s="424"/>
      <c r="BW242" s="424"/>
      <c r="BX242" s="849"/>
      <c r="BY242" s="424"/>
      <c r="BZ242" s="424"/>
      <c r="CA242" s="424"/>
      <c r="CB242" s="849"/>
      <c r="CC242" s="849"/>
      <c r="CD242" s="849"/>
      <c r="CE242" s="849"/>
      <c r="CF242" s="851"/>
      <c r="CG242" s="434"/>
      <c r="CH242" s="434"/>
      <c r="CI242" s="434"/>
      <c r="CJ242" s="434"/>
      <c r="CK242" s="434"/>
      <c r="CL242" s="434"/>
      <c r="CM242" s="434"/>
      <c r="CN242" s="434"/>
      <c r="CO242" s="434"/>
      <c r="CP242" s="1789"/>
      <c r="CQ242" s="852"/>
      <c r="CR242" s="852"/>
      <c r="CS242" s="852"/>
      <c r="CT242" s="852"/>
      <c r="CU242" s="106"/>
      <c r="CV242" s="467"/>
      <c r="CW242" s="467"/>
      <c r="CX242" s="467"/>
      <c r="CY242" s="467"/>
      <c r="CZ242" s="467"/>
      <c r="DA242" s="467"/>
      <c r="DB242" s="467"/>
      <c r="DC242" s="467"/>
      <c r="DD242" s="853"/>
      <c r="DE242" s="853"/>
      <c r="DF242" s="853"/>
      <c r="DG242" s="853"/>
      <c r="DH242" s="853"/>
      <c r="DI242" s="686"/>
      <c r="DJ242" s="855"/>
      <c r="DK242" s="855"/>
      <c r="DL242" s="686"/>
      <c r="DM242" s="686"/>
      <c r="DN242" s="686"/>
      <c r="DO242" s="855"/>
      <c r="DP242" s="855"/>
      <c r="DQ242" s="855"/>
      <c r="DR242" s="686"/>
      <c r="DS242" s="686"/>
      <c r="DT242" s="855"/>
      <c r="DU242" s="686"/>
      <c r="DV242" s="855"/>
      <c r="DW242" s="855"/>
      <c r="DX242" s="855"/>
      <c r="DY242" s="855"/>
      <c r="DZ242" s="855"/>
      <c r="EA242" s="686"/>
      <c r="EB242" s="855"/>
      <c r="EC242" s="855"/>
      <c r="ED242" s="1039"/>
    </row>
    <row r="243">
      <c r="A243" s="1707"/>
      <c r="B243" s="245" t="s">
        <v>271</v>
      </c>
      <c r="C243" s="246" t="s">
        <v>271</v>
      </c>
      <c r="D243" s="247" t="s">
        <v>271</v>
      </c>
      <c r="E243" s="248" t="s">
        <v>271</v>
      </c>
      <c r="F243" s="249" t="s">
        <v>271</v>
      </c>
      <c r="G243" s="245" t="s">
        <v>271</v>
      </c>
      <c r="H243" s="351"/>
      <c r="I243" s="288"/>
      <c r="J243" s="351"/>
      <c r="K243" s="351"/>
      <c r="L243" s="351"/>
      <c r="M243" s="351"/>
      <c r="N243" s="351"/>
      <c r="O243" s="351"/>
      <c r="P243" s="351"/>
      <c r="Q243" s="320"/>
      <c r="R243" s="320"/>
      <c r="S243" s="320"/>
      <c r="T243" s="320"/>
      <c r="U243" s="320"/>
      <c r="V243" s="320"/>
      <c r="W243" s="106"/>
      <c r="X243" s="351"/>
      <c r="Y243" s="351"/>
      <c r="Z243" s="351"/>
      <c r="AA243" s="351"/>
      <c r="AB243" s="881"/>
      <c r="AC243" s="351"/>
      <c r="AD243" s="351"/>
      <c r="AE243" s="320"/>
      <c r="AF243" s="351"/>
      <c r="AG243" s="351"/>
      <c r="AH243" s="320"/>
      <c r="AI243" s="320"/>
      <c r="AJ243" s="351"/>
      <c r="AK243" s="320"/>
      <c r="AL243" s="105"/>
      <c r="AM243" s="351"/>
      <c r="AN243" s="351"/>
      <c r="AO243" s="320"/>
      <c r="AP243" s="320"/>
      <c r="AQ243" s="286"/>
      <c r="AR243" s="286"/>
      <c r="AS243" s="320"/>
      <c r="AT243" s="320"/>
      <c r="AU243" s="351"/>
      <c r="AV243" s="351"/>
      <c r="AW243" s="351"/>
      <c r="AX243" s="320"/>
      <c r="AY243" s="320"/>
      <c r="AZ243" s="320"/>
      <c r="BA243" s="320"/>
      <c r="BB243" s="351"/>
      <c r="BC243" s="351"/>
      <c r="BD243" s="351"/>
      <c r="BE243" s="351"/>
      <c r="BF243" s="351"/>
      <c r="BG243" s="351"/>
      <c r="BH243" s="320"/>
      <c r="BI243" s="351"/>
      <c r="BJ243" s="320"/>
      <c r="BK243" s="351"/>
      <c r="BL243" s="351"/>
      <c r="BM243" s="320"/>
      <c r="BN243" s="320"/>
      <c r="BO243" s="351"/>
      <c r="BP243" s="320"/>
      <c r="BQ243" s="824"/>
      <c r="BR243" s="351"/>
      <c r="BS243" s="351"/>
      <c r="BT243" s="351"/>
      <c r="BU243" s="351"/>
      <c r="BV243" s="351"/>
      <c r="BW243" s="351"/>
      <c r="BX243" s="320"/>
      <c r="BY243" s="351"/>
      <c r="BZ243" s="351"/>
      <c r="CA243" s="351"/>
      <c r="CB243" s="320"/>
      <c r="CC243" s="320"/>
      <c r="CD243" s="320"/>
      <c r="CE243" s="320"/>
      <c r="CF243" s="824"/>
      <c r="CG243" s="351"/>
      <c r="CH243" s="351"/>
      <c r="CI243" s="351"/>
      <c r="CJ243" s="351"/>
      <c r="CK243" s="351"/>
      <c r="CL243" s="351"/>
      <c r="CM243" s="351"/>
      <c r="CN243" s="351"/>
      <c r="CO243" s="351"/>
      <c r="CP243" s="758"/>
      <c r="CQ243" s="320"/>
      <c r="CR243" s="320"/>
      <c r="CS243" s="320"/>
      <c r="CT243" s="320"/>
      <c r="CU243" s="106"/>
      <c r="CV243" s="351"/>
      <c r="CW243" s="351"/>
      <c r="CX243" s="351"/>
      <c r="CY243" s="351"/>
      <c r="CZ243" s="351"/>
      <c r="DA243" s="351"/>
      <c r="DB243" s="351"/>
      <c r="DC243" s="351"/>
      <c r="DD243" s="320"/>
      <c r="DE243" s="320"/>
      <c r="DF243" s="320"/>
      <c r="DG243" s="320"/>
      <c r="DH243" s="320"/>
      <c r="DI243" s="351"/>
      <c r="DJ243" s="320"/>
      <c r="DK243" s="320"/>
      <c r="DL243" s="351"/>
      <c r="DM243" s="351"/>
      <c r="DN243" s="351"/>
      <c r="DO243" s="320"/>
      <c r="DP243" s="320"/>
      <c r="DQ243" s="320"/>
      <c r="DR243" s="351"/>
      <c r="DS243" s="351"/>
      <c r="DT243" s="320"/>
      <c r="DU243" s="351"/>
      <c r="DV243" s="320"/>
      <c r="DW243" s="320"/>
      <c r="DX243" s="320"/>
      <c r="DY243" s="320"/>
      <c r="DZ243" s="320"/>
      <c r="EA243" s="351"/>
      <c r="EB243" s="320"/>
      <c r="EC243" s="320"/>
      <c r="ED243" s="862"/>
    </row>
    <row r="244">
      <c r="A244" s="1787"/>
      <c r="B244" s="378" t="s">
        <v>271</v>
      </c>
      <c r="C244" s="379" t="s">
        <v>271</v>
      </c>
      <c r="D244" s="380" t="s">
        <v>271</v>
      </c>
      <c r="E244" s="381" t="s">
        <v>271</v>
      </c>
      <c r="F244" s="382" t="s">
        <v>271</v>
      </c>
      <c r="G244" s="378" t="s">
        <v>271</v>
      </c>
      <c r="H244" s="1700"/>
      <c r="I244" s="1788"/>
      <c r="J244" s="1700"/>
      <c r="K244" s="1700"/>
      <c r="L244" s="1700"/>
      <c r="M244" s="1700"/>
      <c r="N244" s="1700"/>
      <c r="O244" s="1700"/>
      <c r="P244" s="1700"/>
      <c r="Q244" s="835"/>
      <c r="R244" s="835"/>
      <c r="S244" s="835"/>
      <c r="T244" s="835"/>
      <c r="U244" s="835"/>
      <c r="V244" s="835"/>
      <c r="W244" s="106"/>
      <c r="X244" s="402"/>
      <c r="Y244" s="402"/>
      <c r="Z244" s="402"/>
      <c r="AA244" s="402"/>
      <c r="AB244" s="1133"/>
      <c r="AC244" s="402"/>
      <c r="AD244" s="402"/>
      <c r="AE244" s="837"/>
      <c r="AF244" s="402"/>
      <c r="AG244" s="402"/>
      <c r="AH244" s="837"/>
      <c r="AI244" s="837"/>
      <c r="AJ244" s="402"/>
      <c r="AK244" s="837"/>
      <c r="AL244" s="105"/>
      <c r="AM244" s="413"/>
      <c r="AN244" s="413"/>
      <c r="AO244" s="839"/>
      <c r="AP244" s="839"/>
      <c r="AQ244" s="570"/>
      <c r="AR244" s="570"/>
      <c r="AS244" s="839"/>
      <c r="AT244" s="839"/>
      <c r="AU244" s="413"/>
      <c r="AV244" s="413"/>
      <c r="AW244" s="413"/>
      <c r="AX244" s="839"/>
      <c r="AY244" s="839"/>
      <c r="AZ244" s="839"/>
      <c r="BA244" s="839"/>
      <c r="BB244" s="1633"/>
      <c r="BC244" s="1633"/>
      <c r="BD244" s="1633"/>
      <c r="BE244" s="1633"/>
      <c r="BF244" s="1633"/>
      <c r="BG244" s="1633"/>
      <c r="BH244" s="580"/>
      <c r="BI244" s="1633"/>
      <c r="BJ244" s="580"/>
      <c r="BK244" s="1633"/>
      <c r="BL244" s="1633"/>
      <c r="BM244" s="580"/>
      <c r="BN244" s="580"/>
      <c r="BO244" s="1633"/>
      <c r="BP244" s="580"/>
      <c r="BQ244" s="845"/>
      <c r="BR244" s="424"/>
      <c r="BS244" s="424"/>
      <c r="BT244" s="424"/>
      <c r="BU244" s="424"/>
      <c r="BV244" s="424"/>
      <c r="BW244" s="424"/>
      <c r="BX244" s="849"/>
      <c r="BY244" s="424"/>
      <c r="BZ244" s="424"/>
      <c r="CA244" s="424"/>
      <c r="CB244" s="849"/>
      <c r="CC244" s="849"/>
      <c r="CD244" s="849"/>
      <c r="CE244" s="849"/>
      <c r="CF244" s="851"/>
      <c r="CG244" s="434"/>
      <c r="CH244" s="434"/>
      <c r="CI244" s="434"/>
      <c r="CJ244" s="434"/>
      <c r="CK244" s="434"/>
      <c r="CL244" s="434"/>
      <c r="CM244" s="434"/>
      <c r="CN244" s="434"/>
      <c r="CO244" s="434"/>
      <c r="CP244" s="1789"/>
      <c r="CQ244" s="852"/>
      <c r="CR244" s="852"/>
      <c r="CS244" s="852"/>
      <c r="CT244" s="852"/>
      <c r="CU244" s="106"/>
      <c r="CV244" s="467"/>
      <c r="CW244" s="467"/>
      <c r="CX244" s="467"/>
      <c r="CY244" s="467"/>
      <c r="CZ244" s="467"/>
      <c r="DA244" s="467"/>
      <c r="DB244" s="467"/>
      <c r="DC244" s="467"/>
      <c r="DD244" s="853"/>
      <c r="DE244" s="853"/>
      <c r="DF244" s="853"/>
      <c r="DG244" s="853"/>
      <c r="DH244" s="853"/>
      <c r="DI244" s="686"/>
      <c r="DJ244" s="855"/>
      <c r="DK244" s="855"/>
      <c r="DL244" s="686"/>
      <c r="DM244" s="686"/>
      <c r="DN244" s="686"/>
      <c r="DO244" s="855"/>
      <c r="DP244" s="855"/>
      <c r="DQ244" s="855"/>
      <c r="DR244" s="686"/>
      <c r="DS244" s="686"/>
      <c r="DT244" s="855"/>
      <c r="DU244" s="686"/>
      <c r="DV244" s="855"/>
      <c r="DW244" s="855"/>
      <c r="DX244" s="855"/>
      <c r="DY244" s="855"/>
      <c r="DZ244" s="855"/>
      <c r="EA244" s="686"/>
      <c r="EB244" s="855"/>
      <c r="EC244" s="855"/>
      <c r="ED244" s="1039"/>
    </row>
    <row r="245">
      <c r="A245" s="1707"/>
      <c r="B245" s="245" t="s">
        <v>271</v>
      </c>
      <c r="C245" s="246" t="s">
        <v>271</v>
      </c>
      <c r="D245" s="247" t="s">
        <v>271</v>
      </c>
      <c r="E245" s="248" t="s">
        <v>271</v>
      </c>
      <c r="F245" s="249" t="s">
        <v>271</v>
      </c>
      <c r="G245" s="245" t="s">
        <v>271</v>
      </c>
      <c r="H245" s="351"/>
      <c r="I245" s="288"/>
      <c r="J245" s="351"/>
      <c r="K245" s="351"/>
      <c r="L245" s="351"/>
      <c r="M245" s="351"/>
      <c r="N245" s="351"/>
      <c r="O245" s="351"/>
      <c r="P245" s="351"/>
      <c r="Q245" s="320"/>
      <c r="R245" s="320"/>
      <c r="S245" s="320"/>
      <c r="T245" s="320"/>
      <c r="U245" s="320"/>
      <c r="V245" s="320"/>
      <c r="W245" s="106"/>
      <c r="X245" s="351"/>
      <c r="Y245" s="351"/>
      <c r="Z245" s="351"/>
      <c r="AA245" s="351"/>
      <c r="AB245" s="881"/>
      <c r="AC245" s="351"/>
      <c r="AD245" s="351"/>
      <c r="AE245" s="320"/>
      <c r="AF245" s="351"/>
      <c r="AG245" s="351"/>
      <c r="AH245" s="320"/>
      <c r="AI245" s="320"/>
      <c r="AJ245" s="351"/>
      <c r="AK245" s="320"/>
      <c r="AL245" s="105"/>
      <c r="AM245" s="351"/>
      <c r="AN245" s="351"/>
      <c r="AO245" s="320"/>
      <c r="AP245" s="320"/>
      <c r="AQ245" s="286"/>
      <c r="AR245" s="286"/>
      <c r="AS245" s="320"/>
      <c r="AT245" s="320"/>
      <c r="AU245" s="351"/>
      <c r="AV245" s="351"/>
      <c r="AW245" s="351"/>
      <c r="AX245" s="320"/>
      <c r="AY245" s="320"/>
      <c r="AZ245" s="320"/>
      <c r="BA245" s="320"/>
      <c r="BB245" s="351"/>
      <c r="BC245" s="351"/>
      <c r="BD245" s="351"/>
      <c r="BE245" s="351"/>
      <c r="BF245" s="351"/>
      <c r="BG245" s="351"/>
      <c r="BH245" s="320"/>
      <c r="BI245" s="351"/>
      <c r="BJ245" s="320"/>
      <c r="BK245" s="351"/>
      <c r="BL245" s="351"/>
      <c r="BM245" s="320"/>
      <c r="BN245" s="320"/>
      <c r="BO245" s="351"/>
      <c r="BP245" s="320"/>
      <c r="BQ245" s="824"/>
      <c r="BR245" s="351"/>
      <c r="BS245" s="351"/>
      <c r="BT245" s="351"/>
      <c r="BU245" s="351"/>
      <c r="BV245" s="351"/>
      <c r="BW245" s="351"/>
      <c r="BX245" s="320"/>
      <c r="BY245" s="351"/>
      <c r="BZ245" s="351"/>
      <c r="CA245" s="351"/>
      <c r="CB245" s="320"/>
      <c r="CC245" s="320"/>
      <c r="CD245" s="320"/>
      <c r="CE245" s="320"/>
      <c r="CF245" s="824"/>
      <c r="CG245" s="351"/>
      <c r="CH245" s="351"/>
      <c r="CI245" s="351"/>
      <c r="CJ245" s="351"/>
      <c r="CK245" s="351"/>
      <c r="CL245" s="351"/>
      <c r="CM245" s="351"/>
      <c r="CN245" s="351"/>
      <c r="CO245" s="351"/>
      <c r="CP245" s="758"/>
      <c r="CQ245" s="320"/>
      <c r="CR245" s="320"/>
      <c r="CS245" s="320"/>
      <c r="CT245" s="320"/>
      <c r="CU245" s="106"/>
      <c r="CV245" s="351"/>
      <c r="CW245" s="351"/>
      <c r="CX245" s="351"/>
      <c r="CY245" s="351"/>
      <c r="CZ245" s="351"/>
      <c r="DA245" s="351"/>
      <c r="DB245" s="351"/>
      <c r="DC245" s="351"/>
      <c r="DD245" s="320"/>
      <c r="DE245" s="320"/>
      <c r="DF245" s="320"/>
      <c r="DG245" s="320"/>
      <c r="DH245" s="320"/>
      <c r="DI245" s="351"/>
      <c r="DJ245" s="320"/>
      <c r="DK245" s="320"/>
      <c r="DL245" s="351"/>
      <c r="DM245" s="351"/>
      <c r="DN245" s="351"/>
      <c r="DO245" s="320"/>
      <c r="DP245" s="320"/>
      <c r="DQ245" s="320"/>
      <c r="DR245" s="351"/>
      <c r="DS245" s="351"/>
      <c r="DT245" s="320"/>
      <c r="DU245" s="351"/>
      <c r="DV245" s="320"/>
      <c r="DW245" s="320"/>
      <c r="DX245" s="320"/>
      <c r="DY245" s="320"/>
      <c r="DZ245" s="320"/>
      <c r="EA245" s="351"/>
      <c r="EB245" s="320"/>
      <c r="EC245" s="320"/>
      <c r="ED245" s="862"/>
    </row>
    <row r="246">
      <c r="A246" s="1787"/>
      <c r="B246" s="378" t="s">
        <v>271</v>
      </c>
      <c r="C246" s="379" t="s">
        <v>271</v>
      </c>
      <c r="D246" s="380" t="s">
        <v>271</v>
      </c>
      <c r="E246" s="381" t="s">
        <v>271</v>
      </c>
      <c r="F246" s="382" t="s">
        <v>271</v>
      </c>
      <c r="G246" s="378" t="s">
        <v>271</v>
      </c>
      <c r="H246" s="1700"/>
      <c r="I246" s="1788"/>
      <c r="J246" s="1700"/>
      <c r="K246" s="1700"/>
      <c r="L246" s="1700"/>
      <c r="M246" s="1700"/>
      <c r="N246" s="1700"/>
      <c r="O246" s="1700"/>
      <c r="P246" s="1700"/>
      <c r="Q246" s="835"/>
      <c r="R246" s="835"/>
      <c r="S246" s="835"/>
      <c r="T246" s="835"/>
      <c r="U246" s="835"/>
      <c r="V246" s="835"/>
      <c r="W246" s="106"/>
      <c r="X246" s="402"/>
      <c r="Y246" s="402"/>
      <c r="Z246" s="402"/>
      <c r="AA246" s="402"/>
      <c r="AB246" s="1133"/>
      <c r="AC246" s="402"/>
      <c r="AD246" s="402"/>
      <c r="AE246" s="837"/>
      <c r="AF246" s="402"/>
      <c r="AG246" s="402"/>
      <c r="AH246" s="837"/>
      <c r="AI246" s="837"/>
      <c r="AJ246" s="402"/>
      <c r="AK246" s="837"/>
      <c r="AL246" s="105"/>
      <c r="AM246" s="413"/>
      <c r="AN246" s="413"/>
      <c r="AO246" s="839"/>
      <c r="AP246" s="839"/>
      <c r="AQ246" s="570"/>
      <c r="AR246" s="570"/>
      <c r="AS246" s="839"/>
      <c r="AT246" s="839"/>
      <c r="AU246" s="413"/>
      <c r="AV246" s="413"/>
      <c r="AW246" s="413"/>
      <c r="AX246" s="839"/>
      <c r="AY246" s="839"/>
      <c r="AZ246" s="839"/>
      <c r="BA246" s="839"/>
      <c r="BB246" s="1633"/>
      <c r="BC246" s="1633"/>
      <c r="BD246" s="1633"/>
      <c r="BE246" s="1633"/>
      <c r="BF246" s="1633"/>
      <c r="BG246" s="1633"/>
      <c r="BH246" s="580"/>
      <c r="BI246" s="1633"/>
      <c r="BJ246" s="580"/>
      <c r="BK246" s="1633"/>
      <c r="BL246" s="1633"/>
      <c r="BM246" s="580"/>
      <c r="BN246" s="580"/>
      <c r="BO246" s="1633"/>
      <c r="BP246" s="580"/>
      <c r="BQ246" s="845"/>
      <c r="BR246" s="424"/>
      <c r="BS246" s="424"/>
      <c r="BT246" s="424"/>
      <c r="BU246" s="424"/>
      <c r="BV246" s="424"/>
      <c r="BW246" s="424"/>
      <c r="BX246" s="849"/>
      <c r="BY246" s="424"/>
      <c r="BZ246" s="424"/>
      <c r="CA246" s="424"/>
      <c r="CB246" s="849"/>
      <c r="CC246" s="849"/>
      <c r="CD246" s="849"/>
      <c r="CE246" s="849"/>
      <c r="CF246" s="851"/>
      <c r="CG246" s="434"/>
      <c r="CH246" s="434"/>
      <c r="CI246" s="434"/>
      <c r="CJ246" s="434"/>
      <c r="CK246" s="434"/>
      <c r="CL246" s="434"/>
      <c r="CM246" s="434"/>
      <c r="CN246" s="434"/>
      <c r="CO246" s="434"/>
      <c r="CP246" s="1789"/>
      <c r="CQ246" s="852"/>
      <c r="CR246" s="852"/>
      <c r="CS246" s="852"/>
      <c r="CT246" s="852"/>
      <c r="CU246" s="106"/>
      <c r="CV246" s="467"/>
      <c r="CW246" s="467"/>
      <c r="CX246" s="467"/>
      <c r="CY246" s="467"/>
      <c r="CZ246" s="467"/>
      <c r="DA246" s="467"/>
      <c r="DB246" s="467"/>
      <c r="DC246" s="467"/>
      <c r="DD246" s="853"/>
      <c r="DE246" s="853"/>
      <c r="DF246" s="853"/>
      <c r="DG246" s="853"/>
      <c r="DH246" s="853"/>
      <c r="DI246" s="686"/>
      <c r="DJ246" s="855"/>
      <c r="DK246" s="855"/>
      <c r="DL246" s="686"/>
      <c r="DM246" s="686"/>
      <c r="DN246" s="686"/>
      <c r="DO246" s="855"/>
      <c r="DP246" s="855"/>
      <c r="DQ246" s="855"/>
      <c r="DR246" s="686"/>
      <c r="DS246" s="686"/>
      <c r="DT246" s="855"/>
      <c r="DU246" s="686"/>
      <c r="DV246" s="855"/>
      <c r="DW246" s="855"/>
      <c r="DX246" s="855"/>
      <c r="DY246" s="855"/>
      <c r="DZ246" s="855"/>
      <c r="EA246" s="686"/>
      <c r="EB246" s="855"/>
      <c r="EC246" s="855"/>
      <c r="ED246" s="1039"/>
    </row>
    <row r="247">
      <c r="A247" s="1707"/>
      <c r="B247" s="245" t="s">
        <v>271</v>
      </c>
      <c r="C247" s="246" t="s">
        <v>271</v>
      </c>
      <c r="D247" s="247" t="s">
        <v>271</v>
      </c>
      <c r="E247" s="248" t="s">
        <v>271</v>
      </c>
      <c r="F247" s="249" t="s">
        <v>271</v>
      </c>
      <c r="G247" s="245" t="s">
        <v>271</v>
      </c>
      <c r="H247" s="351"/>
      <c r="I247" s="288"/>
      <c r="J247" s="351"/>
      <c r="K247" s="351"/>
      <c r="L247" s="351"/>
      <c r="M247" s="351"/>
      <c r="N247" s="351"/>
      <c r="O247" s="351"/>
      <c r="P247" s="351"/>
      <c r="Q247" s="320"/>
      <c r="R247" s="320"/>
      <c r="S247" s="320"/>
      <c r="T247" s="320"/>
      <c r="U247" s="320"/>
      <c r="V247" s="320"/>
      <c r="W247" s="106"/>
      <c r="X247" s="351"/>
      <c r="Y247" s="351"/>
      <c r="Z247" s="351"/>
      <c r="AA247" s="351"/>
      <c r="AB247" s="881"/>
      <c r="AC247" s="351"/>
      <c r="AD247" s="351"/>
      <c r="AE247" s="320"/>
      <c r="AF247" s="351"/>
      <c r="AG247" s="351"/>
      <c r="AH247" s="320"/>
      <c r="AI247" s="320"/>
      <c r="AJ247" s="351"/>
      <c r="AK247" s="320"/>
      <c r="AL247" s="105"/>
      <c r="AM247" s="351"/>
      <c r="AN247" s="351"/>
      <c r="AO247" s="320"/>
      <c r="AP247" s="320"/>
      <c r="AQ247" s="286"/>
      <c r="AR247" s="286"/>
      <c r="AS247" s="320"/>
      <c r="AT247" s="320"/>
      <c r="AU247" s="351"/>
      <c r="AV247" s="351"/>
      <c r="AW247" s="351"/>
      <c r="AX247" s="320"/>
      <c r="AY247" s="320"/>
      <c r="AZ247" s="320"/>
      <c r="BA247" s="320"/>
      <c r="BB247" s="351"/>
      <c r="BC247" s="351"/>
      <c r="BD247" s="351"/>
      <c r="BE247" s="351"/>
      <c r="BF247" s="351"/>
      <c r="BG247" s="351"/>
      <c r="BH247" s="320"/>
      <c r="BI247" s="351"/>
      <c r="BJ247" s="320"/>
      <c r="BK247" s="351"/>
      <c r="BL247" s="351"/>
      <c r="BM247" s="320"/>
      <c r="BN247" s="320"/>
      <c r="BO247" s="351"/>
      <c r="BP247" s="320"/>
      <c r="BQ247" s="824"/>
      <c r="BR247" s="351"/>
      <c r="BS247" s="351"/>
      <c r="BT247" s="351"/>
      <c r="BU247" s="351"/>
      <c r="BV247" s="351"/>
      <c r="BW247" s="351"/>
      <c r="BX247" s="320"/>
      <c r="BY247" s="351"/>
      <c r="BZ247" s="351"/>
      <c r="CA247" s="351"/>
      <c r="CB247" s="320"/>
      <c r="CC247" s="320"/>
      <c r="CD247" s="320"/>
      <c r="CE247" s="320"/>
      <c r="CF247" s="824"/>
      <c r="CG247" s="351"/>
      <c r="CH247" s="351"/>
      <c r="CI247" s="351"/>
      <c r="CJ247" s="351"/>
      <c r="CK247" s="351"/>
      <c r="CL247" s="351"/>
      <c r="CM247" s="351"/>
      <c r="CN247" s="351"/>
      <c r="CO247" s="351"/>
      <c r="CP247" s="758"/>
      <c r="CQ247" s="320"/>
      <c r="CR247" s="320"/>
      <c r="CS247" s="320"/>
      <c r="CT247" s="320"/>
      <c r="CU247" s="106"/>
      <c r="CV247" s="351"/>
      <c r="CW247" s="351"/>
      <c r="CX247" s="351"/>
      <c r="CY247" s="351"/>
      <c r="CZ247" s="351"/>
      <c r="DA247" s="351"/>
      <c r="DB247" s="351"/>
      <c r="DC247" s="351"/>
      <c r="DD247" s="320"/>
      <c r="DE247" s="320"/>
      <c r="DF247" s="320"/>
      <c r="DG247" s="320"/>
      <c r="DH247" s="320"/>
      <c r="DI247" s="351"/>
      <c r="DJ247" s="320"/>
      <c r="DK247" s="320"/>
      <c r="DL247" s="351"/>
      <c r="DM247" s="351"/>
      <c r="DN247" s="351"/>
      <c r="DO247" s="320"/>
      <c r="DP247" s="320"/>
      <c r="DQ247" s="320"/>
      <c r="DR247" s="351"/>
      <c r="DS247" s="351"/>
      <c r="DT247" s="320"/>
      <c r="DU247" s="351"/>
      <c r="DV247" s="320"/>
      <c r="DW247" s="320"/>
      <c r="DX247" s="320"/>
      <c r="DY247" s="320"/>
      <c r="DZ247" s="320"/>
      <c r="EA247" s="351"/>
      <c r="EB247" s="320"/>
      <c r="EC247" s="320"/>
      <c r="ED247" s="862"/>
    </row>
    <row r="248">
      <c r="A248" s="1787"/>
      <c r="B248" s="378" t="s">
        <v>271</v>
      </c>
      <c r="C248" s="379" t="s">
        <v>271</v>
      </c>
      <c r="D248" s="380" t="s">
        <v>271</v>
      </c>
      <c r="E248" s="381" t="s">
        <v>271</v>
      </c>
      <c r="F248" s="382" t="s">
        <v>271</v>
      </c>
      <c r="G248" s="378" t="s">
        <v>271</v>
      </c>
      <c r="H248" s="1700"/>
      <c r="I248" s="1788"/>
      <c r="J248" s="1700"/>
      <c r="K248" s="1700"/>
      <c r="L248" s="1700"/>
      <c r="M248" s="1700"/>
      <c r="N248" s="1700"/>
      <c r="O248" s="1700"/>
      <c r="P248" s="1700"/>
      <c r="Q248" s="835"/>
      <c r="R248" s="835"/>
      <c r="S248" s="835"/>
      <c r="T248" s="835"/>
      <c r="U248" s="835"/>
      <c r="V248" s="835"/>
      <c r="W248" s="106"/>
      <c r="X248" s="402"/>
      <c r="Y248" s="402"/>
      <c r="Z248" s="402"/>
      <c r="AA248" s="402"/>
      <c r="AB248" s="1133"/>
      <c r="AC248" s="402"/>
      <c r="AD248" s="402"/>
      <c r="AE248" s="837"/>
      <c r="AF248" s="402"/>
      <c r="AG248" s="402"/>
      <c r="AH248" s="837"/>
      <c r="AI248" s="837"/>
      <c r="AJ248" s="402"/>
      <c r="AK248" s="837"/>
      <c r="AL248" s="105"/>
      <c r="AM248" s="413"/>
      <c r="AN248" s="413"/>
      <c r="AO248" s="839"/>
      <c r="AP248" s="839"/>
      <c r="AQ248" s="570"/>
      <c r="AR248" s="570"/>
      <c r="AS248" s="839"/>
      <c r="AT248" s="839"/>
      <c r="AU248" s="413"/>
      <c r="AV248" s="413"/>
      <c r="AW248" s="413"/>
      <c r="AX248" s="839"/>
      <c r="AY248" s="839"/>
      <c r="AZ248" s="839"/>
      <c r="BA248" s="839"/>
      <c r="BB248" s="1633"/>
      <c r="BC248" s="1633"/>
      <c r="BD248" s="1633"/>
      <c r="BE248" s="1633"/>
      <c r="BF248" s="1633"/>
      <c r="BG248" s="1633"/>
      <c r="BH248" s="580"/>
      <c r="BI248" s="1633"/>
      <c r="BJ248" s="580"/>
      <c r="BK248" s="1633"/>
      <c r="BL248" s="1633"/>
      <c r="BM248" s="580"/>
      <c r="BN248" s="580"/>
      <c r="BO248" s="1633"/>
      <c r="BP248" s="580"/>
      <c r="BQ248" s="845"/>
      <c r="BR248" s="424"/>
      <c r="BS248" s="424"/>
      <c r="BT248" s="424"/>
      <c r="BU248" s="424"/>
      <c r="BV248" s="424"/>
      <c r="BW248" s="424"/>
      <c r="BX248" s="849"/>
      <c r="BY248" s="424"/>
      <c r="BZ248" s="424"/>
      <c r="CA248" s="424"/>
      <c r="CB248" s="849"/>
      <c r="CC248" s="849"/>
      <c r="CD248" s="849"/>
      <c r="CE248" s="849"/>
      <c r="CF248" s="851"/>
      <c r="CG248" s="434"/>
      <c r="CH248" s="434"/>
      <c r="CI248" s="434"/>
      <c r="CJ248" s="434"/>
      <c r="CK248" s="434"/>
      <c r="CL248" s="434"/>
      <c r="CM248" s="434"/>
      <c r="CN248" s="434"/>
      <c r="CO248" s="434"/>
      <c r="CP248" s="1789"/>
      <c r="CQ248" s="852"/>
      <c r="CR248" s="852"/>
      <c r="CS248" s="852"/>
      <c r="CT248" s="852"/>
      <c r="CU248" s="106"/>
      <c r="CV248" s="467"/>
      <c r="CW248" s="467"/>
      <c r="CX248" s="467"/>
      <c r="CY248" s="467"/>
      <c r="CZ248" s="467"/>
      <c r="DA248" s="467"/>
      <c r="DB248" s="467"/>
      <c r="DC248" s="467"/>
      <c r="DD248" s="853"/>
      <c r="DE248" s="853"/>
      <c r="DF248" s="853"/>
      <c r="DG248" s="853"/>
      <c r="DH248" s="853"/>
      <c r="DI248" s="686"/>
      <c r="DJ248" s="855"/>
      <c r="DK248" s="855"/>
      <c r="DL248" s="686"/>
      <c r="DM248" s="686"/>
      <c r="DN248" s="686"/>
      <c r="DO248" s="855"/>
      <c r="DP248" s="855"/>
      <c r="DQ248" s="855"/>
      <c r="DR248" s="686"/>
      <c r="DS248" s="686"/>
      <c r="DT248" s="855"/>
      <c r="DU248" s="686"/>
      <c r="DV248" s="855"/>
      <c r="DW248" s="855"/>
      <c r="DX248" s="855"/>
      <c r="DY248" s="855"/>
      <c r="DZ248" s="855"/>
      <c r="EA248" s="686"/>
      <c r="EB248" s="855"/>
      <c r="EC248" s="855"/>
      <c r="ED248" s="1039"/>
    </row>
    <row r="249">
      <c r="A249" s="1707"/>
      <c r="B249" s="245" t="s">
        <v>271</v>
      </c>
      <c r="C249" s="246" t="s">
        <v>271</v>
      </c>
      <c r="D249" s="247" t="s">
        <v>271</v>
      </c>
      <c r="E249" s="248" t="s">
        <v>271</v>
      </c>
      <c r="F249" s="249" t="s">
        <v>271</v>
      </c>
      <c r="G249" s="245" t="s">
        <v>271</v>
      </c>
      <c r="H249" s="351"/>
      <c r="I249" s="288"/>
      <c r="J249" s="351"/>
      <c r="K249" s="351"/>
      <c r="L249" s="351"/>
      <c r="M249" s="351"/>
      <c r="N249" s="351"/>
      <c r="O249" s="351"/>
      <c r="P249" s="351"/>
      <c r="Q249" s="320"/>
      <c r="R249" s="320"/>
      <c r="S249" s="320"/>
      <c r="T249" s="320"/>
      <c r="U249" s="320"/>
      <c r="V249" s="320"/>
      <c r="W249" s="106"/>
      <c r="X249" s="351"/>
      <c r="Y249" s="351"/>
      <c r="Z249" s="351"/>
      <c r="AA249" s="351"/>
      <c r="AB249" s="881"/>
      <c r="AC249" s="351"/>
      <c r="AD249" s="351"/>
      <c r="AE249" s="320"/>
      <c r="AF249" s="351"/>
      <c r="AG249" s="351"/>
      <c r="AH249" s="320"/>
      <c r="AI249" s="320"/>
      <c r="AJ249" s="351"/>
      <c r="AK249" s="320"/>
      <c r="AL249" s="105"/>
      <c r="AM249" s="351"/>
      <c r="AN249" s="351"/>
      <c r="AO249" s="320"/>
      <c r="AP249" s="320"/>
      <c r="AQ249" s="286"/>
      <c r="AR249" s="286"/>
      <c r="AS249" s="320"/>
      <c r="AT249" s="320"/>
      <c r="AU249" s="351"/>
      <c r="AV249" s="351"/>
      <c r="AW249" s="351"/>
      <c r="AX249" s="320"/>
      <c r="AY249" s="320"/>
      <c r="AZ249" s="320"/>
      <c r="BA249" s="320"/>
      <c r="BB249" s="351"/>
      <c r="BC249" s="351"/>
      <c r="BD249" s="351"/>
      <c r="BE249" s="351"/>
      <c r="BF249" s="351"/>
      <c r="BG249" s="351"/>
      <c r="BH249" s="320"/>
      <c r="BI249" s="351"/>
      <c r="BJ249" s="320"/>
      <c r="BK249" s="351"/>
      <c r="BL249" s="351"/>
      <c r="BM249" s="320"/>
      <c r="BN249" s="320"/>
      <c r="BO249" s="351"/>
      <c r="BP249" s="320"/>
      <c r="BQ249" s="824"/>
      <c r="BR249" s="351"/>
      <c r="BS249" s="351"/>
      <c r="BT249" s="351"/>
      <c r="BU249" s="351"/>
      <c r="BV249" s="351"/>
      <c r="BW249" s="351"/>
      <c r="BX249" s="320"/>
      <c r="BY249" s="351"/>
      <c r="BZ249" s="351"/>
      <c r="CA249" s="351"/>
      <c r="CB249" s="320"/>
      <c r="CC249" s="320"/>
      <c r="CD249" s="320"/>
      <c r="CE249" s="320"/>
      <c r="CF249" s="824"/>
      <c r="CG249" s="351"/>
      <c r="CH249" s="351"/>
      <c r="CI249" s="351"/>
      <c r="CJ249" s="351"/>
      <c r="CK249" s="351"/>
      <c r="CL249" s="351"/>
      <c r="CM249" s="351"/>
      <c r="CN249" s="351"/>
      <c r="CO249" s="351"/>
      <c r="CP249" s="758"/>
      <c r="CQ249" s="320"/>
      <c r="CR249" s="320"/>
      <c r="CS249" s="320"/>
      <c r="CT249" s="320"/>
      <c r="CU249" s="106"/>
      <c r="CV249" s="351"/>
      <c r="CW249" s="351"/>
      <c r="CX249" s="351"/>
      <c r="CY249" s="351"/>
      <c r="CZ249" s="351"/>
      <c r="DA249" s="351"/>
      <c r="DB249" s="351"/>
      <c r="DC249" s="351"/>
      <c r="DD249" s="320"/>
      <c r="DE249" s="320"/>
      <c r="DF249" s="320"/>
      <c r="DG249" s="320"/>
      <c r="DH249" s="320"/>
      <c r="DI249" s="351"/>
      <c r="DJ249" s="320"/>
      <c r="DK249" s="320"/>
      <c r="DL249" s="351"/>
      <c r="DM249" s="351"/>
      <c r="DN249" s="351"/>
      <c r="DO249" s="320"/>
      <c r="DP249" s="320"/>
      <c r="DQ249" s="320"/>
      <c r="DR249" s="351"/>
      <c r="DS249" s="351"/>
      <c r="DT249" s="320"/>
      <c r="DU249" s="351"/>
      <c r="DV249" s="320"/>
      <c r="DW249" s="320"/>
      <c r="DX249" s="320"/>
      <c r="DY249" s="320"/>
      <c r="DZ249" s="320"/>
      <c r="EA249" s="351"/>
      <c r="EB249" s="320"/>
      <c r="EC249" s="320"/>
      <c r="ED249" s="862"/>
    </row>
    <row r="250">
      <c r="A250" s="1787"/>
      <c r="B250" s="378" t="s">
        <v>271</v>
      </c>
      <c r="C250" s="379" t="s">
        <v>271</v>
      </c>
      <c r="D250" s="380" t="s">
        <v>271</v>
      </c>
      <c r="E250" s="381" t="s">
        <v>271</v>
      </c>
      <c r="F250" s="382" t="s">
        <v>271</v>
      </c>
      <c r="G250" s="378" t="s">
        <v>271</v>
      </c>
      <c r="H250" s="1700"/>
      <c r="I250" s="1788"/>
      <c r="J250" s="1700"/>
      <c r="K250" s="1700"/>
      <c r="L250" s="1700"/>
      <c r="M250" s="1700"/>
      <c r="N250" s="1700"/>
      <c r="O250" s="1700"/>
      <c r="P250" s="1700"/>
      <c r="Q250" s="835"/>
      <c r="R250" s="835"/>
      <c r="S250" s="835"/>
      <c r="T250" s="835"/>
      <c r="U250" s="835"/>
      <c r="V250" s="835"/>
      <c r="W250" s="106"/>
      <c r="X250" s="402"/>
      <c r="Y250" s="402"/>
      <c r="Z250" s="402"/>
      <c r="AA250" s="402"/>
      <c r="AB250" s="1133"/>
      <c r="AC250" s="402"/>
      <c r="AD250" s="402"/>
      <c r="AE250" s="837"/>
      <c r="AF250" s="402"/>
      <c r="AG250" s="402"/>
      <c r="AH250" s="837"/>
      <c r="AI250" s="837"/>
      <c r="AJ250" s="402"/>
      <c r="AK250" s="837"/>
      <c r="AL250" s="105"/>
      <c r="AM250" s="413"/>
      <c r="AN250" s="413"/>
      <c r="AO250" s="839"/>
      <c r="AP250" s="839"/>
      <c r="AQ250" s="570"/>
      <c r="AR250" s="570"/>
      <c r="AS250" s="839"/>
      <c r="AT250" s="839"/>
      <c r="AU250" s="413"/>
      <c r="AV250" s="413"/>
      <c r="AW250" s="413"/>
      <c r="AX250" s="839"/>
      <c r="AY250" s="839"/>
      <c r="AZ250" s="839"/>
      <c r="BA250" s="839"/>
      <c r="BB250" s="1633"/>
      <c r="BC250" s="1633"/>
      <c r="BD250" s="1633"/>
      <c r="BE250" s="1633"/>
      <c r="BF250" s="1633"/>
      <c r="BG250" s="1633"/>
      <c r="BH250" s="580"/>
      <c r="BI250" s="1633"/>
      <c r="BJ250" s="580"/>
      <c r="BK250" s="1633"/>
      <c r="BL250" s="1633"/>
      <c r="BM250" s="580"/>
      <c r="BN250" s="580"/>
      <c r="BO250" s="1633"/>
      <c r="BP250" s="580"/>
      <c r="BQ250" s="845"/>
      <c r="BR250" s="424"/>
      <c r="BS250" s="424"/>
      <c r="BT250" s="424"/>
      <c r="BU250" s="424"/>
      <c r="BV250" s="424"/>
      <c r="BW250" s="424"/>
      <c r="BX250" s="849"/>
      <c r="BY250" s="424"/>
      <c r="BZ250" s="424"/>
      <c r="CA250" s="424"/>
      <c r="CB250" s="849"/>
      <c r="CC250" s="849"/>
      <c r="CD250" s="849"/>
      <c r="CE250" s="849"/>
      <c r="CF250" s="851"/>
      <c r="CG250" s="434"/>
      <c r="CH250" s="434"/>
      <c r="CI250" s="434"/>
      <c r="CJ250" s="434"/>
      <c r="CK250" s="434"/>
      <c r="CL250" s="434"/>
      <c r="CM250" s="434"/>
      <c r="CN250" s="434"/>
      <c r="CO250" s="434"/>
      <c r="CP250" s="1789"/>
      <c r="CQ250" s="852"/>
      <c r="CR250" s="852"/>
      <c r="CS250" s="852"/>
      <c r="CT250" s="852"/>
      <c r="CU250" s="106"/>
      <c r="CV250" s="467"/>
      <c r="CW250" s="467"/>
      <c r="CX250" s="467"/>
      <c r="CY250" s="467"/>
      <c r="CZ250" s="467"/>
      <c r="DA250" s="467"/>
      <c r="DB250" s="467"/>
      <c r="DC250" s="467"/>
      <c r="DD250" s="853"/>
      <c r="DE250" s="853"/>
      <c r="DF250" s="853"/>
      <c r="DG250" s="853"/>
      <c r="DH250" s="853"/>
      <c r="DI250" s="686"/>
      <c r="DJ250" s="855"/>
      <c r="DK250" s="855"/>
      <c r="DL250" s="686"/>
      <c r="DM250" s="686"/>
      <c r="DN250" s="686"/>
      <c r="DO250" s="855"/>
      <c r="DP250" s="855"/>
      <c r="DQ250" s="855"/>
      <c r="DR250" s="686"/>
      <c r="DS250" s="686"/>
      <c r="DT250" s="855"/>
      <c r="DU250" s="686"/>
      <c r="DV250" s="855"/>
      <c r="DW250" s="855"/>
      <c r="DX250" s="855"/>
      <c r="DY250" s="855"/>
      <c r="DZ250" s="855"/>
      <c r="EA250" s="686"/>
      <c r="EB250" s="855"/>
      <c r="EC250" s="855"/>
      <c r="ED250" s="1039"/>
    </row>
    <row r="251">
      <c r="A251" s="1707"/>
      <c r="B251" s="245" t="s">
        <v>271</v>
      </c>
      <c r="C251" s="246" t="s">
        <v>271</v>
      </c>
      <c r="D251" s="247" t="s">
        <v>271</v>
      </c>
      <c r="E251" s="248" t="s">
        <v>271</v>
      </c>
      <c r="F251" s="249" t="s">
        <v>271</v>
      </c>
      <c r="G251" s="245" t="s">
        <v>271</v>
      </c>
      <c r="H251" s="351"/>
      <c r="I251" s="288"/>
      <c r="J251" s="351"/>
      <c r="K251" s="351"/>
      <c r="L251" s="351"/>
      <c r="M251" s="351"/>
      <c r="N251" s="351"/>
      <c r="O251" s="351"/>
      <c r="P251" s="351"/>
      <c r="Q251" s="320"/>
      <c r="R251" s="320"/>
      <c r="S251" s="320"/>
      <c r="T251" s="320"/>
      <c r="U251" s="320"/>
      <c r="V251" s="320"/>
      <c r="W251" s="106"/>
      <c r="X251" s="351"/>
      <c r="Y251" s="351"/>
      <c r="Z251" s="351"/>
      <c r="AA251" s="351"/>
      <c r="AB251" s="881"/>
      <c r="AC251" s="351"/>
      <c r="AD251" s="351"/>
      <c r="AE251" s="320"/>
      <c r="AF251" s="351"/>
      <c r="AG251" s="351"/>
      <c r="AH251" s="320"/>
      <c r="AI251" s="320"/>
      <c r="AJ251" s="351"/>
      <c r="AK251" s="320"/>
      <c r="AL251" s="105"/>
      <c r="AM251" s="351"/>
      <c r="AN251" s="351"/>
      <c r="AO251" s="320"/>
      <c r="AP251" s="320"/>
      <c r="AQ251" s="286"/>
      <c r="AR251" s="286"/>
      <c r="AS251" s="320"/>
      <c r="AT251" s="320"/>
      <c r="AU251" s="351"/>
      <c r="AV251" s="351"/>
      <c r="AW251" s="351"/>
      <c r="AX251" s="320"/>
      <c r="AY251" s="320"/>
      <c r="AZ251" s="320"/>
      <c r="BA251" s="320"/>
      <c r="BB251" s="351"/>
      <c r="BC251" s="351"/>
      <c r="BD251" s="351"/>
      <c r="BE251" s="351"/>
      <c r="BF251" s="351"/>
      <c r="BG251" s="351"/>
      <c r="BH251" s="320"/>
      <c r="BI251" s="351"/>
      <c r="BJ251" s="320"/>
      <c r="BK251" s="351"/>
      <c r="BL251" s="351"/>
      <c r="BM251" s="320"/>
      <c r="BN251" s="320"/>
      <c r="BO251" s="351"/>
      <c r="BP251" s="320"/>
      <c r="BQ251" s="824"/>
      <c r="BR251" s="351"/>
      <c r="BS251" s="351"/>
      <c r="BT251" s="351"/>
      <c r="BU251" s="351"/>
      <c r="BV251" s="351"/>
      <c r="BW251" s="351"/>
      <c r="BX251" s="320"/>
      <c r="BY251" s="351"/>
      <c r="BZ251" s="351"/>
      <c r="CA251" s="351"/>
      <c r="CB251" s="320"/>
      <c r="CC251" s="320"/>
      <c r="CD251" s="320"/>
      <c r="CE251" s="320"/>
      <c r="CF251" s="824"/>
      <c r="CG251" s="351"/>
      <c r="CH251" s="351"/>
      <c r="CI251" s="351"/>
      <c r="CJ251" s="351"/>
      <c r="CK251" s="351"/>
      <c r="CL251" s="351"/>
      <c r="CM251" s="351"/>
      <c r="CN251" s="351"/>
      <c r="CO251" s="351"/>
      <c r="CP251" s="758"/>
      <c r="CQ251" s="320"/>
      <c r="CR251" s="320"/>
      <c r="CS251" s="320"/>
      <c r="CT251" s="320"/>
      <c r="CU251" s="106"/>
      <c r="CV251" s="351"/>
      <c r="CW251" s="351"/>
      <c r="CX251" s="351"/>
      <c r="CY251" s="351"/>
      <c r="CZ251" s="351"/>
      <c r="DA251" s="351"/>
      <c r="DB251" s="351"/>
      <c r="DC251" s="351"/>
      <c r="DD251" s="320"/>
      <c r="DE251" s="320"/>
      <c r="DF251" s="320"/>
      <c r="DG251" s="320"/>
      <c r="DH251" s="320"/>
      <c r="DI251" s="351"/>
      <c r="DJ251" s="320"/>
      <c r="DK251" s="320"/>
      <c r="DL251" s="351"/>
      <c r="DM251" s="351"/>
      <c r="DN251" s="351"/>
      <c r="DO251" s="320"/>
      <c r="DP251" s="320"/>
      <c r="DQ251" s="320"/>
      <c r="DR251" s="351"/>
      <c r="DS251" s="351"/>
      <c r="DT251" s="320"/>
      <c r="DU251" s="351"/>
      <c r="DV251" s="320"/>
      <c r="DW251" s="320"/>
      <c r="DX251" s="320"/>
      <c r="DY251" s="320"/>
      <c r="DZ251" s="320"/>
      <c r="EA251" s="351"/>
      <c r="EB251" s="320"/>
      <c r="EC251" s="320"/>
      <c r="ED251" s="862"/>
    </row>
    <row r="252">
      <c r="A252" s="1787"/>
      <c r="B252" s="378" t="s">
        <v>271</v>
      </c>
      <c r="C252" s="379" t="s">
        <v>271</v>
      </c>
      <c r="D252" s="380" t="s">
        <v>271</v>
      </c>
      <c r="E252" s="381" t="s">
        <v>271</v>
      </c>
      <c r="F252" s="382" t="s">
        <v>271</v>
      </c>
      <c r="G252" s="378" t="s">
        <v>271</v>
      </c>
      <c r="H252" s="1700"/>
      <c r="I252" s="1788"/>
      <c r="J252" s="1700"/>
      <c r="K252" s="1700"/>
      <c r="L252" s="1700"/>
      <c r="M252" s="1700"/>
      <c r="N252" s="1700"/>
      <c r="O252" s="1700"/>
      <c r="P252" s="1700"/>
      <c r="Q252" s="835"/>
      <c r="R252" s="835"/>
      <c r="S252" s="835"/>
      <c r="T252" s="835"/>
      <c r="U252" s="835"/>
      <c r="V252" s="835"/>
      <c r="W252" s="106"/>
      <c r="X252" s="402"/>
      <c r="Y252" s="402"/>
      <c r="Z252" s="402"/>
      <c r="AA252" s="402"/>
      <c r="AB252" s="1133"/>
      <c r="AC252" s="402"/>
      <c r="AD252" s="402"/>
      <c r="AE252" s="837"/>
      <c r="AF252" s="402"/>
      <c r="AG252" s="402"/>
      <c r="AH252" s="837"/>
      <c r="AI252" s="837"/>
      <c r="AJ252" s="402"/>
      <c r="AK252" s="837"/>
      <c r="AL252" s="105"/>
      <c r="AM252" s="413"/>
      <c r="AN252" s="413"/>
      <c r="AO252" s="839"/>
      <c r="AP252" s="839"/>
      <c r="AQ252" s="570"/>
      <c r="AR252" s="570"/>
      <c r="AS252" s="839"/>
      <c r="AT252" s="839"/>
      <c r="AU252" s="413"/>
      <c r="AV252" s="413"/>
      <c r="AW252" s="413"/>
      <c r="AX252" s="839"/>
      <c r="AY252" s="839"/>
      <c r="AZ252" s="839"/>
      <c r="BA252" s="839"/>
      <c r="BB252" s="1633"/>
      <c r="BC252" s="1633"/>
      <c r="BD252" s="1633"/>
      <c r="BE252" s="1633"/>
      <c r="BF252" s="1633"/>
      <c r="BG252" s="1633"/>
      <c r="BH252" s="580"/>
      <c r="BI252" s="1633"/>
      <c r="BJ252" s="580"/>
      <c r="BK252" s="1633"/>
      <c r="BL252" s="1633"/>
      <c r="BM252" s="580"/>
      <c r="BN252" s="580"/>
      <c r="BO252" s="1633"/>
      <c r="BP252" s="580"/>
      <c r="BQ252" s="845"/>
      <c r="BR252" s="424"/>
      <c r="BS252" s="424"/>
      <c r="BT252" s="424"/>
      <c r="BU252" s="424"/>
      <c r="BV252" s="424"/>
      <c r="BW252" s="424"/>
      <c r="BX252" s="849"/>
      <c r="BY252" s="424"/>
      <c r="BZ252" s="424"/>
      <c r="CA252" s="424"/>
      <c r="CB252" s="849"/>
      <c r="CC252" s="849"/>
      <c r="CD252" s="849"/>
      <c r="CE252" s="849"/>
      <c r="CF252" s="851"/>
      <c r="CG252" s="434"/>
      <c r="CH252" s="434"/>
      <c r="CI252" s="434"/>
      <c r="CJ252" s="434"/>
      <c r="CK252" s="434"/>
      <c r="CL252" s="434"/>
      <c r="CM252" s="434"/>
      <c r="CN252" s="434"/>
      <c r="CO252" s="434"/>
      <c r="CP252" s="1789"/>
      <c r="CQ252" s="852"/>
      <c r="CR252" s="852"/>
      <c r="CS252" s="852"/>
      <c r="CT252" s="852"/>
      <c r="CU252" s="106"/>
      <c r="CV252" s="467"/>
      <c r="CW252" s="467"/>
      <c r="CX252" s="467"/>
      <c r="CY252" s="467"/>
      <c r="CZ252" s="467"/>
      <c r="DA252" s="467"/>
      <c r="DB252" s="467"/>
      <c r="DC252" s="467"/>
      <c r="DD252" s="853"/>
      <c r="DE252" s="853"/>
      <c r="DF252" s="853"/>
      <c r="DG252" s="853"/>
      <c r="DH252" s="853"/>
      <c r="DI252" s="686"/>
      <c r="DJ252" s="855"/>
      <c r="DK252" s="855"/>
      <c r="DL252" s="686"/>
      <c r="DM252" s="686"/>
      <c r="DN252" s="686"/>
      <c r="DO252" s="855"/>
      <c r="DP252" s="855"/>
      <c r="DQ252" s="855"/>
      <c r="DR252" s="686"/>
      <c r="DS252" s="686"/>
      <c r="DT252" s="855"/>
      <c r="DU252" s="686"/>
      <c r="DV252" s="855"/>
      <c r="DW252" s="855"/>
      <c r="DX252" s="855"/>
      <c r="DY252" s="855"/>
      <c r="DZ252" s="855"/>
      <c r="EA252" s="686"/>
      <c r="EB252" s="855"/>
      <c r="EC252" s="855"/>
      <c r="ED252" s="1039"/>
    </row>
    <row r="253">
      <c r="A253" s="1707"/>
      <c r="B253" s="245" t="s">
        <v>271</v>
      </c>
      <c r="C253" s="246" t="s">
        <v>271</v>
      </c>
      <c r="D253" s="247" t="s">
        <v>271</v>
      </c>
      <c r="E253" s="248" t="s">
        <v>271</v>
      </c>
      <c r="F253" s="249" t="s">
        <v>271</v>
      </c>
      <c r="G253" s="245" t="s">
        <v>271</v>
      </c>
      <c r="H253" s="351"/>
      <c r="I253" s="288"/>
      <c r="J253" s="351"/>
      <c r="K253" s="351"/>
      <c r="L253" s="351"/>
      <c r="M253" s="351"/>
      <c r="N253" s="351"/>
      <c r="O253" s="351"/>
      <c r="P253" s="351"/>
      <c r="Q253" s="320"/>
      <c r="R253" s="320"/>
      <c r="S253" s="320"/>
      <c r="T253" s="320"/>
      <c r="U253" s="320"/>
      <c r="V253" s="320"/>
      <c r="W253" s="106"/>
      <c r="X253" s="351"/>
      <c r="Y253" s="351"/>
      <c r="Z253" s="351"/>
      <c r="AA253" s="351"/>
      <c r="AB253" s="881"/>
      <c r="AC253" s="351"/>
      <c r="AD253" s="351"/>
      <c r="AE253" s="320"/>
      <c r="AF253" s="351"/>
      <c r="AG253" s="351"/>
      <c r="AH253" s="320"/>
      <c r="AI253" s="320"/>
      <c r="AJ253" s="351"/>
      <c r="AK253" s="320"/>
      <c r="AL253" s="105"/>
      <c r="AM253" s="351"/>
      <c r="AN253" s="351"/>
      <c r="AO253" s="320"/>
      <c r="AP253" s="320"/>
      <c r="AQ253" s="286"/>
      <c r="AR253" s="286"/>
      <c r="AS253" s="320"/>
      <c r="AT253" s="320"/>
      <c r="AU253" s="351"/>
      <c r="AV253" s="351"/>
      <c r="AW253" s="351"/>
      <c r="AX253" s="320"/>
      <c r="AY253" s="320"/>
      <c r="AZ253" s="320"/>
      <c r="BA253" s="320"/>
      <c r="BB253" s="351"/>
      <c r="BC253" s="351"/>
      <c r="BD253" s="351"/>
      <c r="BE253" s="351"/>
      <c r="BF253" s="351"/>
      <c r="BG253" s="351"/>
      <c r="BH253" s="320"/>
      <c r="BI253" s="351"/>
      <c r="BJ253" s="320"/>
      <c r="BK253" s="351"/>
      <c r="BL253" s="351"/>
      <c r="BM253" s="320"/>
      <c r="BN253" s="320"/>
      <c r="BO253" s="351"/>
      <c r="BP253" s="320"/>
      <c r="BQ253" s="824"/>
      <c r="BR253" s="351"/>
      <c r="BS253" s="351"/>
      <c r="BT253" s="351"/>
      <c r="BU253" s="351"/>
      <c r="BV253" s="351"/>
      <c r="BW253" s="351"/>
      <c r="BX253" s="320"/>
      <c r="BY253" s="351"/>
      <c r="BZ253" s="351"/>
      <c r="CA253" s="351"/>
      <c r="CB253" s="320"/>
      <c r="CC253" s="320"/>
      <c r="CD253" s="320"/>
      <c r="CE253" s="320"/>
      <c r="CF253" s="824"/>
      <c r="CG253" s="351"/>
      <c r="CH253" s="351"/>
      <c r="CI253" s="351"/>
      <c r="CJ253" s="351"/>
      <c r="CK253" s="351"/>
      <c r="CL253" s="351"/>
      <c r="CM253" s="351"/>
      <c r="CN253" s="351"/>
      <c r="CO253" s="351"/>
      <c r="CP253" s="758"/>
      <c r="CQ253" s="320"/>
      <c r="CR253" s="320"/>
      <c r="CS253" s="320"/>
      <c r="CT253" s="320"/>
      <c r="CU253" s="106"/>
      <c r="CV253" s="351"/>
      <c r="CW253" s="351"/>
      <c r="CX253" s="351"/>
      <c r="CY253" s="351"/>
      <c r="CZ253" s="351"/>
      <c r="DA253" s="351"/>
      <c r="DB253" s="351"/>
      <c r="DC253" s="351"/>
      <c r="DD253" s="320"/>
      <c r="DE253" s="320"/>
      <c r="DF253" s="320"/>
      <c r="DG253" s="320"/>
      <c r="DH253" s="320"/>
      <c r="DI253" s="351"/>
      <c r="DJ253" s="320"/>
      <c r="DK253" s="320"/>
      <c r="DL253" s="351"/>
      <c r="DM253" s="351"/>
      <c r="DN253" s="351"/>
      <c r="DO253" s="320"/>
      <c r="DP253" s="320"/>
      <c r="DQ253" s="320"/>
      <c r="DR253" s="351"/>
      <c r="DS253" s="351"/>
      <c r="DT253" s="320"/>
      <c r="DU253" s="351"/>
      <c r="DV253" s="320"/>
      <c r="DW253" s="320"/>
      <c r="DX253" s="320"/>
      <c r="DY253" s="320"/>
      <c r="DZ253" s="320"/>
      <c r="EA253" s="351"/>
      <c r="EB253" s="320"/>
      <c r="EC253" s="320"/>
      <c r="ED253" s="862"/>
    </row>
    <row r="254">
      <c r="A254" s="1787"/>
      <c r="B254" s="378" t="s">
        <v>271</v>
      </c>
      <c r="C254" s="379" t="s">
        <v>271</v>
      </c>
      <c r="D254" s="380" t="s">
        <v>271</v>
      </c>
      <c r="E254" s="381" t="s">
        <v>271</v>
      </c>
      <c r="F254" s="382" t="s">
        <v>271</v>
      </c>
      <c r="G254" s="378" t="s">
        <v>271</v>
      </c>
      <c r="H254" s="1700"/>
      <c r="I254" s="1788"/>
      <c r="J254" s="1700"/>
      <c r="K254" s="1700"/>
      <c r="L254" s="1700"/>
      <c r="M254" s="1700"/>
      <c r="N254" s="1700"/>
      <c r="O254" s="1700"/>
      <c r="P254" s="1700"/>
      <c r="Q254" s="835"/>
      <c r="R254" s="835"/>
      <c r="S254" s="835"/>
      <c r="T254" s="835"/>
      <c r="U254" s="835"/>
      <c r="V254" s="835"/>
      <c r="W254" s="106"/>
      <c r="X254" s="402"/>
      <c r="Y254" s="402"/>
      <c r="Z254" s="402"/>
      <c r="AA254" s="402"/>
      <c r="AB254" s="1133"/>
      <c r="AC254" s="402"/>
      <c r="AD254" s="402"/>
      <c r="AE254" s="837"/>
      <c r="AF254" s="402"/>
      <c r="AG254" s="402"/>
      <c r="AH254" s="837"/>
      <c r="AI254" s="837"/>
      <c r="AJ254" s="402"/>
      <c r="AK254" s="837"/>
      <c r="AL254" s="105"/>
      <c r="AM254" s="413"/>
      <c r="AN254" s="413"/>
      <c r="AO254" s="839"/>
      <c r="AP254" s="839"/>
      <c r="AQ254" s="570"/>
      <c r="AR254" s="570"/>
      <c r="AS254" s="839"/>
      <c r="AT254" s="839"/>
      <c r="AU254" s="413"/>
      <c r="AV254" s="413"/>
      <c r="AW254" s="413"/>
      <c r="AX254" s="839"/>
      <c r="AY254" s="839"/>
      <c r="AZ254" s="839"/>
      <c r="BA254" s="839"/>
      <c r="BB254" s="1633"/>
      <c r="BC254" s="1633"/>
      <c r="BD254" s="1633"/>
      <c r="BE254" s="1633"/>
      <c r="BF254" s="1633"/>
      <c r="BG254" s="1633"/>
      <c r="BH254" s="580"/>
      <c r="BI254" s="1633"/>
      <c r="BJ254" s="580"/>
      <c r="BK254" s="1633"/>
      <c r="BL254" s="1633"/>
      <c r="BM254" s="580"/>
      <c r="BN254" s="580"/>
      <c r="BO254" s="1633"/>
      <c r="BP254" s="580"/>
      <c r="BQ254" s="845"/>
      <c r="BR254" s="424"/>
      <c r="BS254" s="424"/>
      <c r="BT254" s="424"/>
      <c r="BU254" s="424"/>
      <c r="BV254" s="424"/>
      <c r="BW254" s="424"/>
      <c r="BX254" s="849"/>
      <c r="BY254" s="424"/>
      <c r="BZ254" s="424"/>
      <c r="CA254" s="424"/>
      <c r="CB254" s="849"/>
      <c r="CC254" s="849"/>
      <c r="CD254" s="849"/>
      <c r="CE254" s="849"/>
      <c r="CF254" s="851"/>
      <c r="CG254" s="434"/>
      <c r="CH254" s="434"/>
      <c r="CI254" s="434"/>
      <c r="CJ254" s="434"/>
      <c r="CK254" s="434"/>
      <c r="CL254" s="434"/>
      <c r="CM254" s="434"/>
      <c r="CN254" s="434"/>
      <c r="CO254" s="434"/>
      <c r="CP254" s="1789"/>
      <c r="CQ254" s="852"/>
      <c r="CR254" s="852"/>
      <c r="CS254" s="852"/>
      <c r="CT254" s="852"/>
      <c r="CU254" s="106"/>
      <c r="CV254" s="467"/>
      <c r="CW254" s="467"/>
      <c r="CX254" s="467"/>
      <c r="CY254" s="467"/>
      <c r="CZ254" s="467"/>
      <c r="DA254" s="467"/>
      <c r="DB254" s="467"/>
      <c r="DC254" s="467"/>
      <c r="DD254" s="853"/>
      <c r="DE254" s="853"/>
      <c r="DF254" s="853"/>
      <c r="DG254" s="853"/>
      <c r="DH254" s="853"/>
      <c r="DI254" s="686"/>
      <c r="DJ254" s="855"/>
      <c r="DK254" s="855"/>
      <c r="DL254" s="686"/>
      <c r="DM254" s="686"/>
      <c r="DN254" s="686"/>
      <c r="DO254" s="855"/>
      <c r="DP254" s="855"/>
      <c r="DQ254" s="855"/>
      <c r="DR254" s="686"/>
      <c r="DS254" s="686"/>
      <c r="DT254" s="855"/>
      <c r="DU254" s="686"/>
      <c r="DV254" s="855"/>
      <c r="DW254" s="855"/>
      <c r="DX254" s="855"/>
      <c r="DY254" s="855"/>
      <c r="DZ254" s="855"/>
      <c r="EA254" s="686"/>
      <c r="EB254" s="855"/>
      <c r="EC254" s="855"/>
      <c r="ED254" s="1039"/>
    </row>
    <row r="255">
      <c r="A255" s="1707"/>
      <c r="B255" s="245" t="s">
        <v>271</v>
      </c>
      <c r="C255" s="246" t="s">
        <v>271</v>
      </c>
      <c r="D255" s="247" t="s">
        <v>271</v>
      </c>
      <c r="E255" s="248" t="s">
        <v>271</v>
      </c>
      <c r="F255" s="249" t="s">
        <v>271</v>
      </c>
      <c r="G255" s="245" t="s">
        <v>271</v>
      </c>
      <c r="H255" s="351"/>
      <c r="I255" s="288"/>
      <c r="J255" s="351"/>
      <c r="K255" s="351"/>
      <c r="L255" s="351"/>
      <c r="M255" s="351"/>
      <c r="N255" s="351"/>
      <c r="O255" s="351"/>
      <c r="P255" s="351"/>
      <c r="Q255" s="320"/>
      <c r="R255" s="320"/>
      <c r="S255" s="320"/>
      <c r="T255" s="320"/>
      <c r="U255" s="320"/>
      <c r="V255" s="320"/>
      <c r="W255" s="106"/>
      <c r="X255" s="351"/>
      <c r="Y255" s="351"/>
      <c r="Z255" s="351"/>
      <c r="AA255" s="351"/>
      <c r="AB255" s="881"/>
      <c r="AC255" s="351"/>
      <c r="AD255" s="351"/>
      <c r="AE255" s="320"/>
      <c r="AF255" s="351"/>
      <c r="AG255" s="351"/>
      <c r="AH255" s="320"/>
      <c r="AI255" s="320"/>
      <c r="AJ255" s="351"/>
      <c r="AK255" s="320"/>
      <c r="AL255" s="105"/>
      <c r="AM255" s="351"/>
      <c r="AN255" s="351"/>
      <c r="AO255" s="320"/>
      <c r="AP255" s="320"/>
      <c r="AQ255" s="286"/>
      <c r="AR255" s="286"/>
      <c r="AS255" s="320"/>
      <c r="AT255" s="320"/>
      <c r="AU255" s="351"/>
      <c r="AV255" s="351"/>
      <c r="AW255" s="351"/>
      <c r="AX255" s="320"/>
      <c r="AY255" s="320"/>
      <c r="AZ255" s="320"/>
      <c r="BA255" s="320"/>
      <c r="BB255" s="351"/>
      <c r="BC255" s="351"/>
      <c r="BD255" s="351"/>
      <c r="BE255" s="351"/>
      <c r="BF255" s="351"/>
      <c r="BG255" s="351"/>
      <c r="BH255" s="320"/>
      <c r="BI255" s="351"/>
      <c r="BJ255" s="320"/>
      <c r="BK255" s="351"/>
      <c r="BL255" s="351"/>
      <c r="BM255" s="320"/>
      <c r="BN255" s="320"/>
      <c r="BO255" s="351"/>
      <c r="BP255" s="320"/>
      <c r="BQ255" s="824"/>
      <c r="BR255" s="351"/>
      <c r="BS255" s="351"/>
      <c r="BT255" s="351"/>
      <c r="BU255" s="351"/>
      <c r="BV255" s="351"/>
      <c r="BW255" s="351"/>
      <c r="BX255" s="320"/>
      <c r="BY255" s="351"/>
      <c r="BZ255" s="351"/>
      <c r="CA255" s="351"/>
      <c r="CB255" s="320"/>
      <c r="CC255" s="320"/>
      <c r="CD255" s="320"/>
      <c r="CE255" s="320"/>
      <c r="CF255" s="824"/>
      <c r="CG255" s="351"/>
      <c r="CH255" s="351"/>
      <c r="CI255" s="351"/>
      <c r="CJ255" s="351"/>
      <c r="CK255" s="351"/>
      <c r="CL255" s="351"/>
      <c r="CM255" s="351"/>
      <c r="CN255" s="351"/>
      <c r="CO255" s="351"/>
      <c r="CP255" s="758"/>
      <c r="CQ255" s="320"/>
      <c r="CR255" s="320"/>
      <c r="CS255" s="320"/>
      <c r="CT255" s="320"/>
      <c r="CU255" s="106"/>
      <c r="CV255" s="351"/>
      <c r="CW255" s="351"/>
      <c r="CX255" s="351"/>
      <c r="CY255" s="351"/>
      <c r="CZ255" s="351"/>
      <c r="DA255" s="351"/>
      <c r="DB255" s="351"/>
      <c r="DC255" s="351"/>
      <c r="DD255" s="320"/>
      <c r="DE255" s="320"/>
      <c r="DF255" s="320"/>
      <c r="DG255" s="320"/>
      <c r="DH255" s="320"/>
      <c r="DI255" s="351"/>
      <c r="DJ255" s="320"/>
      <c r="DK255" s="320"/>
      <c r="DL255" s="351"/>
      <c r="DM255" s="351"/>
      <c r="DN255" s="351"/>
      <c r="DO255" s="320"/>
      <c r="DP255" s="320"/>
      <c r="DQ255" s="320"/>
      <c r="DR255" s="351"/>
      <c r="DS255" s="351"/>
      <c r="DT255" s="320"/>
      <c r="DU255" s="351"/>
      <c r="DV255" s="320"/>
      <c r="DW255" s="320"/>
      <c r="DX255" s="320"/>
      <c r="DY255" s="320"/>
      <c r="DZ255" s="320"/>
      <c r="EA255" s="351"/>
      <c r="EB255" s="320"/>
      <c r="EC255" s="320"/>
      <c r="ED255" s="862"/>
    </row>
    <row r="256">
      <c r="A256" s="1787"/>
      <c r="B256" s="378" t="s">
        <v>271</v>
      </c>
      <c r="C256" s="379" t="s">
        <v>271</v>
      </c>
      <c r="D256" s="380" t="s">
        <v>271</v>
      </c>
      <c r="E256" s="381" t="s">
        <v>271</v>
      </c>
      <c r="F256" s="382" t="s">
        <v>271</v>
      </c>
      <c r="G256" s="378" t="s">
        <v>271</v>
      </c>
      <c r="H256" s="1700"/>
      <c r="I256" s="1788"/>
      <c r="J256" s="1700"/>
      <c r="K256" s="1700"/>
      <c r="L256" s="1700"/>
      <c r="M256" s="1700"/>
      <c r="N256" s="1700"/>
      <c r="O256" s="1700"/>
      <c r="P256" s="1700"/>
      <c r="Q256" s="835"/>
      <c r="R256" s="835"/>
      <c r="S256" s="835"/>
      <c r="T256" s="835"/>
      <c r="U256" s="835"/>
      <c r="V256" s="835"/>
      <c r="W256" s="106"/>
      <c r="X256" s="402"/>
      <c r="Y256" s="402"/>
      <c r="Z256" s="402"/>
      <c r="AA256" s="402"/>
      <c r="AB256" s="1133"/>
      <c r="AC256" s="402"/>
      <c r="AD256" s="402"/>
      <c r="AE256" s="837"/>
      <c r="AF256" s="402"/>
      <c r="AG256" s="402"/>
      <c r="AH256" s="837"/>
      <c r="AI256" s="837"/>
      <c r="AJ256" s="402"/>
      <c r="AK256" s="837"/>
      <c r="AL256" s="105"/>
      <c r="AM256" s="413"/>
      <c r="AN256" s="413"/>
      <c r="AO256" s="839"/>
      <c r="AP256" s="839"/>
      <c r="AQ256" s="570"/>
      <c r="AR256" s="570"/>
      <c r="AS256" s="839"/>
      <c r="AT256" s="839"/>
      <c r="AU256" s="413"/>
      <c r="AV256" s="413"/>
      <c r="AW256" s="413"/>
      <c r="AX256" s="839"/>
      <c r="AY256" s="839"/>
      <c r="AZ256" s="839"/>
      <c r="BA256" s="839"/>
      <c r="BB256" s="1633"/>
      <c r="BC256" s="1633"/>
      <c r="BD256" s="1633"/>
      <c r="BE256" s="1633"/>
      <c r="BF256" s="1633"/>
      <c r="BG256" s="1633"/>
      <c r="BH256" s="580"/>
      <c r="BI256" s="1633"/>
      <c r="BJ256" s="580"/>
      <c r="BK256" s="1633"/>
      <c r="BL256" s="1633"/>
      <c r="BM256" s="580"/>
      <c r="BN256" s="580"/>
      <c r="BO256" s="1633"/>
      <c r="BP256" s="580"/>
      <c r="BQ256" s="845"/>
      <c r="BR256" s="424"/>
      <c r="BS256" s="424"/>
      <c r="BT256" s="424"/>
      <c r="BU256" s="424"/>
      <c r="BV256" s="424"/>
      <c r="BW256" s="424"/>
      <c r="BX256" s="849"/>
      <c r="BY256" s="424"/>
      <c r="BZ256" s="424"/>
      <c r="CA256" s="424"/>
      <c r="CB256" s="849"/>
      <c r="CC256" s="849"/>
      <c r="CD256" s="849"/>
      <c r="CE256" s="849"/>
      <c r="CF256" s="851"/>
      <c r="CG256" s="434"/>
      <c r="CH256" s="434"/>
      <c r="CI256" s="434"/>
      <c r="CJ256" s="434"/>
      <c r="CK256" s="434"/>
      <c r="CL256" s="434"/>
      <c r="CM256" s="434"/>
      <c r="CN256" s="434"/>
      <c r="CO256" s="434"/>
      <c r="CP256" s="1789"/>
      <c r="CQ256" s="852"/>
      <c r="CR256" s="852"/>
      <c r="CS256" s="852"/>
      <c r="CT256" s="852"/>
      <c r="CU256" s="106"/>
      <c r="CV256" s="467"/>
      <c r="CW256" s="467"/>
      <c r="CX256" s="467"/>
      <c r="CY256" s="467"/>
      <c r="CZ256" s="467"/>
      <c r="DA256" s="467"/>
      <c r="DB256" s="467"/>
      <c r="DC256" s="467"/>
      <c r="DD256" s="853"/>
      <c r="DE256" s="853"/>
      <c r="DF256" s="853"/>
      <c r="DG256" s="853"/>
      <c r="DH256" s="853"/>
      <c r="DI256" s="686"/>
      <c r="DJ256" s="855"/>
      <c r="DK256" s="855"/>
      <c r="DL256" s="686"/>
      <c r="DM256" s="686"/>
      <c r="DN256" s="686"/>
      <c r="DO256" s="855"/>
      <c r="DP256" s="855"/>
      <c r="DQ256" s="855"/>
      <c r="DR256" s="686"/>
      <c r="DS256" s="686"/>
      <c r="DT256" s="855"/>
      <c r="DU256" s="686"/>
      <c r="DV256" s="855"/>
      <c r="DW256" s="855"/>
      <c r="DX256" s="855"/>
      <c r="DY256" s="855"/>
      <c r="DZ256" s="855"/>
      <c r="EA256" s="686"/>
      <c r="EB256" s="855"/>
      <c r="EC256" s="855"/>
      <c r="ED256" s="1039"/>
    </row>
    <row r="257">
      <c r="A257" s="1707"/>
      <c r="B257" s="245" t="s">
        <v>271</v>
      </c>
      <c r="C257" s="246" t="s">
        <v>271</v>
      </c>
      <c r="D257" s="247" t="s">
        <v>271</v>
      </c>
      <c r="E257" s="248" t="s">
        <v>271</v>
      </c>
      <c r="F257" s="249" t="s">
        <v>271</v>
      </c>
      <c r="G257" s="245" t="s">
        <v>271</v>
      </c>
      <c r="H257" s="351"/>
      <c r="I257" s="288"/>
      <c r="J257" s="351"/>
      <c r="K257" s="351"/>
      <c r="L257" s="351"/>
      <c r="M257" s="351"/>
      <c r="N257" s="351"/>
      <c r="O257" s="351"/>
      <c r="P257" s="351"/>
      <c r="Q257" s="320"/>
      <c r="R257" s="320"/>
      <c r="S257" s="320"/>
      <c r="T257" s="320"/>
      <c r="U257" s="320"/>
      <c r="V257" s="320"/>
      <c r="W257" s="106"/>
      <c r="X257" s="351"/>
      <c r="Y257" s="351"/>
      <c r="Z257" s="351"/>
      <c r="AA257" s="351"/>
      <c r="AB257" s="881"/>
      <c r="AC257" s="351"/>
      <c r="AD257" s="351"/>
      <c r="AE257" s="320"/>
      <c r="AF257" s="351"/>
      <c r="AG257" s="351"/>
      <c r="AH257" s="320"/>
      <c r="AI257" s="320"/>
      <c r="AJ257" s="351"/>
      <c r="AK257" s="320"/>
      <c r="AL257" s="105"/>
      <c r="AM257" s="351"/>
      <c r="AN257" s="351"/>
      <c r="AO257" s="320"/>
      <c r="AP257" s="320"/>
      <c r="AQ257" s="286"/>
      <c r="AR257" s="286"/>
      <c r="AS257" s="320"/>
      <c r="AT257" s="320"/>
      <c r="AU257" s="351"/>
      <c r="AV257" s="351"/>
      <c r="AW257" s="351"/>
      <c r="AX257" s="320"/>
      <c r="AY257" s="320"/>
      <c r="AZ257" s="320"/>
      <c r="BA257" s="320"/>
      <c r="BB257" s="351"/>
      <c r="BC257" s="351"/>
      <c r="BD257" s="351"/>
      <c r="BE257" s="351"/>
      <c r="BF257" s="351"/>
      <c r="BG257" s="351"/>
      <c r="BH257" s="320"/>
      <c r="BI257" s="351"/>
      <c r="BJ257" s="320"/>
      <c r="BK257" s="351"/>
      <c r="BL257" s="351"/>
      <c r="BM257" s="320"/>
      <c r="BN257" s="320"/>
      <c r="BO257" s="351"/>
      <c r="BP257" s="320"/>
      <c r="BQ257" s="824"/>
      <c r="BR257" s="351"/>
      <c r="BS257" s="351"/>
      <c r="BT257" s="351"/>
      <c r="BU257" s="351"/>
      <c r="BV257" s="351"/>
      <c r="BW257" s="351"/>
      <c r="BX257" s="320"/>
      <c r="BY257" s="351"/>
      <c r="BZ257" s="351"/>
      <c r="CA257" s="351"/>
      <c r="CB257" s="320"/>
      <c r="CC257" s="320"/>
      <c r="CD257" s="320"/>
      <c r="CE257" s="320"/>
      <c r="CF257" s="824"/>
      <c r="CG257" s="351"/>
      <c r="CH257" s="351"/>
      <c r="CI257" s="351"/>
      <c r="CJ257" s="351"/>
      <c r="CK257" s="351"/>
      <c r="CL257" s="351"/>
      <c r="CM257" s="351"/>
      <c r="CN257" s="351"/>
      <c r="CO257" s="351"/>
      <c r="CP257" s="758"/>
      <c r="CQ257" s="320"/>
      <c r="CR257" s="320"/>
      <c r="CS257" s="320"/>
      <c r="CT257" s="320"/>
      <c r="CU257" s="106"/>
      <c r="CV257" s="351"/>
      <c r="CW257" s="351"/>
      <c r="CX257" s="351"/>
      <c r="CY257" s="351"/>
      <c r="CZ257" s="351"/>
      <c r="DA257" s="351"/>
      <c r="DB257" s="351"/>
      <c r="DC257" s="351"/>
      <c r="DD257" s="320"/>
      <c r="DE257" s="320"/>
      <c r="DF257" s="320"/>
      <c r="DG257" s="320"/>
      <c r="DH257" s="320"/>
      <c r="DI257" s="351"/>
      <c r="DJ257" s="320"/>
      <c r="DK257" s="320"/>
      <c r="DL257" s="351"/>
      <c r="DM257" s="351"/>
      <c r="DN257" s="351"/>
      <c r="DO257" s="320"/>
      <c r="DP257" s="320"/>
      <c r="DQ257" s="320"/>
      <c r="DR257" s="351"/>
      <c r="DS257" s="351"/>
      <c r="DT257" s="320"/>
      <c r="DU257" s="351"/>
      <c r="DV257" s="320"/>
      <c r="DW257" s="320"/>
      <c r="DX257" s="320"/>
      <c r="DY257" s="320"/>
      <c r="DZ257" s="320"/>
      <c r="EA257" s="351"/>
      <c r="EB257" s="320"/>
      <c r="EC257" s="320"/>
      <c r="ED257" s="862"/>
    </row>
    <row r="258">
      <c r="A258" s="1787"/>
      <c r="B258" s="378" t="s">
        <v>271</v>
      </c>
      <c r="C258" s="379" t="s">
        <v>271</v>
      </c>
      <c r="D258" s="380" t="s">
        <v>271</v>
      </c>
      <c r="E258" s="381" t="s">
        <v>271</v>
      </c>
      <c r="F258" s="382" t="s">
        <v>271</v>
      </c>
      <c r="G258" s="378" t="s">
        <v>271</v>
      </c>
      <c r="H258" s="1700"/>
      <c r="I258" s="1788"/>
      <c r="J258" s="1700"/>
      <c r="K258" s="1700"/>
      <c r="L258" s="1700"/>
      <c r="M258" s="1700"/>
      <c r="N258" s="1700"/>
      <c r="O258" s="1700"/>
      <c r="P258" s="1700"/>
      <c r="Q258" s="835"/>
      <c r="R258" s="835"/>
      <c r="S258" s="835"/>
      <c r="T258" s="835"/>
      <c r="U258" s="835"/>
      <c r="V258" s="835"/>
      <c r="W258" s="106"/>
      <c r="X258" s="402"/>
      <c r="Y258" s="402"/>
      <c r="Z258" s="402"/>
      <c r="AA258" s="402"/>
      <c r="AB258" s="1133"/>
      <c r="AC258" s="402"/>
      <c r="AD258" s="402"/>
      <c r="AE258" s="837"/>
      <c r="AF258" s="402"/>
      <c r="AG258" s="402"/>
      <c r="AH258" s="837"/>
      <c r="AI258" s="837"/>
      <c r="AJ258" s="402"/>
      <c r="AK258" s="837"/>
      <c r="AL258" s="105"/>
      <c r="AM258" s="413"/>
      <c r="AN258" s="413"/>
      <c r="AO258" s="839"/>
      <c r="AP258" s="839"/>
      <c r="AQ258" s="570"/>
      <c r="AR258" s="570"/>
      <c r="AS258" s="839"/>
      <c r="AT258" s="839"/>
      <c r="AU258" s="413"/>
      <c r="AV258" s="413"/>
      <c r="AW258" s="413"/>
      <c r="AX258" s="839"/>
      <c r="AY258" s="839"/>
      <c r="AZ258" s="839"/>
      <c r="BA258" s="839"/>
      <c r="BB258" s="1633"/>
      <c r="BC258" s="1633"/>
      <c r="BD258" s="1633"/>
      <c r="BE258" s="1633"/>
      <c r="BF258" s="1633"/>
      <c r="BG258" s="1633"/>
      <c r="BH258" s="580"/>
      <c r="BI258" s="1633"/>
      <c r="BJ258" s="580"/>
      <c r="BK258" s="1633"/>
      <c r="BL258" s="1633"/>
      <c r="BM258" s="580"/>
      <c r="BN258" s="580"/>
      <c r="BO258" s="1633"/>
      <c r="BP258" s="580"/>
      <c r="BQ258" s="845"/>
      <c r="BR258" s="424"/>
      <c r="BS258" s="424"/>
      <c r="BT258" s="424"/>
      <c r="BU258" s="424"/>
      <c r="BV258" s="424"/>
      <c r="BW258" s="424"/>
      <c r="BX258" s="849"/>
      <c r="BY258" s="424"/>
      <c r="BZ258" s="424"/>
      <c r="CA258" s="424"/>
      <c r="CB258" s="849"/>
      <c r="CC258" s="849"/>
      <c r="CD258" s="849"/>
      <c r="CE258" s="849"/>
      <c r="CF258" s="851"/>
      <c r="CG258" s="434"/>
      <c r="CH258" s="434"/>
      <c r="CI258" s="434"/>
      <c r="CJ258" s="434"/>
      <c r="CK258" s="434"/>
      <c r="CL258" s="434"/>
      <c r="CM258" s="434"/>
      <c r="CN258" s="434"/>
      <c r="CO258" s="434"/>
      <c r="CP258" s="1789"/>
      <c r="CQ258" s="852"/>
      <c r="CR258" s="852"/>
      <c r="CS258" s="852"/>
      <c r="CT258" s="852"/>
      <c r="CU258" s="106"/>
      <c r="CV258" s="467"/>
      <c r="CW258" s="467"/>
      <c r="CX258" s="467"/>
      <c r="CY258" s="467"/>
      <c r="CZ258" s="467"/>
      <c r="DA258" s="467"/>
      <c r="DB258" s="467"/>
      <c r="DC258" s="467"/>
      <c r="DD258" s="853"/>
      <c r="DE258" s="853"/>
      <c r="DF258" s="853"/>
      <c r="DG258" s="853"/>
      <c r="DH258" s="853"/>
      <c r="DI258" s="686"/>
      <c r="DJ258" s="855"/>
      <c r="DK258" s="855"/>
      <c r="DL258" s="686"/>
      <c r="DM258" s="686"/>
      <c r="DN258" s="686"/>
      <c r="DO258" s="855"/>
      <c r="DP258" s="855"/>
      <c r="DQ258" s="855"/>
      <c r="DR258" s="686"/>
      <c r="DS258" s="686"/>
      <c r="DT258" s="855"/>
      <c r="DU258" s="686"/>
      <c r="DV258" s="855"/>
      <c r="DW258" s="855"/>
      <c r="DX258" s="855"/>
      <c r="DY258" s="855"/>
      <c r="DZ258" s="855"/>
      <c r="EA258" s="686"/>
      <c r="EB258" s="855"/>
      <c r="EC258" s="855"/>
      <c r="ED258" s="1039"/>
    </row>
    <row r="259">
      <c r="A259" s="1707"/>
      <c r="B259" s="245" t="s">
        <v>271</v>
      </c>
      <c r="C259" s="246" t="s">
        <v>271</v>
      </c>
      <c r="D259" s="247" t="s">
        <v>271</v>
      </c>
      <c r="E259" s="248" t="s">
        <v>271</v>
      </c>
      <c r="F259" s="249" t="s">
        <v>271</v>
      </c>
      <c r="G259" s="245" t="s">
        <v>271</v>
      </c>
      <c r="H259" s="351"/>
      <c r="I259" s="288"/>
      <c r="J259" s="351"/>
      <c r="K259" s="351"/>
      <c r="L259" s="351"/>
      <c r="M259" s="351"/>
      <c r="N259" s="351"/>
      <c r="O259" s="351"/>
      <c r="P259" s="351"/>
      <c r="Q259" s="320"/>
      <c r="R259" s="320"/>
      <c r="S259" s="320"/>
      <c r="T259" s="320"/>
      <c r="U259" s="320"/>
      <c r="V259" s="320"/>
      <c r="W259" s="106"/>
      <c r="X259" s="351"/>
      <c r="Y259" s="351"/>
      <c r="Z259" s="351"/>
      <c r="AA259" s="351"/>
      <c r="AB259" s="881"/>
      <c r="AC259" s="351"/>
      <c r="AD259" s="351"/>
      <c r="AE259" s="320"/>
      <c r="AF259" s="351"/>
      <c r="AG259" s="351"/>
      <c r="AH259" s="320"/>
      <c r="AI259" s="320"/>
      <c r="AJ259" s="351"/>
      <c r="AK259" s="320"/>
      <c r="AL259" s="105"/>
      <c r="AM259" s="351"/>
      <c r="AN259" s="351"/>
      <c r="AO259" s="320"/>
      <c r="AP259" s="320"/>
      <c r="AQ259" s="286"/>
      <c r="AR259" s="286"/>
      <c r="AS259" s="320"/>
      <c r="AT259" s="320"/>
      <c r="AU259" s="351"/>
      <c r="AV259" s="351"/>
      <c r="AW259" s="351"/>
      <c r="AX259" s="320"/>
      <c r="AY259" s="320"/>
      <c r="AZ259" s="320"/>
      <c r="BA259" s="320"/>
      <c r="BB259" s="351"/>
      <c r="BC259" s="351"/>
      <c r="BD259" s="351"/>
      <c r="BE259" s="351"/>
      <c r="BF259" s="351"/>
      <c r="BG259" s="351"/>
      <c r="BH259" s="320"/>
      <c r="BI259" s="351"/>
      <c r="BJ259" s="320"/>
      <c r="BK259" s="351"/>
      <c r="BL259" s="351"/>
      <c r="BM259" s="320"/>
      <c r="BN259" s="320"/>
      <c r="BO259" s="351"/>
      <c r="BP259" s="320"/>
      <c r="BQ259" s="824"/>
      <c r="BR259" s="351"/>
      <c r="BS259" s="351"/>
      <c r="BT259" s="351"/>
      <c r="BU259" s="351"/>
      <c r="BV259" s="351"/>
      <c r="BW259" s="351"/>
      <c r="BX259" s="320"/>
      <c r="BY259" s="351"/>
      <c r="BZ259" s="351"/>
      <c r="CA259" s="351"/>
      <c r="CB259" s="320"/>
      <c r="CC259" s="320"/>
      <c r="CD259" s="320"/>
      <c r="CE259" s="320"/>
      <c r="CF259" s="824"/>
      <c r="CG259" s="351"/>
      <c r="CH259" s="351"/>
      <c r="CI259" s="351"/>
      <c r="CJ259" s="351"/>
      <c r="CK259" s="351"/>
      <c r="CL259" s="351"/>
      <c r="CM259" s="351"/>
      <c r="CN259" s="351"/>
      <c r="CO259" s="351"/>
      <c r="CP259" s="758"/>
      <c r="CQ259" s="320"/>
      <c r="CR259" s="320"/>
      <c r="CS259" s="320"/>
      <c r="CT259" s="320"/>
      <c r="CU259" s="106"/>
      <c r="CV259" s="351"/>
      <c r="CW259" s="351"/>
      <c r="CX259" s="351"/>
      <c r="CY259" s="351"/>
      <c r="CZ259" s="351"/>
      <c r="DA259" s="351"/>
      <c r="DB259" s="351"/>
      <c r="DC259" s="351"/>
      <c r="DD259" s="320"/>
      <c r="DE259" s="320"/>
      <c r="DF259" s="320"/>
      <c r="DG259" s="320"/>
      <c r="DH259" s="320"/>
      <c r="DI259" s="351"/>
      <c r="DJ259" s="320"/>
      <c r="DK259" s="320"/>
      <c r="DL259" s="351"/>
      <c r="DM259" s="351"/>
      <c r="DN259" s="351"/>
      <c r="DO259" s="320"/>
      <c r="DP259" s="320"/>
      <c r="DQ259" s="320"/>
      <c r="DR259" s="351"/>
      <c r="DS259" s="351"/>
      <c r="DT259" s="320"/>
      <c r="DU259" s="351"/>
      <c r="DV259" s="320"/>
      <c r="DW259" s="320"/>
      <c r="DX259" s="320"/>
      <c r="DY259" s="320"/>
      <c r="DZ259" s="320"/>
      <c r="EA259" s="351"/>
      <c r="EB259" s="320"/>
      <c r="EC259" s="320"/>
      <c r="ED259" s="862"/>
    </row>
    <row r="260">
      <c r="A260" s="1787"/>
      <c r="B260" s="378" t="s">
        <v>271</v>
      </c>
      <c r="C260" s="379" t="s">
        <v>271</v>
      </c>
      <c r="D260" s="380" t="s">
        <v>271</v>
      </c>
      <c r="E260" s="381" t="s">
        <v>271</v>
      </c>
      <c r="F260" s="382" t="s">
        <v>271</v>
      </c>
      <c r="G260" s="378" t="s">
        <v>271</v>
      </c>
      <c r="H260" s="1700"/>
      <c r="I260" s="1788"/>
      <c r="J260" s="1700"/>
      <c r="K260" s="1700"/>
      <c r="L260" s="1700"/>
      <c r="M260" s="1700"/>
      <c r="N260" s="1700"/>
      <c r="O260" s="1700"/>
      <c r="P260" s="1700"/>
      <c r="Q260" s="835"/>
      <c r="R260" s="835"/>
      <c r="S260" s="835"/>
      <c r="T260" s="835"/>
      <c r="U260" s="835"/>
      <c r="V260" s="835"/>
      <c r="W260" s="106"/>
      <c r="X260" s="402"/>
      <c r="Y260" s="402"/>
      <c r="Z260" s="402"/>
      <c r="AA260" s="402"/>
      <c r="AB260" s="1133"/>
      <c r="AC260" s="402"/>
      <c r="AD260" s="402"/>
      <c r="AE260" s="837"/>
      <c r="AF260" s="402"/>
      <c r="AG260" s="402"/>
      <c r="AH260" s="837"/>
      <c r="AI260" s="837"/>
      <c r="AJ260" s="402"/>
      <c r="AK260" s="837"/>
      <c r="AL260" s="105"/>
      <c r="AM260" s="413"/>
      <c r="AN260" s="413"/>
      <c r="AO260" s="839"/>
      <c r="AP260" s="839"/>
      <c r="AQ260" s="570"/>
      <c r="AR260" s="570"/>
      <c r="AS260" s="839"/>
      <c r="AT260" s="839"/>
      <c r="AU260" s="413"/>
      <c r="AV260" s="413"/>
      <c r="AW260" s="413"/>
      <c r="AX260" s="839"/>
      <c r="AY260" s="839"/>
      <c r="AZ260" s="839"/>
      <c r="BA260" s="839"/>
      <c r="BB260" s="1633"/>
      <c r="BC260" s="1633"/>
      <c r="BD260" s="1633"/>
      <c r="BE260" s="1633"/>
      <c r="BF260" s="1633"/>
      <c r="BG260" s="1633"/>
      <c r="BH260" s="580"/>
      <c r="BI260" s="1633"/>
      <c r="BJ260" s="580"/>
      <c r="BK260" s="1633"/>
      <c r="BL260" s="1633"/>
      <c r="BM260" s="580"/>
      <c r="BN260" s="580"/>
      <c r="BO260" s="1633"/>
      <c r="BP260" s="580"/>
      <c r="BQ260" s="845"/>
      <c r="BR260" s="424"/>
      <c r="BS260" s="424"/>
      <c r="BT260" s="424"/>
      <c r="BU260" s="424"/>
      <c r="BV260" s="424"/>
      <c r="BW260" s="424"/>
      <c r="BX260" s="849"/>
      <c r="BY260" s="424"/>
      <c r="BZ260" s="424"/>
      <c r="CA260" s="424"/>
      <c r="CB260" s="849"/>
      <c r="CC260" s="849"/>
      <c r="CD260" s="849"/>
      <c r="CE260" s="849"/>
      <c r="CF260" s="851"/>
      <c r="CG260" s="434"/>
      <c r="CH260" s="434"/>
      <c r="CI260" s="434"/>
      <c r="CJ260" s="434"/>
      <c r="CK260" s="434"/>
      <c r="CL260" s="434"/>
      <c r="CM260" s="434"/>
      <c r="CN260" s="434"/>
      <c r="CO260" s="434"/>
      <c r="CP260" s="1789"/>
      <c r="CQ260" s="852"/>
      <c r="CR260" s="852"/>
      <c r="CS260" s="852"/>
      <c r="CT260" s="852"/>
      <c r="CU260" s="106"/>
      <c r="CV260" s="467"/>
      <c r="CW260" s="467"/>
      <c r="CX260" s="467"/>
      <c r="CY260" s="467"/>
      <c r="CZ260" s="467"/>
      <c r="DA260" s="467"/>
      <c r="DB260" s="467"/>
      <c r="DC260" s="467"/>
      <c r="DD260" s="853"/>
      <c r="DE260" s="853"/>
      <c r="DF260" s="853"/>
      <c r="DG260" s="853"/>
      <c r="DH260" s="853"/>
      <c r="DI260" s="686"/>
      <c r="DJ260" s="855"/>
      <c r="DK260" s="855"/>
      <c r="DL260" s="686"/>
      <c r="DM260" s="686"/>
      <c r="DN260" s="686"/>
      <c r="DO260" s="855"/>
      <c r="DP260" s="855"/>
      <c r="DQ260" s="855"/>
      <c r="DR260" s="686"/>
      <c r="DS260" s="686"/>
      <c r="DT260" s="855"/>
      <c r="DU260" s="686"/>
      <c r="DV260" s="855"/>
      <c r="DW260" s="855"/>
      <c r="DX260" s="855"/>
      <c r="DY260" s="855"/>
      <c r="DZ260" s="855"/>
      <c r="EA260" s="686"/>
      <c r="EB260" s="855"/>
      <c r="EC260" s="855"/>
      <c r="ED260" s="1039"/>
    </row>
    <row r="261">
      <c r="A261" s="1707"/>
      <c r="B261" s="245" t="s">
        <v>271</v>
      </c>
      <c r="C261" s="246" t="s">
        <v>271</v>
      </c>
      <c r="D261" s="247" t="s">
        <v>271</v>
      </c>
      <c r="E261" s="248" t="s">
        <v>271</v>
      </c>
      <c r="F261" s="249" t="s">
        <v>271</v>
      </c>
      <c r="G261" s="245" t="s">
        <v>271</v>
      </c>
      <c r="H261" s="351"/>
      <c r="I261" s="288"/>
      <c r="J261" s="351"/>
      <c r="K261" s="351"/>
      <c r="L261" s="351"/>
      <c r="M261" s="351"/>
      <c r="N261" s="351"/>
      <c r="O261" s="351"/>
      <c r="P261" s="351"/>
      <c r="Q261" s="320"/>
      <c r="R261" s="320"/>
      <c r="S261" s="320"/>
      <c r="T261" s="320"/>
      <c r="U261" s="320"/>
      <c r="V261" s="320"/>
      <c r="W261" s="106"/>
      <c r="X261" s="351"/>
      <c r="Y261" s="351"/>
      <c r="Z261" s="351"/>
      <c r="AA261" s="351"/>
      <c r="AB261" s="881"/>
      <c r="AC261" s="351"/>
      <c r="AD261" s="351"/>
      <c r="AE261" s="320"/>
      <c r="AF261" s="351"/>
      <c r="AG261" s="351"/>
      <c r="AH261" s="320"/>
      <c r="AI261" s="320"/>
      <c r="AJ261" s="351"/>
      <c r="AK261" s="320"/>
      <c r="AL261" s="105"/>
      <c r="AM261" s="351"/>
      <c r="AN261" s="351"/>
      <c r="AO261" s="320"/>
      <c r="AP261" s="320"/>
      <c r="AQ261" s="286"/>
      <c r="AR261" s="286"/>
      <c r="AS261" s="320"/>
      <c r="AT261" s="320"/>
      <c r="AU261" s="351"/>
      <c r="AV261" s="351"/>
      <c r="AW261" s="351"/>
      <c r="AX261" s="320"/>
      <c r="AY261" s="320"/>
      <c r="AZ261" s="320"/>
      <c r="BA261" s="320"/>
      <c r="BB261" s="351"/>
      <c r="BC261" s="351"/>
      <c r="BD261" s="351"/>
      <c r="BE261" s="351"/>
      <c r="BF261" s="351"/>
      <c r="BG261" s="351"/>
      <c r="BH261" s="320"/>
      <c r="BI261" s="351"/>
      <c r="BJ261" s="320"/>
      <c r="BK261" s="351"/>
      <c r="BL261" s="351"/>
      <c r="BM261" s="320"/>
      <c r="BN261" s="320"/>
      <c r="BO261" s="351"/>
      <c r="BP261" s="320"/>
      <c r="BQ261" s="824"/>
      <c r="BR261" s="351"/>
      <c r="BS261" s="351"/>
      <c r="BT261" s="351"/>
      <c r="BU261" s="351"/>
      <c r="BV261" s="351"/>
      <c r="BW261" s="351"/>
      <c r="BX261" s="320"/>
      <c r="BY261" s="351"/>
      <c r="BZ261" s="351"/>
      <c r="CA261" s="351"/>
      <c r="CB261" s="320"/>
      <c r="CC261" s="320"/>
      <c r="CD261" s="320"/>
      <c r="CE261" s="320"/>
      <c r="CF261" s="824"/>
      <c r="CG261" s="351"/>
      <c r="CH261" s="351"/>
      <c r="CI261" s="351"/>
      <c r="CJ261" s="351"/>
      <c r="CK261" s="351"/>
      <c r="CL261" s="351"/>
      <c r="CM261" s="351"/>
      <c r="CN261" s="351"/>
      <c r="CO261" s="351"/>
      <c r="CP261" s="758"/>
      <c r="CQ261" s="320"/>
      <c r="CR261" s="320"/>
      <c r="CS261" s="320"/>
      <c r="CT261" s="320"/>
      <c r="CU261" s="106"/>
      <c r="CV261" s="351"/>
      <c r="CW261" s="351"/>
      <c r="CX261" s="351"/>
      <c r="CY261" s="351"/>
      <c r="CZ261" s="351"/>
      <c r="DA261" s="351"/>
      <c r="DB261" s="351"/>
      <c r="DC261" s="351"/>
      <c r="DD261" s="320"/>
      <c r="DE261" s="320"/>
      <c r="DF261" s="320"/>
      <c r="DG261" s="320"/>
      <c r="DH261" s="320"/>
      <c r="DI261" s="351"/>
      <c r="DJ261" s="320"/>
      <c r="DK261" s="320"/>
      <c r="DL261" s="351"/>
      <c r="DM261" s="351"/>
      <c r="DN261" s="351"/>
      <c r="DO261" s="320"/>
      <c r="DP261" s="320"/>
      <c r="DQ261" s="320"/>
      <c r="DR261" s="351"/>
      <c r="DS261" s="351"/>
      <c r="DT261" s="320"/>
      <c r="DU261" s="351"/>
      <c r="DV261" s="320"/>
      <c r="DW261" s="320"/>
      <c r="DX261" s="320"/>
      <c r="DY261" s="320"/>
      <c r="DZ261" s="320"/>
      <c r="EA261" s="351"/>
      <c r="EB261" s="320"/>
      <c r="EC261" s="320"/>
      <c r="ED261" s="862"/>
    </row>
    <row r="262">
      <c r="A262" s="1787"/>
      <c r="B262" s="378" t="s">
        <v>271</v>
      </c>
      <c r="C262" s="379" t="s">
        <v>271</v>
      </c>
      <c r="D262" s="380" t="s">
        <v>271</v>
      </c>
      <c r="E262" s="381" t="s">
        <v>271</v>
      </c>
      <c r="F262" s="382" t="s">
        <v>271</v>
      </c>
      <c r="G262" s="378" t="s">
        <v>271</v>
      </c>
      <c r="H262" s="1700"/>
      <c r="I262" s="1788"/>
      <c r="J262" s="1700"/>
      <c r="K262" s="1700"/>
      <c r="L262" s="1700"/>
      <c r="M262" s="1700"/>
      <c r="N262" s="1700"/>
      <c r="O262" s="1700"/>
      <c r="P262" s="1700"/>
      <c r="Q262" s="835"/>
      <c r="R262" s="835"/>
      <c r="S262" s="835"/>
      <c r="T262" s="835"/>
      <c r="U262" s="835"/>
      <c r="V262" s="835"/>
      <c r="W262" s="106"/>
      <c r="X262" s="402"/>
      <c r="Y262" s="402"/>
      <c r="Z262" s="402"/>
      <c r="AA262" s="402"/>
      <c r="AB262" s="1133"/>
      <c r="AC262" s="402"/>
      <c r="AD262" s="402"/>
      <c r="AE262" s="837"/>
      <c r="AF262" s="402"/>
      <c r="AG262" s="402"/>
      <c r="AH262" s="837"/>
      <c r="AI262" s="837"/>
      <c r="AJ262" s="402"/>
      <c r="AK262" s="837"/>
      <c r="AL262" s="105"/>
      <c r="AM262" s="413"/>
      <c r="AN262" s="413"/>
      <c r="AO262" s="839"/>
      <c r="AP262" s="839"/>
      <c r="AQ262" s="570"/>
      <c r="AR262" s="570"/>
      <c r="AS262" s="839"/>
      <c r="AT262" s="839"/>
      <c r="AU262" s="413"/>
      <c r="AV262" s="413"/>
      <c r="AW262" s="413"/>
      <c r="AX262" s="839"/>
      <c r="AY262" s="839"/>
      <c r="AZ262" s="839"/>
      <c r="BA262" s="839"/>
      <c r="BB262" s="1633"/>
      <c r="BC262" s="1633"/>
      <c r="BD262" s="1633"/>
      <c r="BE262" s="1633"/>
      <c r="BF262" s="1633"/>
      <c r="BG262" s="1633"/>
      <c r="BH262" s="580"/>
      <c r="BI262" s="1633"/>
      <c r="BJ262" s="580"/>
      <c r="BK262" s="1633"/>
      <c r="BL262" s="1633"/>
      <c r="BM262" s="580"/>
      <c r="BN262" s="580"/>
      <c r="BO262" s="1633"/>
      <c r="BP262" s="580"/>
      <c r="BQ262" s="845"/>
      <c r="BR262" s="424"/>
      <c r="BS262" s="424"/>
      <c r="BT262" s="424"/>
      <c r="BU262" s="424"/>
      <c r="BV262" s="424"/>
      <c r="BW262" s="424"/>
      <c r="BX262" s="849"/>
      <c r="BY262" s="424"/>
      <c r="BZ262" s="424"/>
      <c r="CA262" s="424"/>
      <c r="CB262" s="849"/>
      <c r="CC262" s="849"/>
      <c r="CD262" s="849"/>
      <c r="CE262" s="849"/>
      <c r="CF262" s="851"/>
      <c r="CG262" s="434"/>
      <c r="CH262" s="434"/>
      <c r="CI262" s="434"/>
      <c r="CJ262" s="434"/>
      <c r="CK262" s="434"/>
      <c r="CL262" s="434"/>
      <c r="CM262" s="434"/>
      <c r="CN262" s="434"/>
      <c r="CO262" s="434"/>
      <c r="CP262" s="1789"/>
      <c r="CQ262" s="852"/>
      <c r="CR262" s="852"/>
      <c r="CS262" s="852"/>
      <c r="CT262" s="852"/>
      <c r="CU262" s="106"/>
      <c r="CV262" s="467"/>
      <c r="CW262" s="467"/>
      <c r="CX262" s="467"/>
      <c r="CY262" s="467"/>
      <c r="CZ262" s="467"/>
      <c r="DA262" s="467"/>
      <c r="DB262" s="467"/>
      <c r="DC262" s="467"/>
      <c r="DD262" s="853"/>
      <c r="DE262" s="853"/>
      <c r="DF262" s="853"/>
      <c r="DG262" s="853"/>
      <c r="DH262" s="853"/>
      <c r="DI262" s="686"/>
      <c r="DJ262" s="855"/>
      <c r="DK262" s="855"/>
      <c r="DL262" s="686"/>
      <c r="DM262" s="686"/>
      <c r="DN262" s="686"/>
      <c r="DO262" s="855"/>
      <c r="DP262" s="855"/>
      <c r="DQ262" s="855"/>
      <c r="DR262" s="686"/>
      <c r="DS262" s="686"/>
      <c r="DT262" s="855"/>
      <c r="DU262" s="686"/>
      <c r="DV262" s="855"/>
      <c r="DW262" s="855"/>
      <c r="DX262" s="855"/>
      <c r="DY262" s="855"/>
      <c r="DZ262" s="855"/>
      <c r="EA262" s="686"/>
      <c r="EB262" s="855"/>
      <c r="EC262" s="855"/>
      <c r="ED262" s="1039"/>
    </row>
    <row r="263">
      <c r="A263" s="1707"/>
      <c r="B263" s="245" t="s">
        <v>271</v>
      </c>
      <c r="C263" s="246" t="s">
        <v>271</v>
      </c>
      <c r="D263" s="247" t="s">
        <v>271</v>
      </c>
      <c r="E263" s="248" t="s">
        <v>271</v>
      </c>
      <c r="F263" s="249" t="s">
        <v>271</v>
      </c>
      <c r="G263" s="245" t="s">
        <v>271</v>
      </c>
      <c r="H263" s="351"/>
      <c r="I263" s="288"/>
      <c r="J263" s="351"/>
      <c r="K263" s="351"/>
      <c r="L263" s="351"/>
      <c r="M263" s="351"/>
      <c r="N263" s="351"/>
      <c r="O263" s="351"/>
      <c r="P263" s="351"/>
      <c r="Q263" s="320"/>
      <c r="R263" s="320"/>
      <c r="S263" s="320"/>
      <c r="T263" s="320"/>
      <c r="U263" s="320"/>
      <c r="V263" s="320"/>
      <c r="W263" s="106"/>
      <c r="X263" s="351"/>
      <c r="Y263" s="351"/>
      <c r="Z263" s="351"/>
      <c r="AA263" s="351"/>
      <c r="AB263" s="881"/>
      <c r="AC263" s="351"/>
      <c r="AD263" s="351"/>
      <c r="AE263" s="320"/>
      <c r="AF263" s="351"/>
      <c r="AG263" s="351"/>
      <c r="AH263" s="320"/>
      <c r="AI263" s="320"/>
      <c r="AJ263" s="351"/>
      <c r="AK263" s="320"/>
      <c r="AL263" s="105"/>
      <c r="AM263" s="351"/>
      <c r="AN263" s="351"/>
      <c r="AO263" s="320"/>
      <c r="AP263" s="320"/>
      <c r="AQ263" s="286"/>
      <c r="AR263" s="286"/>
      <c r="AS263" s="320"/>
      <c r="AT263" s="320"/>
      <c r="AU263" s="351"/>
      <c r="AV263" s="351"/>
      <c r="AW263" s="351"/>
      <c r="AX263" s="320"/>
      <c r="AY263" s="320"/>
      <c r="AZ263" s="320"/>
      <c r="BA263" s="320"/>
      <c r="BB263" s="351"/>
      <c r="BC263" s="351"/>
      <c r="BD263" s="351"/>
      <c r="BE263" s="351"/>
      <c r="BF263" s="351"/>
      <c r="BG263" s="351"/>
      <c r="BH263" s="320"/>
      <c r="BI263" s="351"/>
      <c r="BJ263" s="320"/>
      <c r="BK263" s="351"/>
      <c r="BL263" s="351"/>
      <c r="BM263" s="320"/>
      <c r="BN263" s="320"/>
      <c r="BO263" s="351"/>
      <c r="BP263" s="320"/>
      <c r="BQ263" s="824"/>
      <c r="BR263" s="351"/>
      <c r="BS263" s="351"/>
      <c r="BT263" s="351"/>
      <c r="BU263" s="351"/>
      <c r="BV263" s="351"/>
      <c r="BW263" s="351"/>
      <c r="BX263" s="320"/>
      <c r="BY263" s="351"/>
      <c r="BZ263" s="351"/>
      <c r="CA263" s="351"/>
      <c r="CB263" s="320"/>
      <c r="CC263" s="320"/>
      <c r="CD263" s="320"/>
      <c r="CE263" s="320"/>
      <c r="CF263" s="824"/>
      <c r="CG263" s="351"/>
      <c r="CH263" s="351"/>
      <c r="CI263" s="351"/>
      <c r="CJ263" s="351"/>
      <c r="CK263" s="351"/>
      <c r="CL263" s="351"/>
      <c r="CM263" s="351"/>
      <c r="CN263" s="351"/>
      <c r="CO263" s="351"/>
      <c r="CP263" s="758"/>
      <c r="CQ263" s="320"/>
      <c r="CR263" s="320"/>
      <c r="CS263" s="320"/>
      <c r="CT263" s="320"/>
      <c r="CU263" s="106"/>
      <c r="CV263" s="351"/>
      <c r="CW263" s="351"/>
      <c r="CX263" s="351"/>
      <c r="CY263" s="351"/>
      <c r="CZ263" s="351"/>
      <c r="DA263" s="351"/>
      <c r="DB263" s="351"/>
      <c r="DC263" s="351"/>
      <c r="DD263" s="320"/>
      <c r="DE263" s="320"/>
      <c r="DF263" s="320"/>
      <c r="DG263" s="320"/>
      <c r="DH263" s="320"/>
      <c r="DI263" s="351"/>
      <c r="DJ263" s="320"/>
      <c r="DK263" s="320"/>
      <c r="DL263" s="351"/>
      <c r="DM263" s="351"/>
      <c r="DN263" s="351"/>
      <c r="DO263" s="320"/>
      <c r="DP263" s="320"/>
      <c r="DQ263" s="320"/>
      <c r="DR263" s="351"/>
      <c r="DS263" s="351"/>
      <c r="DT263" s="320"/>
      <c r="DU263" s="351"/>
      <c r="DV263" s="320"/>
      <c r="DW263" s="320"/>
      <c r="DX263" s="320"/>
      <c r="DY263" s="320"/>
      <c r="DZ263" s="320"/>
      <c r="EA263" s="351"/>
      <c r="EB263" s="320"/>
      <c r="EC263" s="320"/>
      <c r="ED263" s="862"/>
    </row>
    <row r="264">
      <c r="A264" s="1787"/>
      <c r="B264" s="378" t="s">
        <v>271</v>
      </c>
      <c r="C264" s="379" t="s">
        <v>271</v>
      </c>
      <c r="D264" s="380" t="s">
        <v>271</v>
      </c>
      <c r="E264" s="381" t="s">
        <v>271</v>
      </c>
      <c r="F264" s="382" t="s">
        <v>271</v>
      </c>
      <c r="G264" s="378" t="s">
        <v>271</v>
      </c>
      <c r="H264" s="1700"/>
      <c r="I264" s="1788"/>
      <c r="J264" s="1700"/>
      <c r="K264" s="1700"/>
      <c r="L264" s="1700"/>
      <c r="M264" s="1700"/>
      <c r="N264" s="1700"/>
      <c r="O264" s="1700"/>
      <c r="P264" s="1700"/>
      <c r="Q264" s="835"/>
      <c r="R264" s="835"/>
      <c r="S264" s="835"/>
      <c r="T264" s="835"/>
      <c r="U264" s="835"/>
      <c r="V264" s="835"/>
      <c r="W264" s="106"/>
      <c r="X264" s="402"/>
      <c r="Y264" s="402"/>
      <c r="Z264" s="402"/>
      <c r="AA264" s="402"/>
      <c r="AB264" s="1133"/>
      <c r="AC264" s="402"/>
      <c r="AD264" s="402"/>
      <c r="AE264" s="837"/>
      <c r="AF264" s="402"/>
      <c r="AG264" s="402"/>
      <c r="AH264" s="837"/>
      <c r="AI264" s="837"/>
      <c r="AJ264" s="402"/>
      <c r="AK264" s="837"/>
      <c r="AL264" s="105"/>
      <c r="AM264" s="413"/>
      <c r="AN264" s="413"/>
      <c r="AO264" s="839"/>
      <c r="AP264" s="839"/>
      <c r="AQ264" s="570"/>
      <c r="AR264" s="570"/>
      <c r="AS264" s="839"/>
      <c r="AT264" s="839"/>
      <c r="AU264" s="413"/>
      <c r="AV264" s="413"/>
      <c r="AW264" s="413"/>
      <c r="AX264" s="839"/>
      <c r="AY264" s="839"/>
      <c r="AZ264" s="839"/>
      <c r="BA264" s="839"/>
      <c r="BB264" s="1633"/>
      <c r="BC264" s="1633"/>
      <c r="BD264" s="1633"/>
      <c r="BE264" s="1633"/>
      <c r="BF264" s="1633"/>
      <c r="BG264" s="1633"/>
      <c r="BH264" s="580"/>
      <c r="BI264" s="1633"/>
      <c r="BJ264" s="580"/>
      <c r="BK264" s="1633"/>
      <c r="BL264" s="1633"/>
      <c r="BM264" s="580"/>
      <c r="BN264" s="580"/>
      <c r="BO264" s="1633"/>
      <c r="BP264" s="580"/>
      <c r="BQ264" s="845"/>
      <c r="BR264" s="424"/>
      <c r="BS264" s="424"/>
      <c r="BT264" s="424"/>
      <c r="BU264" s="424"/>
      <c r="BV264" s="424"/>
      <c r="BW264" s="424"/>
      <c r="BX264" s="849"/>
      <c r="BY264" s="424"/>
      <c r="BZ264" s="424"/>
      <c r="CA264" s="424"/>
      <c r="CB264" s="849"/>
      <c r="CC264" s="849"/>
      <c r="CD264" s="849"/>
      <c r="CE264" s="849"/>
      <c r="CF264" s="851"/>
      <c r="CG264" s="434"/>
      <c r="CH264" s="434"/>
      <c r="CI264" s="434"/>
      <c r="CJ264" s="434"/>
      <c r="CK264" s="434"/>
      <c r="CL264" s="434"/>
      <c r="CM264" s="434"/>
      <c r="CN264" s="434"/>
      <c r="CO264" s="434"/>
      <c r="CP264" s="1789"/>
      <c r="CQ264" s="852"/>
      <c r="CR264" s="852"/>
      <c r="CS264" s="852"/>
      <c r="CT264" s="852"/>
      <c r="CU264" s="106"/>
      <c r="CV264" s="467"/>
      <c r="CW264" s="467"/>
      <c r="CX264" s="467"/>
      <c r="CY264" s="467"/>
      <c r="CZ264" s="467"/>
      <c r="DA264" s="467"/>
      <c r="DB264" s="467"/>
      <c r="DC264" s="467"/>
      <c r="DD264" s="853"/>
      <c r="DE264" s="853"/>
      <c r="DF264" s="853"/>
      <c r="DG264" s="853"/>
      <c r="DH264" s="853"/>
      <c r="DI264" s="686"/>
      <c r="DJ264" s="855"/>
      <c r="DK264" s="855"/>
      <c r="DL264" s="686"/>
      <c r="DM264" s="686"/>
      <c r="DN264" s="686"/>
      <c r="DO264" s="855"/>
      <c r="DP264" s="855"/>
      <c r="DQ264" s="855"/>
      <c r="DR264" s="686"/>
      <c r="DS264" s="686"/>
      <c r="DT264" s="855"/>
      <c r="DU264" s="686"/>
      <c r="DV264" s="855"/>
      <c r="DW264" s="855"/>
      <c r="DX264" s="855"/>
      <c r="DY264" s="855"/>
      <c r="DZ264" s="855"/>
      <c r="EA264" s="686"/>
      <c r="EB264" s="855"/>
      <c r="EC264" s="855"/>
      <c r="ED264" s="1039"/>
    </row>
    <row r="265">
      <c r="A265" s="1707"/>
      <c r="B265" s="245" t="s">
        <v>271</v>
      </c>
      <c r="C265" s="246" t="s">
        <v>271</v>
      </c>
      <c r="D265" s="247" t="s">
        <v>271</v>
      </c>
      <c r="E265" s="248" t="s">
        <v>271</v>
      </c>
      <c r="F265" s="249" t="s">
        <v>271</v>
      </c>
      <c r="G265" s="245" t="s">
        <v>271</v>
      </c>
      <c r="H265" s="351"/>
      <c r="I265" s="288"/>
      <c r="J265" s="351"/>
      <c r="K265" s="351"/>
      <c r="L265" s="351"/>
      <c r="M265" s="351"/>
      <c r="N265" s="351"/>
      <c r="O265" s="351"/>
      <c r="P265" s="351"/>
      <c r="Q265" s="320"/>
      <c r="R265" s="320"/>
      <c r="S265" s="320"/>
      <c r="T265" s="320"/>
      <c r="U265" s="320"/>
      <c r="V265" s="320"/>
      <c r="W265" s="106"/>
      <c r="X265" s="351"/>
      <c r="Y265" s="351"/>
      <c r="Z265" s="351"/>
      <c r="AA265" s="351"/>
      <c r="AB265" s="881"/>
      <c r="AC265" s="351"/>
      <c r="AD265" s="351"/>
      <c r="AE265" s="320"/>
      <c r="AF265" s="351"/>
      <c r="AG265" s="351"/>
      <c r="AH265" s="320"/>
      <c r="AI265" s="320"/>
      <c r="AJ265" s="351"/>
      <c r="AK265" s="320"/>
      <c r="AL265" s="105"/>
      <c r="AM265" s="351"/>
      <c r="AN265" s="351"/>
      <c r="AO265" s="320"/>
      <c r="AP265" s="320"/>
      <c r="AQ265" s="286"/>
      <c r="AR265" s="286"/>
      <c r="AS265" s="320"/>
      <c r="AT265" s="320"/>
      <c r="AU265" s="351"/>
      <c r="AV265" s="351"/>
      <c r="AW265" s="351"/>
      <c r="AX265" s="320"/>
      <c r="AY265" s="320"/>
      <c r="AZ265" s="320"/>
      <c r="BA265" s="320"/>
      <c r="BB265" s="351"/>
      <c r="BC265" s="351"/>
      <c r="BD265" s="351"/>
      <c r="BE265" s="351"/>
      <c r="BF265" s="351"/>
      <c r="BG265" s="351"/>
      <c r="BH265" s="320"/>
      <c r="BI265" s="351"/>
      <c r="BJ265" s="320"/>
      <c r="BK265" s="351"/>
      <c r="BL265" s="351"/>
      <c r="BM265" s="320"/>
      <c r="BN265" s="320"/>
      <c r="BO265" s="351"/>
      <c r="BP265" s="320"/>
      <c r="BQ265" s="824"/>
      <c r="BR265" s="351"/>
      <c r="BS265" s="351"/>
      <c r="BT265" s="351"/>
      <c r="BU265" s="351"/>
      <c r="BV265" s="351"/>
      <c r="BW265" s="351"/>
      <c r="BX265" s="320"/>
      <c r="BY265" s="351"/>
      <c r="BZ265" s="351"/>
      <c r="CA265" s="351"/>
      <c r="CB265" s="320"/>
      <c r="CC265" s="320"/>
      <c r="CD265" s="320"/>
      <c r="CE265" s="320"/>
      <c r="CF265" s="824"/>
      <c r="CG265" s="351"/>
      <c r="CH265" s="351"/>
      <c r="CI265" s="351"/>
      <c r="CJ265" s="351"/>
      <c r="CK265" s="351"/>
      <c r="CL265" s="351"/>
      <c r="CM265" s="351"/>
      <c r="CN265" s="351"/>
      <c r="CO265" s="351"/>
      <c r="CP265" s="758"/>
      <c r="CQ265" s="320"/>
      <c r="CR265" s="320"/>
      <c r="CS265" s="320"/>
      <c r="CT265" s="320"/>
      <c r="CU265" s="106"/>
      <c r="CV265" s="351"/>
      <c r="CW265" s="351"/>
      <c r="CX265" s="351"/>
      <c r="CY265" s="351"/>
      <c r="CZ265" s="351"/>
      <c r="DA265" s="351"/>
      <c r="DB265" s="351"/>
      <c r="DC265" s="351"/>
      <c r="DD265" s="320"/>
      <c r="DE265" s="320"/>
      <c r="DF265" s="320"/>
      <c r="DG265" s="320"/>
      <c r="DH265" s="320"/>
      <c r="DI265" s="351"/>
      <c r="DJ265" s="320"/>
      <c r="DK265" s="320"/>
      <c r="DL265" s="351"/>
      <c r="DM265" s="351"/>
      <c r="DN265" s="351"/>
      <c r="DO265" s="320"/>
      <c r="DP265" s="320"/>
      <c r="DQ265" s="320"/>
      <c r="DR265" s="351"/>
      <c r="DS265" s="351"/>
      <c r="DT265" s="320"/>
      <c r="DU265" s="351"/>
      <c r="DV265" s="320"/>
      <c r="DW265" s="320"/>
      <c r="DX265" s="320"/>
      <c r="DY265" s="320"/>
      <c r="DZ265" s="320"/>
      <c r="EA265" s="351"/>
      <c r="EB265" s="320"/>
      <c r="EC265" s="320"/>
      <c r="ED265" s="862"/>
    </row>
    <row r="266">
      <c r="A266" s="1787"/>
      <c r="B266" s="378" t="s">
        <v>271</v>
      </c>
      <c r="C266" s="379" t="s">
        <v>271</v>
      </c>
      <c r="D266" s="380" t="s">
        <v>271</v>
      </c>
      <c r="E266" s="381" t="s">
        <v>271</v>
      </c>
      <c r="F266" s="382" t="s">
        <v>271</v>
      </c>
      <c r="G266" s="378" t="s">
        <v>271</v>
      </c>
      <c r="H266" s="1700"/>
      <c r="I266" s="1788"/>
      <c r="J266" s="1700"/>
      <c r="K266" s="1700"/>
      <c r="L266" s="1700"/>
      <c r="M266" s="1700"/>
      <c r="N266" s="1700"/>
      <c r="O266" s="1700"/>
      <c r="P266" s="1700"/>
      <c r="Q266" s="835"/>
      <c r="R266" s="835"/>
      <c r="S266" s="835"/>
      <c r="T266" s="835"/>
      <c r="U266" s="835"/>
      <c r="V266" s="835"/>
      <c r="W266" s="106"/>
      <c r="X266" s="402"/>
      <c r="Y266" s="402"/>
      <c r="Z266" s="402"/>
      <c r="AA266" s="402"/>
      <c r="AB266" s="1133"/>
      <c r="AC266" s="402"/>
      <c r="AD266" s="402"/>
      <c r="AE266" s="837"/>
      <c r="AF266" s="402"/>
      <c r="AG266" s="402"/>
      <c r="AH266" s="837"/>
      <c r="AI266" s="837"/>
      <c r="AJ266" s="402"/>
      <c r="AK266" s="837"/>
      <c r="AL266" s="105"/>
      <c r="AM266" s="413"/>
      <c r="AN266" s="413"/>
      <c r="AO266" s="839"/>
      <c r="AP266" s="839"/>
      <c r="AQ266" s="570"/>
      <c r="AR266" s="570"/>
      <c r="AS266" s="839"/>
      <c r="AT266" s="839"/>
      <c r="AU266" s="413"/>
      <c r="AV266" s="413"/>
      <c r="AW266" s="413"/>
      <c r="AX266" s="839"/>
      <c r="AY266" s="839"/>
      <c r="AZ266" s="839"/>
      <c r="BA266" s="839"/>
      <c r="BB266" s="1633"/>
      <c r="BC266" s="1633"/>
      <c r="BD266" s="1633"/>
      <c r="BE266" s="1633"/>
      <c r="BF266" s="1633"/>
      <c r="BG266" s="1633"/>
      <c r="BH266" s="580"/>
      <c r="BI266" s="1633"/>
      <c r="BJ266" s="580"/>
      <c r="BK266" s="1633"/>
      <c r="BL266" s="1633"/>
      <c r="BM266" s="580"/>
      <c r="BN266" s="580"/>
      <c r="BO266" s="1633"/>
      <c r="BP266" s="580"/>
      <c r="BQ266" s="845"/>
      <c r="BR266" s="424"/>
      <c r="BS266" s="424"/>
      <c r="BT266" s="424"/>
      <c r="BU266" s="424"/>
      <c r="BV266" s="424"/>
      <c r="BW266" s="424"/>
      <c r="BX266" s="849"/>
      <c r="BY266" s="424"/>
      <c r="BZ266" s="424"/>
      <c r="CA266" s="424"/>
      <c r="CB266" s="849"/>
      <c r="CC266" s="849"/>
      <c r="CD266" s="849"/>
      <c r="CE266" s="849"/>
      <c r="CF266" s="851"/>
      <c r="CG266" s="434"/>
      <c r="CH266" s="434"/>
      <c r="CI266" s="434"/>
      <c r="CJ266" s="434"/>
      <c r="CK266" s="434"/>
      <c r="CL266" s="434"/>
      <c r="CM266" s="434"/>
      <c r="CN266" s="434"/>
      <c r="CO266" s="434"/>
      <c r="CP266" s="1789"/>
      <c r="CQ266" s="852"/>
      <c r="CR266" s="852"/>
      <c r="CS266" s="852"/>
      <c r="CT266" s="852"/>
      <c r="CU266" s="106"/>
      <c r="CV266" s="467"/>
      <c r="CW266" s="467"/>
      <c r="CX266" s="467"/>
      <c r="CY266" s="467"/>
      <c r="CZ266" s="467"/>
      <c r="DA266" s="467"/>
      <c r="DB266" s="467"/>
      <c r="DC266" s="467"/>
      <c r="DD266" s="853"/>
      <c r="DE266" s="853"/>
      <c r="DF266" s="853"/>
      <c r="DG266" s="853"/>
      <c r="DH266" s="853"/>
      <c r="DI266" s="686"/>
      <c r="DJ266" s="855"/>
      <c r="DK266" s="855"/>
      <c r="DL266" s="686"/>
      <c r="DM266" s="686"/>
      <c r="DN266" s="686"/>
      <c r="DO266" s="855"/>
      <c r="DP266" s="855"/>
      <c r="DQ266" s="855"/>
      <c r="DR266" s="686"/>
      <c r="DS266" s="686"/>
      <c r="DT266" s="855"/>
      <c r="DU266" s="686"/>
      <c r="DV266" s="855"/>
      <c r="DW266" s="855"/>
      <c r="DX266" s="855"/>
      <c r="DY266" s="855"/>
      <c r="DZ266" s="855"/>
      <c r="EA266" s="686"/>
      <c r="EB266" s="855"/>
      <c r="EC266" s="855"/>
      <c r="ED266" s="1039"/>
    </row>
    <row r="267">
      <c r="A267" s="1707"/>
      <c r="B267" s="245" t="s">
        <v>271</v>
      </c>
      <c r="C267" s="246" t="s">
        <v>271</v>
      </c>
      <c r="D267" s="247" t="s">
        <v>271</v>
      </c>
      <c r="E267" s="248" t="s">
        <v>271</v>
      </c>
      <c r="F267" s="249" t="s">
        <v>271</v>
      </c>
      <c r="G267" s="245" t="s">
        <v>271</v>
      </c>
      <c r="H267" s="351"/>
      <c r="I267" s="288"/>
      <c r="J267" s="351"/>
      <c r="K267" s="351"/>
      <c r="L267" s="351"/>
      <c r="M267" s="351"/>
      <c r="N267" s="351"/>
      <c r="O267" s="351"/>
      <c r="P267" s="351"/>
      <c r="Q267" s="320"/>
      <c r="R267" s="320"/>
      <c r="S267" s="320"/>
      <c r="T267" s="320"/>
      <c r="U267" s="320"/>
      <c r="V267" s="320"/>
      <c r="W267" s="106"/>
      <c r="X267" s="351"/>
      <c r="Y267" s="351"/>
      <c r="Z267" s="351"/>
      <c r="AA267" s="351"/>
      <c r="AB267" s="881"/>
      <c r="AC267" s="351"/>
      <c r="AD267" s="351"/>
      <c r="AE267" s="320"/>
      <c r="AF267" s="351"/>
      <c r="AG267" s="351"/>
      <c r="AH267" s="320"/>
      <c r="AI267" s="320"/>
      <c r="AJ267" s="351"/>
      <c r="AK267" s="320"/>
      <c r="AL267" s="105"/>
      <c r="AM267" s="351"/>
      <c r="AN267" s="351"/>
      <c r="AO267" s="320"/>
      <c r="AP267" s="320"/>
      <c r="AQ267" s="286"/>
      <c r="AR267" s="286"/>
      <c r="AS267" s="320"/>
      <c r="AT267" s="320"/>
      <c r="AU267" s="351"/>
      <c r="AV267" s="351"/>
      <c r="AW267" s="351"/>
      <c r="AX267" s="320"/>
      <c r="AY267" s="320"/>
      <c r="AZ267" s="320"/>
      <c r="BA267" s="320"/>
      <c r="BB267" s="351"/>
      <c r="BC267" s="351"/>
      <c r="BD267" s="351"/>
      <c r="BE267" s="351"/>
      <c r="BF267" s="351"/>
      <c r="BG267" s="351"/>
      <c r="BH267" s="320"/>
      <c r="BI267" s="351"/>
      <c r="BJ267" s="320"/>
      <c r="BK267" s="351"/>
      <c r="BL267" s="351"/>
      <c r="BM267" s="320"/>
      <c r="BN267" s="320"/>
      <c r="BO267" s="351"/>
      <c r="BP267" s="320"/>
      <c r="BQ267" s="824"/>
      <c r="BR267" s="351"/>
      <c r="BS267" s="351"/>
      <c r="BT267" s="351"/>
      <c r="BU267" s="351"/>
      <c r="BV267" s="351"/>
      <c r="BW267" s="351"/>
      <c r="BX267" s="320"/>
      <c r="BY267" s="351"/>
      <c r="BZ267" s="351"/>
      <c r="CA267" s="351"/>
      <c r="CB267" s="320"/>
      <c r="CC267" s="320"/>
      <c r="CD267" s="320"/>
      <c r="CE267" s="320"/>
      <c r="CF267" s="824"/>
      <c r="CG267" s="351"/>
      <c r="CH267" s="351"/>
      <c r="CI267" s="351"/>
      <c r="CJ267" s="351"/>
      <c r="CK267" s="351"/>
      <c r="CL267" s="351"/>
      <c r="CM267" s="351"/>
      <c r="CN267" s="351"/>
      <c r="CO267" s="351"/>
      <c r="CP267" s="758"/>
      <c r="CQ267" s="320"/>
      <c r="CR267" s="320"/>
      <c r="CS267" s="320"/>
      <c r="CT267" s="320"/>
      <c r="CU267" s="106"/>
      <c r="CV267" s="351"/>
      <c r="CW267" s="351"/>
      <c r="CX267" s="351"/>
      <c r="CY267" s="351"/>
      <c r="CZ267" s="351"/>
      <c r="DA267" s="351"/>
      <c r="DB267" s="351"/>
      <c r="DC267" s="351"/>
      <c r="DD267" s="320"/>
      <c r="DE267" s="320"/>
      <c r="DF267" s="320"/>
      <c r="DG267" s="320"/>
      <c r="DH267" s="320"/>
      <c r="DI267" s="351"/>
      <c r="DJ267" s="320"/>
      <c r="DK267" s="320"/>
      <c r="DL267" s="351"/>
      <c r="DM267" s="351"/>
      <c r="DN267" s="351"/>
      <c r="DO267" s="320"/>
      <c r="DP267" s="320"/>
      <c r="DQ267" s="320"/>
      <c r="DR267" s="351"/>
      <c r="DS267" s="351"/>
      <c r="DT267" s="320"/>
      <c r="DU267" s="351"/>
      <c r="DV267" s="320"/>
      <c r="DW267" s="320"/>
      <c r="DX267" s="320"/>
      <c r="DY267" s="320"/>
      <c r="DZ267" s="320"/>
      <c r="EA267" s="351"/>
      <c r="EB267" s="320"/>
      <c r="EC267" s="320"/>
      <c r="ED267" s="862"/>
    </row>
    <row r="268">
      <c r="A268" s="1787"/>
      <c r="B268" s="378" t="s">
        <v>271</v>
      </c>
      <c r="C268" s="379" t="s">
        <v>271</v>
      </c>
      <c r="D268" s="380" t="s">
        <v>271</v>
      </c>
      <c r="E268" s="381" t="s">
        <v>271</v>
      </c>
      <c r="F268" s="382" t="s">
        <v>271</v>
      </c>
      <c r="G268" s="378" t="s">
        <v>271</v>
      </c>
      <c r="H268" s="1700"/>
      <c r="I268" s="1788"/>
      <c r="J268" s="1700"/>
      <c r="K268" s="1700"/>
      <c r="L268" s="1700"/>
      <c r="M268" s="1700"/>
      <c r="N268" s="1700"/>
      <c r="O268" s="1700"/>
      <c r="P268" s="1700"/>
      <c r="Q268" s="835"/>
      <c r="R268" s="835"/>
      <c r="S268" s="835"/>
      <c r="T268" s="835"/>
      <c r="U268" s="835"/>
      <c r="V268" s="835"/>
      <c r="W268" s="106"/>
      <c r="X268" s="402"/>
      <c r="Y268" s="402"/>
      <c r="Z268" s="402"/>
      <c r="AA268" s="402"/>
      <c r="AB268" s="1133"/>
      <c r="AC268" s="402"/>
      <c r="AD268" s="402"/>
      <c r="AE268" s="837"/>
      <c r="AF268" s="402"/>
      <c r="AG268" s="402"/>
      <c r="AH268" s="837"/>
      <c r="AI268" s="837"/>
      <c r="AJ268" s="402"/>
      <c r="AK268" s="837"/>
      <c r="AL268" s="105"/>
      <c r="AM268" s="413"/>
      <c r="AN268" s="413"/>
      <c r="AO268" s="839"/>
      <c r="AP268" s="839"/>
      <c r="AQ268" s="570"/>
      <c r="AR268" s="570"/>
      <c r="AS268" s="839"/>
      <c r="AT268" s="839"/>
      <c r="AU268" s="413"/>
      <c r="AV268" s="413"/>
      <c r="AW268" s="413"/>
      <c r="AX268" s="839"/>
      <c r="AY268" s="839"/>
      <c r="AZ268" s="839"/>
      <c r="BA268" s="839"/>
      <c r="BB268" s="1633"/>
      <c r="BC268" s="1633"/>
      <c r="BD268" s="1633"/>
      <c r="BE268" s="1633"/>
      <c r="BF268" s="1633"/>
      <c r="BG268" s="1633"/>
      <c r="BH268" s="580"/>
      <c r="BI268" s="1633"/>
      <c r="BJ268" s="580"/>
      <c r="BK268" s="1633"/>
      <c r="BL268" s="1633"/>
      <c r="BM268" s="580"/>
      <c r="BN268" s="580"/>
      <c r="BO268" s="1633"/>
      <c r="BP268" s="580"/>
      <c r="BQ268" s="845"/>
      <c r="BR268" s="424"/>
      <c r="BS268" s="424"/>
      <c r="BT268" s="424"/>
      <c r="BU268" s="424"/>
      <c r="BV268" s="424"/>
      <c r="BW268" s="424"/>
      <c r="BX268" s="849"/>
      <c r="BY268" s="424"/>
      <c r="BZ268" s="424"/>
      <c r="CA268" s="424"/>
      <c r="CB268" s="849"/>
      <c r="CC268" s="849"/>
      <c r="CD268" s="849"/>
      <c r="CE268" s="849"/>
      <c r="CF268" s="851"/>
      <c r="CG268" s="434"/>
      <c r="CH268" s="434"/>
      <c r="CI268" s="434"/>
      <c r="CJ268" s="434"/>
      <c r="CK268" s="434"/>
      <c r="CL268" s="434"/>
      <c r="CM268" s="434"/>
      <c r="CN268" s="434"/>
      <c r="CO268" s="434"/>
      <c r="CP268" s="1789"/>
      <c r="CQ268" s="852"/>
      <c r="CR268" s="852"/>
      <c r="CS268" s="852"/>
      <c r="CT268" s="852"/>
      <c r="CU268" s="106"/>
      <c r="CV268" s="467"/>
      <c r="CW268" s="467"/>
      <c r="CX268" s="467"/>
      <c r="CY268" s="467"/>
      <c r="CZ268" s="467"/>
      <c r="DA268" s="467"/>
      <c r="DB268" s="467"/>
      <c r="DC268" s="467"/>
      <c r="DD268" s="853"/>
      <c r="DE268" s="853"/>
      <c r="DF268" s="853"/>
      <c r="DG268" s="853"/>
      <c r="DH268" s="853"/>
      <c r="DI268" s="686"/>
      <c r="DJ268" s="855"/>
      <c r="DK268" s="855"/>
      <c r="DL268" s="686"/>
      <c r="DM268" s="686"/>
      <c r="DN268" s="686"/>
      <c r="DO268" s="855"/>
      <c r="DP268" s="855"/>
      <c r="DQ268" s="855"/>
      <c r="DR268" s="686"/>
      <c r="DS268" s="686"/>
      <c r="DT268" s="855"/>
      <c r="DU268" s="686"/>
      <c r="DV268" s="855"/>
      <c r="DW268" s="855"/>
      <c r="DX268" s="855"/>
      <c r="DY268" s="855"/>
      <c r="DZ268" s="855"/>
      <c r="EA268" s="686"/>
      <c r="EB268" s="855"/>
      <c r="EC268" s="855"/>
      <c r="ED268" s="1039"/>
    </row>
    <row r="269">
      <c r="A269" s="1707"/>
      <c r="B269" s="245" t="s">
        <v>271</v>
      </c>
      <c r="C269" s="246" t="s">
        <v>271</v>
      </c>
      <c r="D269" s="247" t="s">
        <v>271</v>
      </c>
      <c r="E269" s="248" t="s">
        <v>271</v>
      </c>
      <c r="F269" s="249" t="s">
        <v>271</v>
      </c>
      <c r="G269" s="245" t="s">
        <v>271</v>
      </c>
      <c r="H269" s="351"/>
      <c r="I269" s="288"/>
      <c r="J269" s="351"/>
      <c r="K269" s="351"/>
      <c r="L269" s="351"/>
      <c r="M269" s="351"/>
      <c r="N269" s="351"/>
      <c r="O269" s="351"/>
      <c r="P269" s="351"/>
      <c r="Q269" s="320"/>
      <c r="R269" s="320"/>
      <c r="S269" s="320"/>
      <c r="T269" s="320"/>
      <c r="U269" s="320"/>
      <c r="V269" s="320"/>
      <c r="W269" s="106"/>
      <c r="X269" s="351"/>
      <c r="Y269" s="351"/>
      <c r="Z269" s="351"/>
      <c r="AA269" s="351"/>
      <c r="AB269" s="881"/>
      <c r="AC269" s="351"/>
      <c r="AD269" s="351"/>
      <c r="AE269" s="320"/>
      <c r="AF269" s="351"/>
      <c r="AG269" s="351"/>
      <c r="AH269" s="320"/>
      <c r="AI269" s="320"/>
      <c r="AJ269" s="351"/>
      <c r="AK269" s="320"/>
      <c r="AL269" s="105"/>
      <c r="AM269" s="351"/>
      <c r="AN269" s="351"/>
      <c r="AO269" s="320"/>
      <c r="AP269" s="320"/>
      <c r="AQ269" s="286"/>
      <c r="AR269" s="286"/>
      <c r="AS269" s="320"/>
      <c r="AT269" s="320"/>
      <c r="AU269" s="351"/>
      <c r="AV269" s="351"/>
      <c r="AW269" s="351"/>
      <c r="AX269" s="320"/>
      <c r="AY269" s="320"/>
      <c r="AZ269" s="320"/>
      <c r="BA269" s="320"/>
      <c r="BB269" s="351"/>
      <c r="BC269" s="351"/>
      <c r="BD269" s="351"/>
      <c r="BE269" s="351"/>
      <c r="BF269" s="351"/>
      <c r="BG269" s="351"/>
      <c r="BH269" s="320"/>
      <c r="BI269" s="351"/>
      <c r="BJ269" s="320"/>
      <c r="BK269" s="351"/>
      <c r="BL269" s="351"/>
      <c r="BM269" s="320"/>
      <c r="BN269" s="320"/>
      <c r="BO269" s="351"/>
      <c r="BP269" s="320"/>
      <c r="BQ269" s="824"/>
      <c r="BR269" s="351"/>
      <c r="BS269" s="351"/>
      <c r="BT269" s="351"/>
      <c r="BU269" s="351"/>
      <c r="BV269" s="351"/>
      <c r="BW269" s="351"/>
      <c r="BX269" s="320"/>
      <c r="BY269" s="351"/>
      <c r="BZ269" s="351"/>
      <c r="CA269" s="351"/>
      <c r="CB269" s="320"/>
      <c r="CC269" s="320"/>
      <c r="CD269" s="320"/>
      <c r="CE269" s="320"/>
      <c r="CF269" s="824"/>
      <c r="CG269" s="351"/>
      <c r="CH269" s="351"/>
      <c r="CI269" s="351"/>
      <c r="CJ269" s="351"/>
      <c r="CK269" s="351"/>
      <c r="CL269" s="351"/>
      <c r="CM269" s="351"/>
      <c r="CN269" s="351"/>
      <c r="CO269" s="351"/>
      <c r="CP269" s="758"/>
      <c r="CQ269" s="320"/>
      <c r="CR269" s="320"/>
      <c r="CS269" s="320"/>
      <c r="CT269" s="320"/>
      <c r="CU269" s="106"/>
      <c r="CV269" s="351"/>
      <c r="CW269" s="351"/>
      <c r="CX269" s="351"/>
      <c r="CY269" s="351"/>
      <c r="CZ269" s="351"/>
      <c r="DA269" s="351"/>
      <c r="DB269" s="351"/>
      <c r="DC269" s="351"/>
      <c r="DD269" s="320"/>
      <c r="DE269" s="320"/>
      <c r="DF269" s="320"/>
      <c r="DG269" s="320"/>
      <c r="DH269" s="320"/>
      <c r="DI269" s="351"/>
      <c r="DJ269" s="320"/>
      <c r="DK269" s="320"/>
      <c r="DL269" s="351"/>
      <c r="DM269" s="351"/>
      <c r="DN269" s="351"/>
      <c r="DO269" s="320"/>
      <c r="DP269" s="320"/>
      <c r="DQ269" s="320"/>
      <c r="DR269" s="351"/>
      <c r="DS269" s="351"/>
      <c r="DT269" s="320"/>
      <c r="DU269" s="351"/>
      <c r="DV269" s="320"/>
      <c r="DW269" s="320"/>
      <c r="DX269" s="320"/>
      <c r="DY269" s="320"/>
      <c r="DZ269" s="320"/>
      <c r="EA269" s="351"/>
      <c r="EB269" s="320"/>
      <c r="EC269" s="320"/>
      <c r="ED269" s="862"/>
    </row>
    <row r="270">
      <c r="A270" s="1787"/>
      <c r="B270" s="378" t="s">
        <v>271</v>
      </c>
      <c r="C270" s="379" t="s">
        <v>271</v>
      </c>
      <c r="D270" s="380" t="s">
        <v>271</v>
      </c>
      <c r="E270" s="381" t="s">
        <v>271</v>
      </c>
      <c r="F270" s="382" t="s">
        <v>271</v>
      </c>
      <c r="G270" s="378" t="s">
        <v>271</v>
      </c>
      <c r="H270" s="1700"/>
      <c r="I270" s="1788"/>
      <c r="J270" s="1700"/>
      <c r="K270" s="1700"/>
      <c r="L270" s="1700"/>
      <c r="M270" s="1700"/>
      <c r="N270" s="1700"/>
      <c r="O270" s="1700"/>
      <c r="P270" s="1700"/>
      <c r="Q270" s="835"/>
      <c r="R270" s="835"/>
      <c r="S270" s="835"/>
      <c r="T270" s="835"/>
      <c r="U270" s="835"/>
      <c r="V270" s="835"/>
      <c r="W270" s="106"/>
      <c r="X270" s="402"/>
      <c r="Y270" s="402"/>
      <c r="Z270" s="402"/>
      <c r="AA270" s="402"/>
      <c r="AB270" s="1133"/>
      <c r="AC270" s="402"/>
      <c r="AD270" s="402"/>
      <c r="AE270" s="837"/>
      <c r="AF270" s="402"/>
      <c r="AG270" s="402"/>
      <c r="AH270" s="837"/>
      <c r="AI270" s="837"/>
      <c r="AJ270" s="402"/>
      <c r="AK270" s="837"/>
      <c r="AL270" s="105"/>
      <c r="AM270" s="413"/>
      <c r="AN270" s="413"/>
      <c r="AO270" s="839"/>
      <c r="AP270" s="839"/>
      <c r="AQ270" s="570"/>
      <c r="AR270" s="570"/>
      <c r="AS270" s="839"/>
      <c r="AT270" s="839"/>
      <c r="AU270" s="413"/>
      <c r="AV270" s="413"/>
      <c r="AW270" s="413"/>
      <c r="AX270" s="839"/>
      <c r="AY270" s="839"/>
      <c r="AZ270" s="839"/>
      <c r="BA270" s="839"/>
      <c r="BB270" s="1633"/>
      <c r="BC270" s="1633"/>
      <c r="BD270" s="1633"/>
      <c r="BE270" s="1633"/>
      <c r="BF270" s="1633"/>
      <c r="BG270" s="1633"/>
      <c r="BH270" s="580"/>
      <c r="BI270" s="1633"/>
      <c r="BJ270" s="580"/>
      <c r="BK270" s="1633"/>
      <c r="BL270" s="1633"/>
      <c r="BM270" s="580"/>
      <c r="BN270" s="580"/>
      <c r="BO270" s="1633"/>
      <c r="BP270" s="580"/>
      <c r="BQ270" s="845"/>
      <c r="BR270" s="424"/>
      <c r="BS270" s="424"/>
      <c r="BT270" s="424"/>
      <c r="BU270" s="424"/>
      <c r="BV270" s="424"/>
      <c r="BW270" s="424"/>
      <c r="BX270" s="849"/>
      <c r="BY270" s="424"/>
      <c r="BZ270" s="424"/>
      <c r="CA270" s="424"/>
      <c r="CB270" s="849"/>
      <c r="CC270" s="849"/>
      <c r="CD270" s="849"/>
      <c r="CE270" s="849"/>
      <c r="CF270" s="851"/>
      <c r="CG270" s="434"/>
      <c r="CH270" s="434"/>
      <c r="CI270" s="434"/>
      <c r="CJ270" s="434"/>
      <c r="CK270" s="434"/>
      <c r="CL270" s="434"/>
      <c r="CM270" s="434"/>
      <c r="CN270" s="434"/>
      <c r="CO270" s="434"/>
      <c r="CP270" s="1789"/>
      <c r="CQ270" s="852"/>
      <c r="CR270" s="852"/>
      <c r="CS270" s="852"/>
      <c r="CT270" s="852"/>
      <c r="CU270" s="106"/>
      <c r="CV270" s="467"/>
      <c r="CW270" s="467"/>
      <c r="CX270" s="467"/>
      <c r="CY270" s="467"/>
      <c r="CZ270" s="467"/>
      <c r="DA270" s="467"/>
      <c r="DB270" s="467"/>
      <c r="DC270" s="467"/>
      <c r="DD270" s="853"/>
      <c r="DE270" s="853"/>
      <c r="DF270" s="853"/>
      <c r="DG270" s="853"/>
      <c r="DH270" s="853"/>
      <c r="DI270" s="686"/>
      <c r="DJ270" s="855"/>
      <c r="DK270" s="855"/>
      <c r="DL270" s="686"/>
      <c r="DM270" s="686"/>
      <c r="DN270" s="686"/>
      <c r="DO270" s="855"/>
      <c r="DP270" s="855"/>
      <c r="DQ270" s="855"/>
      <c r="DR270" s="686"/>
      <c r="DS270" s="686"/>
      <c r="DT270" s="855"/>
      <c r="DU270" s="686"/>
      <c r="DV270" s="855"/>
      <c r="DW270" s="855"/>
      <c r="DX270" s="855"/>
      <c r="DY270" s="855"/>
      <c r="DZ270" s="855"/>
      <c r="EA270" s="686"/>
      <c r="EB270" s="855"/>
      <c r="EC270" s="855"/>
      <c r="ED270" s="1039"/>
    </row>
    <row r="271">
      <c r="A271" s="1707"/>
      <c r="B271" s="245" t="s">
        <v>271</v>
      </c>
      <c r="C271" s="246" t="s">
        <v>271</v>
      </c>
      <c r="D271" s="247" t="s">
        <v>271</v>
      </c>
      <c r="E271" s="248" t="s">
        <v>271</v>
      </c>
      <c r="F271" s="249" t="s">
        <v>271</v>
      </c>
      <c r="G271" s="245" t="s">
        <v>271</v>
      </c>
      <c r="H271" s="351"/>
      <c r="I271" s="288"/>
      <c r="J271" s="351"/>
      <c r="K271" s="351"/>
      <c r="L271" s="351"/>
      <c r="M271" s="351"/>
      <c r="N271" s="351"/>
      <c r="O271" s="351"/>
      <c r="P271" s="351"/>
      <c r="Q271" s="320"/>
      <c r="R271" s="320"/>
      <c r="S271" s="320"/>
      <c r="T271" s="320"/>
      <c r="U271" s="320"/>
      <c r="V271" s="320"/>
      <c r="W271" s="106"/>
      <c r="X271" s="351"/>
      <c r="Y271" s="351"/>
      <c r="Z271" s="351"/>
      <c r="AA271" s="351"/>
      <c r="AB271" s="881"/>
      <c r="AC271" s="351"/>
      <c r="AD271" s="351"/>
      <c r="AE271" s="320"/>
      <c r="AF271" s="351"/>
      <c r="AG271" s="351"/>
      <c r="AH271" s="320"/>
      <c r="AI271" s="320"/>
      <c r="AJ271" s="351"/>
      <c r="AK271" s="320"/>
      <c r="AL271" s="105"/>
      <c r="AM271" s="351"/>
      <c r="AN271" s="351"/>
      <c r="AO271" s="320"/>
      <c r="AP271" s="320"/>
      <c r="AQ271" s="286"/>
      <c r="AR271" s="286"/>
      <c r="AS271" s="320"/>
      <c r="AT271" s="320"/>
      <c r="AU271" s="351"/>
      <c r="AV271" s="351"/>
      <c r="AW271" s="351"/>
      <c r="AX271" s="320"/>
      <c r="AY271" s="320"/>
      <c r="AZ271" s="320"/>
      <c r="BA271" s="320"/>
      <c r="BB271" s="351"/>
      <c r="BC271" s="351"/>
      <c r="BD271" s="351"/>
      <c r="BE271" s="351"/>
      <c r="BF271" s="351"/>
      <c r="BG271" s="351"/>
      <c r="BH271" s="320"/>
      <c r="BI271" s="351"/>
      <c r="BJ271" s="320"/>
      <c r="BK271" s="351"/>
      <c r="BL271" s="351"/>
      <c r="BM271" s="320"/>
      <c r="BN271" s="320"/>
      <c r="BO271" s="351"/>
      <c r="BP271" s="320"/>
      <c r="BQ271" s="824"/>
      <c r="BR271" s="351"/>
      <c r="BS271" s="351"/>
      <c r="BT271" s="351"/>
      <c r="BU271" s="351"/>
      <c r="BV271" s="351"/>
      <c r="BW271" s="351"/>
      <c r="BX271" s="320"/>
      <c r="BY271" s="351"/>
      <c r="BZ271" s="351"/>
      <c r="CA271" s="351"/>
      <c r="CB271" s="320"/>
      <c r="CC271" s="320"/>
      <c r="CD271" s="320"/>
      <c r="CE271" s="320"/>
      <c r="CF271" s="824"/>
      <c r="CG271" s="351"/>
      <c r="CH271" s="351"/>
      <c r="CI271" s="351"/>
      <c r="CJ271" s="351"/>
      <c r="CK271" s="351"/>
      <c r="CL271" s="351"/>
      <c r="CM271" s="351"/>
      <c r="CN271" s="351"/>
      <c r="CO271" s="351"/>
      <c r="CP271" s="758"/>
      <c r="CQ271" s="320"/>
      <c r="CR271" s="320"/>
      <c r="CS271" s="320"/>
      <c r="CT271" s="320"/>
      <c r="CU271" s="106"/>
      <c r="CV271" s="351"/>
      <c r="CW271" s="351"/>
      <c r="CX271" s="351"/>
      <c r="CY271" s="351"/>
      <c r="CZ271" s="351"/>
      <c r="DA271" s="351"/>
      <c r="DB271" s="351"/>
      <c r="DC271" s="351"/>
      <c r="DD271" s="320"/>
      <c r="DE271" s="320"/>
      <c r="DF271" s="320"/>
      <c r="DG271" s="320"/>
      <c r="DH271" s="320"/>
      <c r="DI271" s="351"/>
      <c r="DJ271" s="320"/>
      <c r="DK271" s="320"/>
      <c r="DL271" s="351"/>
      <c r="DM271" s="351"/>
      <c r="DN271" s="351"/>
      <c r="DO271" s="320"/>
      <c r="DP271" s="320"/>
      <c r="DQ271" s="320"/>
      <c r="DR271" s="351"/>
      <c r="DS271" s="351"/>
      <c r="DT271" s="320"/>
      <c r="DU271" s="351"/>
      <c r="DV271" s="320"/>
      <c r="DW271" s="320"/>
      <c r="DX271" s="320"/>
      <c r="DY271" s="320"/>
      <c r="DZ271" s="320"/>
      <c r="EA271" s="351"/>
      <c r="EB271" s="320"/>
      <c r="EC271" s="320"/>
      <c r="ED271" s="862"/>
    </row>
    <row r="272">
      <c r="A272" s="1787"/>
      <c r="B272" s="378" t="s">
        <v>271</v>
      </c>
      <c r="C272" s="379" t="s">
        <v>271</v>
      </c>
      <c r="D272" s="380" t="s">
        <v>271</v>
      </c>
      <c r="E272" s="381" t="s">
        <v>271</v>
      </c>
      <c r="F272" s="382" t="s">
        <v>271</v>
      </c>
      <c r="G272" s="378" t="s">
        <v>271</v>
      </c>
      <c r="H272" s="1700"/>
      <c r="I272" s="1788"/>
      <c r="J272" s="1700"/>
      <c r="K272" s="1700"/>
      <c r="L272" s="1700"/>
      <c r="M272" s="1700"/>
      <c r="N272" s="1700"/>
      <c r="O272" s="1700"/>
      <c r="P272" s="1700"/>
      <c r="Q272" s="835"/>
      <c r="R272" s="835"/>
      <c r="S272" s="835"/>
      <c r="T272" s="835"/>
      <c r="U272" s="835"/>
      <c r="V272" s="835"/>
      <c r="W272" s="106"/>
      <c r="X272" s="402"/>
      <c r="Y272" s="402"/>
      <c r="Z272" s="402"/>
      <c r="AA272" s="402"/>
      <c r="AB272" s="1133"/>
      <c r="AC272" s="402"/>
      <c r="AD272" s="402"/>
      <c r="AE272" s="837"/>
      <c r="AF272" s="402"/>
      <c r="AG272" s="402"/>
      <c r="AH272" s="837"/>
      <c r="AI272" s="837"/>
      <c r="AJ272" s="402"/>
      <c r="AK272" s="837"/>
      <c r="AL272" s="105"/>
      <c r="AM272" s="413"/>
      <c r="AN272" s="413"/>
      <c r="AO272" s="839"/>
      <c r="AP272" s="839"/>
      <c r="AQ272" s="570"/>
      <c r="AR272" s="570"/>
      <c r="AS272" s="839"/>
      <c r="AT272" s="839"/>
      <c r="AU272" s="413"/>
      <c r="AV272" s="413"/>
      <c r="AW272" s="413"/>
      <c r="AX272" s="839"/>
      <c r="AY272" s="839"/>
      <c r="AZ272" s="839"/>
      <c r="BA272" s="839"/>
      <c r="BB272" s="1633"/>
      <c r="BC272" s="1633"/>
      <c r="BD272" s="1633"/>
      <c r="BE272" s="1633"/>
      <c r="BF272" s="1633"/>
      <c r="BG272" s="1633"/>
      <c r="BH272" s="580"/>
      <c r="BI272" s="1633"/>
      <c r="BJ272" s="580"/>
      <c r="BK272" s="1633"/>
      <c r="BL272" s="1633"/>
      <c r="BM272" s="580"/>
      <c r="BN272" s="580"/>
      <c r="BO272" s="1633"/>
      <c r="BP272" s="580"/>
      <c r="BQ272" s="845"/>
      <c r="BR272" s="424"/>
      <c r="BS272" s="424"/>
      <c r="BT272" s="424"/>
      <c r="BU272" s="424"/>
      <c r="BV272" s="424"/>
      <c r="BW272" s="424"/>
      <c r="BX272" s="849"/>
      <c r="BY272" s="424"/>
      <c r="BZ272" s="424"/>
      <c r="CA272" s="424"/>
      <c r="CB272" s="849"/>
      <c r="CC272" s="849"/>
      <c r="CD272" s="849"/>
      <c r="CE272" s="849"/>
      <c r="CF272" s="851"/>
      <c r="CG272" s="434"/>
      <c r="CH272" s="434"/>
      <c r="CI272" s="434"/>
      <c r="CJ272" s="434"/>
      <c r="CK272" s="434"/>
      <c r="CL272" s="434"/>
      <c r="CM272" s="434"/>
      <c r="CN272" s="434"/>
      <c r="CO272" s="434"/>
      <c r="CP272" s="1789"/>
      <c r="CQ272" s="852"/>
      <c r="CR272" s="852"/>
      <c r="CS272" s="852"/>
      <c r="CT272" s="852"/>
      <c r="CU272" s="106"/>
      <c r="CV272" s="467"/>
      <c r="CW272" s="467"/>
      <c r="CX272" s="467"/>
      <c r="CY272" s="467"/>
      <c r="CZ272" s="467"/>
      <c r="DA272" s="467"/>
      <c r="DB272" s="467"/>
      <c r="DC272" s="467"/>
      <c r="DD272" s="853"/>
      <c r="DE272" s="853"/>
      <c r="DF272" s="853"/>
      <c r="DG272" s="853"/>
      <c r="DH272" s="853"/>
      <c r="DI272" s="686"/>
      <c r="DJ272" s="855"/>
      <c r="DK272" s="855"/>
      <c r="DL272" s="686"/>
      <c r="DM272" s="686"/>
      <c r="DN272" s="686"/>
      <c r="DO272" s="855"/>
      <c r="DP272" s="855"/>
      <c r="DQ272" s="855"/>
      <c r="DR272" s="686"/>
      <c r="DS272" s="686"/>
      <c r="DT272" s="855"/>
      <c r="DU272" s="686"/>
      <c r="DV272" s="855"/>
      <c r="DW272" s="855"/>
      <c r="DX272" s="855"/>
      <c r="DY272" s="855"/>
      <c r="DZ272" s="855"/>
      <c r="EA272" s="686"/>
      <c r="EB272" s="855"/>
      <c r="EC272" s="855"/>
      <c r="ED272" s="1039"/>
    </row>
    <row r="273">
      <c r="A273" s="1707"/>
      <c r="B273" s="245" t="s">
        <v>271</v>
      </c>
      <c r="C273" s="246" t="s">
        <v>271</v>
      </c>
      <c r="D273" s="247" t="s">
        <v>271</v>
      </c>
      <c r="E273" s="248" t="s">
        <v>271</v>
      </c>
      <c r="F273" s="249" t="s">
        <v>271</v>
      </c>
      <c r="G273" s="245" t="s">
        <v>271</v>
      </c>
      <c r="H273" s="351"/>
      <c r="I273" s="288"/>
      <c r="J273" s="351"/>
      <c r="K273" s="351"/>
      <c r="L273" s="351"/>
      <c r="M273" s="351"/>
      <c r="N273" s="351"/>
      <c r="O273" s="351"/>
      <c r="P273" s="351"/>
      <c r="Q273" s="320"/>
      <c r="R273" s="320"/>
      <c r="S273" s="320"/>
      <c r="T273" s="320"/>
      <c r="U273" s="320"/>
      <c r="V273" s="320"/>
      <c r="W273" s="106"/>
      <c r="X273" s="351"/>
      <c r="Y273" s="351"/>
      <c r="Z273" s="351"/>
      <c r="AA273" s="351"/>
      <c r="AB273" s="881"/>
      <c r="AC273" s="351"/>
      <c r="AD273" s="351"/>
      <c r="AE273" s="320"/>
      <c r="AF273" s="351"/>
      <c r="AG273" s="351"/>
      <c r="AH273" s="320"/>
      <c r="AI273" s="320"/>
      <c r="AJ273" s="351"/>
      <c r="AK273" s="320"/>
      <c r="AL273" s="105"/>
      <c r="AM273" s="351"/>
      <c r="AN273" s="351"/>
      <c r="AO273" s="320"/>
      <c r="AP273" s="320"/>
      <c r="AQ273" s="286"/>
      <c r="AR273" s="286"/>
      <c r="AS273" s="320"/>
      <c r="AT273" s="320"/>
      <c r="AU273" s="351"/>
      <c r="AV273" s="351"/>
      <c r="AW273" s="351"/>
      <c r="AX273" s="320"/>
      <c r="AY273" s="320"/>
      <c r="AZ273" s="320"/>
      <c r="BA273" s="320"/>
      <c r="BB273" s="351"/>
      <c r="BC273" s="351"/>
      <c r="BD273" s="351"/>
      <c r="BE273" s="351"/>
      <c r="BF273" s="351"/>
      <c r="BG273" s="351"/>
      <c r="BH273" s="320"/>
      <c r="BI273" s="351"/>
      <c r="BJ273" s="320"/>
      <c r="BK273" s="351"/>
      <c r="BL273" s="351"/>
      <c r="BM273" s="320"/>
      <c r="BN273" s="320"/>
      <c r="BO273" s="351"/>
      <c r="BP273" s="320"/>
      <c r="BQ273" s="824"/>
      <c r="BR273" s="351"/>
      <c r="BS273" s="351"/>
      <c r="BT273" s="351"/>
      <c r="BU273" s="351"/>
      <c r="BV273" s="351"/>
      <c r="BW273" s="351"/>
      <c r="BX273" s="320"/>
      <c r="BY273" s="351"/>
      <c r="BZ273" s="351"/>
      <c r="CA273" s="351"/>
      <c r="CB273" s="320"/>
      <c r="CC273" s="320"/>
      <c r="CD273" s="320"/>
      <c r="CE273" s="320"/>
      <c r="CF273" s="824"/>
      <c r="CG273" s="351"/>
      <c r="CH273" s="351"/>
      <c r="CI273" s="351"/>
      <c r="CJ273" s="351"/>
      <c r="CK273" s="351"/>
      <c r="CL273" s="351"/>
      <c r="CM273" s="351"/>
      <c r="CN273" s="351"/>
      <c r="CO273" s="351"/>
      <c r="CP273" s="758"/>
      <c r="CQ273" s="320"/>
      <c r="CR273" s="320"/>
      <c r="CS273" s="320"/>
      <c r="CT273" s="320"/>
      <c r="CU273" s="106"/>
      <c r="CV273" s="351"/>
      <c r="CW273" s="351"/>
      <c r="CX273" s="351"/>
      <c r="CY273" s="351"/>
      <c r="CZ273" s="351"/>
      <c r="DA273" s="351"/>
      <c r="DB273" s="351"/>
      <c r="DC273" s="351"/>
      <c r="DD273" s="320"/>
      <c r="DE273" s="320"/>
      <c r="DF273" s="320"/>
      <c r="DG273" s="320"/>
      <c r="DH273" s="320"/>
      <c r="DI273" s="351"/>
      <c r="DJ273" s="320"/>
      <c r="DK273" s="320"/>
      <c r="DL273" s="351"/>
      <c r="DM273" s="351"/>
      <c r="DN273" s="351"/>
      <c r="DO273" s="320"/>
      <c r="DP273" s="320"/>
      <c r="DQ273" s="320"/>
      <c r="DR273" s="351"/>
      <c r="DS273" s="351"/>
      <c r="DT273" s="320"/>
      <c r="DU273" s="351"/>
      <c r="DV273" s="320"/>
      <c r="DW273" s="320"/>
      <c r="DX273" s="320"/>
      <c r="DY273" s="320"/>
      <c r="DZ273" s="320"/>
      <c r="EA273" s="351"/>
      <c r="EB273" s="320"/>
      <c r="EC273" s="320"/>
      <c r="ED273" s="862"/>
    </row>
    <row r="274">
      <c r="A274" s="1787"/>
      <c r="B274" s="378" t="s">
        <v>271</v>
      </c>
      <c r="C274" s="379" t="s">
        <v>271</v>
      </c>
      <c r="D274" s="380" t="s">
        <v>271</v>
      </c>
      <c r="E274" s="381" t="s">
        <v>271</v>
      </c>
      <c r="F274" s="382" t="s">
        <v>271</v>
      </c>
      <c r="G274" s="378" t="s">
        <v>271</v>
      </c>
      <c r="H274" s="1700"/>
      <c r="I274" s="1788"/>
      <c r="J274" s="1700"/>
      <c r="K274" s="1700"/>
      <c r="L274" s="1700"/>
      <c r="M274" s="1700"/>
      <c r="N274" s="1700"/>
      <c r="O274" s="1700"/>
      <c r="P274" s="1700"/>
      <c r="Q274" s="835"/>
      <c r="R274" s="835"/>
      <c r="S274" s="835"/>
      <c r="T274" s="835"/>
      <c r="U274" s="835"/>
      <c r="V274" s="835"/>
      <c r="W274" s="106"/>
      <c r="X274" s="402"/>
      <c r="Y274" s="402"/>
      <c r="Z274" s="402"/>
      <c r="AA274" s="402"/>
      <c r="AB274" s="1133"/>
      <c r="AC274" s="402"/>
      <c r="AD274" s="402"/>
      <c r="AE274" s="837"/>
      <c r="AF274" s="402"/>
      <c r="AG274" s="402"/>
      <c r="AH274" s="837"/>
      <c r="AI274" s="837"/>
      <c r="AJ274" s="402"/>
      <c r="AK274" s="837"/>
      <c r="AL274" s="105"/>
      <c r="AM274" s="413"/>
      <c r="AN274" s="413"/>
      <c r="AO274" s="839"/>
      <c r="AP274" s="839"/>
      <c r="AQ274" s="570"/>
      <c r="AR274" s="570"/>
      <c r="AS274" s="839"/>
      <c r="AT274" s="839"/>
      <c r="AU274" s="413"/>
      <c r="AV274" s="413"/>
      <c r="AW274" s="413"/>
      <c r="AX274" s="839"/>
      <c r="AY274" s="839"/>
      <c r="AZ274" s="839"/>
      <c r="BA274" s="839"/>
      <c r="BB274" s="1633"/>
      <c r="BC274" s="1633"/>
      <c r="BD274" s="1633"/>
      <c r="BE274" s="1633"/>
      <c r="BF274" s="1633"/>
      <c r="BG274" s="1633"/>
      <c r="BH274" s="580"/>
      <c r="BI274" s="1633"/>
      <c r="BJ274" s="580"/>
      <c r="BK274" s="1633"/>
      <c r="BL274" s="1633"/>
      <c r="BM274" s="580"/>
      <c r="BN274" s="580"/>
      <c r="BO274" s="1633"/>
      <c r="BP274" s="580"/>
      <c r="BQ274" s="845"/>
      <c r="BR274" s="424"/>
      <c r="BS274" s="424"/>
      <c r="BT274" s="424"/>
      <c r="BU274" s="424"/>
      <c r="BV274" s="424"/>
      <c r="BW274" s="424"/>
      <c r="BX274" s="849"/>
      <c r="BY274" s="424"/>
      <c r="BZ274" s="424"/>
      <c r="CA274" s="424"/>
      <c r="CB274" s="849"/>
      <c r="CC274" s="849"/>
      <c r="CD274" s="849"/>
      <c r="CE274" s="849"/>
      <c r="CF274" s="851"/>
      <c r="CG274" s="434"/>
      <c r="CH274" s="434"/>
      <c r="CI274" s="434"/>
      <c r="CJ274" s="434"/>
      <c r="CK274" s="434"/>
      <c r="CL274" s="434"/>
      <c r="CM274" s="434"/>
      <c r="CN274" s="434"/>
      <c r="CO274" s="434"/>
      <c r="CP274" s="1789"/>
      <c r="CQ274" s="852"/>
      <c r="CR274" s="852"/>
      <c r="CS274" s="852"/>
      <c r="CT274" s="852"/>
      <c r="CU274" s="106"/>
      <c r="CV274" s="467"/>
      <c r="CW274" s="467"/>
      <c r="CX274" s="467"/>
      <c r="CY274" s="467"/>
      <c r="CZ274" s="467"/>
      <c r="DA274" s="467"/>
      <c r="DB274" s="467"/>
      <c r="DC274" s="467"/>
      <c r="DD274" s="853"/>
      <c r="DE274" s="853"/>
      <c r="DF274" s="853"/>
      <c r="DG274" s="853"/>
      <c r="DH274" s="853"/>
      <c r="DI274" s="686"/>
      <c r="DJ274" s="855"/>
      <c r="DK274" s="855"/>
      <c r="DL274" s="686"/>
      <c r="DM274" s="686"/>
      <c r="DN274" s="686"/>
      <c r="DO274" s="855"/>
      <c r="DP274" s="855"/>
      <c r="DQ274" s="855"/>
      <c r="DR274" s="686"/>
      <c r="DS274" s="686"/>
      <c r="DT274" s="855"/>
      <c r="DU274" s="686"/>
      <c r="DV274" s="855"/>
      <c r="DW274" s="855"/>
      <c r="DX274" s="855"/>
      <c r="DY274" s="855"/>
      <c r="DZ274" s="855"/>
      <c r="EA274" s="686"/>
      <c r="EB274" s="855"/>
      <c r="EC274" s="855"/>
      <c r="ED274" s="1039"/>
    </row>
    <row r="275">
      <c r="A275" s="1707"/>
      <c r="B275" s="245" t="s">
        <v>271</v>
      </c>
      <c r="C275" s="246" t="s">
        <v>271</v>
      </c>
      <c r="D275" s="247" t="s">
        <v>271</v>
      </c>
      <c r="E275" s="248" t="s">
        <v>271</v>
      </c>
      <c r="F275" s="249" t="s">
        <v>271</v>
      </c>
      <c r="G275" s="245" t="s">
        <v>271</v>
      </c>
      <c r="H275" s="351"/>
      <c r="I275" s="288"/>
      <c r="J275" s="351"/>
      <c r="K275" s="351"/>
      <c r="L275" s="351"/>
      <c r="M275" s="351"/>
      <c r="N275" s="351"/>
      <c r="O275" s="351"/>
      <c r="P275" s="351"/>
      <c r="Q275" s="320"/>
      <c r="R275" s="320"/>
      <c r="S275" s="320"/>
      <c r="T275" s="320"/>
      <c r="U275" s="320"/>
      <c r="V275" s="320"/>
      <c r="W275" s="106"/>
      <c r="X275" s="351"/>
      <c r="Y275" s="351"/>
      <c r="Z275" s="351"/>
      <c r="AA275" s="351"/>
      <c r="AB275" s="881"/>
      <c r="AC275" s="351"/>
      <c r="AD275" s="351"/>
      <c r="AE275" s="320"/>
      <c r="AF275" s="351"/>
      <c r="AG275" s="351"/>
      <c r="AH275" s="320"/>
      <c r="AI275" s="320"/>
      <c r="AJ275" s="351"/>
      <c r="AK275" s="320"/>
      <c r="AL275" s="105"/>
      <c r="AM275" s="351"/>
      <c r="AN275" s="351"/>
      <c r="AO275" s="320"/>
      <c r="AP275" s="320"/>
      <c r="AQ275" s="286"/>
      <c r="AR275" s="286"/>
      <c r="AS275" s="320"/>
      <c r="AT275" s="320"/>
      <c r="AU275" s="351"/>
      <c r="AV275" s="351"/>
      <c r="AW275" s="351"/>
      <c r="AX275" s="320"/>
      <c r="AY275" s="320"/>
      <c r="AZ275" s="320"/>
      <c r="BA275" s="320"/>
      <c r="BB275" s="351"/>
      <c r="BC275" s="351"/>
      <c r="BD275" s="351"/>
      <c r="BE275" s="351"/>
      <c r="BF275" s="351"/>
      <c r="BG275" s="351"/>
      <c r="BH275" s="320"/>
      <c r="BI275" s="351"/>
      <c r="BJ275" s="320"/>
      <c r="BK275" s="351"/>
      <c r="BL275" s="351"/>
      <c r="BM275" s="320"/>
      <c r="BN275" s="320"/>
      <c r="BO275" s="351"/>
      <c r="BP275" s="320"/>
      <c r="BQ275" s="824"/>
      <c r="BR275" s="351"/>
      <c r="BS275" s="351"/>
      <c r="BT275" s="351"/>
      <c r="BU275" s="351"/>
      <c r="BV275" s="351"/>
      <c r="BW275" s="351"/>
      <c r="BX275" s="320"/>
      <c r="BY275" s="351"/>
      <c r="BZ275" s="351"/>
      <c r="CA275" s="351"/>
      <c r="CB275" s="320"/>
      <c r="CC275" s="320"/>
      <c r="CD275" s="320"/>
      <c r="CE275" s="320"/>
      <c r="CF275" s="824"/>
      <c r="CG275" s="351"/>
      <c r="CH275" s="351"/>
      <c r="CI275" s="351"/>
      <c r="CJ275" s="351"/>
      <c r="CK275" s="351"/>
      <c r="CL275" s="351"/>
      <c r="CM275" s="351"/>
      <c r="CN275" s="351"/>
      <c r="CO275" s="351"/>
      <c r="CP275" s="758"/>
      <c r="CQ275" s="320"/>
      <c r="CR275" s="320"/>
      <c r="CS275" s="320"/>
      <c r="CT275" s="320"/>
      <c r="CU275" s="106"/>
      <c r="CV275" s="351"/>
      <c r="CW275" s="351"/>
      <c r="CX275" s="351"/>
      <c r="CY275" s="351"/>
      <c r="CZ275" s="351"/>
      <c r="DA275" s="351"/>
      <c r="DB275" s="351"/>
      <c r="DC275" s="351"/>
      <c r="DD275" s="320"/>
      <c r="DE275" s="320"/>
      <c r="DF275" s="320"/>
      <c r="DG275" s="320"/>
      <c r="DH275" s="320"/>
      <c r="DI275" s="351"/>
      <c r="DJ275" s="320"/>
      <c r="DK275" s="320"/>
      <c r="DL275" s="351"/>
      <c r="DM275" s="351"/>
      <c r="DN275" s="351"/>
      <c r="DO275" s="320"/>
      <c r="DP275" s="320"/>
      <c r="DQ275" s="320"/>
      <c r="DR275" s="351"/>
      <c r="DS275" s="351"/>
      <c r="DT275" s="320"/>
      <c r="DU275" s="351"/>
      <c r="DV275" s="320"/>
      <c r="DW275" s="320"/>
      <c r="DX275" s="320"/>
      <c r="DY275" s="320"/>
      <c r="DZ275" s="320"/>
      <c r="EA275" s="351"/>
      <c r="EB275" s="320"/>
      <c r="EC275" s="320"/>
      <c r="ED275" s="862"/>
    </row>
    <row r="276">
      <c r="A276" s="1787"/>
      <c r="B276" s="378" t="s">
        <v>271</v>
      </c>
      <c r="C276" s="379" t="s">
        <v>271</v>
      </c>
      <c r="D276" s="380" t="s">
        <v>271</v>
      </c>
      <c r="E276" s="381" t="s">
        <v>271</v>
      </c>
      <c r="F276" s="382" t="s">
        <v>271</v>
      </c>
      <c r="G276" s="378" t="s">
        <v>271</v>
      </c>
      <c r="H276" s="1700"/>
      <c r="I276" s="1788"/>
      <c r="J276" s="1700"/>
      <c r="K276" s="1700"/>
      <c r="L276" s="1700"/>
      <c r="M276" s="1700"/>
      <c r="N276" s="1700"/>
      <c r="O276" s="1700"/>
      <c r="P276" s="1700"/>
      <c r="Q276" s="835"/>
      <c r="R276" s="835"/>
      <c r="S276" s="835"/>
      <c r="T276" s="835"/>
      <c r="U276" s="835"/>
      <c r="V276" s="835"/>
      <c r="W276" s="106"/>
      <c r="X276" s="402"/>
      <c r="Y276" s="402"/>
      <c r="Z276" s="402"/>
      <c r="AA276" s="402"/>
      <c r="AB276" s="1133"/>
      <c r="AC276" s="402"/>
      <c r="AD276" s="402"/>
      <c r="AE276" s="837"/>
      <c r="AF276" s="402"/>
      <c r="AG276" s="402"/>
      <c r="AH276" s="837"/>
      <c r="AI276" s="837"/>
      <c r="AJ276" s="402"/>
      <c r="AK276" s="837"/>
      <c r="AL276" s="105"/>
      <c r="AM276" s="413"/>
      <c r="AN276" s="413"/>
      <c r="AO276" s="839"/>
      <c r="AP276" s="839"/>
      <c r="AQ276" s="570"/>
      <c r="AR276" s="570"/>
      <c r="AS276" s="839"/>
      <c r="AT276" s="839"/>
      <c r="AU276" s="413"/>
      <c r="AV276" s="413"/>
      <c r="AW276" s="413"/>
      <c r="AX276" s="839"/>
      <c r="AY276" s="839"/>
      <c r="AZ276" s="839"/>
      <c r="BA276" s="839"/>
      <c r="BB276" s="1633"/>
      <c r="BC276" s="1633"/>
      <c r="BD276" s="1633"/>
      <c r="BE276" s="1633"/>
      <c r="BF276" s="1633"/>
      <c r="BG276" s="1633"/>
      <c r="BH276" s="580"/>
      <c r="BI276" s="1633"/>
      <c r="BJ276" s="580"/>
      <c r="BK276" s="1633"/>
      <c r="BL276" s="1633"/>
      <c r="BM276" s="580"/>
      <c r="BN276" s="580"/>
      <c r="BO276" s="1633"/>
      <c r="BP276" s="580"/>
      <c r="BQ276" s="845"/>
      <c r="BR276" s="424"/>
      <c r="BS276" s="424"/>
      <c r="BT276" s="424"/>
      <c r="BU276" s="424"/>
      <c r="BV276" s="424"/>
      <c r="BW276" s="424"/>
      <c r="BX276" s="849"/>
      <c r="BY276" s="424"/>
      <c r="BZ276" s="424"/>
      <c r="CA276" s="424"/>
      <c r="CB276" s="849"/>
      <c r="CC276" s="849"/>
      <c r="CD276" s="849"/>
      <c r="CE276" s="849"/>
      <c r="CF276" s="851"/>
      <c r="CG276" s="434"/>
      <c r="CH276" s="434"/>
      <c r="CI276" s="434"/>
      <c r="CJ276" s="434"/>
      <c r="CK276" s="434"/>
      <c r="CL276" s="434"/>
      <c r="CM276" s="434"/>
      <c r="CN276" s="434"/>
      <c r="CO276" s="434"/>
      <c r="CP276" s="1789"/>
      <c r="CQ276" s="852"/>
      <c r="CR276" s="852"/>
      <c r="CS276" s="852"/>
      <c r="CT276" s="852"/>
      <c r="CU276" s="106"/>
      <c r="CV276" s="467"/>
      <c r="CW276" s="467"/>
      <c r="CX276" s="467"/>
      <c r="CY276" s="467"/>
      <c r="CZ276" s="467"/>
      <c r="DA276" s="467"/>
      <c r="DB276" s="467"/>
      <c r="DC276" s="467"/>
      <c r="DD276" s="853"/>
      <c r="DE276" s="853"/>
      <c r="DF276" s="853"/>
      <c r="DG276" s="853"/>
      <c r="DH276" s="853"/>
      <c r="DI276" s="686"/>
      <c r="DJ276" s="855"/>
      <c r="DK276" s="855"/>
      <c r="DL276" s="686"/>
      <c r="DM276" s="686"/>
      <c r="DN276" s="686"/>
      <c r="DO276" s="855"/>
      <c r="DP276" s="855"/>
      <c r="DQ276" s="855"/>
      <c r="DR276" s="686"/>
      <c r="DS276" s="686"/>
      <c r="DT276" s="855"/>
      <c r="DU276" s="686"/>
      <c r="DV276" s="855"/>
      <c r="DW276" s="855"/>
      <c r="DX276" s="855"/>
      <c r="DY276" s="855"/>
      <c r="DZ276" s="855"/>
      <c r="EA276" s="686"/>
      <c r="EB276" s="855"/>
      <c r="EC276" s="855"/>
      <c r="ED276" s="1039"/>
    </row>
    <row r="277">
      <c r="A277" s="1707"/>
      <c r="B277" s="245" t="s">
        <v>271</v>
      </c>
      <c r="C277" s="246" t="s">
        <v>271</v>
      </c>
      <c r="D277" s="247" t="s">
        <v>271</v>
      </c>
      <c r="E277" s="248" t="s">
        <v>271</v>
      </c>
      <c r="F277" s="249" t="s">
        <v>271</v>
      </c>
      <c r="G277" s="245" t="s">
        <v>271</v>
      </c>
      <c r="H277" s="351"/>
      <c r="I277" s="288"/>
      <c r="J277" s="351"/>
      <c r="K277" s="351"/>
      <c r="L277" s="351"/>
      <c r="M277" s="351"/>
      <c r="N277" s="351"/>
      <c r="O277" s="351"/>
      <c r="P277" s="351"/>
      <c r="Q277" s="320"/>
      <c r="R277" s="320"/>
      <c r="S277" s="320"/>
      <c r="T277" s="320"/>
      <c r="U277" s="320"/>
      <c r="V277" s="320"/>
      <c r="W277" s="106"/>
      <c r="X277" s="351"/>
      <c r="Y277" s="351"/>
      <c r="Z277" s="351"/>
      <c r="AA277" s="351"/>
      <c r="AB277" s="881"/>
      <c r="AC277" s="351"/>
      <c r="AD277" s="351"/>
      <c r="AE277" s="320"/>
      <c r="AF277" s="351"/>
      <c r="AG277" s="351"/>
      <c r="AH277" s="320"/>
      <c r="AI277" s="320"/>
      <c r="AJ277" s="351"/>
      <c r="AK277" s="320"/>
      <c r="AL277" s="105"/>
      <c r="AM277" s="351"/>
      <c r="AN277" s="351"/>
      <c r="AO277" s="320"/>
      <c r="AP277" s="320"/>
      <c r="AQ277" s="286"/>
      <c r="AR277" s="286"/>
      <c r="AS277" s="320"/>
      <c r="AT277" s="320"/>
      <c r="AU277" s="351"/>
      <c r="AV277" s="351"/>
      <c r="AW277" s="351"/>
      <c r="AX277" s="320"/>
      <c r="AY277" s="320"/>
      <c r="AZ277" s="320"/>
      <c r="BA277" s="320"/>
      <c r="BB277" s="351"/>
      <c r="BC277" s="351"/>
      <c r="BD277" s="351"/>
      <c r="BE277" s="351"/>
      <c r="BF277" s="351"/>
      <c r="BG277" s="351"/>
      <c r="BH277" s="320"/>
      <c r="BI277" s="351"/>
      <c r="BJ277" s="320"/>
      <c r="BK277" s="351"/>
      <c r="BL277" s="351"/>
      <c r="BM277" s="320"/>
      <c r="BN277" s="320"/>
      <c r="BO277" s="351"/>
      <c r="BP277" s="320"/>
      <c r="BQ277" s="824"/>
      <c r="BR277" s="351"/>
      <c r="BS277" s="351"/>
      <c r="BT277" s="351"/>
      <c r="BU277" s="351"/>
      <c r="BV277" s="351"/>
      <c r="BW277" s="351"/>
      <c r="BX277" s="320"/>
      <c r="BY277" s="351"/>
      <c r="BZ277" s="351"/>
      <c r="CA277" s="351"/>
      <c r="CB277" s="320"/>
      <c r="CC277" s="320"/>
      <c r="CD277" s="320"/>
      <c r="CE277" s="320"/>
      <c r="CF277" s="824"/>
      <c r="CG277" s="351"/>
      <c r="CH277" s="351"/>
      <c r="CI277" s="351"/>
      <c r="CJ277" s="351"/>
      <c r="CK277" s="351"/>
      <c r="CL277" s="351"/>
      <c r="CM277" s="351"/>
      <c r="CN277" s="351"/>
      <c r="CO277" s="351"/>
      <c r="CP277" s="758"/>
      <c r="CQ277" s="320"/>
      <c r="CR277" s="320"/>
      <c r="CS277" s="320"/>
      <c r="CT277" s="320"/>
      <c r="CU277" s="106"/>
      <c r="CV277" s="351"/>
      <c r="CW277" s="351"/>
      <c r="CX277" s="351"/>
      <c r="CY277" s="351"/>
      <c r="CZ277" s="351"/>
      <c r="DA277" s="351"/>
      <c r="DB277" s="351"/>
      <c r="DC277" s="351"/>
      <c r="DD277" s="320"/>
      <c r="DE277" s="320"/>
      <c r="DF277" s="320"/>
      <c r="DG277" s="320"/>
      <c r="DH277" s="320"/>
      <c r="DI277" s="351"/>
      <c r="DJ277" s="320"/>
      <c r="DK277" s="320"/>
      <c r="DL277" s="351"/>
      <c r="DM277" s="351"/>
      <c r="DN277" s="351"/>
      <c r="DO277" s="320"/>
      <c r="DP277" s="320"/>
      <c r="DQ277" s="320"/>
      <c r="DR277" s="351"/>
      <c r="DS277" s="351"/>
      <c r="DT277" s="320"/>
      <c r="DU277" s="351"/>
      <c r="DV277" s="320"/>
      <c r="DW277" s="320"/>
      <c r="DX277" s="320"/>
      <c r="DY277" s="320"/>
      <c r="DZ277" s="320"/>
      <c r="EA277" s="351"/>
      <c r="EB277" s="320"/>
      <c r="EC277" s="320"/>
      <c r="ED277" s="862"/>
    </row>
    <row r="278">
      <c r="A278" s="1787"/>
      <c r="B278" s="378" t="s">
        <v>271</v>
      </c>
      <c r="C278" s="379" t="s">
        <v>271</v>
      </c>
      <c r="D278" s="380" t="s">
        <v>271</v>
      </c>
      <c r="E278" s="381" t="s">
        <v>271</v>
      </c>
      <c r="F278" s="382" t="s">
        <v>271</v>
      </c>
      <c r="G278" s="378" t="s">
        <v>271</v>
      </c>
      <c r="H278" s="1700"/>
      <c r="I278" s="1788"/>
      <c r="J278" s="1700"/>
      <c r="K278" s="1700"/>
      <c r="L278" s="1700"/>
      <c r="M278" s="1700"/>
      <c r="N278" s="1700"/>
      <c r="O278" s="1700"/>
      <c r="P278" s="1700"/>
      <c r="Q278" s="835"/>
      <c r="R278" s="835"/>
      <c r="S278" s="835"/>
      <c r="T278" s="835"/>
      <c r="U278" s="835"/>
      <c r="V278" s="835"/>
      <c r="W278" s="106"/>
      <c r="X278" s="402"/>
      <c r="Y278" s="402"/>
      <c r="Z278" s="402"/>
      <c r="AA278" s="402"/>
      <c r="AB278" s="1133"/>
      <c r="AC278" s="402"/>
      <c r="AD278" s="402"/>
      <c r="AE278" s="837"/>
      <c r="AF278" s="402"/>
      <c r="AG278" s="402"/>
      <c r="AH278" s="837"/>
      <c r="AI278" s="837"/>
      <c r="AJ278" s="402"/>
      <c r="AK278" s="837"/>
      <c r="AL278" s="105"/>
      <c r="AM278" s="413"/>
      <c r="AN278" s="413"/>
      <c r="AO278" s="839"/>
      <c r="AP278" s="839"/>
      <c r="AQ278" s="570"/>
      <c r="AR278" s="570"/>
      <c r="AS278" s="839"/>
      <c r="AT278" s="839"/>
      <c r="AU278" s="413"/>
      <c r="AV278" s="413"/>
      <c r="AW278" s="413"/>
      <c r="AX278" s="839"/>
      <c r="AY278" s="839"/>
      <c r="AZ278" s="839"/>
      <c r="BA278" s="839"/>
      <c r="BB278" s="1633"/>
      <c r="BC278" s="1633"/>
      <c r="BD278" s="1633"/>
      <c r="BE278" s="1633"/>
      <c r="BF278" s="1633"/>
      <c r="BG278" s="1633"/>
      <c r="BH278" s="580"/>
      <c r="BI278" s="1633"/>
      <c r="BJ278" s="580"/>
      <c r="BK278" s="1633"/>
      <c r="BL278" s="1633"/>
      <c r="BM278" s="580"/>
      <c r="BN278" s="580"/>
      <c r="BO278" s="1633"/>
      <c r="BP278" s="580"/>
      <c r="BQ278" s="845"/>
      <c r="BR278" s="424"/>
      <c r="BS278" s="424"/>
      <c r="BT278" s="424"/>
      <c r="BU278" s="424"/>
      <c r="BV278" s="424"/>
      <c r="BW278" s="424"/>
      <c r="BX278" s="849"/>
      <c r="BY278" s="424"/>
      <c r="BZ278" s="424"/>
      <c r="CA278" s="424"/>
      <c r="CB278" s="849"/>
      <c r="CC278" s="849"/>
      <c r="CD278" s="849"/>
      <c r="CE278" s="849"/>
      <c r="CF278" s="851"/>
      <c r="CG278" s="434"/>
      <c r="CH278" s="434"/>
      <c r="CI278" s="434"/>
      <c r="CJ278" s="434"/>
      <c r="CK278" s="434"/>
      <c r="CL278" s="434"/>
      <c r="CM278" s="434"/>
      <c r="CN278" s="434"/>
      <c r="CO278" s="434"/>
      <c r="CP278" s="1789"/>
      <c r="CQ278" s="852"/>
      <c r="CR278" s="852"/>
      <c r="CS278" s="852"/>
      <c r="CT278" s="852"/>
      <c r="CU278" s="106"/>
      <c r="CV278" s="467"/>
      <c r="CW278" s="467"/>
      <c r="CX278" s="467"/>
      <c r="CY278" s="467"/>
      <c r="CZ278" s="467"/>
      <c r="DA278" s="467"/>
      <c r="DB278" s="467"/>
      <c r="DC278" s="467"/>
      <c r="DD278" s="853"/>
      <c r="DE278" s="853"/>
      <c r="DF278" s="853"/>
      <c r="DG278" s="853"/>
      <c r="DH278" s="853"/>
      <c r="DI278" s="686"/>
      <c r="DJ278" s="855"/>
      <c r="DK278" s="855"/>
      <c r="DL278" s="686"/>
      <c r="DM278" s="686"/>
      <c r="DN278" s="686"/>
      <c r="DO278" s="855"/>
      <c r="DP278" s="855"/>
      <c r="DQ278" s="855"/>
      <c r="DR278" s="686"/>
      <c r="DS278" s="686"/>
      <c r="DT278" s="855"/>
      <c r="DU278" s="686"/>
      <c r="DV278" s="855"/>
      <c r="DW278" s="855"/>
      <c r="DX278" s="855"/>
      <c r="DY278" s="855"/>
      <c r="DZ278" s="855"/>
      <c r="EA278" s="686"/>
      <c r="EB278" s="855"/>
      <c r="EC278" s="855"/>
      <c r="ED278" s="1039"/>
    </row>
    <row r="279">
      <c r="A279" s="1707"/>
      <c r="B279" s="245" t="s">
        <v>271</v>
      </c>
      <c r="C279" s="246" t="s">
        <v>271</v>
      </c>
      <c r="D279" s="247" t="s">
        <v>271</v>
      </c>
      <c r="E279" s="248" t="s">
        <v>271</v>
      </c>
      <c r="F279" s="249" t="s">
        <v>271</v>
      </c>
      <c r="G279" s="245" t="s">
        <v>271</v>
      </c>
      <c r="H279" s="351"/>
      <c r="I279" s="288"/>
      <c r="J279" s="351"/>
      <c r="K279" s="351"/>
      <c r="L279" s="351"/>
      <c r="M279" s="351"/>
      <c r="N279" s="351"/>
      <c r="O279" s="351"/>
      <c r="P279" s="351"/>
      <c r="Q279" s="320"/>
      <c r="R279" s="320"/>
      <c r="S279" s="320"/>
      <c r="T279" s="320"/>
      <c r="U279" s="320"/>
      <c r="V279" s="320"/>
      <c r="W279" s="106"/>
      <c r="X279" s="351"/>
      <c r="Y279" s="351"/>
      <c r="Z279" s="351"/>
      <c r="AA279" s="351"/>
      <c r="AB279" s="881"/>
      <c r="AC279" s="351"/>
      <c r="AD279" s="351"/>
      <c r="AE279" s="320"/>
      <c r="AF279" s="351"/>
      <c r="AG279" s="351"/>
      <c r="AH279" s="320"/>
      <c r="AI279" s="320"/>
      <c r="AJ279" s="351"/>
      <c r="AK279" s="320"/>
      <c r="AL279" s="105"/>
      <c r="AM279" s="351"/>
      <c r="AN279" s="351"/>
      <c r="AO279" s="320"/>
      <c r="AP279" s="320"/>
      <c r="AQ279" s="286"/>
      <c r="AR279" s="286"/>
      <c r="AS279" s="320"/>
      <c r="AT279" s="320"/>
      <c r="AU279" s="351"/>
      <c r="AV279" s="351"/>
      <c r="AW279" s="351"/>
      <c r="AX279" s="320"/>
      <c r="AY279" s="320"/>
      <c r="AZ279" s="320"/>
      <c r="BA279" s="320"/>
      <c r="BB279" s="351"/>
      <c r="BC279" s="351"/>
      <c r="BD279" s="351"/>
      <c r="BE279" s="351"/>
      <c r="BF279" s="351"/>
      <c r="BG279" s="351"/>
      <c r="BH279" s="320"/>
      <c r="BI279" s="351"/>
      <c r="BJ279" s="320"/>
      <c r="BK279" s="351"/>
      <c r="BL279" s="351"/>
      <c r="BM279" s="320"/>
      <c r="BN279" s="320"/>
      <c r="BO279" s="351"/>
      <c r="BP279" s="320"/>
      <c r="BQ279" s="824"/>
      <c r="BR279" s="351"/>
      <c r="BS279" s="351"/>
      <c r="BT279" s="351"/>
      <c r="BU279" s="351"/>
      <c r="BV279" s="351"/>
      <c r="BW279" s="351"/>
      <c r="BX279" s="320"/>
      <c r="BY279" s="351"/>
      <c r="BZ279" s="351"/>
      <c r="CA279" s="351"/>
      <c r="CB279" s="320"/>
      <c r="CC279" s="320"/>
      <c r="CD279" s="320"/>
      <c r="CE279" s="320"/>
      <c r="CF279" s="824"/>
      <c r="CG279" s="351"/>
      <c r="CH279" s="351"/>
      <c r="CI279" s="351"/>
      <c r="CJ279" s="351"/>
      <c r="CK279" s="351"/>
      <c r="CL279" s="351"/>
      <c r="CM279" s="351"/>
      <c r="CN279" s="351"/>
      <c r="CO279" s="351"/>
      <c r="CP279" s="758"/>
      <c r="CQ279" s="320"/>
      <c r="CR279" s="320"/>
      <c r="CS279" s="320"/>
      <c r="CT279" s="320"/>
      <c r="CU279" s="106"/>
      <c r="CV279" s="351"/>
      <c r="CW279" s="351"/>
      <c r="CX279" s="351"/>
      <c r="CY279" s="351"/>
      <c r="CZ279" s="351"/>
      <c r="DA279" s="351"/>
      <c r="DB279" s="351"/>
      <c r="DC279" s="351"/>
      <c r="DD279" s="320"/>
      <c r="DE279" s="320"/>
      <c r="DF279" s="320"/>
      <c r="DG279" s="320"/>
      <c r="DH279" s="320"/>
      <c r="DI279" s="351"/>
      <c r="DJ279" s="320"/>
      <c r="DK279" s="320"/>
      <c r="DL279" s="351"/>
      <c r="DM279" s="351"/>
      <c r="DN279" s="351"/>
      <c r="DO279" s="320"/>
      <c r="DP279" s="320"/>
      <c r="DQ279" s="320"/>
      <c r="DR279" s="351"/>
      <c r="DS279" s="351"/>
      <c r="DT279" s="320"/>
      <c r="DU279" s="351"/>
      <c r="DV279" s="320"/>
      <c r="DW279" s="320"/>
      <c r="DX279" s="320"/>
      <c r="DY279" s="320"/>
      <c r="DZ279" s="320"/>
      <c r="EA279" s="351"/>
      <c r="EB279" s="320"/>
      <c r="EC279" s="320"/>
      <c r="ED279" s="862"/>
    </row>
    <row r="280">
      <c r="A280" s="1787"/>
      <c r="B280" s="378" t="s">
        <v>271</v>
      </c>
      <c r="C280" s="379" t="s">
        <v>271</v>
      </c>
      <c r="D280" s="380" t="s">
        <v>271</v>
      </c>
      <c r="E280" s="381" t="s">
        <v>271</v>
      </c>
      <c r="F280" s="382" t="s">
        <v>271</v>
      </c>
      <c r="G280" s="378" t="s">
        <v>271</v>
      </c>
      <c r="H280" s="1700"/>
      <c r="I280" s="1788"/>
      <c r="J280" s="1700"/>
      <c r="K280" s="1700"/>
      <c r="L280" s="1700"/>
      <c r="M280" s="1700"/>
      <c r="N280" s="1700"/>
      <c r="O280" s="1700"/>
      <c r="P280" s="1700"/>
      <c r="Q280" s="835"/>
      <c r="R280" s="835"/>
      <c r="S280" s="835"/>
      <c r="T280" s="835"/>
      <c r="U280" s="835"/>
      <c r="V280" s="835"/>
      <c r="W280" s="106"/>
      <c r="X280" s="402"/>
      <c r="Y280" s="402"/>
      <c r="Z280" s="402"/>
      <c r="AA280" s="402"/>
      <c r="AB280" s="1133"/>
      <c r="AC280" s="402"/>
      <c r="AD280" s="402"/>
      <c r="AE280" s="837"/>
      <c r="AF280" s="402"/>
      <c r="AG280" s="402"/>
      <c r="AH280" s="837"/>
      <c r="AI280" s="837"/>
      <c r="AJ280" s="402"/>
      <c r="AK280" s="837"/>
      <c r="AL280" s="105"/>
      <c r="AM280" s="413"/>
      <c r="AN280" s="413"/>
      <c r="AO280" s="839"/>
      <c r="AP280" s="839"/>
      <c r="AQ280" s="570"/>
      <c r="AR280" s="570"/>
      <c r="AS280" s="839"/>
      <c r="AT280" s="839"/>
      <c r="AU280" s="413"/>
      <c r="AV280" s="413"/>
      <c r="AW280" s="413"/>
      <c r="AX280" s="839"/>
      <c r="AY280" s="839"/>
      <c r="AZ280" s="839"/>
      <c r="BA280" s="839"/>
      <c r="BB280" s="1633"/>
      <c r="BC280" s="1633"/>
      <c r="BD280" s="1633"/>
      <c r="BE280" s="1633"/>
      <c r="BF280" s="1633"/>
      <c r="BG280" s="1633"/>
      <c r="BH280" s="580"/>
      <c r="BI280" s="1633"/>
      <c r="BJ280" s="580"/>
      <c r="BK280" s="1633"/>
      <c r="BL280" s="1633"/>
      <c r="BM280" s="580"/>
      <c r="BN280" s="580"/>
      <c r="BO280" s="1633"/>
      <c r="BP280" s="580"/>
      <c r="BQ280" s="845"/>
      <c r="BR280" s="424"/>
      <c r="BS280" s="424"/>
      <c r="BT280" s="424"/>
      <c r="BU280" s="424"/>
      <c r="BV280" s="424"/>
      <c r="BW280" s="424"/>
      <c r="BX280" s="849"/>
      <c r="BY280" s="424"/>
      <c r="BZ280" s="424"/>
      <c r="CA280" s="424"/>
      <c r="CB280" s="849"/>
      <c r="CC280" s="849"/>
      <c r="CD280" s="849"/>
      <c r="CE280" s="849"/>
      <c r="CF280" s="851"/>
      <c r="CG280" s="434"/>
      <c r="CH280" s="434"/>
      <c r="CI280" s="434"/>
      <c r="CJ280" s="434"/>
      <c r="CK280" s="434"/>
      <c r="CL280" s="434"/>
      <c r="CM280" s="434"/>
      <c r="CN280" s="434"/>
      <c r="CO280" s="434"/>
      <c r="CP280" s="1789"/>
      <c r="CQ280" s="852"/>
      <c r="CR280" s="852"/>
      <c r="CS280" s="852"/>
      <c r="CT280" s="852"/>
      <c r="CU280" s="106"/>
      <c r="CV280" s="467"/>
      <c r="CW280" s="467"/>
      <c r="CX280" s="467"/>
      <c r="CY280" s="467"/>
      <c r="CZ280" s="467"/>
      <c r="DA280" s="467"/>
      <c r="DB280" s="467"/>
      <c r="DC280" s="467"/>
      <c r="DD280" s="853"/>
      <c r="DE280" s="853"/>
      <c r="DF280" s="853"/>
      <c r="DG280" s="853"/>
      <c r="DH280" s="853"/>
      <c r="DI280" s="686"/>
      <c r="DJ280" s="855"/>
      <c r="DK280" s="855"/>
      <c r="DL280" s="686"/>
      <c r="DM280" s="686"/>
      <c r="DN280" s="686"/>
      <c r="DO280" s="855"/>
      <c r="DP280" s="855"/>
      <c r="DQ280" s="855"/>
      <c r="DR280" s="686"/>
      <c r="DS280" s="686"/>
      <c r="DT280" s="855"/>
      <c r="DU280" s="686"/>
      <c r="DV280" s="855"/>
      <c r="DW280" s="855"/>
      <c r="DX280" s="855"/>
      <c r="DY280" s="855"/>
      <c r="DZ280" s="855"/>
      <c r="EA280" s="686"/>
      <c r="EB280" s="855"/>
      <c r="EC280" s="855"/>
      <c r="ED280" s="1039"/>
    </row>
    <row r="281">
      <c r="A281" s="1707"/>
      <c r="B281" s="245" t="s">
        <v>271</v>
      </c>
      <c r="C281" s="246" t="s">
        <v>271</v>
      </c>
      <c r="D281" s="247" t="s">
        <v>271</v>
      </c>
      <c r="E281" s="248" t="s">
        <v>271</v>
      </c>
      <c r="F281" s="249" t="s">
        <v>271</v>
      </c>
      <c r="G281" s="245" t="s">
        <v>271</v>
      </c>
      <c r="H281" s="351"/>
      <c r="I281" s="288"/>
      <c r="J281" s="351"/>
      <c r="K281" s="351"/>
      <c r="L281" s="351"/>
      <c r="M281" s="351"/>
      <c r="N281" s="351"/>
      <c r="O281" s="351"/>
      <c r="P281" s="351"/>
      <c r="Q281" s="320"/>
      <c r="R281" s="320"/>
      <c r="S281" s="320"/>
      <c r="T281" s="320"/>
      <c r="U281" s="320"/>
      <c r="V281" s="320"/>
      <c r="W281" s="106"/>
      <c r="X281" s="351"/>
      <c r="Y281" s="351"/>
      <c r="Z281" s="351"/>
      <c r="AA281" s="351"/>
      <c r="AB281" s="881"/>
      <c r="AC281" s="351"/>
      <c r="AD281" s="351"/>
      <c r="AE281" s="320"/>
      <c r="AF281" s="351"/>
      <c r="AG281" s="351"/>
      <c r="AH281" s="320"/>
      <c r="AI281" s="320"/>
      <c r="AJ281" s="351"/>
      <c r="AK281" s="320"/>
      <c r="AL281" s="105"/>
      <c r="AM281" s="351"/>
      <c r="AN281" s="351"/>
      <c r="AO281" s="320"/>
      <c r="AP281" s="320"/>
      <c r="AQ281" s="286"/>
      <c r="AR281" s="286"/>
      <c r="AS281" s="320"/>
      <c r="AT281" s="320"/>
      <c r="AU281" s="351"/>
      <c r="AV281" s="351"/>
      <c r="AW281" s="351"/>
      <c r="AX281" s="320"/>
      <c r="AY281" s="320"/>
      <c r="AZ281" s="320"/>
      <c r="BA281" s="320"/>
      <c r="BB281" s="351"/>
      <c r="BC281" s="351"/>
      <c r="BD281" s="351"/>
      <c r="BE281" s="351"/>
      <c r="BF281" s="351"/>
      <c r="BG281" s="351"/>
      <c r="BH281" s="320"/>
      <c r="BI281" s="351"/>
      <c r="BJ281" s="320"/>
      <c r="BK281" s="351"/>
      <c r="BL281" s="351"/>
      <c r="BM281" s="320"/>
      <c r="BN281" s="320"/>
      <c r="BO281" s="351"/>
      <c r="BP281" s="320"/>
      <c r="BQ281" s="824"/>
      <c r="BR281" s="351"/>
      <c r="BS281" s="351"/>
      <c r="BT281" s="351"/>
      <c r="BU281" s="351"/>
      <c r="BV281" s="351"/>
      <c r="BW281" s="351"/>
      <c r="BX281" s="320"/>
      <c r="BY281" s="351"/>
      <c r="BZ281" s="351"/>
      <c r="CA281" s="351"/>
      <c r="CB281" s="320"/>
      <c r="CC281" s="320"/>
      <c r="CD281" s="320"/>
      <c r="CE281" s="320"/>
      <c r="CF281" s="824"/>
      <c r="CG281" s="351"/>
      <c r="CH281" s="351"/>
      <c r="CI281" s="351"/>
      <c r="CJ281" s="351"/>
      <c r="CK281" s="351"/>
      <c r="CL281" s="351"/>
      <c r="CM281" s="351"/>
      <c r="CN281" s="351"/>
      <c r="CO281" s="351"/>
      <c r="CP281" s="758"/>
      <c r="CQ281" s="320"/>
      <c r="CR281" s="320"/>
      <c r="CS281" s="320"/>
      <c r="CT281" s="320"/>
      <c r="CU281" s="106"/>
      <c r="CV281" s="351"/>
      <c r="CW281" s="351"/>
      <c r="CX281" s="351"/>
      <c r="CY281" s="351"/>
      <c r="CZ281" s="351"/>
      <c r="DA281" s="351"/>
      <c r="DB281" s="351"/>
      <c r="DC281" s="351"/>
      <c r="DD281" s="320"/>
      <c r="DE281" s="320"/>
      <c r="DF281" s="320"/>
      <c r="DG281" s="320"/>
      <c r="DH281" s="320"/>
      <c r="DI281" s="351"/>
      <c r="DJ281" s="320"/>
      <c r="DK281" s="320"/>
      <c r="DL281" s="351"/>
      <c r="DM281" s="351"/>
      <c r="DN281" s="351"/>
      <c r="DO281" s="320"/>
      <c r="DP281" s="320"/>
      <c r="DQ281" s="320"/>
      <c r="DR281" s="351"/>
      <c r="DS281" s="351"/>
      <c r="DT281" s="320"/>
      <c r="DU281" s="351"/>
      <c r="DV281" s="320"/>
      <c r="DW281" s="320"/>
      <c r="DX281" s="320"/>
      <c r="DY281" s="320"/>
      <c r="DZ281" s="320"/>
      <c r="EA281" s="351"/>
      <c r="EB281" s="320"/>
      <c r="EC281" s="320"/>
      <c r="ED281" s="862"/>
    </row>
    <row r="282">
      <c r="A282" s="1787"/>
      <c r="B282" s="378" t="s">
        <v>271</v>
      </c>
      <c r="C282" s="379" t="s">
        <v>271</v>
      </c>
      <c r="D282" s="380" t="s">
        <v>271</v>
      </c>
      <c r="E282" s="381" t="s">
        <v>271</v>
      </c>
      <c r="F282" s="382" t="s">
        <v>271</v>
      </c>
      <c r="G282" s="378" t="s">
        <v>271</v>
      </c>
      <c r="H282" s="1700"/>
      <c r="I282" s="1788"/>
      <c r="J282" s="1700"/>
      <c r="K282" s="1700"/>
      <c r="L282" s="1700"/>
      <c r="M282" s="1700"/>
      <c r="N282" s="1700"/>
      <c r="O282" s="1700"/>
      <c r="P282" s="1700"/>
      <c r="Q282" s="835"/>
      <c r="R282" s="835"/>
      <c r="S282" s="835"/>
      <c r="T282" s="835"/>
      <c r="U282" s="835"/>
      <c r="V282" s="835"/>
      <c r="W282" s="106"/>
      <c r="X282" s="402"/>
      <c r="Y282" s="402"/>
      <c r="Z282" s="402"/>
      <c r="AA282" s="402"/>
      <c r="AB282" s="1133"/>
      <c r="AC282" s="402"/>
      <c r="AD282" s="402"/>
      <c r="AE282" s="837"/>
      <c r="AF282" s="402"/>
      <c r="AG282" s="402"/>
      <c r="AH282" s="837"/>
      <c r="AI282" s="837"/>
      <c r="AJ282" s="402"/>
      <c r="AK282" s="837"/>
      <c r="AL282" s="105"/>
      <c r="AM282" s="413"/>
      <c r="AN282" s="413"/>
      <c r="AO282" s="839"/>
      <c r="AP282" s="839"/>
      <c r="AQ282" s="570"/>
      <c r="AR282" s="570"/>
      <c r="AS282" s="839"/>
      <c r="AT282" s="839"/>
      <c r="AU282" s="413"/>
      <c r="AV282" s="413"/>
      <c r="AW282" s="413"/>
      <c r="AX282" s="839"/>
      <c r="AY282" s="839"/>
      <c r="AZ282" s="839"/>
      <c r="BA282" s="839"/>
      <c r="BB282" s="1633"/>
      <c r="BC282" s="1633"/>
      <c r="BD282" s="1633"/>
      <c r="BE282" s="1633"/>
      <c r="BF282" s="1633"/>
      <c r="BG282" s="1633"/>
      <c r="BH282" s="580"/>
      <c r="BI282" s="1633"/>
      <c r="BJ282" s="580"/>
      <c r="BK282" s="1633"/>
      <c r="BL282" s="1633"/>
      <c r="BM282" s="580"/>
      <c r="BN282" s="580"/>
      <c r="BO282" s="1633"/>
      <c r="BP282" s="580"/>
      <c r="BQ282" s="845"/>
      <c r="BR282" s="424"/>
      <c r="BS282" s="424"/>
      <c r="BT282" s="424"/>
      <c r="BU282" s="424"/>
      <c r="BV282" s="424"/>
      <c r="BW282" s="424"/>
      <c r="BX282" s="849"/>
      <c r="BY282" s="424"/>
      <c r="BZ282" s="424"/>
      <c r="CA282" s="424"/>
      <c r="CB282" s="849"/>
      <c r="CC282" s="849"/>
      <c r="CD282" s="849"/>
      <c r="CE282" s="849"/>
      <c r="CF282" s="851"/>
      <c r="CG282" s="434"/>
      <c r="CH282" s="434"/>
      <c r="CI282" s="434"/>
      <c r="CJ282" s="434"/>
      <c r="CK282" s="434"/>
      <c r="CL282" s="434"/>
      <c r="CM282" s="434"/>
      <c r="CN282" s="434"/>
      <c r="CO282" s="434"/>
      <c r="CP282" s="1789"/>
      <c r="CQ282" s="852"/>
      <c r="CR282" s="852"/>
      <c r="CS282" s="852"/>
      <c r="CT282" s="852"/>
      <c r="CU282" s="106"/>
      <c r="CV282" s="467"/>
      <c r="CW282" s="467"/>
      <c r="CX282" s="467"/>
      <c r="CY282" s="467"/>
      <c r="CZ282" s="467"/>
      <c r="DA282" s="467"/>
      <c r="DB282" s="467"/>
      <c r="DC282" s="467"/>
      <c r="DD282" s="853"/>
      <c r="DE282" s="853"/>
      <c r="DF282" s="853"/>
      <c r="DG282" s="853"/>
      <c r="DH282" s="853"/>
      <c r="DI282" s="686"/>
      <c r="DJ282" s="855"/>
      <c r="DK282" s="855"/>
      <c r="DL282" s="686"/>
      <c r="DM282" s="686"/>
      <c r="DN282" s="686"/>
      <c r="DO282" s="855"/>
      <c r="DP282" s="855"/>
      <c r="DQ282" s="855"/>
      <c r="DR282" s="686"/>
      <c r="DS282" s="686"/>
      <c r="DT282" s="855"/>
      <c r="DU282" s="686"/>
      <c r="DV282" s="855"/>
      <c r="DW282" s="855"/>
      <c r="DX282" s="855"/>
      <c r="DY282" s="855"/>
      <c r="DZ282" s="855"/>
      <c r="EA282" s="686"/>
      <c r="EB282" s="855"/>
      <c r="EC282" s="855"/>
      <c r="ED282" s="1039"/>
    </row>
    <row r="283">
      <c r="A283" s="1707"/>
      <c r="B283" s="245" t="s">
        <v>271</v>
      </c>
      <c r="C283" s="246" t="s">
        <v>271</v>
      </c>
      <c r="D283" s="247" t="s">
        <v>271</v>
      </c>
      <c r="E283" s="248" t="s">
        <v>271</v>
      </c>
      <c r="F283" s="249" t="s">
        <v>271</v>
      </c>
      <c r="G283" s="245" t="s">
        <v>271</v>
      </c>
      <c r="H283" s="351"/>
      <c r="I283" s="288"/>
      <c r="J283" s="351"/>
      <c r="K283" s="351"/>
      <c r="L283" s="351"/>
      <c r="M283" s="351"/>
      <c r="N283" s="351"/>
      <c r="O283" s="351"/>
      <c r="P283" s="351"/>
      <c r="Q283" s="320"/>
      <c r="R283" s="320"/>
      <c r="S283" s="320"/>
      <c r="T283" s="320"/>
      <c r="U283" s="320"/>
      <c r="V283" s="320"/>
      <c r="W283" s="106"/>
      <c r="X283" s="351"/>
      <c r="Y283" s="351"/>
      <c r="Z283" s="351"/>
      <c r="AA283" s="351"/>
      <c r="AB283" s="881"/>
      <c r="AC283" s="351"/>
      <c r="AD283" s="351"/>
      <c r="AE283" s="320"/>
      <c r="AF283" s="351"/>
      <c r="AG283" s="351"/>
      <c r="AH283" s="320"/>
      <c r="AI283" s="320"/>
      <c r="AJ283" s="351"/>
      <c r="AK283" s="320"/>
      <c r="AL283" s="105"/>
      <c r="AM283" s="351"/>
      <c r="AN283" s="351"/>
      <c r="AO283" s="320"/>
      <c r="AP283" s="320"/>
      <c r="AQ283" s="286"/>
      <c r="AR283" s="286"/>
      <c r="AS283" s="320"/>
      <c r="AT283" s="320"/>
      <c r="AU283" s="351"/>
      <c r="AV283" s="351"/>
      <c r="AW283" s="351"/>
      <c r="AX283" s="320"/>
      <c r="AY283" s="320"/>
      <c r="AZ283" s="320"/>
      <c r="BA283" s="320"/>
      <c r="BB283" s="351"/>
      <c r="BC283" s="351"/>
      <c r="BD283" s="351"/>
      <c r="BE283" s="351"/>
      <c r="BF283" s="351"/>
      <c r="BG283" s="351"/>
      <c r="BH283" s="320"/>
      <c r="BI283" s="351"/>
      <c r="BJ283" s="320"/>
      <c r="BK283" s="351"/>
      <c r="BL283" s="351"/>
      <c r="BM283" s="320"/>
      <c r="BN283" s="320"/>
      <c r="BO283" s="351"/>
      <c r="BP283" s="320"/>
      <c r="BQ283" s="824"/>
      <c r="BR283" s="351"/>
      <c r="BS283" s="351"/>
      <c r="BT283" s="351"/>
      <c r="BU283" s="351"/>
      <c r="BV283" s="351"/>
      <c r="BW283" s="351"/>
      <c r="BX283" s="320"/>
      <c r="BY283" s="351"/>
      <c r="BZ283" s="351"/>
      <c r="CA283" s="351"/>
      <c r="CB283" s="320"/>
      <c r="CC283" s="320"/>
      <c r="CD283" s="320"/>
      <c r="CE283" s="320"/>
      <c r="CF283" s="824"/>
      <c r="CG283" s="351"/>
      <c r="CH283" s="351"/>
      <c r="CI283" s="351"/>
      <c r="CJ283" s="351"/>
      <c r="CK283" s="351"/>
      <c r="CL283" s="351"/>
      <c r="CM283" s="351"/>
      <c r="CN283" s="351"/>
      <c r="CO283" s="351"/>
      <c r="CP283" s="758"/>
      <c r="CQ283" s="320"/>
      <c r="CR283" s="320"/>
      <c r="CS283" s="320"/>
      <c r="CT283" s="320"/>
      <c r="CU283" s="106"/>
      <c r="CV283" s="351"/>
      <c r="CW283" s="351"/>
      <c r="CX283" s="351"/>
      <c r="CY283" s="351"/>
      <c r="CZ283" s="351"/>
      <c r="DA283" s="351"/>
      <c r="DB283" s="351"/>
      <c r="DC283" s="351"/>
      <c r="DD283" s="320"/>
      <c r="DE283" s="320"/>
      <c r="DF283" s="320"/>
      <c r="DG283" s="320"/>
      <c r="DH283" s="320"/>
      <c r="DI283" s="351"/>
      <c r="DJ283" s="320"/>
      <c r="DK283" s="320"/>
      <c r="DL283" s="351"/>
      <c r="DM283" s="351"/>
      <c r="DN283" s="351"/>
      <c r="DO283" s="320"/>
      <c r="DP283" s="320"/>
      <c r="DQ283" s="320"/>
      <c r="DR283" s="351"/>
      <c r="DS283" s="351"/>
      <c r="DT283" s="320"/>
      <c r="DU283" s="351"/>
      <c r="DV283" s="320"/>
      <c r="DW283" s="320"/>
      <c r="DX283" s="320"/>
      <c r="DY283" s="320"/>
      <c r="DZ283" s="320"/>
      <c r="EA283" s="351"/>
      <c r="EB283" s="320"/>
      <c r="EC283" s="320"/>
      <c r="ED283" s="862"/>
    </row>
    <row r="284">
      <c r="A284" s="1787"/>
      <c r="B284" s="378" t="s">
        <v>271</v>
      </c>
      <c r="C284" s="379" t="s">
        <v>271</v>
      </c>
      <c r="D284" s="380" t="s">
        <v>271</v>
      </c>
      <c r="E284" s="381" t="s">
        <v>271</v>
      </c>
      <c r="F284" s="382" t="s">
        <v>271</v>
      </c>
      <c r="G284" s="378" t="s">
        <v>271</v>
      </c>
      <c r="H284" s="1700"/>
      <c r="I284" s="1788"/>
      <c r="J284" s="1700"/>
      <c r="K284" s="1700"/>
      <c r="L284" s="1700"/>
      <c r="M284" s="1700"/>
      <c r="N284" s="1700"/>
      <c r="O284" s="1700"/>
      <c r="P284" s="1700"/>
      <c r="Q284" s="835"/>
      <c r="R284" s="835"/>
      <c r="S284" s="835"/>
      <c r="T284" s="835"/>
      <c r="U284" s="835"/>
      <c r="V284" s="835"/>
      <c r="W284" s="106"/>
      <c r="X284" s="402"/>
      <c r="Y284" s="402"/>
      <c r="Z284" s="402"/>
      <c r="AA284" s="402"/>
      <c r="AB284" s="1133"/>
      <c r="AC284" s="402"/>
      <c r="AD284" s="402"/>
      <c r="AE284" s="837"/>
      <c r="AF284" s="402"/>
      <c r="AG284" s="402"/>
      <c r="AH284" s="837"/>
      <c r="AI284" s="837"/>
      <c r="AJ284" s="402"/>
      <c r="AK284" s="837"/>
      <c r="AL284" s="105"/>
      <c r="AM284" s="413"/>
      <c r="AN284" s="413"/>
      <c r="AO284" s="839"/>
      <c r="AP284" s="839"/>
      <c r="AQ284" s="570"/>
      <c r="AR284" s="570"/>
      <c r="AS284" s="839"/>
      <c r="AT284" s="839"/>
      <c r="AU284" s="413"/>
      <c r="AV284" s="413"/>
      <c r="AW284" s="413"/>
      <c r="AX284" s="839"/>
      <c r="AY284" s="839"/>
      <c r="AZ284" s="839"/>
      <c r="BA284" s="839"/>
      <c r="BB284" s="1633"/>
      <c r="BC284" s="1633"/>
      <c r="BD284" s="1633"/>
      <c r="BE284" s="1633"/>
      <c r="BF284" s="1633"/>
      <c r="BG284" s="1633"/>
      <c r="BH284" s="580"/>
      <c r="BI284" s="1633"/>
      <c r="BJ284" s="580"/>
      <c r="BK284" s="1633"/>
      <c r="BL284" s="1633"/>
      <c r="BM284" s="580"/>
      <c r="BN284" s="580"/>
      <c r="BO284" s="1633"/>
      <c r="BP284" s="580"/>
      <c r="BQ284" s="845"/>
      <c r="BR284" s="424"/>
      <c r="BS284" s="424"/>
      <c r="BT284" s="424"/>
      <c r="BU284" s="424"/>
      <c r="BV284" s="424"/>
      <c r="BW284" s="424"/>
      <c r="BX284" s="849"/>
      <c r="BY284" s="424"/>
      <c r="BZ284" s="424"/>
      <c r="CA284" s="424"/>
      <c r="CB284" s="849"/>
      <c r="CC284" s="849"/>
      <c r="CD284" s="849"/>
      <c r="CE284" s="849"/>
      <c r="CF284" s="851"/>
      <c r="CG284" s="434"/>
      <c r="CH284" s="434"/>
      <c r="CI284" s="434"/>
      <c r="CJ284" s="434"/>
      <c r="CK284" s="434"/>
      <c r="CL284" s="434"/>
      <c r="CM284" s="434"/>
      <c r="CN284" s="434"/>
      <c r="CO284" s="434"/>
      <c r="CP284" s="1789"/>
      <c r="CQ284" s="852"/>
      <c r="CR284" s="852"/>
      <c r="CS284" s="852"/>
      <c r="CT284" s="852"/>
      <c r="CU284" s="106"/>
      <c r="CV284" s="467"/>
      <c r="CW284" s="467"/>
      <c r="CX284" s="467"/>
      <c r="CY284" s="467"/>
      <c r="CZ284" s="467"/>
      <c r="DA284" s="467"/>
      <c r="DB284" s="467"/>
      <c r="DC284" s="467"/>
      <c r="DD284" s="853"/>
      <c r="DE284" s="853"/>
      <c r="DF284" s="853"/>
      <c r="DG284" s="853"/>
      <c r="DH284" s="853"/>
      <c r="DI284" s="686"/>
      <c r="DJ284" s="855"/>
      <c r="DK284" s="855"/>
      <c r="DL284" s="686"/>
      <c r="DM284" s="686"/>
      <c r="DN284" s="686"/>
      <c r="DO284" s="855"/>
      <c r="DP284" s="855"/>
      <c r="DQ284" s="855"/>
      <c r="DR284" s="686"/>
      <c r="DS284" s="686"/>
      <c r="DT284" s="855"/>
      <c r="DU284" s="686"/>
      <c r="DV284" s="855"/>
      <c r="DW284" s="855"/>
      <c r="DX284" s="855"/>
      <c r="DY284" s="855"/>
      <c r="DZ284" s="855"/>
      <c r="EA284" s="686"/>
      <c r="EB284" s="855"/>
      <c r="EC284" s="855"/>
      <c r="ED284" s="1039"/>
    </row>
    <row r="285">
      <c r="A285" s="1707"/>
      <c r="B285" s="245" t="s">
        <v>271</v>
      </c>
      <c r="C285" s="246" t="s">
        <v>271</v>
      </c>
      <c r="D285" s="247" t="s">
        <v>271</v>
      </c>
      <c r="E285" s="248" t="s">
        <v>271</v>
      </c>
      <c r="F285" s="249" t="s">
        <v>271</v>
      </c>
      <c r="G285" s="245" t="s">
        <v>271</v>
      </c>
      <c r="H285" s="351"/>
      <c r="I285" s="288"/>
      <c r="J285" s="351"/>
      <c r="K285" s="351"/>
      <c r="L285" s="351"/>
      <c r="M285" s="351"/>
      <c r="N285" s="351"/>
      <c r="O285" s="351"/>
      <c r="P285" s="351"/>
      <c r="Q285" s="320"/>
      <c r="R285" s="320"/>
      <c r="S285" s="320"/>
      <c r="T285" s="320"/>
      <c r="U285" s="320"/>
      <c r="V285" s="320"/>
      <c r="W285" s="106"/>
      <c r="X285" s="351"/>
      <c r="Y285" s="351"/>
      <c r="Z285" s="351"/>
      <c r="AA285" s="351"/>
      <c r="AB285" s="881"/>
      <c r="AC285" s="351"/>
      <c r="AD285" s="351"/>
      <c r="AE285" s="320"/>
      <c r="AF285" s="351"/>
      <c r="AG285" s="351"/>
      <c r="AH285" s="320"/>
      <c r="AI285" s="320"/>
      <c r="AJ285" s="351"/>
      <c r="AK285" s="320"/>
      <c r="AL285" s="105"/>
      <c r="AM285" s="351"/>
      <c r="AN285" s="351"/>
      <c r="AO285" s="320"/>
      <c r="AP285" s="320"/>
      <c r="AQ285" s="286"/>
      <c r="AR285" s="286"/>
      <c r="AS285" s="320"/>
      <c r="AT285" s="320"/>
      <c r="AU285" s="351"/>
      <c r="AV285" s="351"/>
      <c r="AW285" s="351"/>
      <c r="AX285" s="320"/>
      <c r="AY285" s="320"/>
      <c r="AZ285" s="320"/>
      <c r="BA285" s="320"/>
      <c r="BB285" s="351"/>
      <c r="BC285" s="351"/>
      <c r="BD285" s="351"/>
      <c r="BE285" s="351"/>
      <c r="BF285" s="351"/>
      <c r="BG285" s="351"/>
      <c r="BH285" s="320"/>
      <c r="BI285" s="351"/>
      <c r="BJ285" s="320"/>
      <c r="BK285" s="351"/>
      <c r="BL285" s="351"/>
      <c r="BM285" s="320"/>
      <c r="BN285" s="320"/>
      <c r="BO285" s="351"/>
      <c r="BP285" s="320"/>
      <c r="BQ285" s="824"/>
      <c r="BR285" s="351"/>
      <c r="BS285" s="351"/>
      <c r="BT285" s="351"/>
      <c r="BU285" s="351"/>
      <c r="BV285" s="351"/>
      <c r="BW285" s="351"/>
      <c r="BX285" s="320"/>
      <c r="BY285" s="351"/>
      <c r="BZ285" s="351"/>
      <c r="CA285" s="351"/>
      <c r="CB285" s="320"/>
      <c r="CC285" s="320"/>
      <c r="CD285" s="320"/>
      <c r="CE285" s="320"/>
      <c r="CF285" s="824"/>
      <c r="CG285" s="351"/>
      <c r="CH285" s="351"/>
      <c r="CI285" s="351"/>
      <c r="CJ285" s="351"/>
      <c r="CK285" s="351"/>
      <c r="CL285" s="351"/>
      <c r="CM285" s="351"/>
      <c r="CN285" s="351"/>
      <c r="CO285" s="351"/>
      <c r="CP285" s="758"/>
      <c r="CQ285" s="320"/>
      <c r="CR285" s="320"/>
      <c r="CS285" s="320"/>
      <c r="CT285" s="320"/>
      <c r="CU285" s="106"/>
      <c r="CV285" s="351"/>
      <c r="CW285" s="351"/>
      <c r="CX285" s="351"/>
      <c r="CY285" s="351"/>
      <c r="CZ285" s="351"/>
      <c r="DA285" s="351"/>
      <c r="DB285" s="351"/>
      <c r="DC285" s="351"/>
      <c r="DD285" s="320"/>
      <c r="DE285" s="320"/>
      <c r="DF285" s="320"/>
      <c r="DG285" s="320"/>
      <c r="DH285" s="320"/>
      <c r="DI285" s="351"/>
      <c r="DJ285" s="320"/>
      <c r="DK285" s="320"/>
      <c r="DL285" s="351"/>
      <c r="DM285" s="351"/>
      <c r="DN285" s="351"/>
      <c r="DO285" s="320"/>
      <c r="DP285" s="320"/>
      <c r="DQ285" s="320"/>
      <c r="DR285" s="351"/>
      <c r="DS285" s="351"/>
      <c r="DT285" s="320"/>
      <c r="DU285" s="351"/>
      <c r="DV285" s="320"/>
      <c r="DW285" s="320"/>
      <c r="DX285" s="320"/>
      <c r="DY285" s="320"/>
      <c r="DZ285" s="320"/>
      <c r="EA285" s="351"/>
      <c r="EB285" s="320"/>
      <c r="EC285" s="320"/>
      <c r="ED285" s="862"/>
    </row>
    <row r="286">
      <c r="A286" s="1787"/>
      <c r="B286" s="378" t="s">
        <v>271</v>
      </c>
      <c r="C286" s="379" t="s">
        <v>271</v>
      </c>
      <c r="D286" s="380" t="s">
        <v>271</v>
      </c>
      <c r="E286" s="381" t="s">
        <v>271</v>
      </c>
      <c r="F286" s="382" t="s">
        <v>271</v>
      </c>
      <c r="G286" s="378" t="s">
        <v>271</v>
      </c>
      <c r="H286" s="1700"/>
      <c r="I286" s="1788"/>
      <c r="J286" s="1700"/>
      <c r="K286" s="1700"/>
      <c r="L286" s="1700"/>
      <c r="M286" s="1700"/>
      <c r="N286" s="1700"/>
      <c r="O286" s="1700"/>
      <c r="P286" s="1700"/>
      <c r="Q286" s="835"/>
      <c r="R286" s="835"/>
      <c r="S286" s="835"/>
      <c r="T286" s="835"/>
      <c r="U286" s="835"/>
      <c r="V286" s="835"/>
      <c r="W286" s="106"/>
      <c r="X286" s="402"/>
      <c r="Y286" s="402"/>
      <c r="Z286" s="402"/>
      <c r="AA286" s="402"/>
      <c r="AB286" s="1133"/>
      <c r="AC286" s="402"/>
      <c r="AD286" s="402"/>
      <c r="AE286" s="837"/>
      <c r="AF286" s="402"/>
      <c r="AG286" s="402"/>
      <c r="AH286" s="837"/>
      <c r="AI286" s="837"/>
      <c r="AJ286" s="402"/>
      <c r="AK286" s="837"/>
      <c r="AL286" s="105"/>
      <c r="AM286" s="413"/>
      <c r="AN286" s="413"/>
      <c r="AO286" s="839"/>
      <c r="AP286" s="839"/>
      <c r="AQ286" s="570"/>
      <c r="AR286" s="570"/>
      <c r="AS286" s="839"/>
      <c r="AT286" s="839"/>
      <c r="AU286" s="413"/>
      <c r="AV286" s="413"/>
      <c r="AW286" s="413"/>
      <c r="AX286" s="839"/>
      <c r="AY286" s="839"/>
      <c r="AZ286" s="839"/>
      <c r="BA286" s="839"/>
      <c r="BB286" s="1633"/>
      <c r="BC286" s="1633"/>
      <c r="BD286" s="1633"/>
      <c r="BE286" s="1633"/>
      <c r="BF286" s="1633"/>
      <c r="BG286" s="1633"/>
      <c r="BH286" s="580"/>
      <c r="BI286" s="1633"/>
      <c r="BJ286" s="580"/>
      <c r="BK286" s="1633"/>
      <c r="BL286" s="1633"/>
      <c r="BM286" s="580"/>
      <c r="BN286" s="580"/>
      <c r="BO286" s="1633"/>
      <c r="BP286" s="580"/>
      <c r="BQ286" s="845"/>
      <c r="BR286" s="424"/>
      <c r="BS286" s="424"/>
      <c r="BT286" s="424"/>
      <c r="BU286" s="424"/>
      <c r="BV286" s="424"/>
      <c r="BW286" s="424"/>
      <c r="BX286" s="849"/>
      <c r="BY286" s="424"/>
      <c r="BZ286" s="424"/>
      <c r="CA286" s="424"/>
      <c r="CB286" s="849"/>
      <c r="CC286" s="849"/>
      <c r="CD286" s="849"/>
      <c r="CE286" s="849"/>
      <c r="CF286" s="851"/>
      <c r="CG286" s="434"/>
      <c r="CH286" s="434"/>
      <c r="CI286" s="434"/>
      <c r="CJ286" s="434"/>
      <c r="CK286" s="434"/>
      <c r="CL286" s="434"/>
      <c r="CM286" s="434"/>
      <c r="CN286" s="434"/>
      <c r="CO286" s="434"/>
      <c r="CP286" s="1789"/>
      <c r="CQ286" s="852"/>
      <c r="CR286" s="852"/>
      <c r="CS286" s="852"/>
      <c r="CT286" s="852"/>
      <c r="CU286" s="106"/>
      <c r="CV286" s="467"/>
      <c r="CW286" s="467"/>
      <c r="CX286" s="467"/>
      <c r="CY286" s="467"/>
      <c r="CZ286" s="467"/>
      <c r="DA286" s="467"/>
      <c r="DB286" s="467"/>
      <c r="DC286" s="467"/>
      <c r="DD286" s="853"/>
      <c r="DE286" s="853"/>
      <c r="DF286" s="853"/>
      <c r="DG286" s="853"/>
      <c r="DH286" s="853"/>
      <c r="DI286" s="686"/>
      <c r="DJ286" s="855"/>
      <c r="DK286" s="855"/>
      <c r="DL286" s="686"/>
      <c r="DM286" s="686"/>
      <c r="DN286" s="686"/>
      <c r="DO286" s="855"/>
      <c r="DP286" s="855"/>
      <c r="DQ286" s="855"/>
      <c r="DR286" s="686"/>
      <c r="DS286" s="686"/>
      <c r="DT286" s="855"/>
      <c r="DU286" s="686"/>
      <c r="DV286" s="855"/>
      <c r="DW286" s="855"/>
      <c r="DX286" s="855"/>
      <c r="DY286" s="855"/>
      <c r="DZ286" s="855"/>
      <c r="EA286" s="686"/>
      <c r="EB286" s="855"/>
      <c r="EC286" s="855"/>
      <c r="ED286" s="1039"/>
    </row>
    <row r="287">
      <c r="A287" s="1707"/>
      <c r="B287" s="245" t="s">
        <v>271</v>
      </c>
      <c r="C287" s="246" t="s">
        <v>271</v>
      </c>
      <c r="D287" s="247" t="s">
        <v>271</v>
      </c>
      <c r="E287" s="248" t="s">
        <v>271</v>
      </c>
      <c r="F287" s="249" t="s">
        <v>271</v>
      </c>
      <c r="G287" s="245" t="s">
        <v>271</v>
      </c>
      <c r="H287" s="351"/>
      <c r="I287" s="288"/>
      <c r="J287" s="351"/>
      <c r="K287" s="351"/>
      <c r="L287" s="351"/>
      <c r="M287" s="351"/>
      <c r="N287" s="351"/>
      <c r="O287" s="351"/>
      <c r="P287" s="351"/>
      <c r="Q287" s="320"/>
      <c r="R287" s="320"/>
      <c r="S287" s="320"/>
      <c r="T287" s="320"/>
      <c r="U287" s="320"/>
      <c r="V287" s="320"/>
      <c r="W287" s="106"/>
      <c r="X287" s="351"/>
      <c r="Y287" s="351"/>
      <c r="Z287" s="351"/>
      <c r="AA287" s="351"/>
      <c r="AB287" s="881"/>
      <c r="AC287" s="351"/>
      <c r="AD287" s="351"/>
      <c r="AE287" s="320"/>
      <c r="AF287" s="351"/>
      <c r="AG287" s="351"/>
      <c r="AH287" s="320"/>
      <c r="AI287" s="320"/>
      <c r="AJ287" s="351"/>
      <c r="AK287" s="320"/>
      <c r="AL287" s="105"/>
      <c r="AM287" s="351"/>
      <c r="AN287" s="351"/>
      <c r="AO287" s="320"/>
      <c r="AP287" s="320"/>
      <c r="AQ287" s="286"/>
      <c r="AR287" s="286"/>
      <c r="AS287" s="320"/>
      <c r="AT287" s="320"/>
      <c r="AU287" s="351"/>
      <c r="AV287" s="351"/>
      <c r="AW287" s="351"/>
      <c r="AX287" s="320"/>
      <c r="AY287" s="320"/>
      <c r="AZ287" s="320"/>
      <c r="BA287" s="320"/>
      <c r="BB287" s="351"/>
      <c r="BC287" s="351"/>
      <c r="BD287" s="351"/>
      <c r="BE287" s="351"/>
      <c r="BF287" s="351"/>
      <c r="BG287" s="351"/>
      <c r="BH287" s="320"/>
      <c r="BI287" s="351"/>
      <c r="BJ287" s="320"/>
      <c r="BK287" s="351"/>
      <c r="BL287" s="351"/>
      <c r="BM287" s="320"/>
      <c r="BN287" s="320"/>
      <c r="BO287" s="351"/>
      <c r="BP287" s="320"/>
      <c r="BQ287" s="824"/>
      <c r="BR287" s="351"/>
      <c r="BS287" s="351"/>
      <c r="BT287" s="351"/>
      <c r="BU287" s="351"/>
      <c r="BV287" s="351"/>
      <c r="BW287" s="351"/>
      <c r="BX287" s="320"/>
      <c r="BY287" s="351"/>
      <c r="BZ287" s="351"/>
      <c r="CA287" s="351"/>
      <c r="CB287" s="320"/>
      <c r="CC287" s="320"/>
      <c r="CD287" s="320"/>
      <c r="CE287" s="320"/>
      <c r="CF287" s="824"/>
      <c r="CG287" s="351"/>
      <c r="CH287" s="351"/>
      <c r="CI287" s="351"/>
      <c r="CJ287" s="351"/>
      <c r="CK287" s="351"/>
      <c r="CL287" s="351"/>
      <c r="CM287" s="351"/>
      <c r="CN287" s="351"/>
      <c r="CO287" s="351"/>
      <c r="CP287" s="758"/>
      <c r="CQ287" s="320"/>
      <c r="CR287" s="320"/>
      <c r="CS287" s="320"/>
      <c r="CT287" s="320"/>
      <c r="CU287" s="106"/>
      <c r="CV287" s="351"/>
      <c r="CW287" s="351"/>
      <c r="CX287" s="351"/>
      <c r="CY287" s="351"/>
      <c r="CZ287" s="351"/>
      <c r="DA287" s="351"/>
      <c r="DB287" s="351"/>
      <c r="DC287" s="351"/>
      <c r="DD287" s="320"/>
      <c r="DE287" s="320"/>
      <c r="DF287" s="320"/>
      <c r="DG287" s="320"/>
      <c r="DH287" s="320"/>
      <c r="DI287" s="351"/>
      <c r="DJ287" s="320"/>
      <c r="DK287" s="320"/>
      <c r="DL287" s="351"/>
      <c r="DM287" s="351"/>
      <c r="DN287" s="351"/>
      <c r="DO287" s="320"/>
      <c r="DP287" s="320"/>
      <c r="DQ287" s="320"/>
      <c r="DR287" s="351"/>
      <c r="DS287" s="351"/>
      <c r="DT287" s="320"/>
      <c r="DU287" s="351"/>
      <c r="DV287" s="320"/>
      <c r="DW287" s="320"/>
      <c r="DX287" s="320"/>
      <c r="DY287" s="320"/>
      <c r="DZ287" s="320"/>
      <c r="EA287" s="351"/>
      <c r="EB287" s="320"/>
      <c r="EC287" s="320"/>
      <c r="ED287" s="862"/>
    </row>
    <row r="288">
      <c r="A288" s="2028"/>
      <c r="B288" s="378" t="s">
        <v>271</v>
      </c>
      <c r="C288" s="379" t="s">
        <v>271</v>
      </c>
      <c r="D288" s="380" t="s">
        <v>271</v>
      </c>
      <c r="E288" s="381" t="s">
        <v>271</v>
      </c>
      <c r="F288" s="382" t="s">
        <v>271</v>
      </c>
      <c r="G288" s="378" t="s">
        <v>271</v>
      </c>
      <c r="H288" s="541"/>
      <c r="I288" s="541"/>
      <c r="J288" s="541"/>
      <c r="K288" s="541"/>
      <c r="L288" s="541"/>
      <c r="M288" s="835"/>
      <c r="N288" s="541"/>
      <c r="O288" s="541"/>
      <c r="P288" s="541"/>
      <c r="Q288" s="835"/>
      <c r="R288" s="835"/>
      <c r="S288" s="835"/>
      <c r="T288" s="835"/>
      <c r="U288" s="835"/>
      <c r="V288" s="835"/>
      <c r="W288" s="106"/>
      <c r="X288" s="670"/>
      <c r="Y288" s="670"/>
      <c r="Z288" s="670"/>
      <c r="AA288" s="670"/>
      <c r="AB288" s="670"/>
      <c r="AC288" s="670"/>
      <c r="AD288" s="670"/>
      <c r="AE288" s="837"/>
      <c r="AF288" s="837"/>
      <c r="AG288" s="670"/>
      <c r="AH288" s="837"/>
      <c r="AI288" s="837"/>
      <c r="AJ288" s="837"/>
      <c r="AK288" s="837"/>
      <c r="AL288" s="105"/>
      <c r="AM288" s="839"/>
      <c r="AN288" s="839"/>
      <c r="AO288" s="839"/>
      <c r="AP288" s="839"/>
      <c r="AQ288" s="839"/>
      <c r="AR288" s="839"/>
      <c r="AS288" s="839"/>
      <c r="AT288" s="839"/>
      <c r="AU288" s="839"/>
      <c r="AV288" s="570"/>
      <c r="AW288" s="839"/>
      <c r="AX288" s="839"/>
      <c r="AY288" s="839"/>
      <c r="AZ288" s="839"/>
      <c r="BA288" s="839"/>
      <c r="BB288" s="580"/>
      <c r="BC288" s="580"/>
      <c r="BD288" s="580"/>
      <c r="BE288" s="580"/>
      <c r="BF288" s="580"/>
      <c r="BG288" s="580"/>
      <c r="BH288" s="580"/>
      <c r="BI288" s="581"/>
      <c r="BJ288" s="580"/>
      <c r="BK288" s="580"/>
      <c r="BL288" s="580"/>
      <c r="BM288" s="580"/>
      <c r="BN288" s="580"/>
      <c r="BO288" s="580"/>
      <c r="BP288" s="580"/>
      <c r="BQ288" s="845"/>
      <c r="BR288" s="849"/>
      <c r="BS288" s="849"/>
      <c r="BT288" s="589"/>
      <c r="BU288" s="589"/>
      <c r="BV288" s="849"/>
      <c r="BW288" s="849"/>
      <c r="BX288" s="849"/>
      <c r="BY288" s="849"/>
      <c r="BZ288" s="849"/>
      <c r="CA288" s="849"/>
      <c r="CB288" s="849"/>
      <c r="CC288" s="849"/>
      <c r="CD288" s="849"/>
      <c r="CE288" s="849"/>
      <c r="CF288" s="851"/>
      <c r="CG288" s="852"/>
      <c r="CH288" s="593"/>
      <c r="CI288" s="852"/>
      <c r="CJ288" s="852"/>
      <c r="CK288" s="852"/>
      <c r="CL288" s="852"/>
      <c r="CM288" s="852"/>
      <c r="CN288" s="852"/>
      <c r="CO288" s="852"/>
      <c r="CP288" s="852"/>
      <c r="CQ288" s="852"/>
      <c r="CR288" s="852"/>
      <c r="CS288" s="852"/>
      <c r="CT288" s="852"/>
      <c r="CU288" s="106"/>
      <c r="CV288" s="683"/>
      <c r="CW288" s="683"/>
      <c r="CX288" s="683"/>
      <c r="CY288" s="853"/>
      <c r="CZ288" s="853"/>
      <c r="DA288" s="853"/>
      <c r="DB288" s="683"/>
      <c r="DC288" s="683"/>
      <c r="DD288" s="853"/>
      <c r="DE288" s="853"/>
      <c r="DF288" s="853"/>
      <c r="DG288" s="853"/>
      <c r="DH288" s="853"/>
      <c r="DI288" s="855"/>
      <c r="DJ288" s="855"/>
      <c r="DK288" s="855"/>
      <c r="DL288" s="855"/>
      <c r="DM288" s="1612"/>
      <c r="DN288" s="855"/>
      <c r="DO288" s="855"/>
      <c r="DP288" s="855"/>
      <c r="DQ288" s="855"/>
      <c r="DR288" s="855"/>
      <c r="DS288" s="855"/>
      <c r="DT288" s="855"/>
      <c r="DU288" s="855"/>
      <c r="DV288" s="855"/>
      <c r="DW288" s="855"/>
      <c r="DX288" s="855"/>
      <c r="DY288" s="855"/>
      <c r="DZ288" s="855"/>
      <c r="EA288" s="855"/>
      <c r="EB288" s="855"/>
      <c r="EC288" s="855"/>
      <c r="ED288" s="1912"/>
    </row>
    <row r="289">
      <c r="A289" s="2029"/>
      <c r="B289" s="245" t="s">
        <v>271</v>
      </c>
      <c r="C289" s="246" t="s">
        <v>271</v>
      </c>
      <c r="D289" s="247" t="s">
        <v>271</v>
      </c>
      <c r="E289" s="248" t="s">
        <v>271</v>
      </c>
      <c r="F289" s="249" t="s">
        <v>271</v>
      </c>
      <c r="G289" s="245" t="s">
        <v>271</v>
      </c>
      <c r="H289" s="286"/>
      <c r="I289" s="286"/>
      <c r="J289" s="286"/>
      <c r="K289" s="286"/>
      <c r="L289" s="286"/>
      <c r="M289" s="286"/>
      <c r="N289" s="286"/>
      <c r="O289" s="286"/>
      <c r="P289" s="286"/>
      <c r="Q289" s="320"/>
      <c r="R289" s="320"/>
      <c r="S289" s="320"/>
      <c r="T289" s="320"/>
      <c r="U289" s="320"/>
      <c r="V289" s="320"/>
      <c r="W289" s="106"/>
      <c r="X289" s="286"/>
      <c r="Y289" s="286"/>
      <c r="Z289" s="286"/>
      <c r="AA289" s="286"/>
      <c r="AB289" s="320"/>
      <c r="AC289" s="286"/>
      <c r="AD289" s="286"/>
      <c r="AE289" s="320"/>
      <c r="AF289" s="320"/>
      <c r="AG289" s="286"/>
      <c r="AH289" s="320"/>
      <c r="AI289" s="320"/>
      <c r="AJ289" s="320"/>
      <c r="AK289" s="320"/>
      <c r="AL289" s="105"/>
      <c r="AM289" s="320"/>
      <c r="AN289" s="320"/>
      <c r="AO289" s="320"/>
      <c r="AP289" s="320"/>
      <c r="AQ289" s="320"/>
      <c r="AR289" s="320"/>
      <c r="AS289" s="320"/>
      <c r="AT289" s="320"/>
      <c r="AU289" s="286"/>
      <c r="AV289" s="286"/>
      <c r="AW289" s="320"/>
      <c r="AX289" s="320"/>
      <c r="AY289" s="320"/>
      <c r="AZ289" s="320"/>
      <c r="BA289" s="320"/>
      <c r="BB289" s="286"/>
      <c r="BC289" s="286"/>
      <c r="BD289" s="286"/>
      <c r="BE289" s="286"/>
      <c r="BF289" s="286"/>
      <c r="BG289" s="320"/>
      <c r="BH289" s="320"/>
      <c r="BI289" s="286"/>
      <c r="BJ289" s="320"/>
      <c r="BK289" s="320"/>
      <c r="BL289" s="286"/>
      <c r="BM289" s="320"/>
      <c r="BN289" s="320"/>
      <c r="BO289" s="320"/>
      <c r="BP289" s="320"/>
      <c r="BQ289" s="824"/>
      <c r="BR289" s="286"/>
      <c r="BS289" s="286"/>
      <c r="BT289" s="286"/>
      <c r="BU289" s="286"/>
      <c r="BV289" s="286"/>
      <c r="BW289" s="286"/>
      <c r="BX289" s="320"/>
      <c r="BY289" s="320"/>
      <c r="BZ289" s="320"/>
      <c r="CA289" s="286"/>
      <c r="CB289" s="320"/>
      <c r="CC289" s="320"/>
      <c r="CD289" s="320"/>
      <c r="CE289" s="320"/>
      <c r="CF289" s="824"/>
      <c r="CG289" s="286"/>
      <c r="CH289" s="286"/>
      <c r="CI289" s="320"/>
      <c r="CJ289" s="320"/>
      <c r="CK289" s="320"/>
      <c r="CL289" s="320"/>
      <c r="CM289" s="320"/>
      <c r="CN289" s="286"/>
      <c r="CO289" s="286"/>
      <c r="CP289" s="320"/>
      <c r="CQ289" s="320"/>
      <c r="CR289" s="320"/>
      <c r="CS289" s="320"/>
      <c r="CT289" s="320"/>
      <c r="CU289" s="106"/>
      <c r="CV289" s="286"/>
      <c r="CW289" s="320"/>
      <c r="CX289" s="286"/>
      <c r="CY289" s="286"/>
      <c r="CZ289" s="286"/>
      <c r="DA289" s="286"/>
      <c r="DB289" s="286"/>
      <c r="DC289" s="286"/>
      <c r="DD289" s="320"/>
      <c r="DE289" s="320"/>
      <c r="DF289" s="320"/>
      <c r="DG289" s="320"/>
      <c r="DH289" s="320"/>
      <c r="DI289" s="320"/>
      <c r="DJ289" s="320"/>
      <c r="DK289" s="320"/>
      <c r="DL289" s="320"/>
      <c r="DM289" s="320"/>
      <c r="DN289" s="320"/>
      <c r="DO289" s="320"/>
      <c r="DP289" s="320"/>
      <c r="DQ289" s="320"/>
      <c r="DR289" s="320"/>
      <c r="DS289" s="286"/>
      <c r="DT289" s="320"/>
      <c r="DU289" s="320"/>
      <c r="DV289" s="320"/>
      <c r="DW289" s="320"/>
      <c r="DX289" s="320"/>
      <c r="DY289" s="320"/>
      <c r="DZ289" s="320"/>
      <c r="EA289" s="320"/>
      <c r="EB289" s="320"/>
      <c r="EC289" s="320"/>
      <c r="ED289" s="862"/>
    </row>
    <row r="290">
      <c r="A290" s="1787"/>
      <c r="B290" s="378" t="s">
        <v>271</v>
      </c>
      <c r="C290" s="379" t="s">
        <v>271</v>
      </c>
      <c r="D290" s="380" t="s">
        <v>271</v>
      </c>
      <c r="E290" s="381" t="s">
        <v>271</v>
      </c>
      <c r="F290" s="382" t="s">
        <v>271</v>
      </c>
      <c r="G290" s="378" t="s">
        <v>271</v>
      </c>
      <c r="H290" s="1700"/>
      <c r="I290" s="1788"/>
      <c r="J290" s="1700"/>
      <c r="K290" s="1700"/>
      <c r="L290" s="1700"/>
      <c r="M290" s="1700"/>
      <c r="N290" s="1700"/>
      <c r="O290" s="1700"/>
      <c r="P290" s="1700"/>
      <c r="Q290" s="835"/>
      <c r="R290" s="835"/>
      <c r="S290" s="835"/>
      <c r="T290" s="835"/>
      <c r="U290" s="835"/>
      <c r="V290" s="835"/>
      <c r="W290" s="106"/>
      <c r="X290" s="402"/>
      <c r="Y290" s="402"/>
      <c r="Z290" s="402"/>
      <c r="AA290" s="402"/>
      <c r="AB290" s="1133"/>
      <c r="AC290" s="402"/>
      <c r="AD290" s="402"/>
      <c r="AE290" s="837"/>
      <c r="AF290" s="402"/>
      <c r="AG290" s="402"/>
      <c r="AH290" s="837"/>
      <c r="AI290" s="837"/>
      <c r="AJ290" s="402"/>
      <c r="AK290" s="837"/>
      <c r="AL290" s="105"/>
      <c r="AM290" s="413"/>
      <c r="AN290" s="413"/>
      <c r="AO290" s="839"/>
      <c r="AP290" s="839"/>
      <c r="AQ290" s="570"/>
      <c r="AR290" s="570"/>
      <c r="AS290" s="839"/>
      <c r="AT290" s="839"/>
      <c r="AU290" s="413"/>
      <c r="AV290" s="413"/>
      <c r="AW290" s="413"/>
      <c r="AX290" s="839"/>
      <c r="AY290" s="839"/>
      <c r="AZ290" s="839"/>
      <c r="BA290" s="839"/>
      <c r="BB290" s="1633"/>
      <c r="BC290" s="1633"/>
      <c r="BD290" s="1633"/>
      <c r="BE290" s="1633"/>
      <c r="BF290" s="1633"/>
      <c r="BG290" s="1633"/>
      <c r="BH290" s="580"/>
      <c r="BI290" s="1633"/>
      <c r="BJ290" s="580"/>
      <c r="BK290" s="1633"/>
      <c r="BL290" s="1633"/>
      <c r="BM290" s="580"/>
      <c r="BN290" s="580"/>
      <c r="BO290" s="1633"/>
      <c r="BP290" s="580"/>
      <c r="BQ290" s="845"/>
      <c r="BR290" s="424"/>
      <c r="BS290" s="424"/>
      <c r="BT290" s="424"/>
      <c r="BU290" s="424"/>
      <c r="BV290" s="424"/>
      <c r="BW290" s="424"/>
      <c r="BX290" s="849"/>
      <c r="BY290" s="424"/>
      <c r="BZ290" s="424"/>
      <c r="CA290" s="424"/>
      <c r="CB290" s="849"/>
      <c r="CC290" s="849"/>
      <c r="CD290" s="849"/>
      <c r="CE290" s="849"/>
      <c r="CF290" s="851"/>
      <c r="CG290" s="434"/>
      <c r="CH290" s="434"/>
      <c r="CI290" s="434"/>
      <c r="CJ290" s="434"/>
      <c r="CK290" s="434"/>
      <c r="CL290" s="434"/>
      <c r="CM290" s="434"/>
      <c r="CN290" s="434"/>
      <c r="CO290" s="434"/>
      <c r="CP290" s="1789"/>
      <c r="CQ290" s="852"/>
      <c r="CR290" s="852"/>
      <c r="CS290" s="852"/>
      <c r="CT290" s="852"/>
      <c r="CU290" s="106"/>
      <c r="CV290" s="467"/>
      <c r="CW290" s="467"/>
      <c r="CX290" s="467"/>
      <c r="CY290" s="467"/>
      <c r="CZ290" s="467"/>
      <c r="DA290" s="467"/>
      <c r="DB290" s="467"/>
      <c r="DC290" s="467"/>
      <c r="DD290" s="853"/>
      <c r="DE290" s="853"/>
      <c r="DF290" s="853"/>
      <c r="DG290" s="853"/>
      <c r="DH290" s="853"/>
      <c r="DI290" s="686"/>
      <c r="DJ290" s="855"/>
      <c r="DK290" s="855"/>
      <c r="DL290" s="686"/>
      <c r="DM290" s="686"/>
      <c r="DN290" s="686"/>
      <c r="DO290" s="855"/>
      <c r="DP290" s="855"/>
      <c r="DQ290" s="855"/>
      <c r="DR290" s="686"/>
      <c r="DS290" s="686"/>
      <c r="DT290" s="855"/>
      <c r="DU290" s="686"/>
      <c r="DV290" s="855"/>
      <c r="DW290" s="855"/>
      <c r="DX290" s="855"/>
      <c r="DY290" s="855"/>
      <c r="DZ290" s="855"/>
      <c r="EA290" s="686"/>
      <c r="EB290" s="855"/>
      <c r="EC290" s="855"/>
      <c r="ED290" s="1039"/>
    </row>
    <row r="291">
      <c r="A291" s="1707"/>
      <c r="B291" s="245" t="s">
        <v>271</v>
      </c>
      <c r="C291" s="246" t="s">
        <v>271</v>
      </c>
      <c r="D291" s="247" t="s">
        <v>271</v>
      </c>
      <c r="E291" s="248" t="s">
        <v>271</v>
      </c>
      <c r="F291" s="249" t="s">
        <v>271</v>
      </c>
      <c r="G291" s="245" t="s">
        <v>271</v>
      </c>
      <c r="H291" s="351"/>
      <c r="I291" s="288"/>
      <c r="J291" s="351"/>
      <c r="K291" s="351"/>
      <c r="L291" s="351"/>
      <c r="M291" s="351"/>
      <c r="N291" s="351"/>
      <c r="O291" s="351"/>
      <c r="P291" s="351"/>
      <c r="Q291" s="320"/>
      <c r="R291" s="320"/>
      <c r="S291" s="320"/>
      <c r="T291" s="320"/>
      <c r="U291" s="320"/>
      <c r="V291" s="320"/>
      <c r="W291" s="106"/>
      <c r="X291" s="351"/>
      <c r="Y291" s="351"/>
      <c r="Z291" s="351"/>
      <c r="AA291" s="351"/>
      <c r="AB291" s="881"/>
      <c r="AC291" s="351"/>
      <c r="AD291" s="351"/>
      <c r="AE291" s="320"/>
      <c r="AF291" s="351"/>
      <c r="AG291" s="351"/>
      <c r="AH291" s="320"/>
      <c r="AI291" s="320"/>
      <c r="AJ291" s="351"/>
      <c r="AK291" s="320"/>
      <c r="AL291" s="105"/>
      <c r="AM291" s="351"/>
      <c r="AN291" s="351"/>
      <c r="AO291" s="320"/>
      <c r="AP291" s="320"/>
      <c r="AQ291" s="286"/>
      <c r="AR291" s="286"/>
      <c r="AS291" s="320"/>
      <c r="AT291" s="320"/>
      <c r="AU291" s="351"/>
      <c r="AV291" s="351"/>
      <c r="AW291" s="351"/>
      <c r="AX291" s="320"/>
      <c r="AY291" s="320"/>
      <c r="AZ291" s="320"/>
      <c r="BA291" s="320"/>
      <c r="BB291" s="351"/>
      <c r="BC291" s="351"/>
      <c r="BD291" s="351"/>
      <c r="BE291" s="351"/>
      <c r="BF291" s="351"/>
      <c r="BG291" s="351"/>
      <c r="BH291" s="320"/>
      <c r="BI291" s="351"/>
      <c r="BJ291" s="320"/>
      <c r="BK291" s="351"/>
      <c r="BL291" s="351"/>
      <c r="BM291" s="320"/>
      <c r="BN291" s="320"/>
      <c r="BO291" s="351"/>
      <c r="BP291" s="320"/>
      <c r="BQ291" s="824"/>
      <c r="BR291" s="351"/>
      <c r="BS291" s="351"/>
      <c r="BT291" s="351"/>
      <c r="BU291" s="351"/>
      <c r="BV291" s="351"/>
      <c r="BW291" s="351"/>
      <c r="BX291" s="320"/>
      <c r="BY291" s="351"/>
      <c r="BZ291" s="351"/>
      <c r="CA291" s="351"/>
      <c r="CB291" s="320"/>
      <c r="CC291" s="320"/>
      <c r="CD291" s="320"/>
      <c r="CE291" s="320"/>
      <c r="CF291" s="824"/>
      <c r="CG291" s="351"/>
      <c r="CH291" s="351"/>
      <c r="CI291" s="351"/>
      <c r="CJ291" s="351"/>
      <c r="CK291" s="351"/>
      <c r="CL291" s="351"/>
      <c r="CM291" s="351"/>
      <c r="CN291" s="351"/>
      <c r="CO291" s="351"/>
      <c r="CP291" s="758"/>
      <c r="CQ291" s="320"/>
      <c r="CR291" s="320"/>
      <c r="CS291" s="320"/>
      <c r="CT291" s="320"/>
      <c r="CU291" s="106"/>
      <c r="CV291" s="351"/>
      <c r="CW291" s="351"/>
      <c r="CX291" s="351"/>
      <c r="CY291" s="351"/>
      <c r="CZ291" s="351"/>
      <c r="DA291" s="351"/>
      <c r="DB291" s="351"/>
      <c r="DC291" s="351"/>
      <c r="DD291" s="320"/>
      <c r="DE291" s="320"/>
      <c r="DF291" s="320"/>
      <c r="DG291" s="320"/>
      <c r="DH291" s="320"/>
      <c r="DI291" s="351"/>
      <c r="DJ291" s="320"/>
      <c r="DK291" s="320"/>
      <c r="DL291" s="351"/>
      <c r="DM291" s="351"/>
      <c r="DN291" s="351"/>
      <c r="DO291" s="320"/>
      <c r="DP291" s="320"/>
      <c r="DQ291" s="320"/>
      <c r="DR291" s="351"/>
      <c r="DS291" s="351"/>
      <c r="DT291" s="320"/>
      <c r="DU291" s="351"/>
      <c r="DV291" s="320"/>
      <c r="DW291" s="320"/>
      <c r="DX291" s="320"/>
      <c r="DY291" s="320"/>
      <c r="DZ291" s="320"/>
      <c r="EA291" s="351"/>
      <c r="EB291" s="320"/>
      <c r="EC291" s="320"/>
      <c r="ED291" s="862"/>
    </row>
    <row r="292">
      <c r="A292" s="1787"/>
      <c r="B292" s="378" t="s">
        <v>271</v>
      </c>
      <c r="C292" s="379" t="s">
        <v>271</v>
      </c>
      <c r="D292" s="380" t="s">
        <v>271</v>
      </c>
      <c r="E292" s="381" t="s">
        <v>271</v>
      </c>
      <c r="F292" s="382" t="s">
        <v>271</v>
      </c>
      <c r="G292" s="378" t="s">
        <v>271</v>
      </c>
      <c r="H292" s="1700"/>
      <c r="I292" s="1788"/>
      <c r="J292" s="1700"/>
      <c r="K292" s="1700"/>
      <c r="L292" s="1700"/>
      <c r="M292" s="1700"/>
      <c r="N292" s="1700"/>
      <c r="O292" s="1700"/>
      <c r="P292" s="1700"/>
      <c r="Q292" s="835"/>
      <c r="R292" s="835"/>
      <c r="S292" s="835"/>
      <c r="T292" s="835"/>
      <c r="U292" s="835"/>
      <c r="V292" s="835"/>
      <c r="W292" s="106"/>
      <c r="X292" s="402"/>
      <c r="Y292" s="402"/>
      <c r="Z292" s="402"/>
      <c r="AA292" s="402"/>
      <c r="AB292" s="1133"/>
      <c r="AC292" s="402"/>
      <c r="AD292" s="402"/>
      <c r="AE292" s="837"/>
      <c r="AF292" s="402"/>
      <c r="AG292" s="402"/>
      <c r="AH292" s="837"/>
      <c r="AI292" s="837"/>
      <c r="AJ292" s="402"/>
      <c r="AK292" s="837"/>
      <c r="AL292" s="105"/>
      <c r="AM292" s="413"/>
      <c r="AN292" s="413"/>
      <c r="AO292" s="839"/>
      <c r="AP292" s="839"/>
      <c r="AQ292" s="570"/>
      <c r="AR292" s="570"/>
      <c r="AS292" s="839"/>
      <c r="AT292" s="839"/>
      <c r="AU292" s="413"/>
      <c r="AV292" s="413"/>
      <c r="AW292" s="413"/>
      <c r="AX292" s="839"/>
      <c r="AY292" s="839"/>
      <c r="AZ292" s="839"/>
      <c r="BA292" s="839"/>
      <c r="BB292" s="1633"/>
      <c r="BC292" s="1633"/>
      <c r="BD292" s="1633"/>
      <c r="BE292" s="1633"/>
      <c r="BF292" s="1633"/>
      <c r="BG292" s="1633"/>
      <c r="BH292" s="580"/>
      <c r="BI292" s="1633"/>
      <c r="BJ292" s="580"/>
      <c r="BK292" s="1633"/>
      <c r="BL292" s="1633"/>
      <c r="BM292" s="580"/>
      <c r="BN292" s="580"/>
      <c r="BO292" s="1633"/>
      <c r="BP292" s="580"/>
      <c r="BQ292" s="845"/>
      <c r="BR292" s="424"/>
      <c r="BS292" s="424"/>
      <c r="BT292" s="424"/>
      <c r="BU292" s="424"/>
      <c r="BV292" s="424"/>
      <c r="BW292" s="424"/>
      <c r="BX292" s="849"/>
      <c r="BY292" s="424"/>
      <c r="BZ292" s="424"/>
      <c r="CA292" s="424"/>
      <c r="CB292" s="849"/>
      <c r="CC292" s="849"/>
      <c r="CD292" s="849"/>
      <c r="CE292" s="849"/>
      <c r="CF292" s="851"/>
      <c r="CG292" s="434"/>
      <c r="CH292" s="434"/>
      <c r="CI292" s="434"/>
      <c r="CJ292" s="434"/>
      <c r="CK292" s="434"/>
      <c r="CL292" s="434"/>
      <c r="CM292" s="434"/>
      <c r="CN292" s="434"/>
      <c r="CO292" s="434"/>
      <c r="CP292" s="1789"/>
      <c r="CQ292" s="852"/>
      <c r="CR292" s="852"/>
      <c r="CS292" s="852"/>
      <c r="CT292" s="852"/>
      <c r="CU292" s="106"/>
      <c r="CV292" s="467"/>
      <c r="CW292" s="467"/>
      <c r="CX292" s="467"/>
      <c r="CY292" s="467"/>
      <c r="CZ292" s="467"/>
      <c r="DA292" s="467"/>
      <c r="DB292" s="467"/>
      <c r="DC292" s="467"/>
      <c r="DD292" s="853"/>
      <c r="DE292" s="853"/>
      <c r="DF292" s="853"/>
      <c r="DG292" s="853"/>
      <c r="DH292" s="853"/>
      <c r="DI292" s="686"/>
      <c r="DJ292" s="855"/>
      <c r="DK292" s="855"/>
      <c r="DL292" s="686"/>
      <c r="DM292" s="686"/>
      <c r="DN292" s="686"/>
      <c r="DO292" s="855"/>
      <c r="DP292" s="855"/>
      <c r="DQ292" s="855"/>
      <c r="DR292" s="686"/>
      <c r="DS292" s="686"/>
      <c r="DT292" s="855"/>
      <c r="DU292" s="686"/>
      <c r="DV292" s="855"/>
      <c r="DW292" s="855"/>
      <c r="DX292" s="855"/>
      <c r="DY292" s="855"/>
      <c r="DZ292" s="855"/>
      <c r="EA292" s="686"/>
      <c r="EB292" s="855"/>
      <c r="EC292" s="855"/>
      <c r="ED292" s="1039"/>
    </row>
    <row r="293">
      <c r="A293" s="1707"/>
      <c r="B293" s="245" t="s">
        <v>271</v>
      </c>
      <c r="C293" s="246" t="s">
        <v>271</v>
      </c>
      <c r="D293" s="247" t="s">
        <v>271</v>
      </c>
      <c r="E293" s="248" t="s">
        <v>271</v>
      </c>
      <c r="F293" s="249" t="s">
        <v>271</v>
      </c>
      <c r="G293" s="245" t="s">
        <v>271</v>
      </c>
      <c r="H293" s="351"/>
      <c r="I293" s="288"/>
      <c r="J293" s="351"/>
      <c r="K293" s="351"/>
      <c r="L293" s="351"/>
      <c r="M293" s="351"/>
      <c r="N293" s="351"/>
      <c r="O293" s="351"/>
      <c r="P293" s="351"/>
      <c r="Q293" s="320"/>
      <c r="R293" s="320"/>
      <c r="S293" s="320"/>
      <c r="T293" s="320"/>
      <c r="U293" s="320"/>
      <c r="V293" s="320"/>
      <c r="W293" s="106"/>
      <c r="X293" s="351"/>
      <c r="Y293" s="351"/>
      <c r="Z293" s="351"/>
      <c r="AA293" s="351"/>
      <c r="AB293" s="881"/>
      <c r="AC293" s="351"/>
      <c r="AD293" s="351"/>
      <c r="AE293" s="320"/>
      <c r="AF293" s="351"/>
      <c r="AG293" s="351"/>
      <c r="AH293" s="320"/>
      <c r="AI293" s="320"/>
      <c r="AJ293" s="351"/>
      <c r="AK293" s="320"/>
      <c r="AL293" s="105"/>
      <c r="AM293" s="351"/>
      <c r="AN293" s="351"/>
      <c r="AO293" s="320"/>
      <c r="AP293" s="320"/>
      <c r="AQ293" s="286"/>
      <c r="AR293" s="286"/>
      <c r="AS293" s="320"/>
      <c r="AT293" s="320"/>
      <c r="AU293" s="351"/>
      <c r="AV293" s="351"/>
      <c r="AW293" s="351"/>
      <c r="AX293" s="320"/>
      <c r="AY293" s="320"/>
      <c r="AZ293" s="320"/>
      <c r="BA293" s="320"/>
      <c r="BB293" s="351"/>
      <c r="BC293" s="351"/>
      <c r="BD293" s="351"/>
      <c r="BE293" s="351"/>
      <c r="BF293" s="351"/>
      <c r="BG293" s="351"/>
      <c r="BH293" s="320"/>
      <c r="BI293" s="351"/>
      <c r="BJ293" s="320"/>
      <c r="BK293" s="351"/>
      <c r="BL293" s="351"/>
      <c r="BM293" s="320"/>
      <c r="BN293" s="320"/>
      <c r="BO293" s="351"/>
      <c r="BP293" s="320"/>
      <c r="BQ293" s="824"/>
      <c r="BR293" s="351"/>
      <c r="BS293" s="351"/>
      <c r="BT293" s="351"/>
      <c r="BU293" s="351"/>
      <c r="BV293" s="351"/>
      <c r="BW293" s="351"/>
      <c r="BX293" s="320"/>
      <c r="BY293" s="351"/>
      <c r="BZ293" s="351"/>
      <c r="CA293" s="351"/>
      <c r="CB293" s="320"/>
      <c r="CC293" s="320"/>
      <c r="CD293" s="320"/>
      <c r="CE293" s="320"/>
      <c r="CF293" s="824"/>
      <c r="CG293" s="351"/>
      <c r="CH293" s="351"/>
      <c r="CI293" s="351"/>
      <c r="CJ293" s="351"/>
      <c r="CK293" s="351"/>
      <c r="CL293" s="351"/>
      <c r="CM293" s="351"/>
      <c r="CN293" s="351"/>
      <c r="CO293" s="351"/>
      <c r="CP293" s="758"/>
      <c r="CQ293" s="320"/>
      <c r="CR293" s="320"/>
      <c r="CS293" s="320"/>
      <c r="CT293" s="320"/>
      <c r="CU293" s="106"/>
      <c r="CV293" s="351"/>
      <c r="CW293" s="351"/>
      <c r="CX293" s="351"/>
      <c r="CY293" s="351"/>
      <c r="CZ293" s="351"/>
      <c r="DA293" s="351"/>
      <c r="DB293" s="351"/>
      <c r="DC293" s="351"/>
      <c r="DD293" s="320"/>
      <c r="DE293" s="320"/>
      <c r="DF293" s="320"/>
      <c r="DG293" s="320"/>
      <c r="DH293" s="320"/>
      <c r="DI293" s="351"/>
      <c r="DJ293" s="320"/>
      <c r="DK293" s="320"/>
      <c r="DL293" s="351"/>
      <c r="DM293" s="351"/>
      <c r="DN293" s="351"/>
      <c r="DO293" s="320"/>
      <c r="DP293" s="320"/>
      <c r="DQ293" s="320"/>
      <c r="DR293" s="351"/>
      <c r="DS293" s="351"/>
      <c r="DT293" s="320"/>
      <c r="DU293" s="351"/>
      <c r="DV293" s="320"/>
      <c r="DW293" s="320"/>
      <c r="DX293" s="320"/>
      <c r="DY293" s="320"/>
      <c r="DZ293" s="320"/>
      <c r="EA293" s="351"/>
      <c r="EB293" s="320"/>
      <c r="EC293" s="320"/>
      <c r="ED293" s="862"/>
    </row>
    <row r="294">
      <c r="A294" s="1787"/>
      <c r="B294" s="378" t="s">
        <v>271</v>
      </c>
      <c r="C294" s="379" t="s">
        <v>271</v>
      </c>
      <c r="D294" s="380" t="s">
        <v>271</v>
      </c>
      <c r="E294" s="381" t="s">
        <v>271</v>
      </c>
      <c r="F294" s="382" t="s">
        <v>271</v>
      </c>
      <c r="G294" s="378" t="s">
        <v>271</v>
      </c>
      <c r="H294" s="1700"/>
      <c r="I294" s="1788"/>
      <c r="J294" s="1700"/>
      <c r="K294" s="1700"/>
      <c r="L294" s="1700"/>
      <c r="M294" s="1700"/>
      <c r="N294" s="1700"/>
      <c r="O294" s="1700"/>
      <c r="P294" s="1700"/>
      <c r="Q294" s="835"/>
      <c r="R294" s="835"/>
      <c r="S294" s="835"/>
      <c r="T294" s="835"/>
      <c r="U294" s="835"/>
      <c r="V294" s="835"/>
      <c r="W294" s="106"/>
      <c r="X294" s="402"/>
      <c r="Y294" s="402"/>
      <c r="Z294" s="402"/>
      <c r="AA294" s="402"/>
      <c r="AB294" s="1133"/>
      <c r="AC294" s="402"/>
      <c r="AD294" s="402"/>
      <c r="AE294" s="837"/>
      <c r="AF294" s="402"/>
      <c r="AG294" s="402"/>
      <c r="AH294" s="837"/>
      <c r="AI294" s="837"/>
      <c r="AJ294" s="402"/>
      <c r="AK294" s="837"/>
      <c r="AL294" s="105"/>
      <c r="AM294" s="413"/>
      <c r="AN294" s="413"/>
      <c r="AO294" s="839"/>
      <c r="AP294" s="839"/>
      <c r="AQ294" s="570"/>
      <c r="AR294" s="570"/>
      <c r="AS294" s="839"/>
      <c r="AT294" s="839"/>
      <c r="AU294" s="413"/>
      <c r="AV294" s="413"/>
      <c r="AW294" s="413"/>
      <c r="AX294" s="839"/>
      <c r="AY294" s="839"/>
      <c r="AZ294" s="839"/>
      <c r="BA294" s="839"/>
      <c r="BB294" s="1633"/>
      <c r="BC294" s="1633"/>
      <c r="BD294" s="1633"/>
      <c r="BE294" s="1633"/>
      <c r="BF294" s="1633"/>
      <c r="BG294" s="1633"/>
      <c r="BH294" s="580"/>
      <c r="BI294" s="1633"/>
      <c r="BJ294" s="580"/>
      <c r="BK294" s="1633"/>
      <c r="BL294" s="1633"/>
      <c r="BM294" s="580"/>
      <c r="BN294" s="580"/>
      <c r="BO294" s="1633"/>
      <c r="BP294" s="580"/>
      <c r="BQ294" s="845"/>
      <c r="BR294" s="424"/>
      <c r="BS294" s="424"/>
      <c r="BT294" s="424"/>
      <c r="BU294" s="424"/>
      <c r="BV294" s="424"/>
      <c r="BW294" s="424"/>
      <c r="BX294" s="849"/>
      <c r="BY294" s="424"/>
      <c r="BZ294" s="424"/>
      <c r="CA294" s="424"/>
      <c r="CB294" s="849"/>
      <c r="CC294" s="849"/>
      <c r="CD294" s="849"/>
      <c r="CE294" s="849"/>
      <c r="CF294" s="851"/>
      <c r="CG294" s="434"/>
      <c r="CH294" s="434"/>
      <c r="CI294" s="434"/>
      <c r="CJ294" s="434"/>
      <c r="CK294" s="434"/>
      <c r="CL294" s="434"/>
      <c r="CM294" s="434"/>
      <c r="CN294" s="434"/>
      <c r="CO294" s="434"/>
      <c r="CP294" s="1789"/>
      <c r="CQ294" s="852"/>
      <c r="CR294" s="852"/>
      <c r="CS294" s="852"/>
      <c r="CT294" s="852"/>
      <c r="CU294" s="106"/>
      <c r="CV294" s="467"/>
      <c r="CW294" s="467"/>
      <c r="CX294" s="467"/>
      <c r="CY294" s="467"/>
      <c r="CZ294" s="467"/>
      <c r="DA294" s="467"/>
      <c r="DB294" s="467"/>
      <c r="DC294" s="467"/>
      <c r="DD294" s="853"/>
      <c r="DE294" s="853"/>
      <c r="DF294" s="853"/>
      <c r="DG294" s="853"/>
      <c r="DH294" s="853"/>
      <c r="DI294" s="686"/>
      <c r="DJ294" s="855"/>
      <c r="DK294" s="855"/>
      <c r="DL294" s="686"/>
      <c r="DM294" s="686"/>
      <c r="DN294" s="686"/>
      <c r="DO294" s="855"/>
      <c r="DP294" s="855"/>
      <c r="DQ294" s="855"/>
      <c r="DR294" s="686"/>
      <c r="DS294" s="686"/>
      <c r="DT294" s="855"/>
      <c r="DU294" s="686"/>
      <c r="DV294" s="855"/>
      <c r="DW294" s="855"/>
      <c r="DX294" s="855"/>
      <c r="DY294" s="855"/>
      <c r="DZ294" s="855"/>
      <c r="EA294" s="686"/>
      <c r="EB294" s="855"/>
      <c r="EC294" s="855"/>
      <c r="ED294" s="1039"/>
    </row>
    <row r="295">
      <c r="A295" s="1707"/>
      <c r="B295" s="245" t="s">
        <v>271</v>
      </c>
      <c r="C295" s="246" t="s">
        <v>271</v>
      </c>
      <c r="D295" s="247" t="s">
        <v>271</v>
      </c>
      <c r="E295" s="248" t="s">
        <v>271</v>
      </c>
      <c r="F295" s="249" t="s">
        <v>271</v>
      </c>
      <c r="G295" s="245" t="s">
        <v>271</v>
      </c>
      <c r="H295" s="351"/>
      <c r="I295" s="288"/>
      <c r="J295" s="351"/>
      <c r="K295" s="351"/>
      <c r="L295" s="351"/>
      <c r="M295" s="351"/>
      <c r="N295" s="351"/>
      <c r="O295" s="351"/>
      <c r="P295" s="351"/>
      <c r="Q295" s="320"/>
      <c r="R295" s="320"/>
      <c r="S295" s="320"/>
      <c r="T295" s="320"/>
      <c r="U295" s="320"/>
      <c r="V295" s="320"/>
      <c r="W295" s="106"/>
      <c r="X295" s="351"/>
      <c r="Y295" s="351"/>
      <c r="Z295" s="351"/>
      <c r="AA295" s="351"/>
      <c r="AB295" s="881"/>
      <c r="AC295" s="351"/>
      <c r="AD295" s="351"/>
      <c r="AE295" s="320"/>
      <c r="AF295" s="351"/>
      <c r="AG295" s="351"/>
      <c r="AH295" s="320"/>
      <c r="AI295" s="320"/>
      <c r="AJ295" s="351"/>
      <c r="AK295" s="320"/>
      <c r="AL295" s="105"/>
      <c r="AM295" s="351"/>
      <c r="AN295" s="351"/>
      <c r="AO295" s="320"/>
      <c r="AP295" s="320"/>
      <c r="AQ295" s="286"/>
      <c r="AR295" s="286"/>
      <c r="AS295" s="320"/>
      <c r="AT295" s="320"/>
      <c r="AU295" s="351"/>
      <c r="AV295" s="351"/>
      <c r="AW295" s="351"/>
      <c r="AX295" s="320"/>
      <c r="AY295" s="320"/>
      <c r="AZ295" s="320"/>
      <c r="BA295" s="320"/>
      <c r="BB295" s="351"/>
      <c r="BC295" s="351"/>
      <c r="BD295" s="351"/>
      <c r="BE295" s="351"/>
      <c r="BF295" s="351"/>
      <c r="BG295" s="351"/>
      <c r="BH295" s="320"/>
      <c r="BI295" s="351"/>
      <c r="BJ295" s="320"/>
      <c r="BK295" s="351"/>
      <c r="BL295" s="351"/>
      <c r="BM295" s="320"/>
      <c r="BN295" s="320"/>
      <c r="BO295" s="351"/>
      <c r="BP295" s="320"/>
      <c r="BQ295" s="824"/>
      <c r="BR295" s="351"/>
      <c r="BS295" s="351"/>
      <c r="BT295" s="351"/>
      <c r="BU295" s="351"/>
      <c r="BV295" s="351"/>
      <c r="BW295" s="351"/>
      <c r="BX295" s="320"/>
      <c r="BY295" s="351"/>
      <c r="BZ295" s="351"/>
      <c r="CA295" s="351"/>
      <c r="CB295" s="320"/>
      <c r="CC295" s="320"/>
      <c r="CD295" s="320"/>
      <c r="CE295" s="320"/>
      <c r="CF295" s="824"/>
      <c r="CG295" s="351"/>
      <c r="CH295" s="351"/>
      <c r="CI295" s="351"/>
      <c r="CJ295" s="351"/>
      <c r="CK295" s="351"/>
      <c r="CL295" s="351"/>
      <c r="CM295" s="351"/>
      <c r="CN295" s="351"/>
      <c r="CO295" s="351"/>
      <c r="CP295" s="758"/>
      <c r="CQ295" s="320"/>
      <c r="CR295" s="320"/>
      <c r="CS295" s="320"/>
      <c r="CT295" s="320"/>
      <c r="CU295" s="106"/>
      <c r="CV295" s="351"/>
      <c r="CW295" s="351"/>
      <c r="CX295" s="351"/>
      <c r="CY295" s="351"/>
      <c r="CZ295" s="351"/>
      <c r="DA295" s="351"/>
      <c r="DB295" s="351"/>
      <c r="DC295" s="351"/>
      <c r="DD295" s="320"/>
      <c r="DE295" s="320"/>
      <c r="DF295" s="320"/>
      <c r="DG295" s="320"/>
      <c r="DH295" s="824"/>
      <c r="DI295" s="351"/>
      <c r="DJ295" s="320"/>
      <c r="DK295" s="320"/>
      <c r="DL295" s="351"/>
      <c r="DM295" s="351"/>
      <c r="DN295" s="351"/>
      <c r="DO295" s="320"/>
      <c r="DP295" s="320"/>
      <c r="DQ295" s="320"/>
      <c r="DR295" s="351"/>
      <c r="DS295" s="351"/>
      <c r="DT295" s="320"/>
      <c r="DU295" s="351"/>
      <c r="DV295" s="320"/>
      <c r="DW295" s="320"/>
      <c r="DX295" s="320"/>
      <c r="DY295" s="320"/>
      <c r="DZ295" s="320"/>
      <c r="EA295" s="351"/>
      <c r="EB295" s="320"/>
      <c r="EC295" s="320"/>
      <c r="ED295" s="862"/>
    </row>
    <row r="296">
      <c r="A296" s="1787"/>
      <c r="B296" s="378"/>
      <c r="C296" s="379"/>
      <c r="D296" s="380"/>
      <c r="E296" s="381"/>
      <c r="F296" s="382"/>
      <c r="G296" s="378"/>
      <c r="H296" s="1700"/>
      <c r="I296" s="1788"/>
      <c r="J296" s="1700"/>
      <c r="K296" s="1700"/>
      <c r="L296" s="1700"/>
      <c r="M296" s="1700"/>
      <c r="N296" s="1700"/>
      <c r="O296" s="1700"/>
      <c r="P296" s="1700"/>
      <c r="Q296" s="835"/>
      <c r="R296" s="835"/>
      <c r="S296" s="835"/>
      <c r="T296" s="835"/>
      <c r="U296" s="835"/>
      <c r="V296" s="835"/>
      <c r="W296" s="106"/>
      <c r="X296" s="402"/>
      <c r="Y296" s="402"/>
      <c r="Z296" s="402"/>
      <c r="AA296" s="402"/>
      <c r="AB296" s="1133"/>
      <c r="AC296" s="402"/>
      <c r="AD296" s="402"/>
      <c r="AE296" s="837"/>
      <c r="AF296" s="402"/>
      <c r="AG296" s="402"/>
      <c r="AH296" s="837"/>
      <c r="AI296" s="837"/>
      <c r="AJ296" s="402"/>
      <c r="AK296" s="837"/>
      <c r="AL296" s="105"/>
      <c r="AM296" s="413"/>
      <c r="AN296" s="413"/>
      <c r="AO296" s="839"/>
      <c r="AP296" s="839"/>
      <c r="AQ296" s="570"/>
      <c r="AR296" s="570"/>
      <c r="AS296" s="839"/>
      <c r="AT296" s="839"/>
      <c r="AU296" s="413"/>
      <c r="AV296" s="413"/>
      <c r="AW296" s="413"/>
      <c r="AX296" s="839"/>
      <c r="AY296" s="839"/>
      <c r="AZ296" s="839"/>
      <c r="BA296" s="839"/>
      <c r="BB296" s="1633"/>
      <c r="BC296" s="1633"/>
      <c r="BD296" s="1633"/>
      <c r="BE296" s="1633"/>
      <c r="BF296" s="1633"/>
      <c r="BG296" s="1633"/>
      <c r="BH296" s="580"/>
      <c r="BI296" s="1633"/>
      <c r="BJ296" s="580"/>
      <c r="BK296" s="1633"/>
      <c r="BL296" s="1633"/>
      <c r="BM296" s="580"/>
      <c r="BN296" s="580"/>
      <c r="BO296" s="1633"/>
      <c r="BP296" s="580"/>
      <c r="BQ296" s="845"/>
      <c r="BR296" s="424"/>
      <c r="BS296" s="424"/>
      <c r="BT296" s="424"/>
      <c r="BU296" s="424"/>
      <c r="BV296" s="424"/>
      <c r="BW296" s="424"/>
      <c r="BX296" s="849"/>
      <c r="BY296" s="424"/>
      <c r="BZ296" s="424"/>
      <c r="CA296" s="424"/>
      <c r="CB296" s="849"/>
      <c r="CC296" s="849"/>
      <c r="CD296" s="849"/>
      <c r="CE296" s="849"/>
      <c r="CF296" s="851"/>
      <c r="CG296" s="434"/>
      <c r="CH296" s="434"/>
      <c r="CI296" s="434"/>
      <c r="CJ296" s="434"/>
      <c r="CK296" s="434"/>
      <c r="CL296" s="434"/>
      <c r="CM296" s="434"/>
      <c r="CN296" s="434"/>
      <c r="CO296" s="434"/>
      <c r="CP296" s="1789"/>
      <c r="CQ296" s="852"/>
      <c r="CR296" s="852"/>
      <c r="CS296" s="852"/>
      <c r="CT296" s="852"/>
      <c r="CU296" s="105"/>
      <c r="CV296" s="467"/>
      <c r="CW296" s="467"/>
      <c r="CX296" s="467"/>
      <c r="CY296" s="467"/>
      <c r="CZ296" s="467"/>
      <c r="DA296" s="467"/>
      <c r="DB296" s="467"/>
      <c r="DC296" s="467"/>
      <c r="DD296" s="853"/>
      <c r="DE296" s="853"/>
      <c r="DF296" s="853"/>
      <c r="DG296" s="853"/>
      <c r="DH296" s="2030"/>
      <c r="DI296" s="686"/>
      <c r="DJ296" s="855"/>
      <c r="DK296" s="855"/>
      <c r="DL296" s="686"/>
      <c r="DM296" s="686"/>
      <c r="DN296" s="686"/>
      <c r="DO296" s="855"/>
      <c r="DP296" s="855"/>
      <c r="DQ296" s="855"/>
      <c r="DR296" s="686"/>
      <c r="DS296" s="686"/>
      <c r="DT296" s="855"/>
      <c r="DU296" s="686"/>
      <c r="DV296" s="855"/>
      <c r="DW296" s="855"/>
      <c r="DX296" s="855"/>
      <c r="DY296" s="855"/>
      <c r="DZ296" s="855"/>
      <c r="EA296" s="686"/>
      <c r="EB296" s="855"/>
      <c r="EC296" s="855"/>
      <c r="ED296" s="1039"/>
    </row>
    <row r="297">
      <c r="A297" s="1707"/>
      <c r="B297" s="245"/>
      <c r="C297" s="246"/>
      <c r="D297" s="247"/>
      <c r="E297" s="248"/>
      <c r="F297" s="249"/>
      <c r="G297" s="245"/>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78"/>
      <c r="C298" s="379"/>
      <c r="D298" s="380"/>
      <c r="E298" s="381"/>
      <c r="F298" s="382"/>
      <c r="G298" s="378"/>
      <c r="H298" s="2033"/>
      <c r="I298" s="2033"/>
      <c r="J298" s="2033"/>
      <c r="K298" s="2033"/>
      <c r="L298" s="2033"/>
      <c r="M298" s="2033"/>
      <c r="N298" s="2033"/>
      <c r="O298" s="2033"/>
      <c r="P298" s="2033"/>
      <c r="Q298" s="2033"/>
      <c r="R298" s="2033"/>
      <c r="S298" s="2033"/>
      <c r="T298" s="2033"/>
      <c r="U298" s="2033"/>
      <c r="V298" s="2033"/>
      <c r="W298" s="1989"/>
      <c r="X298" s="661"/>
      <c r="Y298" s="661"/>
      <c r="Z298" s="661"/>
      <c r="AA298" s="661"/>
      <c r="AB298" s="661"/>
      <c r="AC298" s="661"/>
      <c r="AD298" s="661"/>
      <c r="AE298" s="661"/>
      <c r="AF298" s="661"/>
      <c r="AG298" s="661"/>
      <c r="AH298" s="661"/>
      <c r="AI298" s="661"/>
      <c r="AJ298" s="661"/>
      <c r="AK298" s="661"/>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45"/>
      <c r="C299" s="246"/>
      <c r="D299" s="247"/>
      <c r="E299" s="248"/>
      <c r="F299" s="249"/>
      <c r="G299" s="245"/>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78"/>
      <c r="C300" s="379"/>
      <c r="D300" s="380"/>
      <c r="E300" s="381"/>
      <c r="F300" s="382"/>
      <c r="G300" s="378"/>
      <c r="H300" s="2033"/>
      <c r="I300" s="2033"/>
      <c r="J300" s="2033"/>
      <c r="K300" s="2033"/>
      <c r="L300" s="2033"/>
      <c r="M300" s="2033"/>
      <c r="N300" s="2033"/>
      <c r="O300" s="2033"/>
      <c r="P300" s="2033"/>
      <c r="Q300" s="2033"/>
      <c r="R300" s="2033"/>
      <c r="S300" s="2033"/>
      <c r="T300" s="2033"/>
      <c r="U300" s="2033"/>
      <c r="V300" s="2033"/>
      <c r="W300" s="1989"/>
      <c r="X300" s="661"/>
      <c r="Y300" s="661"/>
      <c r="Z300" s="661"/>
      <c r="AA300" s="661"/>
      <c r="AB300" s="661"/>
      <c r="AC300" s="661"/>
      <c r="AD300" s="661"/>
      <c r="AE300" s="661"/>
      <c r="AF300" s="661"/>
      <c r="AG300" s="661"/>
      <c r="AH300" s="661"/>
      <c r="AI300" s="661"/>
      <c r="AJ300" s="661"/>
      <c r="AK300" s="661"/>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45"/>
      <c r="C301" s="246"/>
      <c r="D301" s="247"/>
      <c r="E301" s="248"/>
      <c r="F301" s="249"/>
      <c r="G301" s="245"/>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78"/>
      <c r="C302" s="379"/>
      <c r="D302" s="380"/>
      <c r="E302" s="381"/>
      <c r="F302" s="382"/>
      <c r="G302" s="378"/>
      <c r="H302" s="2033"/>
      <c r="I302" s="2033"/>
      <c r="J302" s="2033"/>
      <c r="K302" s="2033"/>
      <c r="L302" s="2033"/>
      <c r="M302" s="2033"/>
      <c r="N302" s="2033"/>
      <c r="O302" s="2033"/>
      <c r="P302" s="2033"/>
      <c r="Q302" s="2033"/>
      <c r="R302" s="2033"/>
      <c r="S302" s="2033"/>
      <c r="T302" s="2033"/>
      <c r="U302" s="2033"/>
      <c r="V302" s="2033"/>
      <c r="W302" s="1989"/>
      <c r="X302" s="661"/>
      <c r="Y302" s="661"/>
      <c r="Z302" s="661"/>
      <c r="AA302" s="661"/>
      <c r="AB302" s="661"/>
      <c r="AC302" s="661"/>
      <c r="AD302" s="661"/>
      <c r="AE302" s="661"/>
      <c r="AF302" s="661"/>
      <c r="AG302" s="661"/>
      <c r="AH302" s="661"/>
      <c r="AI302" s="661"/>
      <c r="AJ302" s="661"/>
      <c r="AK302" s="661"/>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45"/>
      <c r="C303" s="246"/>
      <c r="D303" s="247"/>
      <c r="E303" s="248"/>
      <c r="F303" s="249"/>
      <c r="G303" s="245"/>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78"/>
      <c r="C304" s="379"/>
      <c r="D304" s="380"/>
      <c r="E304" s="381"/>
      <c r="F304" s="382"/>
      <c r="G304" s="378"/>
      <c r="H304" s="2033"/>
      <c r="I304" s="2033"/>
      <c r="J304" s="2033"/>
      <c r="K304" s="2033"/>
      <c r="L304" s="2033"/>
      <c r="M304" s="2033"/>
      <c r="N304" s="2033"/>
      <c r="O304" s="2033"/>
      <c r="P304" s="2033"/>
      <c r="Q304" s="2033"/>
      <c r="R304" s="2033"/>
      <c r="S304" s="2033"/>
      <c r="T304" s="2033"/>
      <c r="U304" s="2033"/>
      <c r="V304" s="2033"/>
      <c r="W304" s="1989"/>
      <c r="X304" s="661"/>
      <c r="Y304" s="661"/>
      <c r="Z304" s="661"/>
      <c r="AA304" s="661"/>
      <c r="AB304" s="661"/>
      <c r="AC304" s="661"/>
      <c r="AD304" s="661"/>
      <c r="AE304" s="661"/>
      <c r="AF304" s="661"/>
      <c r="AG304" s="661"/>
      <c r="AH304" s="661"/>
      <c r="AI304" s="661"/>
      <c r="AJ304" s="661"/>
      <c r="AK304" s="661"/>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L106"/>
    <hyperlink r:id="rId3746" ref="S106"/>
    <hyperlink r:id="rId3747" ref="AY106"/>
    <hyperlink r:id="rId3748" ref="BV106"/>
    <hyperlink r:id="rId3749" ref="CJ106"/>
    <hyperlink r:id="rId3750" ref="DV106"/>
    <hyperlink r:id="rId3751" ref="BF108"/>
    <hyperlink r:id="rId3752" ref="CN108"/>
    <hyperlink r:id="rId3753" ref="DA108"/>
    <hyperlink r:id="rId3754" ref="H111"/>
    <hyperlink r:id="rId3755" ref="I111"/>
    <hyperlink r:id="rId3756" ref="J111"/>
    <hyperlink r:id="rId3757" ref="K111"/>
    <hyperlink r:id="rId3758" ref="L111"/>
    <hyperlink r:id="rId3759" ref="P111"/>
    <hyperlink r:id="rId3760" ref="U111"/>
    <hyperlink r:id="rId3761" ref="AA111"/>
    <hyperlink r:id="rId3762" ref="AC111"/>
    <hyperlink r:id="rId3763" ref="AJ111"/>
    <hyperlink r:id="rId3764" ref="AS111"/>
    <hyperlink r:id="rId3765" ref="AW111"/>
    <hyperlink r:id="rId3766" ref="BD111"/>
    <hyperlink r:id="rId3767" ref="BN111"/>
    <hyperlink r:id="rId3768" ref="BO111"/>
    <hyperlink r:id="rId3769" ref="CC111"/>
    <hyperlink r:id="rId3770" ref="CD111"/>
    <hyperlink r:id="rId3771" ref="CS111"/>
    <hyperlink r:id="rId3772" ref="CW111"/>
    <hyperlink r:id="rId3773" ref="DE111"/>
    <hyperlink r:id="rId3774" ref="DP111"/>
    <hyperlink r:id="rId3775" ref="DW111"/>
    <hyperlink r:id="rId3776" ref="J113"/>
    <hyperlink r:id="rId3777" ref="K115"/>
    <hyperlink r:id="rId3778" ref="X115"/>
    <hyperlink r:id="rId3779" ref="BW115"/>
    <hyperlink r:id="rId3780" ref="I116"/>
    <hyperlink r:id="rId3781" ref="L116"/>
    <hyperlink r:id="rId3782" ref="Z116"/>
    <hyperlink r:id="rId3783" ref="BN116"/>
    <hyperlink r:id="rId3784" ref="BW116"/>
    <hyperlink r:id="rId3785" ref="CA116"/>
    <hyperlink r:id="rId3786" ref="CX116"/>
    <hyperlink r:id="rId3787" ref="DM116"/>
    <hyperlink r:id="rId3788" ref="DZ116"/>
    <hyperlink r:id="rId3789" ref="P117"/>
    <hyperlink r:id="rId3790" ref="S117"/>
    <hyperlink r:id="rId3791" ref="V117"/>
    <hyperlink r:id="rId3792" ref="AG117"/>
    <hyperlink r:id="rId3793" ref="AJ117"/>
    <hyperlink r:id="rId3794" ref="AP117"/>
    <hyperlink r:id="rId3795" ref="AU117"/>
    <hyperlink r:id="rId3796" ref="AY117"/>
    <hyperlink r:id="rId3797" ref="BY117"/>
    <hyperlink r:id="rId3798" ref="CA117"/>
    <hyperlink r:id="rId3799" ref="CB117"/>
    <hyperlink r:id="rId3800" ref="CC117"/>
    <hyperlink r:id="rId3801" ref="CO117"/>
    <hyperlink r:id="rId3802" ref="DB117"/>
    <hyperlink r:id="rId3803" ref="DC117"/>
    <hyperlink r:id="rId3804" ref="P121"/>
    <hyperlink r:id="rId3805" ref="Q121"/>
    <hyperlink r:id="rId3806" ref="AG121"/>
    <hyperlink r:id="rId3807" ref="I122"/>
    <hyperlink r:id="rId3808" ref="J122"/>
    <hyperlink r:id="rId3809" ref="K122"/>
    <hyperlink r:id="rId3810" ref="L122"/>
    <hyperlink r:id="rId3811" ref="M122"/>
    <hyperlink r:id="rId3812" ref="N122"/>
    <hyperlink r:id="rId3813" ref="O122"/>
    <hyperlink r:id="rId3814" ref="P122"/>
    <hyperlink r:id="rId3815" ref="X122"/>
    <hyperlink r:id="rId3816" ref="Y122"/>
    <hyperlink r:id="rId3817" ref="Z122"/>
    <hyperlink r:id="rId3818" ref="AA122"/>
    <hyperlink r:id="rId3819" ref="AB122"/>
    <hyperlink r:id="rId3820" ref="AC122"/>
    <hyperlink r:id="rId3821" ref="AD122"/>
    <hyperlink r:id="rId3822" ref="AE122"/>
    <hyperlink r:id="rId3823" ref="AF122"/>
    <hyperlink r:id="rId3824" ref="AG122"/>
    <hyperlink r:id="rId3825" ref="AU122"/>
    <hyperlink r:id="rId3826" ref="AV122"/>
    <hyperlink r:id="rId3827" ref="BB122"/>
    <hyperlink r:id="rId3828" ref="BC122"/>
    <hyperlink r:id="rId3829" ref="BD122"/>
    <hyperlink r:id="rId3830" ref="BE122"/>
    <hyperlink r:id="rId3831" ref="BF122"/>
    <hyperlink r:id="rId3832" ref="BI122"/>
    <hyperlink r:id="rId3833" ref="BK122"/>
    <hyperlink r:id="rId3834" ref="BL122"/>
    <hyperlink r:id="rId3835" ref="BR122"/>
    <hyperlink r:id="rId3836" ref="BS122"/>
    <hyperlink r:id="rId3837" ref="BT122"/>
    <hyperlink r:id="rId3838" ref="BU122"/>
    <hyperlink r:id="rId3839" ref="BV122"/>
    <hyperlink r:id="rId3840" ref="BW122"/>
    <hyperlink r:id="rId3841" ref="BX122"/>
    <hyperlink r:id="rId3842" ref="BZ122"/>
    <hyperlink r:id="rId3843" ref="CA122"/>
    <hyperlink r:id="rId3844" ref="CG122"/>
    <hyperlink r:id="rId3845" ref="CH122"/>
    <hyperlink r:id="rId3846" ref="CI122"/>
    <hyperlink r:id="rId3847" ref="CJ122"/>
    <hyperlink r:id="rId3848" ref="CK122"/>
    <hyperlink r:id="rId3849" ref="CL122"/>
    <hyperlink r:id="rId3850" ref="CM122"/>
    <hyperlink r:id="rId3851" ref="CN122"/>
    <hyperlink r:id="rId3852" ref="CO122"/>
    <hyperlink r:id="rId3853" ref="CV122"/>
    <hyperlink r:id="rId3854" ref="CW122"/>
    <hyperlink r:id="rId3855" ref="CX122"/>
    <hyperlink r:id="rId3856" ref="CY122"/>
    <hyperlink r:id="rId3857" ref="CZ122"/>
    <hyperlink r:id="rId3858" ref="DA122"/>
    <hyperlink r:id="rId3859" ref="DB122"/>
    <hyperlink r:id="rId3860" ref="DC122"/>
    <hyperlink r:id="rId3861" ref="DR122"/>
    <hyperlink r:id="rId3862" ref="DS122"/>
    <hyperlink r:id="rId3863" ref="O123"/>
    <hyperlink r:id="rId3864" ref="AC123"/>
    <hyperlink r:id="rId3865" ref="BE123"/>
    <hyperlink r:id="rId3866" ref="J124"/>
    <hyperlink r:id="rId3867" ref="K124"/>
    <hyperlink r:id="rId3868" ref="P124"/>
    <hyperlink r:id="rId3869" ref="L126"/>
    <hyperlink r:id="rId3870" ref="CH126"/>
    <hyperlink r:id="rId3871" ref="DU126"/>
    <hyperlink r:id="rId3872" ref="EA126"/>
    <hyperlink r:id="rId3873" ref="I128"/>
    <hyperlink r:id="rId3874" ref="J128"/>
    <hyperlink r:id="rId3875" ref="K128"/>
    <hyperlink r:id="rId3876" ref="L128"/>
    <hyperlink r:id="rId3877" ref="M128"/>
    <hyperlink r:id="rId3878" ref="N128"/>
    <hyperlink r:id="rId3879" ref="O128"/>
    <hyperlink r:id="rId3880" ref="X128"/>
    <hyperlink r:id="rId3881" ref="Z128"/>
    <hyperlink r:id="rId3882" ref="AC128"/>
    <hyperlink r:id="rId3883" ref="AG128"/>
    <hyperlink r:id="rId3884" ref="AU128"/>
    <hyperlink r:id="rId3885" ref="AV128"/>
    <hyperlink r:id="rId3886" ref="BB128"/>
    <hyperlink r:id="rId3887" ref="BE128"/>
    <hyperlink r:id="rId3888" ref="BF128"/>
    <hyperlink r:id="rId3889" ref="BI128"/>
    <hyperlink r:id="rId3890" ref="BR128"/>
    <hyperlink r:id="rId3891" ref="BZ128"/>
    <hyperlink r:id="rId3892" ref="CH128"/>
    <hyperlink r:id="rId3893" ref="CI128"/>
    <hyperlink r:id="rId3894" ref="CJ128"/>
    <hyperlink r:id="rId3895" ref="CL128"/>
    <hyperlink r:id="rId3896" ref="CN128"/>
    <hyperlink r:id="rId3897" ref="CV128"/>
    <hyperlink r:id="rId3898" ref="CW128"/>
    <hyperlink r:id="rId3899" ref="CX128"/>
    <hyperlink r:id="rId3900" ref="CY128"/>
    <hyperlink r:id="rId3901" ref="CZ128"/>
    <hyperlink r:id="rId3902" ref="DA128"/>
    <hyperlink r:id="rId3903" ref="DB128"/>
    <hyperlink r:id="rId3904" ref="DC128"/>
    <hyperlink r:id="rId3905" ref="DI128"/>
    <hyperlink r:id="rId3906" ref="DM128"/>
    <hyperlink r:id="rId3907" ref="I129"/>
    <hyperlink r:id="rId3908" ref="K129"/>
    <hyperlink r:id="rId3909" ref="M129"/>
    <hyperlink r:id="rId3910" ref="N129"/>
    <hyperlink r:id="rId3911" ref="O129"/>
    <hyperlink r:id="rId3912" ref="P129"/>
    <hyperlink r:id="rId3913" ref="Z129"/>
    <hyperlink r:id="rId3914" ref="AB129"/>
    <hyperlink r:id="rId3915" ref="AC129"/>
    <hyperlink r:id="rId3916" ref="AD129"/>
    <hyperlink r:id="rId3917" ref="AF129"/>
    <hyperlink r:id="rId3918" ref="AG129"/>
    <hyperlink r:id="rId3919" ref="AU129"/>
    <hyperlink r:id="rId3920" ref="AV129"/>
    <hyperlink r:id="rId3921" ref="CO130"/>
    <hyperlink r:id="rId3922" ref="K131"/>
    <hyperlink r:id="rId3923" ref="O131"/>
    <hyperlink r:id="rId3924" ref="P131"/>
    <hyperlink r:id="rId3925" ref="Z131"/>
    <hyperlink r:id="rId3926" ref="AA131"/>
    <hyperlink r:id="rId3927" ref="AC131"/>
    <hyperlink r:id="rId3928" ref="BW131"/>
    <hyperlink r:id="rId3929" ref="CO131"/>
    <hyperlink r:id="rId3930" ref="CX131"/>
    <hyperlink r:id="rId3931" ref="DB131"/>
    <hyperlink r:id="rId3932" ref="H135"/>
    <hyperlink r:id="rId3933" ref="I135"/>
    <hyperlink r:id="rId3934" ref="J135"/>
    <hyperlink r:id="rId3935" ref="L135"/>
    <hyperlink r:id="rId3936" ref="M135"/>
    <hyperlink r:id="rId3937" ref="P135"/>
    <hyperlink r:id="rId3938" ref="X135"/>
    <hyperlink r:id="rId3939" ref="Z135"/>
    <hyperlink r:id="rId3940" ref="AA135"/>
    <hyperlink r:id="rId3941" ref="AF135"/>
    <hyperlink r:id="rId3942" ref="BF135"/>
    <hyperlink r:id="rId3943" ref="BR135"/>
    <hyperlink r:id="rId3944" ref="BT135"/>
    <hyperlink r:id="rId3945" ref="CA135"/>
    <hyperlink r:id="rId3946" ref="CG135"/>
    <hyperlink r:id="rId3947" ref="CH135"/>
    <hyperlink r:id="rId3948" ref="CJ135"/>
    <hyperlink r:id="rId3949" ref="CM135"/>
    <hyperlink r:id="rId3950" ref="CN135"/>
    <hyperlink r:id="rId3951" ref="DB135"/>
    <hyperlink r:id="rId3952" ref="DI135"/>
    <hyperlink r:id="rId3953" ref="DM135"/>
    <hyperlink r:id="rId3954" ref="L137"/>
    <hyperlink r:id="rId3955" ref="P137"/>
    <hyperlink r:id="rId3956" ref="BI137"/>
    <hyperlink r:id="rId3957" ref="BK137"/>
    <hyperlink r:id="rId3958" ref="BV137"/>
    <hyperlink r:id="rId3959" ref="BW137"/>
    <hyperlink r:id="rId3960" ref="CA137"/>
    <hyperlink r:id="rId3961" ref="DA137"/>
    <hyperlink r:id="rId3962" ref="DB137"/>
    <hyperlink r:id="rId3963" ref="AA138"/>
    <hyperlink r:id="rId3964" ref="CY138"/>
    <hyperlink r:id="rId3965" ref="DC138"/>
    <hyperlink r:id="rId3966" ref="I140"/>
    <hyperlink r:id="rId3967" ref="J140"/>
    <hyperlink r:id="rId3968" ref="K140"/>
    <hyperlink r:id="rId3969" ref="L140"/>
    <hyperlink r:id="rId3970" ref="N140"/>
    <hyperlink r:id="rId3971" ref="P140"/>
    <hyperlink r:id="rId3972" ref="X140"/>
    <hyperlink r:id="rId3973" ref="AU140"/>
    <hyperlink r:id="rId3974" ref="AV140"/>
    <hyperlink r:id="rId3975" ref="BB140"/>
    <hyperlink r:id="rId3976" ref="BE140"/>
    <hyperlink r:id="rId3977" ref="CZ140"/>
    <hyperlink r:id="rId3978" ref="DB140"/>
    <hyperlink r:id="rId3979" ref="Z141"/>
    <hyperlink r:id="rId3980" ref="DB141"/>
    <hyperlink r:id="rId3981" ref="K142"/>
    <hyperlink r:id="rId3982" ref="CG142"/>
    <hyperlink r:id="rId3983" ref="L146"/>
    <hyperlink r:id="rId3984" ref="Q146"/>
    <hyperlink r:id="rId3985" ref="S146"/>
    <hyperlink r:id="rId3986" ref="AJ146"/>
    <hyperlink r:id="rId3987" ref="AK146"/>
    <hyperlink r:id="rId3988" ref="BN146"/>
    <hyperlink r:id="rId3989" ref="CC146"/>
    <hyperlink r:id="rId3990" ref="CD146"/>
    <hyperlink r:id="rId3991" ref="CH146"/>
    <hyperlink r:id="rId3992" ref="CT146"/>
    <hyperlink r:id="rId3993" ref="DB146"/>
    <hyperlink r:id="rId3994" ref="DG146"/>
    <hyperlink r:id="rId3995" ref="P147"/>
    <hyperlink r:id="rId3996" ref="Z147"/>
    <hyperlink r:id="rId3997" ref="O148"/>
    <hyperlink r:id="rId3998" ref="P148"/>
    <hyperlink r:id="rId3999" ref="AA148"/>
    <hyperlink r:id="rId4000" ref="AC148"/>
    <hyperlink r:id="rId4001" ref="AG148"/>
    <hyperlink r:id="rId4002" ref="AU148"/>
    <hyperlink r:id="rId4003" ref="BD148"/>
    <hyperlink r:id="rId4004" ref="BI148"/>
    <hyperlink r:id="rId4005" ref="BL148"/>
    <hyperlink r:id="rId4006" ref="BU148"/>
    <hyperlink r:id="rId4007" ref="BW148"/>
    <hyperlink r:id="rId4008" ref="CA148"/>
    <hyperlink r:id="rId4009" ref="CJ148"/>
    <hyperlink r:id="rId4010" ref="CL148"/>
    <hyperlink r:id="rId4011" ref="CO148"/>
    <hyperlink r:id="rId4012" ref="CV148"/>
    <hyperlink r:id="rId4013" ref="CW148"/>
    <hyperlink r:id="rId4014" ref="DC148"/>
    <hyperlink r:id="rId4015" ref="DM148"/>
    <hyperlink r:id="rId4016" ref="K150"/>
    <hyperlink r:id="rId4017" ref="L150"/>
    <hyperlink r:id="rId4018" ref="O150"/>
    <hyperlink r:id="rId4019" ref="P150"/>
    <hyperlink r:id="rId4020" ref="AA150"/>
    <hyperlink r:id="rId4021" ref="AC150"/>
    <hyperlink r:id="rId4022" ref="AG150"/>
    <hyperlink r:id="rId4023" ref="AN150"/>
    <hyperlink r:id="rId4024" ref="AU150"/>
    <hyperlink r:id="rId4025" ref="AW150"/>
    <hyperlink r:id="rId4026" ref="BD150"/>
    <hyperlink r:id="rId4027" ref="BI150"/>
    <hyperlink r:id="rId4028" ref="BW150"/>
    <hyperlink r:id="rId4029" ref="CH150"/>
    <hyperlink r:id="rId4030" ref="CX150"/>
    <hyperlink r:id="rId4031" ref="DM150"/>
    <hyperlink r:id="rId4032" ref="J152"/>
    <hyperlink r:id="rId4033" ref="Z152"/>
    <hyperlink r:id="rId4034" ref="BU152"/>
    <hyperlink r:id="rId4035" ref="CH152"/>
    <hyperlink r:id="rId4036" ref="I155"/>
    <hyperlink r:id="rId4037" ref="J155"/>
    <hyperlink r:id="rId4038" ref="K155"/>
    <hyperlink r:id="rId4039" ref="L155"/>
    <hyperlink r:id="rId4040" ref="AC155"/>
    <hyperlink r:id="rId4041" ref="BI155"/>
    <hyperlink r:id="rId4042" ref="AD157"/>
    <hyperlink r:id="rId4043" ref="BI157"/>
    <hyperlink r:id="rId4044" ref="K159"/>
    <hyperlink r:id="rId4045" ref="L159"/>
    <hyperlink r:id="rId4046" ref="AA159"/>
    <hyperlink r:id="rId4047" ref="BT159"/>
    <hyperlink r:id="rId4048" ref="BU159"/>
    <hyperlink r:id="rId4049" ref="CH159"/>
    <hyperlink r:id="rId4050" ref="DC159"/>
    <hyperlink r:id="rId4051" ref="AC161"/>
    <hyperlink r:id="rId4052" ref="BC161"/>
    <hyperlink r:id="rId4053" ref="AA162"/>
    <hyperlink r:id="rId4054" ref="AV162"/>
    <hyperlink r:id="rId4055" ref="CO162"/>
    <hyperlink r:id="rId4056" ref="DA162"/>
    <hyperlink r:id="rId4057" ref="DB162"/>
    <hyperlink r:id="rId4058" ref="BD164"/>
    <hyperlink r:id="rId4059" ref="K165"/>
    <hyperlink r:id="rId4060" ref="L165"/>
    <hyperlink r:id="rId4061" ref="S165"/>
    <hyperlink r:id="rId4062" ref="Z165"/>
    <hyperlink r:id="rId4063" ref="AC165"/>
    <hyperlink r:id="rId4064" ref="AE165"/>
    <hyperlink r:id="rId4065" ref="AF165"/>
    <hyperlink r:id="rId4066" ref="AJ165"/>
    <hyperlink r:id="rId4067" ref="AM165"/>
    <hyperlink r:id="rId4068" ref="AN165"/>
    <hyperlink r:id="rId4069" ref="AV165"/>
    <hyperlink r:id="rId4070" ref="CW165"/>
    <hyperlink r:id="rId4071" ref="DB165"/>
    <hyperlink r:id="rId4072" ref="DI165"/>
    <hyperlink r:id="rId4073" ref="K168"/>
    <hyperlink r:id="rId4074" ref="L168"/>
    <hyperlink r:id="rId4075" ref="X168"/>
    <hyperlink r:id="rId4076" ref="AA168"/>
    <hyperlink r:id="rId4077" ref="AB168"/>
    <hyperlink r:id="rId4078" ref="AC168"/>
    <hyperlink r:id="rId4079" ref="AD168"/>
    <hyperlink r:id="rId4080" ref="AG168"/>
    <hyperlink r:id="rId4081" ref="AU168"/>
    <hyperlink r:id="rId4082" ref="AV168"/>
    <hyperlink r:id="rId4083" ref="BC168"/>
    <hyperlink r:id="rId4084" ref="BE168"/>
    <hyperlink r:id="rId4085" ref="BF168"/>
    <hyperlink r:id="rId4086" ref="BG168"/>
    <hyperlink r:id="rId4087" ref="BR168"/>
    <hyperlink r:id="rId4088" ref="BT168"/>
    <hyperlink r:id="rId4089" ref="BU168"/>
    <hyperlink r:id="rId4090" ref="BY168"/>
    <hyperlink r:id="rId4091" ref="CA168"/>
    <hyperlink r:id="rId4092" ref="CG168"/>
    <hyperlink r:id="rId4093" ref="CH168"/>
    <hyperlink r:id="rId4094" ref="CI168"/>
    <hyperlink r:id="rId4095" ref="CM168"/>
    <hyperlink r:id="rId4096" ref="CN168"/>
    <hyperlink r:id="rId4097" ref="CO168"/>
    <hyperlink r:id="rId4098" ref="CV168"/>
    <hyperlink r:id="rId4099" ref="CX168"/>
    <hyperlink r:id="rId4100" ref="CY168"/>
    <hyperlink r:id="rId4101" ref="DB168"/>
    <hyperlink r:id="rId4102" ref="DC168"/>
    <hyperlink r:id="rId4103" ref="DS168"/>
    <hyperlink r:id="rId4104" ref="AC169"/>
    <hyperlink r:id="rId4105" ref="BI169"/>
    <hyperlink r:id="rId4106" ref="CG169"/>
    <hyperlink r:id="rId4107" ref="CO169"/>
    <hyperlink r:id="rId4108" ref="DB169"/>
    <hyperlink r:id="rId4109" ref="CG170"/>
    <hyperlink r:id="rId4110" ref="K172"/>
    <hyperlink r:id="rId4111" ref="BL172"/>
    <hyperlink r:id="rId4112" ref="CX172"/>
    <hyperlink r:id="rId4113" ref="DC172"/>
    <hyperlink r:id="rId4114" ref="AH173"/>
    <hyperlink r:id="rId4115" ref="DE173"/>
    <hyperlink r:id="rId4116" ref="DM176"/>
    <hyperlink r:id="rId4117" ref="T177"/>
    <hyperlink r:id="rId4118" ref="BF177"/>
    <hyperlink r:id="rId4119" ref="BT177"/>
    <hyperlink r:id="rId4120" ref="CT177"/>
    <hyperlink r:id="rId4121" ref="P179"/>
    <hyperlink r:id="rId4122" ref="X179"/>
    <hyperlink r:id="rId4123" ref="AA179"/>
    <hyperlink r:id="rId4124" ref="AG179"/>
    <hyperlink r:id="rId4125" ref="AU179"/>
    <hyperlink r:id="rId4126" ref="BU179"/>
    <hyperlink r:id="rId4127" ref="AS180"/>
    <hyperlink r:id="rId4128" ref="CL180"/>
    <hyperlink r:id="rId4129" ref="CN180"/>
    <hyperlink r:id="rId4130" ref="CW180"/>
    <hyperlink r:id="rId4131" ref="K183"/>
    <hyperlink r:id="rId4132" ref="X183"/>
    <hyperlink r:id="rId4133" ref="AA183"/>
    <hyperlink r:id="rId4134" ref="BW183"/>
    <hyperlink r:id="rId4135" ref="CA183"/>
    <hyperlink r:id="rId4136" ref="CG183"/>
    <hyperlink r:id="rId4137" ref="CN183"/>
    <hyperlink r:id="rId4138" ref="CO183"/>
    <hyperlink r:id="rId4139" ref="DB183"/>
    <hyperlink r:id="rId4140" ref="Z184"/>
    <hyperlink r:id="rId4141" ref="AS189"/>
    <hyperlink r:id="rId4142" ref="BW189"/>
    <hyperlink r:id="rId4143" ref="CD189"/>
    <hyperlink r:id="rId4144" ref="I191"/>
    <hyperlink r:id="rId4145" ref="K191"/>
    <hyperlink r:id="rId4146" ref="K193"/>
    <hyperlink r:id="rId4147" ref="DB194"/>
    <hyperlink r:id="rId4148" ref="AC195"/>
    <hyperlink r:id="rId4149" ref="X197"/>
    <hyperlink r:id="rId4150" ref="AE197"/>
    <hyperlink r:id="rId4151" ref="DM197"/>
    <hyperlink r:id="rId4152" ref="P198"/>
    <hyperlink r:id="rId4153" ref="AG198"/>
    <hyperlink r:id="rId4154" ref="H200"/>
    <hyperlink r:id="rId4155" ref="K200"/>
    <hyperlink r:id="rId4156" ref="BD200"/>
    <hyperlink r:id="rId4157" ref="AB207"/>
    <hyperlink r:id="rId4158" ref="BI208"/>
    <hyperlink r:id="rId4159" ref="J209"/>
    <hyperlink r:id="rId4160" ref="K209"/>
    <hyperlink r:id="rId4161" ref="L209"/>
    <hyperlink r:id="rId4162" ref="K211"/>
    <hyperlink r:id="rId4163" ref="AI213"/>
    <hyperlink r:id="rId4164" ref="EA214"/>
    <hyperlink r:id="rId4165" ref="BD215"/>
    <hyperlink r:id="rId4166" ref="DM215"/>
    <hyperlink r:id="rId4167" ref="H216"/>
    <hyperlink r:id="rId4168" ref="K216"/>
    <hyperlink r:id="rId4169" ref="Z216"/>
    <hyperlink r:id="rId4170" ref="AN216"/>
    <hyperlink r:id="rId4171" ref="AP216"/>
    <hyperlink r:id="rId4172" ref="AY216"/>
    <hyperlink r:id="rId4173" ref="BB216"/>
    <hyperlink r:id="rId4174" ref="BD216"/>
    <hyperlink r:id="rId4175" ref="BN216"/>
    <hyperlink r:id="rId4176" ref="CG216"/>
    <hyperlink r:id="rId4177" ref="DO216"/>
    <hyperlink r:id="rId4178" ref="DP216"/>
    <hyperlink r:id="rId4179" ref="DQ216"/>
    <hyperlink r:id="rId4180" ref="ED216"/>
    <hyperlink r:id="rId4181" ref="H225"/>
    <hyperlink r:id="rId4182" ref="AW225"/>
  </hyperlinks>
  <drawing r:id="rId4183"/>
  <legacyDrawing r:id="rId4184"/>
  <tableParts count="3">
    <tablePart r:id="rId4188"/>
    <tablePart r:id="rId4189"/>
    <tablePart r:id="rId419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38</v>
      </c>
      <c r="G1" s="27" t="s">
        <v>39</v>
      </c>
      <c r="H1" s="27" t="s">
        <v>40</v>
      </c>
      <c r="I1" s="27" t="s">
        <v>41</v>
      </c>
      <c r="J1" s="28" t="s">
        <v>42</v>
      </c>
      <c r="K1" s="27" t="s">
        <v>43</v>
      </c>
      <c r="L1" s="27" t="s">
        <v>44</v>
      </c>
      <c r="M1" s="29" t="s">
        <v>45</v>
      </c>
      <c r="N1" s="28" t="s">
        <v>46</v>
      </c>
      <c r="O1" s="27" t="s">
        <v>47</v>
      </c>
      <c r="P1" s="27" t="s">
        <v>48</v>
      </c>
      <c r="Q1" s="27" t="s">
        <v>49</v>
      </c>
      <c r="R1" s="31" t="s">
        <v>50</v>
      </c>
      <c r="S1" s="27" t="s">
        <v>51</v>
      </c>
      <c r="T1" s="27" t="s">
        <v>52</v>
      </c>
      <c r="U1" s="27" t="s">
        <v>53</v>
      </c>
      <c r="V1" s="27" t="s">
        <v>54</v>
      </c>
      <c r="W1" s="28" t="s">
        <v>55</v>
      </c>
      <c r="X1" s="27" t="s">
        <v>57</v>
      </c>
      <c r="Y1" s="27" t="s">
        <v>58</v>
      </c>
      <c r="Z1" s="27" t="s">
        <v>59</v>
      </c>
      <c r="AA1" s="27" t="s">
        <v>60</v>
      </c>
      <c r="AB1" s="27" t="s">
        <v>61</v>
      </c>
      <c r="AC1" s="27" t="s">
        <v>62</v>
      </c>
      <c r="AD1" s="27" t="s">
        <v>63</v>
      </c>
      <c r="AE1" s="27" t="s">
        <v>64</v>
      </c>
      <c r="AF1" s="27" t="s">
        <v>65</v>
      </c>
      <c r="AG1" s="27" t="s">
        <v>66</v>
      </c>
      <c r="AH1" s="27" t="s">
        <v>67</v>
      </c>
      <c r="AI1" s="27" t="s">
        <v>68</v>
      </c>
      <c r="AJ1" s="29" t="s">
        <v>69</v>
      </c>
      <c r="AK1" s="27" t="s">
        <v>70</v>
      </c>
      <c r="AL1" s="27" t="s">
        <v>71</v>
      </c>
      <c r="AM1" s="27" t="s">
        <v>72</v>
      </c>
      <c r="AN1" s="27" t="s">
        <v>73</v>
      </c>
      <c r="AO1" s="27" t="s">
        <v>74</v>
      </c>
      <c r="AP1" s="27" t="s">
        <v>75</v>
      </c>
      <c r="AQ1" s="29" t="s">
        <v>76</v>
      </c>
      <c r="AR1" s="27" t="s">
        <v>77</v>
      </c>
      <c r="AS1" s="27" t="s">
        <v>78</v>
      </c>
      <c r="AT1" s="27" t="s">
        <v>79</v>
      </c>
      <c r="AU1" s="27" t="s">
        <v>80</v>
      </c>
      <c r="AV1" s="27" t="s">
        <v>81</v>
      </c>
      <c r="AW1" s="29" t="s">
        <v>82</v>
      </c>
      <c r="AX1" s="27" t="s">
        <v>83</v>
      </c>
      <c r="AY1" s="27" t="s">
        <v>84</v>
      </c>
      <c r="AZ1" s="27" t="s">
        <v>86</v>
      </c>
      <c r="BA1" s="27" t="s">
        <v>87</v>
      </c>
      <c r="BB1" s="27" t="s">
        <v>88</v>
      </c>
      <c r="BC1" s="27" t="s">
        <v>89</v>
      </c>
      <c r="BD1" s="29" t="s">
        <v>90</v>
      </c>
      <c r="BE1" s="27" t="s">
        <v>91</v>
      </c>
      <c r="BF1" s="27" t="s">
        <v>92</v>
      </c>
      <c r="BG1" s="28" t="s">
        <v>93</v>
      </c>
      <c r="BH1" s="27" t="s">
        <v>94</v>
      </c>
      <c r="BI1" s="27" t="s">
        <v>95</v>
      </c>
      <c r="BJ1" s="27" t="s">
        <v>97</v>
      </c>
      <c r="BK1" s="29" t="s">
        <v>98</v>
      </c>
      <c r="BL1" s="29" t="s">
        <v>99</v>
      </c>
      <c r="BM1" s="29" t="s">
        <v>100</v>
      </c>
      <c r="BN1" s="29" t="s">
        <v>101</v>
      </c>
      <c r="BO1" s="29" t="s">
        <v>102</v>
      </c>
      <c r="BP1" s="29" t="s">
        <v>103</v>
      </c>
      <c r="BQ1" s="29" t="s">
        <v>105</v>
      </c>
      <c r="BR1" s="36"/>
      <c r="BS1" s="36"/>
      <c r="BT1" s="36"/>
      <c r="BU1" s="36"/>
      <c r="BV1" s="36"/>
      <c r="BW1" s="36"/>
      <c r="BX1" s="36"/>
    </row>
    <row r="2" ht="15.75" customHeight="1">
      <c r="A2" s="38" t="s">
        <v>106</v>
      </c>
      <c r="C2" s="39"/>
      <c r="D2" s="44">
        <f t="shared" ref="D2:BX2" si="1">COUNTIF(D4:D361,"*")</f>
        <v>202</v>
      </c>
      <c r="E2" s="44">
        <f t="shared" si="1"/>
        <v>175</v>
      </c>
      <c r="F2" s="44">
        <f t="shared" si="1"/>
        <v>149</v>
      </c>
      <c r="G2" s="44">
        <f t="shared" si="1"/>
        <v>146</v>
      </c>
      <c r="H2" s="44">
        <f t="shared" si="1"/>
        <v>125</v>
      </c>
      <c r="I2" s="44">
        <f t="shared" si="1"/>
        <v>111</v>
      </c>
      <c r="J2" s="44">
        <f t="shared" si="1"/>
        <v>91</v>
      </c>
      <c r="K2" s="44">
        <f t="shared" si="1"/>
        <v>91</v>
      </c>
      <c r="L2" s="44">
        <f t="shared" si="1"/>
        <v>90</v>
      </c>
      <c r="M2" s="44">
        <f t="shared" si="1"/>
        <v>87</v>
      </c>
      <c r="N2" s="44">
        <f t="shared" si="1"/>
        <v>85</v>
      </c>
      <c r="O2" s="44">
        <f t="shared" si="1"/>
        <v>72</v>
      </c>
      <c r="P2" s="44">
        <f t="shared" si="1"/>
        <v>72</v>
      </c>
      <c r="Q2" s="44">
        <f t="shared" si="1"/>
        <v>69</v>
      </c>
      <c r="R2" s="44">
        <f t="shared" si="1"/>
        <v>66</v>
      </c>
      <c r="S2" s="44">
        <f t="shared" si="1"/>
        <v>47</v>
      </c>
      <c r="T2" s="44">
        <f t="shared" si="1"/>
        <v>44</v>
      </c>
      <c r="U2" s="44">
        <f t="shared" si="1"/>
        <v>44</v>
      </c>
      <c r="V2" s="44">
        <f t="shared" si="1"/>
        <v>43</v>
      </c>
      <c r="W2" s="44">
        <f t="shared" si="1"/>
        <v>38</v>
      </c>
      <c r="X2" s="44">
        <f t="shared" si="1"/>
        <v>34</v>
      </c>
      <c r="Y2" s="44">
        <f t="shared" si="1"/>
        <v>27</v>
      </c>
      <c r="Z2" s="44">
        <f t="shared" si="1"/>
        <v>26</v>
      </c>
      <c r="AA2" s="44">
        <f t="shared" si="1"/>
        <v>24</v>
      </c>
      <c r="AB2" s="44">
        <f t="shared" si="1"/>
        <v>18</v>
      </c>
      <c r="AC2" s="44">
        <f t="shared" si="1"/>
        <v>16</v>
      </c>
      <c r="AD2" s="44">
        <f t="shared" si="1"/>
        <v>15</v>
      </c>
      <c r="AE2" s="44">
        <f t="shared" si="1"/>
        <v>12</v>
      </c>
      <c r="AF2" s="44">
        <f t="shared" si="1"/>
        <v>11</v>
      </c>
      <c r="AG2" s="44">
        <f t="shared" si="1"/>
        <v>10</v>
      </c>
      <c r="AH2" s="44">
        <f t="shared" si="1"/>
        <v>10</v>
      </c>
      <c r="AI2" s="44">
        <f t="shared" si="1"/>
        <v>10</v>
      </c>
      <c r="AJ2" s="44">
        <f t="shared" si="1"/>
        <v>23</v>
      </c>
      <c r="AK2" s="44">
        <f t="shared" si="1"/>
        <v>8</v>
      </c>
      <c r="AL2" s="44">
        <f t="shared" si="1"/>
        <v>8</v>
      </c>
      <c r="AM2" s="44">
        <f t="shared" si="1"/>
        <v>8</v>
      </c>
      <c r="AN2" s="44">
        <f t="shared" si="1"/>
        <v>7</v>
      </c>
      <c r="AO2" s="44">
        <f t="shared" si="1"/>
        <v>6</v>
      </c>
      <c r="AP2" s="44">
        <f t="shared" si="1"/>
        <v>6</v>
      </c>
      <c r="AQ2" s="44">
        <f t="shared" si="1"/>
        <v>6</v>
      </c>
      <c r="AR2" s="44">
        <f t="shared" si="1"/>
        <v>5</v>
      </c>
      <c r="AS2" s="44">
        <f t="shared" si="1"/>
        <v>5</v>
      </c>
      <c r="AT2" s="44">
        <f t="shared" si="1"/>
        <v>5</v>
      </c>
      <c r="AU2" s="44">
        <f t="shared" si="1"/>
        <v>5</v>
      </c>
      <c r="AV2" s="44">
        <f t="shared" si="1"/>
        <v>4</v>
      </c>
      <c r="AW2" s="44">
        <f t="shared" si="1"/>
        <v>4</v>
      </c>
      <c r="AX2" s="44">
        <f t="shared" si="1"/>
        <v>3</v>
      </c>
      <c r="AY2" s="44">
        <f t="shared" si="1"/>
        <v>3</v>
      </c>
      <c r="AZ2" s="44">
        <f t="shared" si="1"/>
        <v>3</v>
      </c>
      <c r="BA2" s="44">
        <f t="shared" si="1"/>
        <v>2</v>
      </c>
      <c r="BB2" s="44">
        <f t="shared" si="1"/>
        <v>2</v>
      </c>
      <c r="BC2" s="44">
        <f t="shared" si="1"/>
        <v>2</v>
      </c>
      <c r="BD2" s="44">
        <f t="shared" si="1"/>
        <v>2</v>
      </c>
      <c r="BE2" s="44">
        <f t="shared" si="1"/>
        <v>1</v>
      </c>
      <c r="BF2" s="44">
        <f t="shared" si="1"/>
        <v>1</v>
      </c>
      <c r="BG2" s="44">
        <f t="shared" si="1"/>
        <v>1</v>
      </c>
      <c r="BH2" s="44">
        <f t="shared" si="1"/>
        <v>1</v>
      </c>
      <c r="BI2" s="44">
        <f t="shared" si="1"/>
        <v>1</v>
      </c>
      <c r="BJ2" s="44">
        <f t="shared" si="1"/>
        <v>1</v>
      </c>
      <c r="BK2" s="44">
        <f t="shared" si="1"/>
        <v>1</v>
      </c>
      <c r="BL2" s="44">
        <f t="shared" si="1"/>
        <v>1</v>
      </c>
      <c r="BM2" s="44">
        <f t="shared" si="1"/>
        <v>1</v>
      </c>
      <c r="BN2" s="44">
        <f t="shared" si="1"/>
        <v>1</v>
      </c>
      <c r="BO2" s="44">
        <f t="shared" si="1"/>
        <v>1</v>
      </c>
      <c r="BP2" s="44">
        <f t="shared" si="1"/>
        <v>1</v>
      </c>
      <c r="BQ2" s="44">
        <f t="shared" si="1"/>
        <v>16</v>
      </c>
      <c r="BR2" s="44">
        <f t="shared" si="1"/>
        <v>0</v>
      </c>
      <c r="BS2" s="44">
        <f t="shared" si="1"/>
        <v>0</v>
      </c>
      <c r="BT2" s="44">
        <f t="shared" si="1"/>
        <v>0</v>
      </c>
      <c r="BU2" s="44">
        <f t="shared" si="1"/>
        <v>0</v>
      </c>
      <c r="BV2" s="44">
        <f t="shared" si="1"/>
        <v>0</v>
      </c>
      <c r="BW2" s="44">
        <f t="shared" si="1"/>
        <v>0</v>
      </c>
      <c r="BX2" s="44">
        <f t="shared" si="1"/>
        <v>0</v>
      </c>
    </row>
    <row r="3">
      <c r="A3" s="62" t="s">
        <v>85</v>
      </c>
      <c r="D3" s="64"/>
      <c r="E3" s="65"/>
      <c r="F3" s="65"/>
      <c r="G3" s="65"/>
      <c r="H3" s="65"/>
      <c r="I3" s="65"/>
      <c r="J3" s="65"/>
      <c r="K3" s="65"/>
      <c r="L3" s="65"/>
      <c r="M3" s="67"/>
      <c r="N3" s="65"/>
      <c r="O3" s="65"/>
      <c r="P3" s="65"/>
      <c r="Q3" s="65"/>
      <c r="R3" s="68"/>
      <c r="S3" s="65"/>
      <c r="T3" s="65"/>
      <c r="U3" s="65"/>
      <c r="V3" s="65"/>
      <c r="W3" s="65"/>
      <c r="X3" s="65"/>
      <c r="Y3" s="65"/>
      <c r="Z3" s="65"/>
      <c r="AA3" s="65"/>
      <c r="AB3" s="65"/>
      <c r="AC3" s="65"/>
      <c r="AD3" s="65"/>
      <c r="AE3" s="65"/>
      <c r="AF3" s="65"/>
      <c r="AG3" s="65"/>
      <c r="AH3" s="65"/>
      <c r="AI3" s="65"/>
      <c r="AJ3" s="67"/>
      <c r="AK3" s="65"/>
      <c r="AL3" s="65"/>
      <c r="AM3" s="65"/>
      <c r="AN3" s="65"/>
      <c r="AO3" s="65"/>
      <c r="AP3" s="65"/>
      <c r="AQ3" s="67"/>
      <c r="AR3" s="65"/>
      <c r="AS3" s="65"/>
      <c r="AT3" s="65"/>
      <c r="AU3" s="65"/>
      <c r="AV3" s="65"/>
      <c r="AW3" s="67"/>
      <c r="AX3" s="65"/>
      <c r="AY3" s="65"/>
      <c r="AZ3" s="65"/>
      <c r="BA3" s="65"/>
      <c r="BB3" s="65"/>
      <c r="BC3" s="65"/>
      <c r="BD3" s="67"/>
      <c r="BE3" s="65"/>
      <c r="BF3" s="65"/>
      <c r="BG3" s="65"/>
      <c r="BH3" s="65"/>
      <c r="BI3" s="65"/>
      <c r="BJ3" s="65"/>
      <c r="BK3" s="67"/>
      <c r="BL3" s="67"/>
      <c r="BM3" s="67"/>
      <c r="BN3" s="67"/>
      <c r="BO3" s="67"/>
      <c r="BP3" s="67"/>
      <c r="BQ3" s="67"/>
      <c r="BR3" s="67"/>
      <c r="BS3" s="67"/>
      <c r="BT3" s="67"/>
      <c r="BU3" s="67"/>
      <c r="BV3" s="67"/>
      <c r="BW3" s="67"/>
      <c r="BX3" s="67"/>
    </row>
    <row r="4" ht="15.75" customHeight="1">
      <c r="A4" s="76" t="s">
        <v>143</v>
      </c>
      <c r="B4" s="77" t="s">
        <v>146</v>
      </c>
      <c r="C4" s="83" t="s">
        <v>148</v>
      </c>
      <c r="D4" s="90" t="s">
        <v>158</v>
      </c>
      <c r="E4" s="92" t="s">
        <v>166</v>
      </c>
      <c r="F4" s="100" t="s">
        <v>148</v>
      </c>
      <c r="G4" s="109" t="s">
        <v>175</v>
      </c>
      <c r="H4" s="112" t="s">
        <v>190</v>
      </c>
      <c r="I4" s="113" t="s">
        <v>195</v>
      </c>
      <c r="J4" s="109" t="str">
        <f>HYPERLINK("https://youtu.be/BAG8a3WI9KM","52.27")</f>
        <v>52.27</v>
      </c>
      <c r="K4" s="109" t="s">
        <v>201</v>
      </c>
      <c r="L4" s="117" t="s">
        <v>208</v>
      </c>
      <c r="M4" s="118" t="s">
        <v>210</v>
      </c>
      <c r="N4" s="109" t="s">
        <v>213</v>
      </c>
      <c r="O4" s="117" t="s">
        <v>214</v>
      </c>
      <c r="P4" s="109" t="str">
        <f>HYPERLINK("https://youtu.be/qv_H1NgDIQ8","53.73")</f>
        <v>53.73</v>
      </c>
      <c r="Q4" s="109" t="s">
        <v>216</v>
      </c>
      <c r="R4" s="113" t="s">
        <v>219</v>
      </c>
      <c r="S4" s="109" t="str">
        <f>HYPERLINK("https://clips.twitch.tv/ZealousSeductiveOkapiCharlieBitMe","51.96")</f>
        <v>51.96</v>
      </c>
      <c r="T4" s="117"/>
      <c r="U4" s="117"/>
      <c r="V4" s="109" t="s">
        <v>221</v>
      </c>
      <c r="W4" s="117"/>
      <c r="X4" s="117"/>
      <c r="Y4" s="117"/>
      <c r="Z4" s="117"/>
      <c r="AA4" s="117"/>
      <c r="AB4" s="117"/>
      <c r="AC4" s="117"/>
      <c r="AD4" s="117"/>
      <c r="AE4" s="117"/>
      <c r="AF4" s="117"/>
      <c r="AG4" s="117"/>
      <c r="AH4" s="117"/>
      <c r="AI4" s="117"/>
      <c r="AJ4" s="129"/>
      <c r="AK4" s="117"/>
      <c r="AL4" s="117"/>
      <c r="AM4" s="117"/>
      <c r="AN4" s="113"/>
      <c r="AO4" s="117"/>
      <c r="AP4" s="117"/>
      <c r="AQ4" s="129"/>
      <c r="AR4" s="117"/>
      <c r="AS4" s="117"/>
      <c r="AT4" s="117"/>
      <c r="AU4" s="113"/>
      <c r="AV4" s="117"/>
      <c r="AW4" s="129"/>
      <c r="AX4" s="117"/>
      <c r="AY4" s="117"/>
      <c r="AZ4" s="117"/>
      <c r="BA4" s="117"/>
      <c r="BB4" s="117"/>
      <c r="BC4" s="117"/>
      <c r="BD4" s="129"/>
      <c r="BE4" s="117"/>
      <c r="BF4" s="117"/>
      <c r="BG4" s="117"/>
      <c r="BH4" s="117"/>
      <c r="BI4" s="117"/>
      <c r="BJ4" s="117"/>
      <c r="BK4" s="129"/>
      <c r="BL4" s="129"/>
      <c r="BM4" s="129"/>
      <c r="BN4" s="129"/>
      <c r="BO4" s="129"/>
      <c r="BP4" s="129"/>
      <c r="BQ4" s="129"/>
      <c r="BR4" s="129"/>
      <c r="BS4" s="129"/>
      <c r="BT4" s="129"/>
      <c r="BU4" s="129"/>
      <c r="BV4" s="129"/>
      <c r="BW4" s="129"/>
      <c r="BX4" s="129"/>
    </row>
    <row r="5" ht="15.75" customHeight="1">
      <c r="A5" s="134" t="s">
        <v>227</v>
      </c>
      <c r="B5" s="135" t="s">
        <v>229</v>
      </c>
      <c r="C5" s="83" t="s">
        <v>230</v>
      </c>
      <c r="D5" s="141"/>
      <c r="E5" s="144" t="s">
        <v>235</v>
      </c>
      <c r="F5" s="144" t="s">
        <v>238</v>
      </c>
      <c r="G5" s="144"/>
      <c r="H5" s="112" t="s">
        <v>241</v>
      </c>
      <c r="I5" s="113" t="s">
        <v>245</v>
      </c>
      <c r="J5" s="144" t="s">
        <v>246</v>
      </c>
      <c r="K5" s="144"/>
      <c r="L5" s="144" t="s">
        <v>247</v>
      </c>
      <c r="M5" s="147" t="s">
        <v>248</v>
      </c>
      <c r="N5" s="144"/>
      <c r="O5" s="144"/>
      <c r="P5" s="144" t="s">
        <v>254</v>
      </c>
      <c r="Q5" s="144" t="str">
        <f>HYPERLINK("https://youtu.be/y9FQ4EcrohI", "1:21.52")</f>
        <v>1:21.52</v>
      </c>
      <c r="R5" s="113" t="s">
        <v>257</v>
      </c>
      <c r="S5" s="144"/>
      <c r="T5" s="144"/>
      <c r="U5" s="144" t="s">
        <v>230</v>
      </c>
      <c r="V5" s="144" t="s">
        <v>258</v>
      </c>
      <c r="W5" s="144"/>
      <c r="X5" s="144"/>
      <c r="Y5" s="144"/>
      <c r="Z5" s="144"/>
      <c r="AA5" s="144"/>
      <c r="AB5" s="144"/>
      <c r="AC5" s="144" t="s">
        <v>265</v>
      </c>
      <c r="AD5" s="144"/>
      <c r="AE5" s="144"/>
      <c r="AF5" s="144" t="s">
        <v>268</v>
      </c>
      <c r="AG5" s="144"/>
      <c r="AH5" s="144"/>
      <c r="AI5" s="144"/>
      <c r="AJ5" s="154"/>
      <c r="AK5" s="144"/>
      <c r="AL5" s="144"/>
      <c r="AM5" s="144"/>
      <c r="AN5" s="109" t="s">
        <v>273</v>
      </c>
      <c r="AO5" s="144"/>
      <c r="AP5" s="144"/>
      <c r="AQ5" s="154"/>
      <c r="AR5" s="144"/>
      <c r="AS5" s="144"/>
      <c r="AT5" s="144" t="s">
        <v>278</v>
      </c>
      <c r="AU5" s="113"/>
      <c r="AV5" s="144"/>
      <c r="AW5" s="154"/>
      <c r="AX5" s="144"/>
      <c r="AY5" s="144"/>
      <c r="AZ5" s="144"/>
      <c r="BA5" s="144"/>
      <c r="BB5" s="144"/>
      <c r="BC5" s="144"/>
      <c r="BD5" s="154"/>
      <c r="BE5" s="144"/>
      <c r="BF5" s="144"/>
      <c r="BG5" s="144"/>
      <c r="BH5" s="144"/>
      <c r="BI5" s="144"/>
      <c r="BJ5" s="144"/>
      <c r="BK5" s="154"/>
      <c r="BL5" s="154"/>
      <c r="BM5" s="154"/>
      <c r="BN5" s="154"/>
      <c r="BO5" s="154"/>
      <c r="BP5" s="154"/>
      <c r="BQ5" s="157" t="s">
        <v>281</v>
      </c>
      <c r="BR5" s="154"/>
      <c r="BS5" s="154"/>
      <c r="BT5" s="154"/>
      <c r="BU5" s="154"/>
      <c r="BV5" s="154"/>
      <c r="BW5" s="154"/>
      <c r="BX5" s="154"/>
    </row>
    <row r="6" ht="15.75" customHeight="1">
      <c r="A6" s="158"/>
      <c r="B6" s="160" t="s">
        <v>284</v>
      </c>
      <c r="C6" s="83" t="s">
        <v>286</v>
      </c>
      <c r="D6" s="90" t="s">
        <v>289</v>
      </c>
      <c r="E6" s="131" t="s">
        <v>292</v>
      </c>
      <c r="F6" s="109" t="s">
        <v>286</v>
      </c>
      <c r="G6" s="109" t="s">
        <v>296</v>
      </c>
      <c r="H6" s="112" t="s">
        <v>298</v>
      </c>
      <c r="I6" s="113" t="s">
        <v>301</v>
      </c>
      <c r="J6" s="109" t="str">
        <f>HYPERLINK("https://youtu.be/ZP_d48CVxG0","1:19.30")</f>
        <v>1:19.30</v>
      </c>
      <c r="K6" s="117"/>
      <c r="L6" s="117"/>
      <c r="M6" s="163" t="s">
        <v>304</v>
      </c>
      <c r="N6" s="117" t="s">
        <v>307</v>
      </c>
      <c r="O6" s="117" t="s">
        <v>308</v>
      </c>
      <c r="P6" s="117" t="s">
        <v>309</v>
      </c>
      <c r="Q6" s="109" t="s">
        <v>310</v>
      </c>
      <c r="R6" s="113" t="s">
        <v>313</v>
      </c>
      <c r="S6" s="117" t="s">
        <v>307</v>
      </c>
      <c r="T6" s="109" t="s">
        <v>314</v>
      </c>
      <c r="U6" s="117"/>
      <c r="V6" s="117"/>
      <c r="W6" s="117"/>
      <c r="X6" s="117"/>
      <c r="Y6" s="117"/>
      <c r="Z6" s="117"/>
      <c r="AA6" s="117"/>
      <c r="AB6" s="117"/>
      <c r="AC6" s="117"/>
      <c r="AD6" s="117"/>
      <c r="AE6" s="117"/>
      <c r="AF6" s="117"/>
      <c r="AG6" s="117"/>
      <c r="AH6" s="117"/>
      <c r="AI6" s="117"/>
      <c r="AJ6" s="129"/>
      <c r="AK6" s="117"/>
      <c r="AL6" s="117"/>
      <c r="AM6" s="117"/>
      <c r="AN6" s="113"/>
      <c r="AO6" s="117"/>
      <c r="AP6" s="117"/>
      <c r="AQ6" s="129"/>
      <c r="AR6" s="117"/>
      <c r="AS6" s="117"/>
      <c r="AT6" s="117"/>
      <c r="AU6" s="113"/>
      <c r="AV6" s="117"/>
      <c r="AW6" s="129"/>
      <c r="AX6" s="117"/>
      <c r="AY6" s="117"/>
      <c r="AZ6" s="117"/>
      <c r="BA6" s="117"/>
      <c r="BB6" s="117"/>
      <c r="BC6" s="117"/>
      <c r="BD6" s="129"/>
      <c r="BE6" s="117"/>
      <c r="BF6" s="117"/>
      <c r="BG6" s="117"/>
      <c r="BH6" s="117"/>
      <c r="BI6" s="117"/>
      <c r="BJ6" s="117"/>
      <c r="BK6" s="129"/>
      <c r="BL6" s="129"/>
      <c r="BM6" s="129"/>
      <c r="BN6" s="129"/>
      <c r="BO6" s="129"/>
      <c r="BP6" s="129"/>
      <c r="BQ6" s="129"/>
      <c r="BR6" s="129"/>
      <c r="BS6" s="129"/>
      <c r="BT6" s="129"/>
      <c r="BU6" s="129"/>
      <c r="BV6" s="129"/>
      <c r="BW6" s="129"/>
      <c r="BX6" s="129"/>
    </row>
    <row r="7" ht="15.75" customHeight="1">
      <c r="A7" s="169" t="s">
        <v>320</v>
      </c>
      <c r="B7" s="170" t="s">
        <v>321</v>
      </c>
      <c r="C7" s="172" t="s">
        <v>323</v>
      </c>
      <c r="D7" s="173"/>
      <c r="E7" s="174"/>
      <c r="F7" s="174"/>
      <c r="G7" s="174"/>
      <c r="H7" s="175"/>
      <c r="I7" s="174"/>
      <c r="J7" s="174"/>
      <c r="K7" s="174"/>
      <c r="L7" s="174"/>
      <c r="M7" s="176" t="s">
        <v>332</v>
      </c>
      <c r="N7" s="174"/>
      <c r="O7" s="174"/>
      <c r="P7" s="174"/>
      <c r="Q7" s="174"/>
      <c r="R7" s="174"/>
      <c r="S7" s="174"/>
      <c r="T7" s="109" t="s">
        <v>323</v>
      </c>
      <c r="U7" s="174"/>
      <c r="V7" s="174"/>
      <c r="W7" s="174"/>
      <c r="X7" s="174"/>
      <c r="Y7" s="174"/>
      <c r="Z7" s="174"/>
      <c r="AA7" s="174"/>
      <c r="AB7" s="174"/>
      <c r="AC7" s="174"/>
      <c r="AD7" s="174"/>
      <c r="AE7" s="174"/>
      <c r="AF7" s="174"/>
      <c r="AG7" s="174"/>
      <c r="AH7" s="174"/>
      <c r="AI7" s="174"/>
      <c r="AJ7" s="129"/>
      <c r="AK7" s="174"/>
      <c r="AL7" s="174"/>
      <c r="AM7" s="174"/>
      <c r="AN7" s="174"/>
      <c r="AO7" s="174"/>
      <c r="AP7" s="174"/>
      <c r="AQ7" s="129"/>
      <c r="AR7" s="174"/>
      <c r="AS7" s="174"/>
      <c r="AT7" s="174"/>
      <c r="AU7" s="174"/>
      <c r="AV7" s="174"/>
      <c r="AW7" s="129"/>
      <c r="AX7" s="174"/>
      <c r="AY7" s="174"/>
      <c r="AZ7" s="174"/>
      <c r="BA7" s="174"/>
      <c r="BB7" s="174"/>
      <c r="BC7" s="174"/>
      <c r="BD7" s="129"/>
      <c r="BE7" s="174"/>
      <c r="BF7" s="174"/>
      <c r="BG7" s="174"/>
      <c r="BH7" s="174"/>
      <c r="BI7" s="174"/>
      <c r="BJ7" s="174"/>
      <c r="BK7" s="129"/>
      <c r="BL7" s="129"/>
      <c r="BM7" s="129"/>
      <c r="BN7" s="129"/>
      <c r="BO7" s="129"/>
      <c r="BP7" s="129"/>
      <c r="BQ7" s="129"/>
      <c r="BR7" s="129"/>
      <c r="BS7" s="129"/>
      <c r="BT7" s="129"/>
      <c r="BU7" s="129"/>
      <c r="BV7" s="129"/>
      <c r="BW7" s="129"/>
      <c r="BX7" s="129"/>
    </row>
    <row r="8" ht="15.75" customHeight="1">
      <c r="A8" s="134"/>
      <c r="B8" s="135" t="s">
        <v>352</v>
      </c>
      <c r="C8" s="83" t="s">
        <v>353</v>
      </c>
      <c r="D8" s="182" t="s">
        <v>359</v>
      </c>
      <c r="E8" s="144" t="s">
        <v>363</v>
      </c>
      <c r="F8" s="144" t="s">
        <v>364</v>
      </c>
      <c r="G8" s="109" t="s">
        <v>353</v>
      </c>
      <c r="H8" s="175"/>
      <c r="I8" s="113"/>
      <c r="J8" s="144" t="s">
        <v>367</v>
      </c>
      <c r="K8" s="144"/>
      <c r="L8" s="144"/>
      <c r="M8" s="147" t="s">
        <v>370</v>
      </c>
      <c r="N8" s="144" t="s">
        <v>374</v>
      </c>
      <c r="O8" s="144" t="s">
        <v>374</v>
      </c>
      <c r="P8" s="144" t="s">
        <v>375</v>
      </c>
      <c r="Q8" s="144"/>
      <c r="R8" s="113"/>
      <c r="S8" s="144" t="s">
        <v>377</v>
      </c>
      <c r="T8" s="144"/>
      <c r="U8" s="144" t="s">
        <v>378</v>
      </c>
      <c r="V8" s="144" t="s">
        <v>382</v>
      </c>
      <c r="W8" s="144" t="s">
        <v>384</v>
      </c>
      <c r="X8" s="144"/>
      <c r="Y8" s="144" t="s">
        <v>377</v>
      </c>
      <c r="Z8" s="144"/>
      <c r="AA8" s="144" t="s">
        <v>386</v>
      </c>
      <c r="AB8" s="144" t="s">
        <v>389</v>
      </c>
      <c r="AC8" s="144"/>
      <c r="AD8" s="144"/>
      <c r="AE8" s="144" t="s">
        <v>390</v>
      </c>
      <c r="AF8" s="144"/>
      <c r="AG8" s="144" t="s">
        <v>374</v>
      </c>
      <c r="AH8" s="144"/>
      <c r="AI8" s="144"/>
      <c r="AJ8" s="147" t="s">
        <v>392</v>
      </c>
      <c r="AK8" s="144"/>
      <c r="AL8" s="144"/>
      <c r="AM8" s="144"/>
      <c r="AN8" s="113"/>
      <c r="AO8" s="144"/>
      <c r="AP8" s="144"/>
      <c r="AQ8" s="154"/>
      <c r="AR8" s="144"/>
      <c r="AS8" s="144"/>
      <c r="AT8" s="144"/>
      <c r="AU8" s="113"/>
      <c r="AV8" s="144"/>
      <c r="AW8" s="154"/>
      <c r="AX8" s="144"/>
      <c r="AY8" s="144"/>
      <c r="AZ8" s="144"/>
      <c r="BA8" s="144"/>
      <c r="BB8" s="144"/>
      <c r="BC8" s="144"/>
      <c r="BD8" s="154"/>
      <c r="BE8" s="144"/>
      <c r="BF8" s="144"/>
      <c r="BG8" s="144"/>
      <c r="BH8" s="144"/>
      <c r="BI8" s="144"/>
      <c r="BJ8" s="144"/>
      <c r="BK8" s="154"/>
      <c r="BL8" s="154"/>
      <c r="BM8" s="154"/>
      <c r="BN8" s="154"/>
      <c r="BO8" s="154"/>
      <c r="BP8" s="154"/>
      <c r="BQ8" s="147" t="s">
        <v>406</v>
      </c>
      <c r="BR8" s="154"/>
      <c r="BS8" s="154"/>
      <c r="BT8" s="154"/>
      <c r="BU8" s="154"/>
      <c r="BV8" s="154"/>
      <c r="BW8" s="154"/>
      <c r="BX8" s="154"/>
    </row>
    <row r="9" ht="15.75" customHeight="1">
      <c r="A9" s="169" t="s">
        <v>410</v>
      </c>
      <c r="B9" s="170" t="s">
        <v>412</v>
      </c>
      <c r="C9" s="83" t="s">
        <v>413</v>
      </c>
      <c r="D9" s="173"/>
      <c r="E9" s="174"/>
      <c r="F9" s="174"/>
      <c r="G9" s="174"/>
      <c r="H9" s="112" t="s">
        <v>424</v>
      </c>
      <c r="I9" s="174"/>
      <c r="J9" s="174"/>
      <c r="K9" s="174"/>
      <c r="L9" s="174"/>
      <c r="M9" s="163" t="s">
        <v>434</v>
      </c>
      <c r="N9" s="174"/>
      <c r="O9" s="174"/>
      <c r="P9" s="174"/>
      <c r="Q9" s="174" t="s">
        <v>443</v>
      </c>
      <c r="R9" s="174"/>
      <c r="S9" s="174"/>
      <c r="T9" s="174"/>
      <c r="U9" s="109" t="s">
        <v>413</v>
      </c>
      <c r="V9" s="174"/>
      <c r="W9" s="174"/>
      <c r="X9" s="174"/>
      <c r="Y9" s="174"/>
      <c r="Z9" s="174"/>
      <c r="AA9" s="174"/>
      <c r="AB9" s="174"/>
      <c r="AC9" s="174"/>
      <c r="AD9" s="174"/>
      <c r="AE9" s="174" t="s">
        <v>456</v>
      </c>
      <c r="AF9" s="174"/>
      <c r="AG9" s="174"/>
      <c r="AH9" s="174"/>
      <c r="AI9" s="174"/>
      <c r="AJ9" s="163" t="s">
        <v>464</v>
      </c>
      <c r="AK9" s="174"/>
      <c r="AL9" s="174"/>
      <c r="AM9" s="174"/>
      <c r="AN9" s="174"/>
      <c r="AO9" s="174"/>
      <c r="AP9" s="174"/>
      <c r="AQ9" s="129"/>
      <c r="AR9" s="174"/>
      <c r="AS9" s="174"/>
      <c r="AT9" s="174" t="s">
        <v>477</v>
      </c>
      <c r="AU9" s="174"/>
      <c r="AV9" s="174"/>
      <c r="AW9" s="129"/>
      <c r="AX9" s="174"/>
      <c r="AY9" s="174"/>
      <c r="AZ9" s="174"/>
      <c r="BA9" s="174"/>
      <c r="BB9" s="174"/>
      <c r="BC9" s="174"/>
      <c r="BD9" s="129"/>
      <c r="BE9" s="174"/>
      <c r="BF9" s="174"/>
      <c r="BG9" s="174"/>
      <c r="BH9" s="174"/>
      <c r="BI9" s="174"/>
      <c r="BJ9" s="174"/>
      <c r="BK9" s="129"/>
      <c r="BL9" s="129"/>
      <c r="BM9" s="129"/>
      <c r="BN9" s="129"/>
      <c r="BO9" s="129"/>
      <c r="BP9" s="129"/>
      <c r="BQ9" s="129"/>
      <c r="BR9" s="129"/>
      <c r="BS9" s="129"/>
      <c r="BT9" s="129"/>
      <c r="BU9" s="129"/>
      <c r="BV9" s="129"/>
      <c r="BW9" s="129"/>
      <c r="BX9" s="129"/>
    </row>
    <row r="10" ht="15.75" customHeight="1">
      <c r="A10" s="134"/>
      <c r="B10" s="135" t="s">
        <v>486</v>
      </c>
      <c r="C10" s="225" t="s">
        <v>489</v>
      </c>
      <c r="D10" s="226"/>
      <c r="E10" s="117"/>
      <c r="F10" s="117"/>
      <c r="G10" s="117"/>
      <c r="H10" s="175"/>
      <c r="I10" s="113" t="s">
        <v>500</v>
      </c>
      <c r="J10" s="117"/>
      <c r="K10" s="117"/>
      <c r="L10" s="117"/>
      <c r="M10" s="147" t="s">
        <v>504</v>
      </c>
      <c r="N10" s="117"/>
      <c r="O10" s="117"/>
      <c r="P10" s="117"/>
      <c r="Q10" s="117"/>
      <c r="R10" s="113"/>
      <c r="S10" s="117"/>
      <c r="T10" s="117"/>
      <c r="U10" s="117"/>
      <c r="V10" s="117"/>
      <c r="W10" s="117"/>
      <c r="X10" s="117"/>
      <c r="Y10" s="117"/>
      <c r="Z10" s="117"/>
      <c r="AA10" s="117"/>
      <c r="AB10" s="117"/>
      <c r="AC10" s="117"/>
      <c r="AD10" s="117"/>
      <c r="AE10" s="117"/>
      <c r="AF10" s="117"/>
      <c r="AG10" s="117"/>
      <c r="AH10" s="117"/>
      <c r="AI10" s="117"/>
      <c r="AJ10" s="154"/>
      <c r="AK10" s="117"/>
      <c r="AL10" s="117"/>
      <c r="AM10" s="117"/>
      <c r="AN10" s="113"/>
      <c r="AO10" s="117"/>
      <c r="AP10" s="117"/>
      <c r="AQ10" s="154"/>
      <c r="AR10" s="117"/>
      <c r="AS10" s="117"/>
      <c r="AT10" s="117"/>
      <c r="AU10" s="113"/>
      <c r="AV10" s="117"/>
      <c r="AW10" s="154"/>
      <c r="AX10" s="117"/>
      <c r="AY10" s="117"/>
      <c r="AZ10" s="117"/>
      <c r="BA10" s="117"/>
      <c r="BB10" s="117"/>
      <c r="BC10" s="117"/>
      <c r="BD10" s="154"/>
      <c r="BE10" s="117"/>
      <c r="BF10" s="117"/>
      <c r="BG10" s="117"/>
      <c r="BH10" s="117"/>
      <c r="BI10" s="117"/>
      <c r="BJ10" s="117"/>
      <c r="BK10" s="154"/>
      <c r="BL10" s="147" t="s">
        <v>489</v>
      </c>
      <c r="BM10" s="154"/>
      <c r="BN10" s="154"/>
      <c r="BO10" s="154"/>
      <c r="BP10" s="154"/>
      <c r="BQ10" s="154"/>
      <c r="BR10" s="154"/>
      <c r="BS10" s="154"/>
      <c r="BT10" s="154"/>
      <c r="BU10" s="154"/>
      <c r="BV10" s="154"/>
      <c r="BW10" s="154"/>
      <c r="BX10" s="154"/>
    </row>
    <row r="11" ht="15.75" customHeight="1">
      <c r="A11" s="234"/>
      <c r="B11" s="235" t="s">
        <v>284</v>
      </c>
      <c r="C11" s="83" t="s">
        <v>530</v>
      </c>
      <c r="D11" s="182" t="s">
        <v>391</v>
      </c>
      <c r="E11" s="117"/>
      <c r="F11" s="109" t="s">
        <v>543</v>
      </c>
      <c r="G11" s="117"/>
      <c r="H11" s="112" t="s">
        <v>544</v>
      </c>
      <c r="I11" s="113" t="s">
        <v>546</v>
      </c>
      <c r="J11" s="117"/>
      <c r="K11" s="117"/>
      <c r="L11" s="117"/>
      <c r="M11" s="147" t="s">
        <v>550</v>
      </c>
      <c r="N11" s="117"/>
      <c r="O11" s="117"/>
      <c r="P11" s="117"/>
      <c r="Q11" s="109" t="s">
        <v>530</v>
      </c>
      <c r="R11" s="113"/>
      <c r="S11" s="117"/>
      <c r="T11" s="117"/>
      <c r="U11" s="117"/>
      <c r="V11" s="117"/>
      <c r="W11" s="117"/>
      <c r="X11" s="117"/>
      <c r="Y11" s="117"/>
      <c r="Z11" s="117"/>
      <c r="AA11" s="109" t="s">
        <v>563</v>
      </c>
      <c r="AB11" s="117"/>
      <c r="AC11" s="117"/>
      <c r="AD11" s="117"/>
      <c r="AE11" s="117"/>
      <c r="AF11" s="117"/>
      <c r="AG11" s="117"/>
      <c r="AH11" s="117"/>
      <c r="AI11" s="117"/>
      <c r="AJ11" s="147" t="s">
        <v>573</v>
      </c>
      <c r="AK11" s="117"/>
      <c r="AL11" s="117"/>
      <c r="AM11" s="117"/>
      <c r="AN11" s="113"/>
      <c r="AO11" s="117"/>
      <c r="AP11" s="117"/>
      <c r="AQ11" s="154"/>
      <c r="AR11" s="117"/>
      <c r="AS11" s="117"/>
      <c r="AT11" s="117"/>
      <c r="AU11" s="113"/>
      <c r="AV11" s="117"/>
      <c r="AW11" s="154"/>
      <c r="AX11" s="117"/>
      <c r="AY11" s="117"/>
      <c r="AZ11" s="117"/>
      <c r="BA11" s="117"/>
      <c r="BB11" s="117"/>
      <c r="BC11" s="117"/>
      <c r="BD11" s="154"/>
      <c r="BE11" s="117"/>
      <c r="BF11" s="117"/>
      <c r="BG11" s="117"/>
      <c r="BH11" s="117"/>
      <c r="BI11" s="117"/>
      <c r="BJ11" s="117"/>
      <c r="BK11" s="154"/>
      <c r="BL11" s="154"/>
      <c r="BM11" s="154"/>
      <c r="BN11" s="154"/>
      <c r="BO11" s="154"/>
      <c r="BP11" s="154"/>
      <c r="BQ11" s="154"/>
      <c r="BR11" s="154"/>
      <c r="BS11" s="154"/>
      <c r="BT11" s="154"/>
      <c r="BU11" s="154"/>
      <c r="BV11" s="154"/>
      <c r="BW11" s="154"/>
      <c r="BX11" s="154"/>
    </row>
    <row r="12" ht="15.75" customHeight="1">
      <c r="A12" s="76" t="s">
        <v>576</v>
      </c>
      <c r="B12" s="77" t="s">
        <v>577</v>
      </c>
      <c r="C12" s="252" t="s">
        <v>578</v>
      </c>
      <c r="D12" s="254" t="s">
        <v>578</v>
      </c>
      <c r="E12" s="144" t="s">
        <v>580</v>
      </c>
      <c r="F12" s="144" t="s">
        <v>581</v>
      </c>
      <c r="G12" s="144"/>
      <c r="H12" s="112" t="s">
        <v>584</v>
      </c>
      <c r="I12" s="113" t="s">
        <v>587</v>
      </c>
      <c r="J12" s="144" t="s">
        <v>588</v>
      </c>
      <c r="K12" s="144"/>
      <c r="L12" s="144" t="s">
        <v>589</v>
      </c>
      <c r="M12" s="163" t="s">
        <v>594</v>
      </c>
      <c r="N12" s="144"/>
      <c r="O12" s="144" t="s">
        <v>597</v>
      </c>
      <c r="P12" s="144" t="s">
        <v>598</v>
      </c>
      <c r="Q12" s="144"/>
      <c r="R12" s="113" t="s">
        <v>600</v>
      </c>
      <c r="S12" s="144" t="s">
        <v>597</v>
      </c>
      <c r="T12" s="144" t="s">
        <v>601</v>
      </c>
      <c r="U12" s="144"/>
      <c r="V12" s="144" t="s">
        <v>604</v>
      </c>
      <c r="W12" s="144"/>
      <c r="X12" s="144" t="s">
        <v>607</v>
      </c>
      <c r="Y12" s="144"/>
      <c r="Z12" s="144"/>
      <c r="AA12" s="144"/>
      <c r="AB12" s="144"/>
      <c r="AC12" s="144" t="s">
        <v>609</v>
      </c>
      <c r="AD12" s="144"/>
      <c r="AE12" s="144"/>
      <c r="AF12" s="144"/>
      <c r="AG12" s="144"/>
      <c r="AH12" s="144"/>
      <c r="AI12" s="144"/>
      <c r="AJ12" s="129"/>
      <c r="AK12" s="144"/>
      <c r="AL12" s="144"/>
      <c r="AM12" s="144"/>
      <c r="AN12" s="117"/>
      <c r="AO12" s="144"/>
      <c r="AP12" s="144"/>
      <c r="AQ12" s="129"/>
      <c r="AR12" s="144" t="s">
        <v>615</v>
      </c>
      <c r="AS12" s="144"/>
      <c r="AT12" s="144" t="s">
        <v>616</v>
      </c>
      <c r="AU12" s="113"/>
      <c r="AV12" s="144"/>
      <c r="AW12" s="129"/>
      <c r="AX12" s="144"/>
      <c r="AY12" s="144"/>
      <c r="AZ12" s="144"/>
      <c r="BA12" s="144"/>
      <c r="BB12" s="144"/>
      <c r="BC12" s="144"/>
      <c r="BD12" s="129"/>
      <c r="BE12" s="144"/>
      <c r="BF12" s="144"/>
      <c r="BG12" s="144"/>
      <c r="BH12" s="144"/>
      <c r="BI12" s="144"/>
      <c r="BJ12" s="144"/>
      <c r="BK12" s="129"/>
      <c r="BL12" s="129"/>
      <c r="BM12" s="129"/>
      <c r="BN12" s="129"/>
      <c r="BO12" s="129"/>
      <c r="BP12" s="129"/>
      <c r="BQ12" s="129"/>
      <c r="BR12" s="129"/>
      <c r="BS12" s="129"/>
      <c r="BT12" s="129"/>
      <c r="BU12" s="129"/>
      <c r="BV12" s="129"/>
      <c r="BW12" s="129"/>
      <c r="BX12" s="129"/>
    </row>
    <row r="13" ht="15.75" customHeight="1">
      <c r="A13" s="134"/>
      <c r="B13" s="270" t="s">
        <v>620</v>
      </c>
      <c r="C13" s="83" t="s">
        <v>621</v>
      </c>
      <c r="D13" s="272" t="s">
        <v>623</v>
      </c>
      <c r="E13" s="131" t="s">
        <v>627</v>
      </c>
      <c r="F13" s="109" t="s">
        <v>628</v>
      </c>
      <c r="G13" s="109" t="s">
        <v>621</v>
      </c>
      <c r="H13" s="112" t="s">
        <v>632</v>
      </c>
      <c r="I13" s="113" t="s">
        <v>633</v>
      </c>
      <c r="J13" s="117" t="s">
        <v>634</v>
      </c>
      <c r="K13" s="109" t="s">
        <v>635</v>
      </c>
      <c r="L13" s="117"/>
      <c r="M13" s="147" t="s">
        <v>639</v>
      </c>
      <c r="N13" s="117" t="s">
        <v>578</v>
      </c>
      <c r="O13" s="109" t="s">
        <v>642</v>
      </c>
      <c r="P13" s="117" t="s">
        <v>645</v>
      </c>
      <c r="Q13" s="109" t="s">
        <v>646</v>
      </c>
      <c r="R13" s="113" t="s">
        <v>581</v>
      </c>
      <c r="S13" s="117" t="s">
        <v>649</v>
      </c>
      <c r="T13" s="117"/>
      <c r="U13" s="117"/>
      <c r="V13" s="109" t="s">
        <v>651</v>
      </c>
      <c r="W13" s="117" t="s">
        <v>653</v>
      </c>
      <c r="X13" s="117"/>
      <c r="Y13" s="117"/>
      <c r="Z13" s="117"/>
      <c r="AA13" s="117"/>
      <c r="AB13" s="117"/>
      <c r="AC13" s="117"/>
      <c r="AD13" s="117"/>
      <c r="AE13" s="117"/>
      <c r="AF13" s="109" t="s">
        <v>655</v>
      </c>
      <c r="AG13" s="117"/>
      <c r="AH13" s="117"/>
      <c r="AI13" s="117"/>
      <c r="AJ13" s="154"/>
      <c r="AK13" s="117"/>
      <c r="AL13" s="117"/>
      <c r="AM13" s="117"/>
      <c r="AN13" s="109" t="s">
        <v>658</v>
      </c>
      <c r="AO13" s="117"/>
      <c r="AP13" s="117"/>
      <c r="AQ13" s="154"/>
      <c r="AR13" s="117"/>
      <c r="AS13" s="117"/>
      <c r="AT13" s="117"/>
      <c r="AU13" s="113"/>
      <c r="AV13" s="117"/>
      <c r="AW13" s="154"/>
      <c r="AX13" s="117"/>
      <c r="AY13" s="117"/>
      <c r="AZ13" s="117"/>
      <c r="BA13" s="117"/>
      <c r="BB13" s="117"/>
      <c r="BC13" s="117"/>
      <c r="BD13" s="154"/>
      <c r="BE13" s="117"/>
      <c r="BF13" s="117"/>
      <c r="BG13" s="117"/>
      <c r="BH13" s="117"/>
      <c r="BI13" s="117"/>
      <c r="BJ13" s="117"/>
      <c r="BK13" s="154"/>
      <c r="BL13" s="154"/>
      <c r="BM13" s="154"/>
      <c r="BN13" s="154"/>
      <c r="BO13" s="154"/>
      <c r="BP13" s="154"/>
      <c r="BQ13" s="154"/>
      <c r="BR13" s="154"/>
      <c r="BS13" s="154"/>
      <c r="BT13" s="154"/>
      <c r="BU13" s="154"/>
      <c r="BV13" s="154"/>
      <c r="BW13" s="154"/>
      <c r="BX13" s="154"/>
    </row>
    <row r="14" ht="15.75" customHeight="1">
      <c r="A14" s="169" t="s">
        <v>320</v>
      </c>
      <c r="B14" s="285" t="s">
        <v>577</v>
      </c>
      <c r="C14" s="83" t="s">
        <v>240</v>
      </c>
      <c r="D14" s="254" t="s">
        <v>667</v>
      </c>
      <c r="E14" s="144" t="s">
        <v>436</v>
      </c>
      <c r="F14" s="144" t="s">
        <v>240</v>
      </c>
      <c r="G14" s="117" t="s">
        <v>672</v>
      </c>
      <c r="H14" s="112" t="str">
        <f>HYPERLINK("https://www.twitch.tv/videos/569558488","14.31")</f>
        <v>14.31</v>
      </c>
      <c r="I14" s="290" t="s">
        <v>676</v>
      </c>
      <c r="J14" s="144" t="str">
        <f>HYPERLINK("https://youtu.be/F4XtupQ5d4o","14.33")</f>
        <v>14.33</v>
      </c>
      <c r="K14" s="144" t="s">
        <v>672</v>
      </c>
      <c r="L14" s="109" t="s">
        <v>679</v>
      </c>
      <c r="M14" s="118" t="s">
        <v>681</v>
      </c>
      <c r="N14" s="144"/>
      <c r="O14" s="144" t="str">
        <f>HYPERLINK("https://www.youtube.com/watch?v=h3GaauXfeR4","14.16")</f>
        <v>14.16</v>
      </c>
      <c r="P14" s="144" t="str">
        <f>HYPERLINK("https://youtu.be/rZW3Nzg9CsM","14.20")</f>
        <v>14.20</v>
      </c>
      <c r="Q14" s="144"/>
      <c r="R14" s="113" t="s">
        <v>683</v>
      </c>
      <c r="S14" s="144" t="s">
        <v>684</v>
      </c>
      <c r="T14" s="144"/>
      <c r="U14" s="144" t="s">
        <v>686</v>
      </c>
      <c r="V14" s="144"/>
      <c r="W14" s="144"/>
      <c r="X14" s="144" t="s">
        <v>690</v>
      </c>
      <c r="Y14" s="144"/>
      <c r="Z14" s="144" t="s">
        <v>279</v>
      </c>
      <c r="AA14" s="144"/>
      <c r="AB14" s="144"/>
      <c r="AC14" s="144" t="s">
        <v>667</v>
      </c>
      <c r="AD14" s="144"/>
      <c r="AE14" s="144"/>
      <c r="AF14" s="144" t="s">
        <v>694</v>
      </c>
      <c r="AG14" s="144" t="s">
        <v>696</v>
      </c>
      <c r="AH14" s="144"/>
      <c r="AI14" s="144" t="s">
        <v>681</v>
      </c>
      <c r="AJ14" s="129"/>
      <c r="AK14" s="144"/>
      <c r="AL14" s="144"/>
      <c r="AM14" s="144"/>
      <c r="AN14" s="299"/>
      <c r="AO14" s="144"/>
      <c r="AP14" s="144"/>
      <c r="AQ14" s="129"/>
      <c r="AR14" s="144" t="s">
        <v>700</v>
      </c>
      <c r="AS14" s="144"/>
      <c r="AT14" s="144"/>
      <c r="AU14" s="299"/>
      <c r="AV14" s="144"/>
      <c r="AW14" s="129"/>
      <c r="AX14" s="144"/>
      <c r="AY14" s="144"/>
      <c r="AZ14" s="144"/>
      <c r="BA14" s="144"/>
      <c r="BB14" s="144"/>
      <c r="BC14" s="144"/>
      <c r="BD14" s="129"/>
      <c r="BE14" s="144"/>
      <c r="BF14" s="144"/>
      <c r="BG14" s="144"/>
      <c r="BH14" s="144"/>
      <c r="BI14" s="144"/>
      <c r="BJ14" s="144"/>
      <c r="BK14" s="129"/>
      <c r="BL14" s="129"/>
      <c r="BM14" s="129"/>
      <c r="BN14" s="129"/>
      <c r="BO14" s="129"/>
      <c r="BP14" s="129"/>
      <c r="BQ14" s="118" t="s">
        <v>705</v>
      </c>
      <c r="BR14" s="129"/>
      <c r="BS14" s="129"/>
      <c r="BT14" s="129"/>
      <c r="BU14" s="129"/>
      <c r="BV14" s="129"/>
      <c r="BW14" s="129"/>
      <c r="BX14" s="129"/>
    </row>
    <row r="15" ht="15.75" customHeight="1">
      <c r="A15" s="134"/>
      <c r="B15" s="270" t="s">
        <v>620</v>
      </c>
      <c r="C15" s="83" t="s">
        <v>708</v>
      </c>
      <c r="D15" s="272" t="s">
        <v>710</v>
      </c>
      <c r="E15" s="131" t="s">
        <v>714</v>
      </c>
      <c r="F15" s="144" t="s">
        <v>718</v>
      </c>
      <c r="G15" s="117" t="s">
        <v>708</v>
      </c>
      <c r="H15" s="112" t="s">
        <v>721</v>
      </c>
      <c r="I15" s="113" t="s">
        <v>723</v>
      </c>
      <c r="J15" s="144" t="str">
        <f>HYPERLINK("https://clips.twitch.tv/BusyTriangularAlmondRuleFive","13.97")</f>
        <v>13.97</v>
      </c>
      <c r="K15" s="144" t="s">
        <v>721</v>
      </c>
      <c r="L15" s="144" t="s">
        <v>727</v>
      </c>
      <c r="M15" s="147" t="s">
        <v>730</v>
      </c>
      <c r="N15" s="144" t="s">
        <v>718</v>
      </c>
      <c r="O15" s="144" t="str">
        <f>HYPERLINK("https://youtu.be/v-0tSrJ8Kf0","13.80")</f>
        <v>13.80</v>
      </c>
      <c r="P15" s="144" t="str">
        <f>HYPERLINK("https://youtu.be/Kv9otnDdZKc","13.93")</f>
        <v>13.93</v>
      </c>
      <c r="Q15" s="144" t="s">
        <v>708</v>
      </c>
      <c r="R15" s="113" t="s">
        <v>739</v>
      </c>
      <c r="S15" s="144" t="s">
        <v>727</v>
      </c>
      <c r="T15" s="144"/>
      <c r="U15" s="144"/>
      <c r="V15" s="109" t="s">
        <v>710</v>
      </c>
      <c r="W15" s="144"/>
      <c r="X15" s="144" t="s">
        <v>744</v>
      </c>
      <c r="Y15" s="144"/>
      <c r="Z15" s="144"/>
      <c r="AA15" s="144"/>
      <c r="AB15" s="144"/>
      <c r="AC15" s="144" t="s">
        <v>746</v>
      </c>
      <c r="AD15" s="144"/>
      <c r="AE15" s="144"/>
      <c r="AF15" s="144" t="s">
        <v>750</v>
      </c>
      <c r="AG15" s="144"/>
      <c r="AH15" s="144"/>
      <c r="AI15" s="144" t="s">
        <v>750</v>
      </c>
      <c r="AJ15" s="154"/>
      <c r="AK15" s="144" t="s">
        <v>708</v>
      </c>
      <c r="AL15" s="144"/>
      <c r="AM15" s="144"/>
      <c r="AN15" s="109" t="s">
        <v>727</v>
      </c>
      <c r="AO15" s="144" t="s">
        <v>755</v>
      </c>
      <c r="AP15" s="144"/>
      <c r="AQ15" s="154"/>
      <c r="AR15" s="144"/>
      <c r="AS15" s="144"/>
      <c r="AT15" s="144"/>
      <c r="AU15" s="113"/>
      <c r="AV15" s="144"/>
      <c r="AW15" s="154"/>
      <c r="AX15" s="144"/>
      <c r="AY15" s="144"/>
      <c r="AZ15" s="144"/>
      <c r="BA15" s="144"/>
      <c r="BB15" s="144"/>
      <c r="BC15" s="144"/>
      <c r="BD15" s="154"/>
      <c r="BE15" s="144"/>
      <c r="BF15" s="144"/>
      <c r="BG15" s="144"/>
      <c r="BH15" s="144"/>
      <c r="BI15" s="144"/>
      <c r="BJ15" s="144"/>
      <c r="BK15" s="154"/>
      <c r="BL15" s="154"/>
      <c r="BM15" s="154"/>
      <c r="BN15" s="154"/>
      <c r="BO15" s="154"/>
      <c r="BP15" s="154"/>
      <c r="BQ15" s="147" t="s">
        <v>760</v>
      </c>
      <c r="BR15" s="154"/>
      <c r="BS15" s="154"/>
      <c r="BT15" s="154"/>
      <c r="BU15" s="154"/>
      <c r="BV15" s="154"/>
      <c r="BW15" s="154"/>
      <c r="BX15" s="154"/>
    </row>
    <row r="16" ht="15.75" customHeight="1">
      <c r="A16" s="169" t="s">
        <v>410</v>
      </c>
      <c r="B16" s="317" t="s">
        <v>764</v>
      </c>
      <c r="C16" s="83" t="s">
        <v>765</v>
      </c>
      <c r="D16" s="254" t="s">
        <v>767</v>
      </c>
      <c r="E16" s="144" t="s">
        <v>770</v>
      </c>
      <c r="F16" s="144"/>
      <c r="G16" s="144"/>
      <c r="H16" s="175"/>
      <c r="I16" s="113" t="s">
        <v>771</v>
      </c>
      <c r="J16" s="144"/>
      <c r="K16" s="144"/>
      <c r="L16" s="144"/>
      <c r="M16" s="147" t="s">
        <v>772</v>
      </c>
      <c r="N16" s="144"/>
      <c r="O16" s="144" t="s">
        <v>765</v>
      </c>
      <c r="P16" s="144"/>
      <c r="Q16" s="144"/>
      <c r="R16" s="113"/>
      <c r="S16" s="144"/>
      <c r="T16" s="144"/>
      <c r="U16" s="144"/>
      <c r="V16" s="144" t="s">
        <v>776</v>
      </c>
      <c r="W16" s="144"/>
      <c r="X16" s="144"/>
      <c r="Y16" s="144"/>
      <c r="Z16" s="144"/>
      <c r="AA16" s="144"/>
      <c r="AB16" s="144"/>
      <c r="AC16" s="144"/>
      <c r="AD16" s="144"/>
      <c r="AE16" s="144"/>
      <c r="AF16" s="144"/>
      <c r="AG16" s="144"/>
      <c r="AH16" s="144"/>
      <c r="AI16" s="144"/>
      <c r="AJ16" s="154"/>
      <c r="AK16" s="144"/>
      <c r="AL16" s="144"/>
      <c r="AM16" s="144"/>
      <c r="AN16" s="113"/>
      <c r="AO16" s="144"/>
      <c r="AP16" s="144"/>
      <c r="AQ16" s="154"/>
      <c r="AR16" s="144"/>
      <c r="AS16" s="144"/>
      <c r="AT16" s="144"/>
      <c r="AU16" s="113"/>
      <c r="AV16" s="144"/>
      <c r="AW16" s="154"/>
      <c r="AX16" s="144"/>
      <c r="AY16" s="144"/>
      <c r="AZ16" s="144"/>
      <c r="BA16" s="144"/>
      <c r="BB16" s="144"/>
      <c r="BC16" s="144"/>
      <c r="BD16" s="154"/>
      <c r="BE16" s="144"/>
      <c r="BF16" s="144"/>
      <c r="BG16" s="144"/>
      <c r="BH16" s="144"/>
      <c r="BI16" s="144"/>
      <c r="BJ16" s="144"/>
      <c r="BK16" s="154"/>
      <c r="BL16" s="154"/>
      <c r="BM16" s="154"/>
      <c r="BN16" s="154"/>
      <c r="BO16" s="154"/>
      <c r="BP16" s="154"/>
      <c r="BQ16" s="154"/>
      <c r="BR16" s="154"/>
      <c r="BS16" s="154"/>
      <c r="BT16" s="154"/>
      <c r="BU16" s="154"/>
      <c r="BV16" s="154"/>
      <c r="BW16" s="154"/>
      <c r="BX16" s="154"/>
    </row>
    <row r="17" ht="15.75" customHeight="1">
      <c r="A17" s="134"/>
      <c r="B17" s="270" t="s">
        <v>783</v>
      </c>
      <c r="C17" s="83" t="s">
        <v>784</v>
      </c>
      <c r="D17" s="182" t="s">
        <v>786</v>
      </c>
      <c r="E17" s="117" t="s">
        <v>788</v>
      </c>
      <c r="F17" s="109" t="s">
        <v>789</v>
      </c>
      <c r="G17" s="117" t="s">
        <v>791</v>
      </c>
      <c r="H17" s="112" t="s">
        <v>792</v>
      </c>
      <c r="I17" s="113"/>
      <c r="J17" s="117"/>
      <c r="K17" s="109" t="s">
        <v>794</v>
      </c>
      <c r="L17" s="117"/>
      <c r="M17" s="163" t="s">
        <v>795</v>
      </c>
      <c r="N17" s="117" t="s">
        <v>794</v>
      </c>
      <c r="O17" s="117"/>
      <c r="P17" s="117"/>
      <c r="Q17" s="109" t="s">
        <v>799</v>
      </c>
      <c r="R17" s="113" t="s">
        <v>802</v>
      </c>
      <c r="S17" s="117" t="s">
        <v>803</v>
      </c>
      <c r="T17" s="117"/>
      <c r="U17" s="117"/>
      <c r="V17" s="117"/>
      <c r="W17" s="117" t="s">
        <v>765</v>
      </c>
      <c r="X17" s="117"/>
      <c r="Y17" s="117" t="s">
        <v>794</v>
      </c>
      <c r="Z17" s="117"/>
      <c r="AA17" s="109" t="s">
        <v>799</v>
      </c>
      <c r="AB17" s="117"/>
      <c r="AC17" s="117"/>
      <c r="AD17" s="117"/>
      <c r="AE17" s="117"/>
      <c r="AF17" s="117"/>
      <c r="AG17" s="117"/>
      <c r="AH17" s="109" t="s">
        <v>784</v>
      </c>
      <c r="AI17" s="117" t="s">
        <v>806</v>
      </c>
      <c r="AJ17" s="129"/>
      <c r="AK17" s="117"/>
      <c r="AL17" s="117"/>
      <c r="AM17" s="117"/>
      <c r="AN17" s="113"/>
      <c r="AO17" s="117"/>
      <c r="AP17" s="117"/>
      <c r="AQ17" s="129"/>
      <c r="AR17" s="117"/>
      <c r="AS17" s="117"/>
      <c r="AT17" s="117"/>
      <c r="AU17" s="113"/>
      <c r="AV17" s="117"/>
      <c r="AW17" s="129"/>
      <c r="AX17" s="117"/>
      <c r="AY17" s="117"/>
      <c r="AZ17" s="117"/>
      <c r="BA17" s="117"/>
      <c r="BB17" s="117"/>
      <c r="BC17" s="117"/>
      <c r="BD17" s="129"/>
      <c r="BE17" s="117"/>
      <c r="BF17" s="117"/>
      <c r="BG17" s="117"/>
      <c r="BH17" s="117"/>
      <c r="BI17" s="117"/>
      <c r="BJ17" s="117"/>
      <c r="BK17" s="129"/>
      <c r="BL17" s="129"/>
      <c r="BM17" s="129"/>
      <c r="BN17" s="129"/>
      <c r="BO17" s="129"/>
      <c r="BP17" s="129"/>
      <c r="BQ17" s="129"/>
      <c r="BR17" s="129"/>
      <c r="BS17" s="129"/>
      <c r="BT17" s="129"/>
      <c r="BU17" s="129"/>
      <c r="BV17" s="129"/>
      <c r="BW17" s="129"/>
      <c r="BX17" s="129"/>
    </row>
    <row r="18" ht="15.75" customHeight="1">
      <c r="A18" s="76" t="s">
        <v>811</v>
      </c>
      <c r="B18" s="77" t="s">
        <v>812</v>
      </c>
      <c r="C18" s="83" t="s">
        <v>813</v>
      </c>
      <c r="D18" s="141"/>
      <c r="E18" s="144" t="s">
        <v>816</v>
      </c>
      <c r="F18" s="144" t="s">
        <v>817</v>
      </c>
      <c r="G18" s="144"/>
      <c r="H18" s="112" t="s">
        <v>818</v>
      </c>
      <c r="I18" s="113"/>
      <c r="J18" s="144" t="s">
        <v>821</v>
      </c>
      <c r="K18" s="144"/>
      <c r="L18" s="144" t="s">
        <v>823</v>
      </c>
      <c r="M18" s="147" t="s">
        <v>825</v>
      </c>
      <c r="N18" s="144"/>
      <c r="O18" s="144" t="s">
        <v>829</v>
      </c>
      <c r="P18" s="144" t="str">
        <f>HYPERLINK("https://www.youtube.com/watch?v=2TATjRbAkgw","46.87")</f>
        <v>46.87</v>
      </c>
      <c r="Q18" s="144"/>
      <c r="R18" s="113"/>
      <c r="S18" s="144" t="str">
        <f>HYPERLINK("https://clips.twitch.tv/ManlyHedonisticDotterelOMGScoots","45.85")</f>
        <v>45.85</v>
      </c>
      <c r="T18" s="144"/>
      <c r="U18" s="144"/>
      <c r="V18" s="144"/>
      <c r="W18" s="144"/>
      <c r="X18" s="144"/>
      <c r="Y18" s="144"/>
      <c r="Z18" s="144"/>
      <c r="AA18" s="144"/>
      <c r="AB18" s="144"/>
      <c r="AC18" s="144"/>
      <c r="AD18" s="144"/>
      <c r="AE18" s="144"/>
      <c r="AF18" s="144"/>
      <c r="AG18" s="144"/>
      <c r="AH18" s="144"/>
      <c r="AI18" s="144"/>
      <c r="AJ18" s="154"/>
      <c r="AK18" s="144"/>
      <c r="AL18" s="144"/>
      <c r="AM18" s="144"/>
      <c r="AN18" s="117"/>
      <c r="AO18" s="144"/>
      <c r="AP18" s="144"/>
      <c r="AQ18" s="154"/>
      <c r="AR18" s="144"/>
      <c r="AS18" s="144"/>
      <c r="AT18" s="144" t="s">
        <v>839</v>
      </c>
      <c r="AU18" s="113"/>
      <c r="AV18" s="144"/>
      <c r="AW18" s="154"/>
      <c r="AX18" s="144"/>
      <c r="AY18" s="144"/>
      <c r="AZ18" s="144"/>
      <c r="BA18" s="144"/>
      <c r="BB18" s="144"/>
      <c r="BC18" s="144"/>
      <c r="BD18" s="154"/>
      <c r="BE18" s="144"/>
      <c r="BF18" s="144"/>
      <c r="BG18" s="144"/>
      <c r="BH18" s="144"/>
      <c r="BI18" s="144"/>
      <c r="BJ18" s="144"/>
      <c r="BK18" s="154"/>
      <c r="BL18" s="154"/>
      <c r="BM18" s="154"/>
      <c r="BN18" s="154"/>
      <c r="BO18" s="154"/>
      <c r="BP18" s="154"/>
      <c r="BQ18" s="154"/>
      <c r="BR18" s="154"/>
      <c r="BS18" s="154"/>
      <c r="BT18" s="154"/>
      <c r="BU18" s="154"/>
      <c r="BV18" s="154"/>
      <c r="BW18" s="154"/>
      <c r="BX18" s="154"/>
    </row>
    <row r="19" ht="15.75" customHeight="1">
      <c r="A19" s="134"/>
      <c r="B19" s="270" t="s">
        <v>842</v>
      </c>
      <c r="C19" s="83" t="s">
        <v>844</v>
      </c>
      <c r="D19" s="173"/>
      <c r="E19" s="144"/>
      <c r="F19" s="144" t="s">
        <v>847</v>
      </c>
      <c r="G19" s="144"/>
      <c r="H19" s="175"/>
      <c r="I19" s="113"/>
      <c r="J19" s="144"/>
      <c r="K19" s="144"/>
      <c r="L19" s="144" t="s">
        <v>264</v>
      </c>
      <c r="M19" s="118"/>
      <c r="N19" s="144"/>
      <c r="O19" s="144"/>
      <c r="P19" s="144"/>
      <c r="Q19" s="144"/>
      <c r="R19" s="113"/>
      <c r="S19" s="144" t="s">
        <v>852</v>
      </c>
      <c r="T19" s="144"/>
      <c r="U19" s="144" t="s">
        <v>853</v>
      </c>
      <c r="V19" s="144"/>
      <c r="W19" s="144"/>
      <c r="X19" s="144"/>
      <c r="Y19" s="144"/>
      <c r="Z19" s="144"/>
      <c r="AA19" s="144"/>
      <c r="AB19" s="144"/>
      <c r="AC19" s="144"/>
      <c r="AD19" s="144"/>
      <c r="AE19" s="144"/>
      <c r="AF19" s="144"/>
      <c r="AG19" s="144"/>
      <c r="AH19" s="144"/>
      <c r="AI19" s="144"/>
      <c r="AJ19" s="129"/>
      <c r="AK19" s="144"/>
      <c r="AL19" s="144" t="s">
        <v>858</v>
      </c>
      <c r="AM19" s="144"/>
      <c r="AN19" s="113"/>
      <c r="AO19" s="144"/>
      <c r="AP19" s="144"/>
      <c r="AQ19" s="129"/>
      <c r="AR19" s="144"/>
      <c r="AS19" s="144"/>
      <c r="AT19" s="144"/>
      <c r="AU19" s="113"/>
      <c r="AV19" s="144"/>
      <c r="AW19" s="129"/>
      <c r="AX19" s="144"/>
      <c r="AY19" s="144"/>
      <c r="AZ19" s="144"/>
      <c r="BA19" s="144"/>
      <c r="BB19" s="144"/>
      <c r="BC19" s="144"/>
      <c r="BD19" s="129"/>
      <c r="BE19" s="144"/>
      <c r="BF19" s="144"/>
      <c r="BG19" s="144"/>
      <c r="BH19" s="144"/>
      <c r="BI19" s="144"/>
      <c r="BJ19" s="144"/>
      <c r="BK19" s="129"/>
      <c r="BL19" s="129"/>
      <c r="BM19" s="129"/>
      <c r="BN19" s="129"/>
      <c r="BO19" s="129"/>
      <c r="BP19" s="129"/>
      <c r="BQ19" s="118" t="s">
        <v>864</v>
      </c>
      <c r="BR19" s="129"/>
      <c r="BS19" s="129"/>
      <c r="BT19" s="129"/>
      <c r="BU19" s="129"/>
      <c r="BV19" s="129"/>
      <c r="BW19" s="129"/>
      <c r="BX19" s="129"/>
    </row>
    <row r="20" ht="15.75" customHeight="1">
      <c r="A20" s="234"/>
      <c r="B20" s="350" t="s">
        <v>867</v>
      </c>
      <c r="C20" s="83" t="s">
        <v>868</v>
      </c>
      <c r="D20" s="272" t="s">
        <v>870</v>
      </c>
      <c r="E20" s="144" t="s">
        <v>874</v>
      </c>
      <c r="F20" s="144" t="s">
        <v>868</v>
      </c>
      <c r="G20" s="109" t="s">
        <v>877</v>
      </c>
      <c r="H20" s="112" t="s">
        <v>881</v>
      </c>
      <c r="I20" s="113" t="s">
        <v>883</v>
      </c>
      <c r="J20" s="144" t="str">
        <f>HYPERLINK("https://clips.twitch.tv/EnergeticBeautifulMallardRalpherZ","42.96")</f>
        <v>42.96</v>
      </c>
      <c r="K20" s="144" t="s">
        <v>463</v>
      </c>
      <c r="L20" s="109" t="s">
        <v>887</v>
      </c>
      <c r="M20" s="157"/>
      <c r="N20" s="144" t="s">
        <v>889</v>
      </c>
      <c r="O20" s="144" t="s">
        <v>891</v>
      </c>
      <c r="P20" s="144" t="s">
        <v>437</v>
      </c>
      <c r="Q20" s="144" t="s">
        <v>893</v>
      </c>
      <c r="R20" s="113" t="s">
        <v>897</v>
      </c>
      <c r="S20" s="144" t="s">
        <v>874</v>
      </c>
      <c r="T20" s="109" t="s">
        <v>898</v>
      </c>
      <c r="U20" s="144"/>
      <c r="V20" s="144" t="s">
        <v>899</v>
      </c>
      <c r="W20" s="144"/>
      <c r="X20" s="144" t="s">
        <v>904</v>
      </c>
      <c r="Y20" s="144" t="s">
        <v>877</v>
      </c>
      <c r="Z20" s="144"/>
      <c r="AA20" s="144"/>
      <c r="AB20" s="144"/>
      <c r="AC20" s="144" t="s">
        <v>907</v>
      </c>
      <c r="AD20" s="144"/>
      <c r="AE20" s="144"/>
      <c r="AF20" s="144"/>
      <c r="AG20" s="144"/>
      <c r="AH20" s="144"/>
      <c r="AI20" s="144"/>
      <c r="AJ20" s="154"/>
      <c r="AK20" s="144" t="str">
        <f>HYPERLINK("https://www.youtube.com/watch?v=XcowqtMv72o","42.92")</f>
        <v>42.92</v>
      </c>
      <c r="AL20" s="144"/>
      <c r="AM20" s="144"/>
      <c r="AN20" s="113"/>
      <c r="AO20" s="144"/>
      <c r="AP20" s="144"/>
      <c r="AQ20" s="154"/>
      <c r="AR20" s="144"/>
      <c r="AS20" s="144"/>
      <c r="AT20" s="144"/>
      <c r="AU20" s="113"/>
      <c r="AV20" s="144"/>
      <c r="AW20" s="154"/>
      <c r="AX20" s="144"/>
      <c r="AY20" s="144"/>
      <c r="AZ20" s="144"/>
      <c r="BA20" s="144"/>
      <c r="BB20" s="144"/>
      <c r="BC20" s="144"/>
      <c r="BD20" s="154"/>
      <c r="BE20" s="144"/>
      <c r="BF20" s="144"/>
      <c r="BG20" s="144"/>
      <c r="BH20" s="144"/>
      <c r="BI20" s="144"/>
      <c r="BJ20" s="144"/>
      <c r="BK20" s="154"/>
      <c r="BL20" s="154"/>
      <c r="BM20" s="154"/>
      <c r="BN20" s="154"/>
      <c r="BO20" s="154"/>
      <c r="BP20" s="154"/>
      <c r="BQ20" s="157" t="s">
        <v>915</v>
      </c>
      <c r="BR20" s="154"/>
      <c r="BS20" s="154"/>
      <c r="BT20" s="154"/>
      <c r="BU20" s="154"/>
      <c r="BV20" s="154"/>
      <c r="BW20" s="154"/>
      <c r="BX20" s="154"/>
    </row>
    <row r="21" ht="15.75" customHeight="1">
      <c r="A21" s="76" t="s">
        <v>916</v>
      </c>
      <c r="B21" s="77" t="s">
        <v>917</v>
      </c>
      <c r="C21" s="357" t="s">
        <v>919</v>
      </c>
      <c r="D21" s="173"/>
      <c r="E21" s="167"/>
      <c r="F21" s="167"/>
      <c r="G21" s="167"/>
      <c r="H21" s="175"/>
      <c r="I21" s="359"/>
      <c r="J21" s="167"/>
      <c r="K21" s="167"/>
      <c r="L21" s="167"/>
      <c r="M21" s="163" t="s">
        <v>922</v>
      </c>
      <c r="N21" s="167"/>
      <c r="O21" s="167"/>
      <c r="P21" s="167"/>
      <c r="Q21" s="167"/>
      <c r="R21" s="359"/>
      <c r="S21" s="167"/>
      <c r="T21" s="361" t="s">
        <v>919</v>
      </c>
      <c r="U21" s="167"/>
      <c r="V21" s="167"/>
      <c r="W21" s="167"/>
      <c r="X21" s="167"/>
      <c r="Y21" s="167"/>
      <c r="Z21" s="167"/>
      <c r="AA21" s="167"/>
      <c r="AB21" s="167"/>
      <c r="AC21" s="167"/>
      <c r="AD21" s="167"/>
      <c r="AE21" s="167"/>
      <c r="AF21" s="167"/>
      <c r="AG21" s="167"/>
      <c r="AH21" s="167"/>
      <c r="AI21" s="167"/>
      <c r="AJ21" s="129"/>
      <c r="AK21" s="167"/>
      <c r="AL21" s="167"/>
      <c r="AM21" s="167"/>
      <c r="AN21" s="363"/>
      <c r="AO21" s="167"/>
      <c r="AP21" s="167"/>
      <c r="AQ21" s="129"/>
      <c r="AR21" s="167"/>
      <c r="AS21" s="167"/>
      <c r="AT21" s="167"/>
      <c r="AU21" s="359"/>
      <c r="AV21" s="167"/>
      <c r="AW21" s="129"/>
      <c r="AX21" s="167"/>
      <c r="AY21" s="167"/>
      <c r="AZ21" s="167"/>
      <c r="BA21" s="167"/>
      <c r="BB21" s="167"/>
      <c r="BC21" s="167"/>
      <c r="BD21" s="129"/>
      <c r="BE21" s="167"/>
      <c r="BF21" s="167"/>
      <c r="BG21" s="167"/>
      <c r="BH21" s="167"/>
      <c r="BI21" s="167"/>
      <c r="BJ21" s="167"/>
      <c r="BK21" s="129"/>
      <c r="BL21" s="129"/>
      <c r="BM21" s="129"/>
      <c r="BN21" s="129"/>
      <c r="BO21" s="129"/>
      <c r="BP21" s="129"/>
      <c r="BQ21" s="129"/>
      <c r="BR21" s="129"/>
      <c r="BS21" s="129"/>
      <c r="BT21" s="129"/>
      <c r="BU21" s="129"/>
      <c r="BV21" s="129"/>
      <c r="BW21" s="129"/>
      <c r="BX21" s="129"/>
    </row>
    <row r="22" ht="15.75" customHeight="1">
      <c r="A22" s="134"/>
      <c r="B22" s="270" t="s">
        <v>930</v>
      </c>
      <c r="C22" s="83" t="s">
        <v>931</v>
      </c>
      <c r="D22" s="173"/>
      <c r="E22" s="167"/>
      <c r="F22" s="167"/>
      <c r="G22" s="167"/>
      <c r="H22" s="175"/>
      <c r="I22" s="359"/>
      <c r="J22" s="167"/>
      <c r="K22" s="167"/>
      <c r="L22" s="167"/>
      <c r="M22" s="163" t="s">
        <v>935</v>
      </c>
      <c r="N22" s="167"/>
      <c r="O22" s="167"/>
      <c r="P22" s="167"/>
      <c r="Q22" s="167"/>
      <c r="R22" s="359"/>
      <c r="S22" s="167"/>
      <c r="T22" s="167"/>
      <c r="U22" s="365" t="s">
        <v>931</v>
      </c>
      <c r="V22" s="167"/>
      <c r="W22" s="167"/>
      <c r="X22" s="167"/>
      <c r="Y22" s="167"/>
      <c r="Z22" s="167"/>
      <c r="AA22" s="167"/>
      <c r="AB22" s="167"/>
      <c r="AC22" s="167"/>
      <c r="AD22" s="167"/>
      <c r="AE22" s="167"/>
      <c r="AF22" s="167"/>
      <c r="AG22" s="167"/>
      <c r="AH22" s="167"/>
      <c r="AI22" s="167"/>
      <c r="AJ22" s="129"/>
      <c r="AK22" s="167"/>
      <c r="AL22" s="167"/>
      <c r="AM22" s="167"/>
      <c r="AN22" s="363"/>
      <c r="AO22" s="167"/>
      <c r="AP22" s="167"/>
      <c r="AQ22" s="129"/>
      <c r="AR22" s="167"/>
      <c r="AS22" s="167"/>
      <c r="AT22" s="167"/>
      <c r="AU22" s="359"/>
      <c r="AV22" s="167"/>
      <c r="AW22" s="129"/>
      <c r="AX22" s="167"/>
      <c r="AY22" s="167"/>
      <c r="AZ22" s="167"/>
      <c r="BA22" s="167"/>
      <c r="BB22" s="167"/>
      <c r="BC22" s="167"/>
      <c r="BD22" s="129"/>
      <c r="BE22" s="167"/>
      <c r="BF22" s="167"/>
      <c r="BG22" s="167"/>
      <c r="BH22" s="167"/>
      <c r="BI22" s="167"/>
      <c r="BJ22" s="167"/>
      <c r="BK22" s="129"/>
      <c r="BL22" s="129"/>
      <c r="BM22" s="129"/>
      <c r="BN22" s="129"/>
      <c r="BO22" s="129"/>
      <c r="BP22" s="129"/>
      <c r="BQ22" s="129"/>
      <c r="BR22" s="129"/>
      <c r="BS22" s="129"/>
      <c r="BT22" s="129"/>
      <c r="BU22" s="129"/>
      <c r="BV22" s="129"/>
      <c r="BW22" s="129"/>
      <c r="BX22" s="129"/>
    </row>
    <row r="23" ht="15.75" customHeight="1">
      <c r="A23" s="234"/>
      <c r="B23" s="350" t="s">
        <v>943</v>
      </c>
      <c r="C23" s="83" t="s">
        <v>765</v>
      </c>
      <c r="D23" s="173"/>
      <c r="E23" s="167"/>
      <c r="F23" s="167" t="s">
        <v>491</v>
      </c>
      <c r="G23" s="167"/>
      <c r="H23" s="175" t="s">
        <v>948</v>
      </c>
      <c r="I23" s="359"/>
      <c r="J23" s="167"/>
      <c r="K23" s="167"/>
      <c r="L23" s="167"/>
      <c r="M23" s="163" t="s">
        <v>950</v>
      </c>
      <c r="N23" s="167"/>
      <c r="O23" s="167"/>
      <c r="P23" s="167"/>
      <c r="Q23" s="167"/>
      <c r="R23" s="359"/>
      <c r="S23" s="167" t="s">
        <v>954</v>
      </c>
      <c r="T23" s="167"/>
      <c r="U23" s="167"/>
      <c r="V23" s="167"/>
      <c r="W23" s="167"/>
      <c r="X23" s="167"/>
      <c r="Y23" s="167"/>
      <c r="Z23" s="167"/>
      <c r="AA23" s="167"/>
      <c r="AB23" s="167"/>
      <c r="AC23" s="167"/>
      <c r="AD23" s="167"/>
      <c r="AE23" s="167"/>
      <c r="AF23" s="167"/>
      <c r="AG23" s="167"/>
      <c r="AH23" s="167"/>
      <c r="AI23" s="167"/>
      <c r="AJ23" s="129"/>
      <c r="AK23" s="167"/>
      <c r="AL23" s="167"/>
      <c r="AM23" s="167"/>
      <c r="AN23" s="363"/>
      <c r="AO23" s="167"/>
      <c r="AP23" s="167"/>
      <c r="AQ23" s="129"/>
      <c r="AR23" s="167"/>
      <c r="AS23" s="167"/>
      <c r="AT23" s="167"/>
      <c r="AU23" s="359"/>
      <c r="AV23" s="167"/>
      <c r="AW23" s="129"/>
      <c r="AX23" s="167"/>
      <c r="AY23" s="167"/>
      <c r="AZ23" s="167"/>
      <c r="BA23" s="167"/>
      <c r="BB23" s="167"/>
      <c r="BC23" s="167"/>
      <c r="BD23" s="129"/>
      <c r="BE23" s="167"/>
      <c r="BF23" s="167"/>
      <c r="BG23" s="167"/>
      <c r="BH23" s="167"/>
      <c r="BI23" s="167"/>
      <c r="BJ23" s="167"/>
      <c r="BK23" s="129"/>
      <c r="BL23" s="129"/>
      <c r="BM23" s="129"/>
      <c r="BN23" s="129"/>
      <c r="BO23" s="129"/>
      <c r="BP23" s="129"/>
      <c r="BQ23" s="129"/>
      <c r="BR23" s="129"/>
      <c r="BS23" s="129"/>
      <c r="BT23" s="129"/>
      <c r="BU23" s="129"/>
      <c r="BV23" s="129"/>
      <c r="BW23" s="129"/>
      <c r="BX23" s="129"/>
    </row>
    <row r="24" ht="15.75" customHeight="1">
      <c r="A24" s="134"/>
      <c r="B24" s="270" t="s">
        <v>959</v>
      </c>
      <c r="C24" s="83" t="s">
        <v>960</v>
      </c>
      <c r="D24" s="182" t="s">
        <v>963</v>
      </c>
      <c r="E24" s="144"/>
      <c r="F24" s="144" t="s">
        <v>806</v>
      </c>
      <c r="G24" s="144" t="s">
        <v>965</v>
      </c>
      <c r="H24" s="175"/>
      <c r="I24" s="113"/>
      <c r="J24" s="144"/>
      <c r="K24" s="144"/>
      <c r="L24" s="144"/>
      <c r="M24" s="154"/>
      <c r="N24" s="144" t="s">
        <v>967</v>
      </c>
      <c r="O24" s="144"/>
      <c r="P24" s="144"/>
      <c r="Q24" s="144"/>
      <c r="R24" s="113"/>
      <c r="S24" s="144" t="s">
        <v>968</v>
      </c>
      <c r="T24" s="144"/>
      <c r="U24" s="144"/>
      <c r="V24" s="144"/>
      <c r="W24" s="144"/>
      <c r="X24" s="144"/>
      <c r="Y24" s="144"/>
      <c r="Z24" s="144"/>
      <c r="AA24" s="144" t="s">
        <v>969</v>
      </c>
      <c r="AB24" s="144"/>
      <c r="AC24" s="144"/>
      <c r="AD24" s="144"/>
      <c r="AE24" s="144"/>
      <c r="AF24" s="144"/>
      <c r="AG24" s="144"/>
      <c r="AH24" s="144" t="s">
        <v>960</v>
      </c>
      <c r="AI24" s="144"/>
      <c r="AJ24" s="154"/>
      <c r="AK24" s="144"/>
      <c r="AL24" s="144"/>
      <c r="AM24" s="144"/>
      <c r="AN24" s="113"/>
      <c r="AO24" s="144"/>
      <c r="AP24" s="144"/>
      <c r="AQ24" s="154"/>
      <c r="AR24" s="144"/>
      <c r="AS24" s="144"/>
      <c r="AT24" s="144"/>
      <c r="AU24" s="113"/>
      <c r="AV24" s="144"/>
      <c r="AW24" s="154"/>
      <c r="AX24" s="144"/>
      <c r="AY24" s="144"/>
      <c r="AZ24" s="144"/>
      <c r="BA24" s="144"/>
      <c r="BB24" s="144"/>
      <c r="BC24" s="144"/>
      <c r="BD24" s="154"/>
      <c r="BE24" s="144"/>
      <c r="BF24" s="144"/>
      <c r="BG24" s="144"/>
      <c r="BH24" s="144"/>
      <c r="BI24" s="144"/>
      <c r="BJ24" s="144"/>
      <c r="BK24" s="154"/>
      <c r="BL24" s="154"/>
      <c r="BM24" s="154"/>
      <c r="BN24" s="154"/>
      <c r="BO24" s="154"/>
      <c r="BP24" s="154"/>
      <c r="BQ24" s="154"/>
      <c r="BR24" s="154"/>
      <c r="BS24" s="154"/>
      <c r="BT24" s="154"/>
      <c r="BU24" s="154"/>
      <c r="BV24" s="154"/>
      <c r="BW24" s="154"/>
      <c r="BX24" s="154"/>
    </row>
    <row r="25" ht="15.75" customHeight="1">
      <c r="A25" s="76" t="s">
        <v>974</v>
      </c>
      <c r="B25" s="77" t="s">
        <v>975</v>
      </c>
      <c r="C25" s="83" t="s">
        <v>693</v>
      </c>
      <c r="D25" s="173"/>
      <c r="E25" s="144"/>
      <c r="F25" s="144" t="s">
        <v>693</v>
      </c>
      <c r="G25" s="144"/>
      <c r="H25" s="175"/>
      <c r="I25" s="113"/>
      <c r="J25" s="144"/>
      <c r="K25" s="144"/>
      <c r="L25" s="144"/>
      <c r="M25" s="129"/>
      <c r="N25" s="144"/>
      <c r="O25" s="144"/>
      <c r="P25" s="144" t="s">
        <v>981</v>
      </c>
      <c r="Q25" s="144"/>
      <c r="R25" s="113"/>
      <c r="S25" s="144" t="s">
        <v>983</v>
      </c>
      <c r="T25" s="144"/>
      <c r="U25" s="144"/>
      <c r="V25" s="144"/>
      <c r="W25" s="144"/>
      <c r="X25" s="144"/>
      <c r="Y25" s="144"/>
      <c r="Z25" s="144"/>
      <c r="AA25" s="144"/>
      <c r="AB25" s="144"/>
      <c r="AC25" s="144"/>
      <c r="AD25" s="144"/>
      <c r="AE25" s="144"/>
      <c r="AF25" s="144"/>
      <c r="AG25" s="144"/>
      <c r="AH25" s="144"/>
      <c r="AI25" s="144"/>
      <c r="AJ25" s="129"/>
      <c r="AK25" s="144"/>
      <c r="AL25" s="144"/>
      <c r="AM25" s="144"/>
      <c r="AN25" s="113"/>
      <c r="AO25" s="144"/>
      <c r="AP25" s="144"/>
      <c r="AQ25" s="129"/>
      <c r="AR25" s="144"/>
      <c r="AS25" s="144"/>
      <c r="AT25" s="144"/>
      <c r="AU25" s="113"/>
      <c r="AV25" s="144"/>
      <c r="AW25" s="129"/>
      <c r="AX25" s="144"/>
      <c r="AY25" s="144"/>
      <c r="AZ25" s="144"/>
      <c r="BA25" s="144"/>
      <c r="BB25" s="144"/>
      <c r="BC25" s="144"/>
      <c r="BD25" s="129"/>
      <c r="BE25" s="144"/>
      <c r="BF25" s="144"/>
      <c r="BG25" s="144"/>
      <c r="BH25" s="144"/>
      <c r="BI25" s="144"/>
      <c r="BJ25" s="144"/>
      <c r="BK25" s="129"/>
      <c r="BL25" s="129"/>
      <c r="BM25" s="129"/>
      <c r="BN25" s="129"/>
      <c r="BO25" s="129"/>
      <c r="BP25" s="129"/>
      <c r="BQ25" s="129"/>
      <c r="BR25" s="129"/>
      <c r="BS25" s="129"/>
      <c r="BT25" s="129"/>
      <c r="BU25" s="129"/>
      <c r="BV25" s="129"/>
      <c r="BW25" s="129"/>
      <c r="BX25" s="129"/>
    </row>
    <row r="26" ht="15.75" customHeight="1">
      <c r="A26" s="373"/>
      <c r="B26" s="270" t="s">
        <v>987</v>
      </c>
      <c r="C26" s="83" t="s">
        <v>988</v>
      </c>
      <c r="D26" s="182" t="s">
        <v>992</v>
      </c>
      <c r="E26" s="144"/>
      <c r="F26" s="144" t="s">
        <v>994</v>
      </c>
      <c r="G26" s="144"/>
      <c r="H26" s="175"/>
      <c r="I26" s="113" t="s">
        <v>999</v>
      </c>
      <c r="J26" s="144"/>
      <c r="K26" s="144"/>
      <c r="L26" s="144"/>
      <c r="M26" s="157" t="s">
        <v>1000</v>
      </c>
      <c r="N26" s="144"/>
      <c r="O26" s="144"/>
      <c r="P26" s="144"/>
      <c r="Q26" s="144"/>
      <c r="R26" s="113"/>
      <c r="S26" s="144" t="s">
        <v>994</v>
      </c>
      <c r="T26" s="144"/>
      <c r="U26" s="144"/>
      <c r="V26" s="144"/>
      <c r="W26" s="144"/>
      <c r="X26" s="144"/>
      <c r="Y26" s="144"/>
      <c r="Z26" s="144"/>
      <c r="AA26" s="144"/>
      <c r="AB26" s="144"/>
      <c r="AC26" s="144"/>
      <c r="AD26" s="144"/>
      <c r="AE26" s="144"/>
      <c r="AF26" s="144"/>
      <c r="AG26" s="144"/>
      <c r="AH26" s="144"/>
      <c r="AI26" s="144"/>
      <c r="AJ26" s="154"/>
      <c r="AK26" s="144"/>
      <c r="AL26" s="144"/>
      <c r="AM26" s="144"/>
      <c r="AN26" s="113"/>
      <c r="AO26" s="144"/>
      <c r="AP26" s="144"/>
      <c r="AQ26" s="154"/>
      <c r="AR26" s="144"/>
      <c r="AS26" s="144"/>
      <c r="AT26" s="144"/>
      <c r="AU26" s="113"/>
      <c r="AV26" s="144"/>
      <c r="AW26" s="154"/>
      <c r="AX26" s="144"/>
      <c r="AY26" s="144"/>
      <c r="AZ26" s="144"/>
      <c r="BA26" s="144"/>
      <c r="BB26" s="144"/>
      <c r="BC26" s="144"/>
      <c r="BD26" s="154"/>
      <c r="BE26" s="144"/>
      <c r="BF26" s="144"/>
      <c r="BG26" s="144"/>
      <c r="BH26" s="144"/>
      <c r="BI26" s="144"/>
      <c r="BJ26" s="144"/>
      <c r="BK26" s="154"/>
      <c r="BL26" s="154"/>
      <c r="BM26" s="154"/>
      <c r="BN26" s="154"/>
      <c r="BO26" s="154"/>
      <c r="BP26" s="154"/>
      <c r="BQ26" s="154"/>
      <c r="BR26" s="154"/>
      <c r="BS26" s="154"/>
      <c r="BT26" s="154"/>
      <c r="BU26" s="154"/>
      <c r="BV26" s="154"/>
      <c r="BW26" s="154"/>
      <c r="BX26" s="154"/>
    </row>
    <row r="27" ht="15.75" customHeight="1">
      <c r="A27" s="376"/>
      <c r="B27" s="350" t="s">
        <v>1005</v>
      </c>
      <c r="C27" s="83" t="s">
        <v>1006</v>
      </c>
      <c r="D27" s="254" t="s">
        <v>427</v>
      </c>
      <c r="E27" s="109" t="s">
        <v>1011</v>
      </c>
      <c r="F27" s="144" t="s">
        <v>1012</v>
      </c>
      <c r="G27" s="144"/>
      <c r="H27" s="175"/>
      <c r="I27" s="113"/>
      <c r="J27" s="144"/>
      <c r="K27" s="144"/>
      <c r="L27" s="144"/>
      <c r="M27" s="129"/>
      <c r="N27" s="144"/>
      <c r="O27" s="144"/>
      <c r="P27" s="144"/>
      <c r="Q27" s="144"/>
      <c r="R27" s="113"/>
      <c r="S27" s="144"/>
      <c r="T27" s="144" t="s">
        <v>1014</v>
      </c>
      <c r="U27" s="144"/>
      <c r="V27" s="144"/>
      <c r="W27" s="144"/>
      <c r="X27" s="144"/>
      <c r="Y27" s="144"/>
      <c r="Z27" s="144"/>
      <c r="AA27" s="144"/>
      <c r="AB27" s="144"/>
      <c r="AC27" s="144"/>
      <c r="AD27" s="144"/>
      <c r="AE27" s="144"/>
      <c r="AF27" s="144"/>
      <c r="AG27" s="144"/>
      <c r="AH27" s="144"/>
      <c r="AI27" s="144"/>
      <c r="AJ27" s="129"/>
      <c r="AK27" s="144"/>
      <c r="AL27" s="144"/>
      <c r="AM27" s="144"/>
      <c r="AN27" s="109" t="s">
        <v>1016</v>
      </c>
      <c r="AO27" s="144"/>
      <c r="AP27" s="144"/>
      <c r="AQ27" s="129"/>
      <c r="AR27" s="144"/>
      <c r="AS27" s="144"/>
      <c r="AT27" s="144"/>
      <c r="AU27" s="113"/>
      <c r="AV27" s="144"/>
      <c r="AW27" s="129"/>
      <c r="AX27" s="144"/>
      <c r="AY27" s="144"/>
      <c r="AZ27" s="144"/>
      <c r="BA27" s="144"/>
      <c r="BB27" s="144"/>
      <c r="BC27" s="144"/>
      <c r="BD27" s="129"/>
      <c r="BE27" s="144"/>
      <c r="BF27" s="144"/>
      <c r="BG27" s="144"/>
      <c r="BH27" s="144"/>
      <c r="BI27" s="144"/>
      <c r="BJ27" s="144"/>
      <c r="BK27" s="129"/>
      <c r="BL27" s="129"/>
      <c r="BM27" s="129"/>
      <c r="BN27" s="129"/>
      <c r="BO27" s="129"/>
      <c r="BP27" s="129"/>
      <c r="BQ27" s="129"/>
      <c r="BR27" s="129"/>
      <c r="BS27" s="129"/>
      <c r="BT27" s="129"/>
      <c r="BU27" s="129"/>
      <c r="BV27" s="129"/>
      <c r="BW27" s="129"/>
      <c r="BX27" s="129"/>
    </row>
    <row r="28" ht="15.75" customHeight="1">
      <c r="A28" s="373"/>
      <c r="B28" s="270" t="s">
        <v>1020</v>
      </c>
      <c r="C28" s="83" t="s">
        <v>1021</v>
      </c>
      <c r="D28" s="90" t="s">
        <v>841</v>
      </c>
      <c r="E28" s="144"/>
      <c r="F28" s="144" t="s">
        <v>1021</v>
      </c>
      <c r="G28" s="144"/>
      <c r="H28" s="112" t="s">
        <v>1028</v>
      </c>
      <c r="I28" s="113"/>
      <c r="J28" s="144"/>
      <c r="K28" s="144" t="s">
        <v>1030</v>
      </c>
      <c r="L28" s="144" t="s">
        <v>1033</v>
      </c>
      <c r="M28" s="154"/>
      <c r="N28" s="144"/>
      <c r="O28" s="144"/>
      <c r="P28" s="144"/>
      <c r="Q28" s="144" t="s">
        <v>1034</v>
      </c>
      <c r="R28" s="113" t="s">
        <v>1037</v>
      </c>
      <c r="S28" s="144" t="s">
        <v>1038</v>
      </c>
      <c r="T28" s="144"/>
      <c r="U28" s="144"/>
      <c r="V28" s="144" t="s">
        <v>1040</v>
      </c>
      <c r="W28" s="144" t="s">
        <v>1042</v>
      </c>
      <c r="X28" s="144"/>
      <c r="Y28" s="144"/>
      <c r="Z28" s="144"/>
      <c r="AA28" s="144"/>
      <c r="AB28" s="144"/>
      <c r="AC28" s="144"/>
      <c r="AD28" s="144"/>
      <c r="AE28" s="144"/>
      <c r="AF28" s="144"/>
      <c r="AG28" s="144"/>
      <c r="AH28" s="144"/>
      <c r="AI28" s="144"/>
      <c r="AJ28" s="154"/>
      <c r="AK28" s="144"/>
      <c r="AL28" s="144"/>
      <c r="AM28" s="144"/>
      <c r="AN28" s="113"/>
      <c r="AO28" s="144"/>
      <c r="AP28" s="144"/>
      <c r="AQ28" s="154"/>
      <c r="AR28" s="144"/>
      <c r="AS28" s="144"/>
      <c r="AT28" s="144"/>
      <c r="AU28" s="113"/>
      <c r="AV28" s="144"/>
      <c r="AW28" s="154"/>
      <c r="AX28" s="144"/>
      <c r="AY28" s="144"/>
      <c r="AZ28" s="144"/>
      <c r="BA28" s="144"/>
      <c r="BB28" s="144"/>
      <c r="BC28" s="144"/>
      <c r="BD28" s="154"/>
      <c r="BE28" s="144"/>
      <c r="BF28" s="144"/>
      <c r="BG28" s="144"/>
      <c r="BH28" s="144"/>
      <c r="BI28" s="144"/>
      <c r="BJ28" s="144"/>
      <c r="BK28" s="154"/>
      <c r="BL28" s="154"/>
      <c r="BM28" s="154"/>
      <c r="BN28" s="154"/>
      <c r="BO28" s="154"/>
      <c r="BP28" s="154"/>
      <c r="BQ28" s="154"/>
      <c r="BR28" s="154"/>
      <c r="BS28" s="154"/>
      <c r="BT28" s="154"/>
      <c r="BU28" s="154"/>
      <c r="BV28" s="154"/>
      <c r="BW28" s="154"/>
      <c r="BX28" s="154"/>
    </row>
    <row r="29" ht="15.75" customHeight="1">
      <c r="A29" s="169" t="s">
        <v>320</v>
      </c>
      <c r="B29" s="170" t="s">
        <v>1047</v>
      </c>
      <c r="C29" s="83" t="s">
        <v>1048</v>
      </c>
      <c r="D29" s="173"/>
      <c r="E29" s="144" t="s">
        <v>1051</v>
      </c>
      <c r="F29" s="144" t="s">
        <v>1048</v>
      </c>
      <c r="G29" s="144"/>
      <c r="H29" s="112" t="s">
        <v>1054</v>
      </c>
      <c r="I29" s="113"/>
      <c r="J29" s="144"/>
      <c r="K29" s="144"/>
      <c r="L29" s="144" t="s">
        <v>1051</v>
      </c>
      <c r="M29" s="163" t="s">
        <v>1060</v>
      </c>
      <c r="N29" s="144"/>
      <c r="O29" s="144"/>
      <c r="P29" s="144"/>
      <c r="Q29" s="144"/>
      <c r="R29" s="113"/>
      <c r="S29" s="144"/>
      <c r="T29" s="144"/>
      <c r="U29" s="144"/>
      <c r="V29" s="144"/>
      <c r="W29" s="144"/>
      <c r="X29" s="144"/>
      <c r="Y29" s="144"/>
      <c r="Z29" s="144"/>
      <c r="AA29" s="144"/>
      <c r="AB29" s="144"/>
      <c r="AC29" s="144"/>
      <c r="AD29" s="144"/>
      <c r="AE29" s="144"/>
      <c r="AF29" s="144"/>
      <c r="AG29" s="144"/>
      <c r="AH29" s="144"/>
      <c r="AI29" s="144"/>
      <c r="AJ29" s="129"/>
      <c r="AK29" s="144"/>
      <c r="AL29" s="144" t="s">
        <v>1065</v>
      </c>
      <c r="AM29" s="144"/>
      <c r="AN29" s="109" t="s">
        <v>1066</v>
      </c>
      <c r="AO29" s="144"/>
      <c r="AP29" s="144"/>
      <c r="AQ29" s="129"/>
      <c r="AR29" s="144"/>
      <c r="AS29" s="144"/>
      <c r="AT29" s="144"/>
      <c r="AU29" s="113"/>
      <c r="AV29" s="144"/>
      <c r="AW29" s="129"/>
      <c r="AX29" s="144"/>
      <c r="AY29" s="144"/>
      <c r="AZ29" s="144"/>
      <c r="BA29" s="398" t="s">
        <v>1069</v>
      </c>
      <c r="BB29" s="144"/>
      <c r="BC29" s="144"/>
      <c r="BD29" s="129"/>
      <c r="BE29" s="144"/>
      <c r="BF29" s="144"/>
      <c r="BG29" s="144"/>
      <c r="BH29" s="144"/>
      <c r="BI29" s="144"/>
      <c r="BJ29" s="144"/>
      <c r="BK29" s="129"/>
      <c r="BL29" s="129"/>
      <c r="BM29" s="129"/>
      <c r="BN29" s="129"/>
      <c r="BO29" s="129"/>
      <c r="BP29" s="129"/>
      <c r="BQ29" s="129"/>
      <c r="BR29" s="129"/>
      <c r="BS29" s="129"/>
      <c r="BT29" s="129"/>
      <c r="BU29" s="129"/>
      <c r="BV29" s="129"/>
      <c r="BW29" s="129"/>
      <c r="BX29" s="129"/>
    </row>
    <row r="30" ht="15.75" customHeight="1">
      <c r="A30" s="373"/>
      <c r="B30" s="270" t="s">
        <v>1071</v>
      </c>
      <c r="C30" s="83" t="s">
        <v>1072</v>
      </c>
      <c r="D30" s="141"/>
      <c r="E30" s="144"/>
      <c r="F30" s="144" t="s">
        <v>1072</v>
      </c>
      <c r="G30" s="144"/>
      <c r="H30" s="175"/>
      <c r="I30" s="113"/>
      <c r="J30" s="144"/>
      <c r="K30" s="144"/>
      <c r="L30" s="144" t="s">
        <v>1075</v>
      </c>
      <c r="M30" s="147" t="s">
        <v>362</v>
      </c>
      <c r="N30" s="144"/>
      <c r="O30" s="144"/>
      <c r="P30" s="144"/>
      <c r="Q30" s="144"/>
      <c r="R30" s="113"/>
      <c r="S30" s="144"/>
      <c r="T30" s="144"/>
      <c r="U30" s="144"/>
      <c r="V30" s="144"/>
      <c r="W30" s="144"/>
      <c r="X30" s="144"/>
      <c r="Y30" s="144"/>
      <c r="Z30" s="144"/>
      <c r="AA30" s="144"/>
      <c r="AB30" s="144"/>
      <c r="AC30" s="144"/>
      <c r="AD30" s="144"/>
      <c r="AE30" s="144"/>
      <c r="AF30" s="144"/>
      <c r="AG30" s="144"/>
      <c r="AH30" s="144"/>
      <c r="AI30" s="144"/>
      <c r="AJ30" s="154"/>
      <c r="AK30" s="144"/>
      <c r="AL30" s="144" t="s">
        <v>1083</v>
      </c>
      <c r="AM30" s="144"/>
      <c r="AN30" s="117"/>
      <c r="AO30" s="144"/>
      <c r="AP30" s="144"/>
      <c r="AQ30" s="154"/>
      <c r="AR30" s="144"/>
      <c r="AS30" s="144"/>
      <c r="AT30" s="144"/>
      <c r="AU30" s="113"/>
      <c r="AV30" s="144"/>
      <c r="AW30" s="154"/>
      <c r="AX30" s="144"/>
      <c r="AY30" s="144"/>
      <c r="AZ30" s="144"/>
      <c r="BA30" s="144"/>
      <c r="BB30" s="144"/>
      <c r="BC30" s="144"/>
      <c r="BD30" s="154"/>
      <c r="BE30" s="144"/>
      <c r="BF30" s="144"/>
      <c r="BG30" s="144"/>
      <c r="BH30" s="144"/>
      <c r="BI30" s="144"/>
      <c r="BJ30" s="144"/>
      <c r="BK30" s="154"/>
      <c r="BL30" s="154"/>
      <c r="BM30" s="154"/>
      <c r="BN30" s="154"/>
      <c r="BO30" s="154"/>
      <c r="BP30" s="154"/>
      <c r="BQ30" s="154"/>
      <c r="BR30" s="154"/>
      <c r="BS30" s="154"/>
      <c r="BT30" s="154"/>
      <c r="BU30" s="154"/>
      <c r="BV30" s="154"/>
      <c r="BW30" s="154"/>
      <c r="BX30" s="154"/>
    </row>
    <row r="31" ht="15.75" customHeight="1">
      <c r="A31" s="400"/>
      <c r="B31" s="350" t="s">
        <v>1087</v>
      </c>
      <c r="C31" s="83" t="s">
        <v>1088</v>
      </c>
      <c r="D31" s="401" t="s">
        <v>1075</v>
      </c>
      <c r="E31" s="144"/>
      <c r="F31" s="144" t="s">
        <v>1092</v>
      </c>
      <c r="G31" s="144"/>
      <c r="H31" s="175"/>
      <c r="I31" s="113"/>
      <c r="J31" s="144" t="s">
        <v>1094</v>
      </c>
      <c r="K31" s="144" t="s">
        <v>1095</v>
      </c>
      <c r="L31" s="144" t="s">
        <v>1097</v>
      </c>
      <c r="M31" s="163" t="s">
        <v>1100</v>
      </c>
      <c r="N31" s="144"/>
      <c r="O31" s="144" t="s">
        <v>1102</v>
      </c>
      <c r="P31" s="144" t="s">
        <v>1075</v>
      </c>
      <c r="Q31" s="144"/>
      <c r="R31" s="113"/>
      <c r="S31" s="144"/>
      <c r="T31" s="144"/>
      <c r="U31" s="144"/>
      <c r="V31" s="144"/>
      <c r="W31" s="144"/>
      <c r="X31" s="144"/>
      <c r="Y31" s="144"/>
      <c r="Z31" s="144" t="s">
        <v>1104</v>
      </c>
      <c r="AA31" s="144"/>
      <c r="AB31" s="144"/>
      <c r="AC31" s="144" t="s">
        <v>984</v>
      </c>
      <c r="AD31" s="144"/>
      <c r="AE31" s="144"/>
      <c r="AF31" s="144"/>
      <c r="AG31" s="144"/>
      <c r="AH31" s="144"/>
      <c r="AI31" s="144"/>
      <c r="AJ31" s="129"/>
      <c r="AK31" s="144"/>
      <c r="AL31" s="144" t="s">
        <v>1106</v>
      </c>
      <c r="AM31" s="144"/>
      <c r="AN31" s="113"/>
      <c r="AO31" s="144"/>
      <c r="AP31" s="144"/>
      <c r="AQ31" s="129"/>
      <c r="AR31" s="144"/>
      <c r="AS31" s="144"/>
      <c r="AT31" s="144"/>
      <c r="AU31" s="113"/>
      <c r="AV31" s="144"/>
      <c r="AW31" s="129"/>
      <c r="AX31" s="144"/>
      <c r="AY31" s="144"/>
      <c r="AZ31" s="144"/>
      <c r="BA31" s="144"/>
      <c r="BB31" s="144"/>
      <c r="BC31" s="144"/>
      <c r="BD31" s="129"/>
      <c r="BE31" s="144"/>
      <c r="BF31" s="144"/>
      <c r="BG31" s="144"/>
      <c r="BH31" s="144"/>
      <c r="BI31" s="144"/>
      <c r="BJ31" s="144"/>
      <c r="BK31" s="129"/>
      <c r="BL31" s="129"/>
      <c r="BM31" s="129"/>
      <c r="BN31" s="129"/>
      <c r="BO31" s="129"/>
      <c r="BP31" s="129"/>
      <c r="BQ31" s="129"/>
      <c r="BR31" s="129"/>
      <c r="BS31" s="129"/>
      <c r="BT31" s="129"/>
      <c r="BU31" s="129"/>
      <c r="BV31" s="129"/>
      <c r="BW31" s="129"/>
      <c r="BX31" s="129"/>
    </row>
    <row r="32" ht="15.75" customHeight="1">
      <c r="A32" s="408"/>
      <c r="B32" s="270" t="s">
        <v>1110</v>
      </c>
      <c r="C32" s="83" t="s">
        <v>1111</v>
      </c>
      <c r="D32" s="141"/>
      <c r="E32" s="144"/>
      <c r="F32" s="144" t="s">
        <v>1114</v>
      </c>
      <c r="G32" s="144"/>
      <c r="H32" s="112" t="s">
        <v>1115</v>
      </c>
      <c r="I32" s="113"/>
      <c r="J32" s="144" t="s">
        <v>1092</v>
      </c>
      <c r="K32" s="144" t="s">
        <v>1111</v>
      </c>
      <c r="L32" s="144" t="s">
        <v>1118</v>
      </c>
      <c r="M32" s="147" t="s">
        <v>1121</v>
      </c>
      <c r="N32" s="144"/>
      <c r="O32" s="144" t="s">
        <v>1126</v>
      </c>
      <c r="P32" s="144" t="s">
        <v>1129</v>
      </c>
      <c r="Q32" s="144"/>
      <c r="R32" s="113"/>
      <c r="S32" s="144"/>
      <c r="T32" s="144"/>
      <c r="U32" s="144"/>
      <c r="V32" s="144"/>
      <c r="W32" s="144"/>
      <c r="X32" s="144"/>
      <c r="Y32" s="144"/>
      <c r="Z32" s="144"/>
      <c r="AA32" s="144"/>
      <c r="AB32" s="144"/>
      <c r="AC32" s="144"/>
      <c r="AD32" s="144"/>
      <c r="AE32" s="144"/>
      <c r="AF32" s="144"/>
      <c r="AG32" s="144"/>
      <c r="AH32" s="144"/>
      <c r="AI32" s="144"/>
      <c r="AJ32" s="154"/>
      <c r="AK32" s="144"/>
      <c r="AL32" s="144" t="s">
        <v>1132</v>
      </c>
      <c r="AM32" s="144"/>
      <c r="AN32" s="113"/>
      <c r="AO32" s="144"/>
      <c r="AP32" s="144"/>
      <c r="AQ32" s="154"/>
      <c r="AR32" s="144"/>
      <c r="AS32" s="144"/>
      <c r="AT32" s="144"/>
      <c r="AU32" s="113"/>
      <c r="AV32" s="144"/>
      <c r="AW32" s="154"/>
      <c r="AX32" s="144"/>
      <c r="AY32" s="144"/>
      <c r="AZ32" s="144"/>
      <c r="BA32" s="144"/>
      <c r="BB32" s="144"/>
      <c r="BC32" s="144"/>
      <c r="BD32" s="154"/>
      <c r="BE32" s="144"/>
      <c r="BF32" s="144"/>
      <c r="BG32" s="144"/>
      <c r="BH32" s="144"/>
      <c r="BI32" s="144"/>
      <c r="BJ32" s="144"/>
      <c r="BK32" s="154"/>
      <c r="BL32" s="154"/>
      <c r="BM32" s="154"/>
      <c r="BN32" s="154"/>
      <c r="BO32" s="154"/>
      <c r="BP32" s="154"/>
      <c r="BQ32" s="154"/>
      <c r="BR32" s="154"/>
      <c r="BS32" s="154"/>
      <c r="BT32" s="154"/>
      <c r="BU32" s="154"/>
      <c r="BV32" s="154"/>
      <c r="BW32" s="154"/>
      <c r="BX32" s="154"/>
    </row>
    <row r="33" ht="15.75" customHeight="1">
      <c r="A33" s="400"/>
      <c r="B33" s="350" t="s">
        <v>1135</v>
      </c>
      <c r="C33" s="83" t="s">
        <v>1136</v>
      </c>
      <c r="D33" s="173"/>
      <c r="E33" s="144"/>
      <c r="F33" s="144" t="s">
        <v>1136</v>
      </c>
      <c r="G33" s="144"/>
      <c r="H33" s="175"/>
      <c r="I33" s="113"/>
      <c r="J33" s="144"/>
      <c r="K33" s="144"/>
      <c r="L33" s="144" t="s">
        <v>1138</v>
      </c>
      <c r="M33" s="129"/>
      <c r="N33" s="144"/>
      <c r="O33" s="144"/>
      <c r="P33" s="144"/>
      <c r="Q33" s="144"/>
      <c r="R33" s="113"/>
      <c r="S33" s="144"/>
      <c r="T33" s="144"/>
      <c r="U33" s="144"/>
      <c r="V33" s="144"/>
      <c r="W33" s="144"/>
      <c r="X33" s="144"/>
      <c r="Y33" s="144"/>
      <c r="Z33" s="144"/>
      <c r="AA33" s="144"/>
      <c r="AB33" s="144"/>
      <c r="AC33" s="144"/>
      <c r="AD33" s="144"/>
      <c r="AE33" s="144"/>
      <c r="AF33" s="144"/>
      <c r="AG33" s="144"/>
      <c r="AH33" s="144"/>
      <c r="AI33" s="144"/>
      <c r="AJ33" s="129"/>
      <c r="AK33" s="144"/>
      <c r="AL33" s="144"/>
      <c r="AM33" s="144"/>
      <c r="AN33" s="113"/>
      <c r="AO33" s="144"/>
      <c r="AP33" s="144"/>
      <c r="AQ33" s="129"/>
      <c r="AR33" s="144"/>
      <c r="AS33" s="144"/>
      <c r="AT33" s="144"/>
      <c r="AU33" s="113"/>
      <c r="AV33" s="144"/>
      <c r="AW33" s="129"/>
      <c r="AX33" s="144"/>
      <c r="AY33" s="144"/>
      <c r="AZ33" s="144"/>
      <c r="BA33" s="144"/>
      <c r="BB33" s="144"/>
      <c r="BC33" s="144"/>
      <c r="BD33" s="129"/>
      <c r="BE33" s="144"/>
      <c r="BF33" s="144"/>
      <c r="BG33" s="144"/>
      <c r="BH33" s="144"/>
      <c r="BI33" s="144"/>
      <c r="BJ33" s="144"/>
      <c r="BK33" s="129"/>
      <c r="BL33" s="129"/>
      <c r="BM33" s="129"/>
      <c r="BN33" s="129"/>
      <c r="BO33" s="129"/>
      <c r="BP33" s="129"/>
      <c r="BQ33" s="129"/>
      <c r="BR33" s="129"/>
      <c r="BS33" s="129"/>
      <c r="BT33" s="129"/>
      <c r="BU33" s="129"/>
      <c r="BV33" s="129"/>
      <c r="BW33" s="129"/>
      <c r="BX33" s="129"/>
    </row>
    <row r="34" ht="15.75" customHeight="1">
      <c r="A34" s="408"/>
      <c r="B34" s="270" t="s">
        <v>1143</v>
      </c>
      <c r="C34" s="83" t="s">
        <v>1126</v>
      </c>
      <c r="D34" s="141"/>
      <c r="E34" s="144"/>
      <c r="F34" s="144" t="s">
        <v>1146</v>
      </c>
      <c r="G34" s="144"/>
      <c r="H34" s="175"/>
      <c r="I34" s="113"/>
      <c r="J34" s="144"/>
      <c r="K34" s="144"/>
      <c r="L34" s="144" t="s">
        <v>1088</v>
      </c>
      <c r="M34" s="154"/>
      <c r="N34" s="144"/>
      <c r="O34" s="144" t="s">
        <v>1126</v>
      </c>
      <c r="P34" s="144"/>
      <c r="Q34" s="144"/>
      <c r="R34" s="113"/>
      <c r="S34" s="144"/>
      <c r="T34" s="144"/>
      <c r="U34" s="144"/>
      <c r="V34" s="144"/>
      <c r="W34" s="144"/>
      <c r="X34" s="144"/>
      <c r="Y34" s="144"/>
      <c r="Z34" s="144"/>
      <c r="AA34" s="144"/>
      <c r="AB34" s="144"/>
      <c r="AC34" s="144"/>
      <c r="AD34" s="144"/>
      <c r="AE34" s="144"/>
      <c r="AF34" s="144"/>
      <c r="AG34" s="144"/>
      <c r="AH34" s="144"/>
      <c r="AI34" s="144"/>
      <c r="AJ34" s="154"/>
      <c r="AK34" s="144"/>
      <c r="AL34" s="144"/>
      <c r="AM34" s="144"/>
      <c r="AN34" s="113"/>
      <c r="AO34" s="144"/>
      <c r="AP34" s="144"/>
      <c r="AQ34" s="154"/>
      <c r="AR34" s="144"/>
      <c r="AS34" s="144"/>
      <c r="AT34" s="144"/>
      <c r="AU34" s="113"/>
      <c r="AV34" s="144"/>
      <c r="AW34" s="154"/>
      <c r="AX34" s="144"/>
      <c r="AY34" s="144"/>
      <c r="AZ34" s="144"/>
      <c r="BA34" s="144"/>
      <c r="BB34" s="144"/>
      <c r="BC34" s="144"/>
      <c r="BD34" s="154"/>
      <c r="BE34" s="144"/>
      <c r="BF34" s="144"/>
      <c r="BG34" s="144"/>
      <c r="BH34" s="144"/>
      <c r="BI34" s="144"/>
      <c r="BJ34" s="144"/>
      <c r="BK34" s="154"/>
      <c r="BL34" s="154"/>
      <c r="BM34" s="154"/>
      <c r="BN34" s="154"/>
      <c r="BO34" s="154"/>
      <c r="BP34" s="154"/>
      <c r="BQ34" s="154"/>
      <c r="BR34" s="154"/>
      <c r="BS34" s="154"/>
      <c r="BT34" s="154"/>
      <c r="BU34" s="154"/>
      <c r="BV34" s="154"/>
      <c r="BW34" s="154"/>
      <c r="BX34" s="154"/>
    </row>
    <row r="35" ht="15.75" customHeight="1">
      <c r="A35" s="234"/>
      <c r="B35" s="350" t="s">
        <v>1154</v>
      </c>
      <c r="C35" s="83" t="s">
        <v>1155</v>
      </c>
      <c r="D35" s="173"/>
      <c r="E35" s="144"/>
      <c r="F35" s="144" t="s">
        <v>1097</v>
      </c>
      <c r="G35" s="144"/>
      <c r="H35" s="175"/>
      <c r="I35" s="290" t="s">
        <v>1159</v>
      </c>
      <c r="J35" s="144"/>
      <c r="K35" s="144" t="s">
        <v>1155</v>
      </c>
      <c r="L35" s="144" t="s">
        <v>1136</v>
      </c>
      <c r="M35" s="163" t="s">
        <v>1060</v>
      </c>
      <c r="N35" s="144"/>
      <c r="O35" s="144" t="s">
        <v>1167</v>
      </c>
      <c r="P35" s="144"/>
      <c r="Q35" s="144"/>
      <c r="R35" s="113"/>
      <c r="S35" s="144" t="s">
        <v>1168</v>
      </c>
      <c r="T35" s="144"/>
      <c r="U35" s="109" t="s">
        <v>1155</v>
      </c>
      <c r="V35" s="144"/>
      <c r="W35" s="144"/>
      <c r="X35" s="144"/>
      <c r="Y35" s="144"/>
      <c r="Z35" s="144"/>
      <c r="AA35" s="144"/>
      <c r="AB35" s="144"/>
      <c r="AC35" s="144"/>
      <c r="AD35" s="144"/>
      <c r="AE35" s="144"/>
      <c r="AF35" s="144"/>
      <c r="AG35" s="144"/>
      <c r="AH35" s="144"/>
      <c r="AI35" s="144"/>
      <c r="AJ35" s="129"/>
      <c r="AK35" s="144"/>
      <c r="AL35" s="144"/>
      <c r="AM35" s="144"/>
      <c r="AN35" s="299"/>
      <c r="AO35" s="144"/>
      <c r="AP35" s="144"/>
      <c r="AQ35" s="129"/>
      <c r="AR35" s="144"/>
      <c r="AS35" s="144"/>
      <c r="AT35" s="144"/>
      <c r="AU35" s="299"/>
      <c r="AV35" s="144"/>
      <c r="AW35" s="129"/>
      <c r="AX35" s="144"/>
      <c r="AY35" s="144"/>
      <c r="AZ35" s="144"/>
      <c r="BA35" s="144"/>
      <c r="BB35" s="144"/>
      <c r="BC35" s="144"/>
      <c r="BD35" s="129"/>
      <c r="BE35" s="144"/>
      <c r="BF35" s="144"/>
      <c r="BG35" s="144"/>
      <c r="BH35" s="144"/>
      <c r="BI35" s="144"/>
      <c r="BJ35" s="144"/>
      <c r="BK35" s="129"/>
      <c r="BL35" s="129"/>
      <c r="BM35" s="129"/>
      <c r="BN35" s="129"/>
      <c r="BO35" s="129"/>
      <c r="BP35" s="129"/>
      <c r="BQ35" s="129"/>
      <c r="BR35" s="129"/>
      <c r="BS35" s="129"/>
      <c r="BT35" s="129"/>
      <c r="BU35" s="129"/>
      <c r="BV35" s="129"/>
      <c r="BW35" s="129"/>
      <c r="BX35" s="129"/>
    </row>
    <row r="36" ht="15.75" customHeight="1">
      <c r="A36" s="134"/>
      <c r="B36" s="270" t="s">
        <v>1174</v>
      </c>
      <c r="C36" s="83" t="s">
        <v>1175</v>
      </c>
      <c r="D36" s="141"/>
      <c r="E36" s="144"/>
      <c r="F36" s="144" t="s">
        <v>1177</v>
      </c>
      <c r="G36" s="144"/>
      <c r="H36" s="175"/>
      <c r="I36" s="113"/>
      <c r="J36" s="144"/>
      <c r="K36" s="144" t="s">
        <v>1175</v>
      </c>
      <c r="L36" s="144" t="s">
        <v>1180</v>
      </c>
      <c r="M36" s="154"/>
      <c r="N36" s="144" t="s">
        <v>1183</v>
      </c>
      <c r="O36" s="144" t="s">
        <v>1126</v>
      </c>
      <c r="P36" s="144"/>
      <c r="Q36" s="144"/>
      <c r="R36" s="113"/>
      <c r="S36" s="144"/>
      <c r="T36" s="144"/>
      <c r="U36" s="144"/>
      <c r="V36" s="144"/>
      <c r="W36" s="144"/>
      <c r="X36" s="144"/>
      <c r="Y36" s="144"/>
      <c r="Z36" s="144"/>
      <c r="AA36" s="144"/>
      <c r="AB36" s="144"/>
      <c r="AC36" s="144"/>
      <c r="AD36" s="144"/>
      <c r="AE36" s="144"/>
      <c r="AF36" s="144"/>
      <c r="AG36" s="144"/>
      <c r="AH36" s="144"/>
      <c r="AI36" s="144"/>
      <c r="AJ36" s="154"/>
      <c r="AK36" s="144"/>
      <c r="AL36" s="144"/>
      <c r="AM36" s="144"/>
      <c r="AN36" s="113"/>
      <c r="AO36" s="144"/>
      <c r="AP36" s="144"/>
      <c r="AQ36" s="154"/>
      <c r="AR36" s="144"/>
      <c r="AS36" s="144"/>
      <c r="AT36" s="144"/>
      <c r="AU36" s="113"/>
      <c r="AV36" s="144"/>
      <c r="AW36" s="154"/>
      <c r="AX36" s="144"/>
      <c r="AY36" s="144"/>
      <c r="AZ36" s="144"/>
      <c r="BA36" s="144"/>
      <c r="BB36" s="144"/>
      <c r="BC36" s="144"/>
      <c r="BD36" s="154"/>
      <c r="BE36" s="144"/>
      <c r="BF36" s="144"/>
      <c r="BG36" s="144"/>
      <c r="BH36" s="144"/>
      <c r="BI36" s="144"/>
      <c r="BJ36" s="144"/>
      <c r="BK36" s="154"/>
      <c r="BL36" s="154"/>
      <c r="BM36" s="154"/>
      <c r="BN36" s="154"/>
      <c r="BO36" s="154"/>
      <c r="BP36" s="154"/>
      <c r="BQ36" s="154"/>
      <c r="BR36" s="154"/>
      <c r="BS36" s="154"/>
      <c r="BT36" s="154"/>
      <c r="BU36" s="154"/>
      <c r="BV36" s="154"/>
      <c r="BW36" s="154"/>
      <c r="BX36" s="154"/>
    </row>
    <row r="37" ht="15.75" customHeight="1">
      <c r="A37" s="400"/>
      <c r="B37" s="350" t="s">
        <v>1189</v>
      </c>
      <c r="C37" s="83" t="s">
        <v>1190</v>
      </c>
      <c r="D37" s="254" t="s">
        <v>1192</v>
      </c>
      <c r="E37" s="144" t="s">
        <v>1194</v>
      </c>
      <c r="F37" s="144" t="s">
        <v>1155</v>
      </c>
      <c r="G37" s="144"/>
      <c r="H37" s="175"/>
      <c r="I37" s="113"/>
      <c r="J37" s="144" t="s">
        <v>1198</v>
      </c>
      <c r="K37" s="144" t="s">
        <v>1190</v>
      </c>
      <c r="L37" s="144" t="s">
        <v>1183</v>
      </c>
      <c r="M37" s="129"/>
      <c r="N37" s="144"/>
      <c r="O37" s="144" t="s">
        <v>1180</v>
      </c>
      <c r="P37" s="144"/>
      <c r="Q37" s="144"/>
      <c r="R37" s="113"/>
      <c r="S37" s="144" t="s">
        <v>1204</v>
      </c>
      <c r="T37" s="109" t="s">
        <v>1155</v>
      </c>
      <c r="U37" s="144"/>
      <c r="V37" s="144"/>
      <c r="W37" s="144"/>
      <c r="X37" s="144" t="s">
        <v>1207</v>
      </c>
      <c r="Y37" s="144"/>
      <c r="Z37" s="144"/>
      <c r="AA37" s="144"/>
      <c r="AB37" s="144"/>
      <c r="AC37" s="144" t="s">
        <v>1208</v>
      </c>
      <c r="AD37" s="144"/>
      <c r="AE37" s="144"/>
      <c r="AF37" s="144"/>
      <c r="AG37" s="144"/>
      <c r="AH37" s="144"/>
      <c r="AI37" s="144"/>
      <c r="AJ37" s="129"/>
      <c r="AK37" s="144"/>
      <c r="AL37" s="144"/>
      <c r="AM37" s="144"/>
      <c r="AN37" s="113"/>
      <c r="AO37" s="144"/>
      <c r="AP37" s="144"/>
      <c r="AQ37" s="129"/>
      <c r="AR37" s="144"/>
      <c r="AS37" s="144"/>
      <c r="AT37" s="144"/>
      <c r="AU37" s="113"/>
      <c r="AV37" s="144"/>
      <c r="AW37" s="129"/>
      <c r="AX37" s="144"/>
      <c r="AY37" s="144"/>
      <c r="AZ37" s="144"/>
      <c r="BA37" s="144"/>
      <c r="BB37" s="144"/>
      <c r="BC37" s="144"/>
      <c r="BD37" s="129"/>
      <c r="BE37" s="144"/>
      <c r="BF37" s="144"/>
      <c r="BG37" s="144"/>
      <c r="BH37" s="144"/>
      <c r="BI37" s="144"/>
      <c r="BJ37" s="144"/>
      <c r="BK37" s="129"/>
      <c r="BL37" s="129"/>
      <c r="BM37" s="129"/>
      <c r="BN37" s="129"/>
      <c r="BO37" s="129"/>
      <c r="BP37" s="129"/>
      <c r="BQ37" s="129"/>
      <c r="BR37" s="129"/>
      <c r="BS37" s="129"/>
      <c r="BT37" s="129"/>
      <c r="BU37" s="129"/>
      <c r="BV37" s="129"/>
      <c r="BW37" s="129"/>
      <c r="BX37" s="129"/>
    </row>
    <row r="38" ht="15.75" customHeight="1">
      <c r="A38" s="134"/>
      <c r="B38" s="270" t="s">
        <v>1213</v>
      </c>
      <c r="C38" s="83" t="s">
        <v>1214</v>
      </c>
      <c r="D38" s="90" t="s">
        <v>1218</v>
      </c>
      <c r="E38" s="144"/>
      <c r="F38" s="144" t="s">
        <v>1220</v>
      </c>
      <c r="G38" s="144" t="s">
        <v>1214</v>
      </c>
      <c r="H38" s="112" t="s">
        <v>1223</v>
      </c>
      <c r="I38" s="113"/>
      <c r="J38" s="144" t="s">
        <v>615</v>
      </c>
      <c r="K38" s="144" t="s">
        <v>1229</v>
      </c>
      <c r="L38" s="144" t="s">
        <v>1230</v>
      </c>
      <c r="M38" s="154"/>
      <c r="N38" s="144"/>
      <c r="O38" s="144"/>
      <c r="P38" s="144"/>
      <c r="Q38" s="144" t="s">
        <v>615</v>
      </c>
      <c r="R38" s="113" t="s">
        <v>1237</v>
      </c>
      <c r="S38" s="144" t="str">
        <f>HYPERLINK("https://clips.twitch.tv/AggressiveBigTeaNononoCat","40.26")</f>
        <v>40.26</v>
      </c>
      <c r="T38" s="144" t="s">
        <v>1239</v>
      </c>
      <c r="U38" s="144"/>
      <c r="V38" s="144"/>
      <c r="W38" s="144" t="s">
        <v>1220</v>
      </c>
      <c r="X38" s="144"/>
      <c r="Y38" s="144"/>
      <c r="Z38" s="144"/>
      <c r="AA38" s="144"/>
      <c r="AB38" s="144"/>
      <c r="AC38" s="144"/>
      <c r="AD38" s="144"/>
      <c r="AE38" s="144"/>
      <c r="AF38" s="144"/>
      <c r="AG38" s="144"/>
      <c r="AH38" s="144"/>
      <c r="AI38" s="144"/>
      <c r="AJ38" s="154"/>
      <c r="AK38" s="144"/>
      <c r="AL38" s="144"/>
      <c r="AM38" s="144"/>
      <c r="AN38" s="117"/>
      <c r="AO38" s="144" t="s">
        <v>1247</v>
      </c>
      <c r="AP38" s="144"/>
      <c r="AQ38" s="154"/>
      <c r="AR38" s="144"/>
      <c r="AS38" s="144"/>
      <c r="AT38" s="144"/>
      <c r="AU38" s="113"/>
      <c r="AV38" s="144"/>
      <c r="AW38" s="154"/>
      <c r="AX38" s="144"/>
      <c r="AY38" s="144"/>
      <c r="AZ38" s="144"/>
      <c r="BA38" s="144"/>
      <c r="BB38" s="144"/>
      <c r="BC38" s="144"/>
      <c r="BD38" s="154"/>
      <c r="BE38" s="144"/>
      <c r="BF38" s="144"/>
      <c r="BG38" s="144"/>
      <c r="BH38" s="144"/>
      <c r="BI38" s="144"/>
      <c r="BJ38" s="144"/>
      <c r="BK38" s="154"/>
      <c r="BL38" s="154"/>
      <c r="BM38" s="154"/>
      <c r="BN38" s="154"/>
      <c r="BO38" s="154"/>
      <c r="BP38" s="154"/>
      <c r="BQ38" s="154"/>
      <c r="BR38" s="154"/>
      <c r="BS38" s="154"/>
      <c r="BT38" s="154"/>
      <c r="BU38" s="154"/>
      <c r="BV38" s="154"/>
      <c r="BW38" s="154"/>
      <c r="BX38" s="154"/>
    </row>
    <row r="39" ht="15.75" customHeight="1">
      <c r="A39" s="169" t="s">
        <v>410</v>
      </c>
      <c r="B39" s="170" t="s">
        <v>1260</v>
      </c>
      <c r="C39" s="83" t="s">
        <v>1261</v>
      </c>
      <c r="D39" s="254" t="s">
        <v>1266</v>
      </c>
      <c r="E39" s="144" t="s">
        <v>1270</v>
      </c>
      <c r="F39" s="144" t="s">
        <v>1261</v>
      </c>
      <c r="G39" s="144"/>
      <c r="H39" s="112" t="s">
        <v>1272</v>
      </c>
      <c r="I39" s="113" t="s">
        <v>1278</v>
      </c>
      <c r="J39" s="144"/>
      <c r="K39" s="144"/>
      <c r="L39" s="144" t="s">
        <v>1077</v>
      </c>
      <c r="M39" s="163" t="s">
        <v>1292</v>
      </c>
      <c r="N39" s="144"/>
      <c r="O39" s="144"/>
      <c r="P39" s="144"/>
      <c r="Q39" s="144"/>
      <c r="R39" s="113"/>
      <c r="S39" s="144" t="s">
        <v>232</v>
      </c>
      <c r="T39" s="144"/>
      <c r="U39" s="144"/>
      <c r="V39" s="144"/>
      <c r="W39" s="144"/>
      <c r="X39" s="144"/>
      <c r="Y39" s="144"/>
      <c r="Z39" s="144" t="s">
        <v>1308</v>
      </c>
      <c r="AA39" s="144" t="s">
        <v>1318</v>
      </c>
      <c r="AB39" s="144"/>
      <c r="AC39" s="144" t="s">
        <v>1320</v>
      </c>
      <c r="AD39" s="144"/>
      <c r="AE39" s="144"/>
      <c r="AF39" s="144"/>
      <c r="AG39" s="144"/>
      <c r="AH39" s="144"/>
      <c r="AI39" s="144"/>
      <c r="AJ39" s="129"/>
      <c r="AK39" s="144"/>
      <c r="AL39" s="144"/>
      <c r="AM39" s="144"/>
      <c r="AN39" s="117"/>
      <c r="AO39" s="144"/>
      <c r="AP39" s="144"/>
      <c r="AQ39" s="129"/>
      <c r="AR39" s="144"/>
      <c r="AS39" s="144"/>
      <c r="AT39" s="144"/>
      <c r="AU39" s="113"/>
      <c r="AV39" s="144"/>
      <c r="AW39" s="129"/>
      <c r="AX39" s="144"/>
      <c r="AY39" s="144"/>
      <c r="AZ39" s="144"/>
      <c r="BA39" s="144"/>
      <c r="BB39" s="144"/>
      <c r="BC39" s="144"/>
      <c r="BD39" s="129"/>
      <c r="BE39" s="144"/>
      <c r="BF39" s="144"/>
      <c r="BG39" s="144"/>
      <c r="BH39" s="144"/>
      <c r="BI39" s="144"/>
      <c r="BJ39" s="144"/>
      <c r="BK39" s="129"/>
      <c r="BL39" s="129"/>
      <c r="BM39" s="129"/>
      <c r="BN39" s="129"/>
      <c r="BO39" s="129"/>
      <c r="BP39" s="129"/>
      <c r="BQ39" s="129"/>
      <c r="BR39" s="129"/>
      <c r="BS39" s="129"/>
      <c r="BT39" s="129"/>
      <c r="BU39" s="129"/>
      <c r="BV39" s="129"/>
      <c r="BW39" s="129"/>
      <c r="BX39" s="129"/>
    </row>
    <row r="40" ht="15.75" customHeight="1">
      <c r="A40" s="464"/>
      <c r="B40" s="135" t="s">
        <v>1353</v>
      </c>
      <c r="C40" s="83" t="s">
        <v>1356</v>
      </c>
      <c r="D40" s="182" t="s">
        <v>1371</v>
      </c>
      <c r="E40" s="144" t="s">
        <v>1378</v>
      </c>
      <c r="F40" s="144" t="s">
        <v>1380</v>
      </c>
      <c r="G40" s="144" t="s">
        <v>1392</v>
      </c>
      <c r="H40" s="112" t="s">
        <v>1397</v>
      </c>
      <c r="I40" s="113"/>
      <c r="J40" s="144"/>
      <c r="K40" s="144" t="s">
        <v>1402</v>
      </c>
      <c r="L40" s="144" t="s">
        <v>1405</v>
      </c>
      <c r="N40" s="144"/>
      <c r="O40" s="144"/>
      <c r="P40" s="144"/>
      <c r="Q40" s="144"/>
      <c r="R40" s="113"/>
      <c r="S40" s="144" t="s">
        <v>865</v>
      </c>
      <c r="T40" s="144"/>
      <c r="U40" s="144"/>
      <c r="V40" s="144" t="s">
        <v>1408</v>
      </c>
      <c r="W40" s="144"/>
      <c r="X40" s="144"/>
      <c r="Y40" s="144"/>
      <c r="Z40" s="144"/>
      <c r="AA40" s="144" t="s">
        <v>857</v>
      </c>
      <c r="AB40" s="144"/>
      <c r="AC40" s="144"/>
      <c r="AD40" s="144"/>
      <c r="AE40" s="144"/>
      <c r="AF40" s="144"/>
      <c r="AG40" s="144"/>
      <c r="AH40" s="144"/>
      <c r="AI40" s="144"/>
      <c r="AJ40" s="154"/>
      <c r="AK40" s="144"/>
      <c r="AL40" s="144"/>
      <c r="AM40" s="144"/>
      <c r="AN40" s="113"/>
      <c r="AO40" s="144"/>
      <c r="AP40" s="144"/>
      <c r="AQ40" s="154"/>
      <c r="AR40" s="144"/>
      <c r="AS40" s="144"/>
      <c r="AT40" s="144"/>
      <c r="AU40" s="113"/>
      <c r="AV40" s="144"/>
      <c r="AW40" s="154"/>
      <c r="AX40" s="144"/>
      <c r="AY40" s="144"/>
      <c r="AZ40" s="144"/>
      <c r="BA40" s="144"/>
      <c r="BB40" s="144"/>
      <c r="BC40" s="144"/>
      <c r="BD40" s="154"/>
      <c r="BE40" s="144" t="s">
        <v>1356</v>
      </c>
      <c r="BF40" s="144"/>
      <c r="BG40" s="144"/>
      <c r="BH40" s="144"/>
      <c r="BI40" s="144"/>
      <c r="BJ40" s="144"/>
      <c r="BK40" s="154"/>
      <c r="BL40" s="154"/>
      <c r="BM40" s="154"/>
      <c r="BN40" s="154"/>
      <c r="BO40" s="154"/>
      <c r="BP40" s="154"/>
      <c r="BQ40" s="154"/>
      <c r="BR40" s="154"/>
      <c r="BS40" s="154"/>
      <c r="BT40" s="154"/>
      <c r="BU40" s="154"/>
      <c r="BV40" s="154"/>
      <c r="BW40" s="154"/>
      <c r="BX40" s="154"/>
    </row>
    <row r="41" ht="15.75" customHeight="1">
      <c r="A41" s="76" t="s">
        <v>1423</v>
      </c>
      <c r="B41" s="77" t="s">
        <v>1424</v>
      </c>
      <c r="C41" s="83" t="s">
        <v>1425</v>
      </c>
      <c r="D41" s="173"/>
      <c r="E41" s="144" t="s">
        <v>1431</v>
      </c>
      <c r="F41" s="144" t="s">
        <v>673</v>
      </c>
      <c r="G41" s="144" t="s">
        <v>1436</v>
      </c>
      <c r="H41" s="175"/>
      <c r="I41" s="113"/>
      <c r="J41" s="144" t="str">
        <f>HYPERLINK("https://youtu.be/WdBDZlWcLa8","16.95")</f>
        <v>16.95</v>
      </c>
      <c r="K41" s="144"/>
      <c r="L41" s="144"/>
      <c r="M41" s="147" t="s">
        <v>1441</v>
      </c>
      <c r="N41" s="144"/>
      <c r="O41" s="144"/>
      <c r="P41" s="144" t="str">
        <f>HYPERLINK("https://youtu.be/FwtG-kRM0SE","17.64")</f>
        <v>17.64</v>
      </c>
      <c r="Q41" s="144"/>
      <c r="R41" s="113" t="s">
        <v>1445</v>
      </c>
      <c r="S41" s="144" t="str">
        <f>HYPERLINK("https://clips.twitch.tv/VainSmokyPotSeemsGood","16.88")</f>
        <v>16.88</v>
      </c>
      <c r="T41" s="144"/>
      <c r="U41" s="144"/>
      <c r="V41" s="144" t="s">
        <v>1425</v>
      </c>
      <c r="W41" s="144"/>
      <c r="X41" s="144" t="s">
        <v>662</v>
      </c>
      <c r="Y41" s="144"/>
      <c r="Z41" s="144"/>
      <c r="AA41" s="144"/>
      <c r="AB41" s="144"/>
      <c r="AC41" s="144"/>
      <c r="AD41" s="144"/>
      <c r="AE41" s="144"/>
      <c r="AF41" s="144"/>
      <c r="AG41" s="144"/>
      <c r="AH41" s="144"/>
      <c r="AI41" s="144"/>
      <c r="AJ41" s="129"/>
      <c r="AK41" s="144"/>
      <c r="AL41" s="144"/>
      <c r="AM41" s="144"/>
      <c r="AN41" s="117"/>
      <c r="AO41" s="144"/>
      <c r="AP41" s="144"/>
      <c r="AQ41" s="129"/>
      <c r="AR41" s="144"/>
      <c r="AS41" s="144" t="str">
        <f>HYPERLINK("https://youtu.be/nGctd2CZYrU","16.85")</f>
        <v>16.85</v>
      </c>
      <c r="AT41" s="144"/>
      <c r="AU41" s="113"/>
      <c r="AV41" s="144"/>
      <c r="AW41" s="129"/>
      <c r="AX41" s="144"/>
      <c r="AY41" s="144"/>
      <c r="AZ41" s="144"/>
      <c r="BA41" s="144"/>
      <c r="BB41" s="144"/>
      <c r="BC41" s="144"/>
      <c r="BD41" s="129"/>
      <c r="BE41" s="144"/>
      <c r="BF41" s="144"/>
      <c r="BG41" s="144"/>
      <c r="BH41" s="144"/>
      <c r="BI41" s="144"/>
      <c r="BJ41" s="144"/>
      <c r="BK41" s="129"/>
      <c r="BL41" s="129"/>
      <c r="BM41" s="129"/>
      <c r="BN41" s="129"/>
      <c r="BO41" s="129"/>
      <c r="BP41" s="129"/>
      <c r="BQ41" s="129"/>
      <c r="BR41" s="129"/>
      <c r="BS41" s="129"/>
      <c r="BT41" s="129"/>
      <c r="BU41" s="129"/>
      <c r="BV41" s="129"/>
      <c r="BW41" s="129"/>
      <c r="BX41" s="129"/>
    </row>
    <row r="42" ht="15.75" customHeight="1">
      <c r="A42" s="134"/>
      <c r="B42" s="270" t="s">
        <v>1455</v>
      </c>
      <c r="C42" s="83">
        <v>15.96</v>
      </c>
      <c r="D42" s="272" t="s">
        <v>1035</v>
      </c>
      <c r="E42" s="117" t="s">
        <v>1462</v>
      </c>
      <c r="F42" s="109" t="s">
        <v>1035</v>
      </c>
      <c r="G42" s="109" t="s">
        <v>608</v>
      </c>
      <c r="H42" s="112" t="s">
        <v>1464</v>
      </c>
      <c r="I42" s="113" t="s">
        <v>1467</v>
      </c>
      <c r="J42" s="109" t="s">
        <v>422</v>
      </c>
      <c r="K42" s="109" t="s">
        <v>1464</v>
      </c>
      <c r="L42" s="109" t="s">
        <v>1472</v>
      </c>
      <c r="M42" s="157" t="s">
        <v>901</v>
      </c>
      <c r="N42" s="117" t="s">
        <v>1464</v>
      </c>
      <c r="O42" s="109" t="s">
        <v>422</v>
      </c>
      <c r="P42" s="117" t="s">
        <v>1479</v>
      </c>
      <c r="Q42" s="109" t="s">
        <v>1464</v>
      </c>
      <c r="R42" s="113" t="s">
        <v>1035</v>
      </c>
      <c r="S42" s="117"/>
      <c r="T42" s="109" t="s">
        <v>1140</v>
      </c>
      <c r="U42" s="117"/>
      <c r="V42" s="117"/>
      <c r="W42" s="117"/>
      <c r="X42" s="117" t="s">
        <v>311</v>
      </c>
      <c r="Y42" s="117"/>
      <c r="Z42" s="117"/>
      <c r="AA42" s="117"/>
      <c r="AB42" s="117"/>
      <c r="AC42" s="117"/>
      <c r="AD42" s="117"/>
      <c r="AE42" s="117"/>
      <c r="AF42" s="117"/>
      <c r="AG42" s="117"/>
      <c r="AH42" s="117"/>
      <c r="AI42" s="117"/>
      <c r="AJ42" s="154"/>
      <c r="AK42" s="117"/>
      <c r="AL42" s="117"/>
      <c r="AM42" s="117"/>
      <c r="AN42" s="398" t="s">
        <v>1486</v>
      </c>
      <c r="AO42" s="117"/>
      <c r="AP42" s="117"/>
      <c r="AQ42" s="154"/>
      <c r="AR42" s="117"/>
      <c r="AS42" s="117"/>
      <c r="AT42" s="117"/>
      <c r="AU42" s="113"/>
      <c r="AV42" s="117"/>
      <c r="AW42" s="157" t="s">
        <v>1490</v>
      </c>
      <c r="AX42" s="117"/>
      <c r="AY42" s="117"/>
      <c r="AZ42" s="117"/>
      <c r="BA42" s="117"/>
      <c r="BB42" s="117"/>
      <c r="BC42" s="117"/>
      <c r="BD42" s="154"/>
      <c r="BE42" s="117"/>
      <c r="BF42" s="117"/>
      <c r="BG42" s="117"/>
      <c r="BH42" s="117"/>
      <c r="BI42" s="117"/>
      <c r="BJ42" s="117"/>
      <c r="BK42" s="154"/>
      <c r="BL42" s="154"/>
      <c r="BM42" s="154"/>
      <c r="BN42" s="154"/>
      <c r="BO42" s="154"/>
      <c r="BP42" s="154"/>
      <c r="BQ42" s="154"/>
      <c r="BR42" s="154"/>
      <c r="BS42" s="154"/>
      <c r="BT42" s="154"/>
      <c r="BU42" s="154"/>
      <c r="BV42" s="154"/>
      <c r="BW42" s="154"/>
      <c r="BX42" s="154"/>
    </row>
    <row r="43" ht="15.75" customHeight="1">
      <c r="A43" s="76" t="s">
        <v>1494</v>
      </c>
      <c r="B43" s="77" t="s">
        <v>1495</v>
      </c>
      <c r="C43" s="252" t="s">
        <v>1496</v>
      </c>
      <c r="D43" s="90" t="s">
        <v>1496</v>
      </c>
      <c r="E43" s="131" t="s">
        <v>1498</v>
      </c>
      <c r="F43" s="489"/>
      <c r="G43" s="489"/>
      <c r="H43" s="175"/>
      <c r="I43" s="290" t="s">
        <v>1499</v>
      </c>
      <c r="J43" s="489"/>
      <c r="K43" s="489"/>
      <c r="L43" s="489"/>
      <c r="M43" s="129"/>
      <c r="N43" s="489" t="s">
        <v>586</v>
      </c>
      <c r="O43" s="489"/>
      <c r="P43" s="489"/>
      <c r="Q43" s="489"/>
      <c r="R43" s="290"/>
      <c r="S43" s="489"/>
      <c r="T43" s="109" t="s">
        <v>1029</v>
      </c>
      <c r="U43" s="489"/>
      <c r="V43" s="489"/>
      <c r="W43" s="489"/>
      <c r="X43" s="489"/>
      <c r="Y43" s="489"/>
      <c r="Z43" s="489"/>
      <c r="AA43" s="489"/>
      <c r="AB43" s="489"/>
      <c r="AC43" s="489"/>
      <c r="AD43" s="489"/>
      <c r="AE43" s="489"/>
      <c r="AF43" s="489"/>
      <c r="AG43" s="489"/>
      <c r="AH43" s="489"/>
      <c r="AI43" s="489"/>
      <c r="AJ43" s="129"/>
      <c r="AK43" s="489"/>
      <c r="AL43" s="489"/>
      <c r="AM43" s="489"/>
      <c r="AN43" s="290"/>
      <c r="AO43" s="489"/>
      <c r="AP43" s="489"/>
      <c r="AQ43" s="129"/>
      <c r="AR43" s="489"/>
      <c r="AS43" s="489"/>
      <c r="AT43" s="489"/>
      <c r="AU43" s="290"/>
      <c r="AV43" s="489"/>
      <c r="AW43" s="129"/>
      <c r="AX43" s="489"/>
      <c r="AY43" s="489"/>
      <c r="AZ43" s="489"/>
      <c r="BA43" s="489"/>
      <c r="BB43" s="489"/>
      <c r="BC43" s="489"/>
      <c r="BD43" s="129"/>
      <c r="BE43" s="489"/>
      <c r="BF43" s="489"/>
      <c r="BG43" s="489"/>
      <c r="BH43" s="489"/>
      <c r="BI43" s="489"/>
      <c r="BJ43" s="489"/>
      <c r="BK43" s="129"/>
      <c r="BL43" s="129"/>
      <c r="BM43" s="129"/>
      <c r="BN43" s="129"/>
      <c r="BO43" s="129"/>
      <c r="BP43" s="129"/>
      <c r="BQ43" s="129"/>
      <c r="BR43" s="129"/>
      <c r="BS43" s="129"/>
      <c r="BT43" s="129"/>
      <c r="BU43" s="129"/>
      <c r="BV43" s="129"/>
      <c r="BW43" s="129"/>
      <c r="BX43" s="129"/>
    </row>
    <row r="44" ht="15.75" customHeight="1">
      <c r="A44" s="76" t="s">
        <v>1515</v>
      </c>
      <c r="B44" s="77" t="s">
        <v>1517</v>
      </c>
      <c r="C44" s="83" t="s">
        <v>1518</v>
      </c>
      <c r="D44" s="90" t="s">
        <v>605</v>
      </c>
      <c r="E44" s="107" t="s">
        <v>1525</v>
      </c>
      <c r="F44" s="144" t="s">
        <v>1518</v>
      </c>
      <c r="G44" s="117" t="s">
        <v>1527</v>
      </c>
      <c r="H44" s="175"/>
      <c r="I44" s="113" t="s">
        <v>1528</v>
      </c>
      <c r="J44" s="144" t="str">
        <f>HYPERLINK("https://youtu.be/t-1yqXLdZMA","38.05")</f>
        <v>38.05</v>
      </c>
      <c r="K44" s="144" t="s">
        <v>1530</v>
      </c>
      <c r="L44" s="144" t="s">
        <v>1532</v>
      </c>
      <c r="M44" s="163" t="s">
        <v>1536</v>
      </c>
      <c r="N44" s="144" t="s">
        <v>1538</v>
      </c>
      <c r="O44" s="144" t="s">
        <v>1539</v>
      </c>
      <c r="P44" s="144" t="str">
        <f>HYPERLINK("https://youtu.be/Vn6tjVSJ144","36.45")</f>
        <v>36.45</v>
      </c>
      <c r="Q44" s="144"/>
      <c r="R44" s="113"/>
      <c r="S44" s="144"/>
      <c r="T44" s="144"/>
      <c r="U44" s="144"/>
      <c r="V44" s="144"/>
      <c r="W44" s="144"/>
      <c r="X44" s="144"/>
      <c r="Y44" s="144"/>
      <c r="Z44" s="144"/>
      <c r="AA44" s="144"/>
      <c r="AB44" s="144"/>
      <c r="AC44" s="144"/>
      <c r="AD44" s="144"/>
      <c r="AE44" s="144"/>
      <c r="AF44" s="144"/>
      <c r="AG44" s="144"/>
      <c r="AH44" s="144"/>
      <c r="AI44" s="144"/>
      <c r="AJ44" s="129"/>
      <c r="AK44" s="144"/>
      <c r="AL44" s="144"/>
      <c r="AM44" s="144"/>
      <c r="AN44" s="113"/>
      <c r="AO44" s="144"/>
      <c r="AP44" s="144"/>
      <c r="AQ44" s="129"/>
      <c r="AR44" s="144"/>
      <c r="AS44" s="144"/>
      <c r="AT44" s="144"/>
      <c r="AU44" s="113"/>
      <c r="AV44" s="144"/>
      <c r="AW44" s="129"/>
      <c r="AX44" s="144"/>
      <c r="AY44" s="144"/>
      <c r="AZ44" s="144"/>
      <c r="BA44" s="144"/>
      <c r="BB44" s="144"/>
      <c r="BC44" s="144"/>
      <c r="BD44" s="129"/>
      <c r="BE44" s="144"/>
      <c r="BF44" s="144" t="s">
        <v>1542</v>
      </c>
      <c r="BG44" s="144"/>
      <c r="BH44" s="144"/>
      <c r="BI44" s="144"/>
      <c r="BJ44" s="144"/>
      <c r="BK44" s="129"/>
      <c r="BL44" s="129"/>
      <c r="BM44" s="129"/>
      <c r="BN44" s="129"/>
      <c r="BO44" s="129"/>
      <c r="BP44" s="129"/>
      <c r="BQ44" s="129"/>
      <c r="BR44" s="129"/>
      <c r="BS44" s="129"/>
      <c r="BT44" s="129"/>
      <c r="BU44" s="129"/>
      <c r="BV44" s="129"/>
      <c r="BW44" s="129"/>
      <c r="BX44" s="129"/>
    </row>
    <row r="45" ht="15.75" customHeight="1">
      <c r="A45" s="169" t="s">
        <v>1544</v>
      </c>
      <c r="B45" s="170" t="s">
        <v>1517</v>
      </c>
      <c r="C45" s="252" t="s">
        <v>1547</v>
      </c>
      <c r="D45" s="254" t="s">
        <v>1547</v>
      </c>
      <c r="E45" s="498" t="s">
        <v>1550</v>
      </c>
      <c r="F45" s="144"/>
      <c r="G45" s="117" t="s">
        <v>1552</v>
      </c>
      <c r="H45" s="175"/>
      <c r="I45" s="113" t="s">
        <v>587</v>
      </c>
      <c r="J45" s="144"/>
      <c r="K45" s="144"/>
      <c r="L45" s="144"/>
      <c r="M45" s="129"/>
      <c r="N45" s="144"/>
      <c r="O45" s="144"/>
      <c r="P45" s="144"/>
      <c r="Q45" s="144"/>
      <c r="R45" s="113"/>
      <c r="S45" s="144"/>
      <c r="T45" s="144"/>
      <c r="U45" s="144"/>
      <c r="V45" s="144"/>
      <c r="W45" s="144"/>
      <c r="X45" s="144"/>
      <c r="Y45" s="144"/>
      <c r="Z45" s="144"/>
      <c r="AA45" s="144"/>
      <c r="AB45" s="144"/>
      <c r="AC45" s="144"/>
      <c r="AD45" s="144"/>
      <c r="AE45" s="144"/>
      <c r="AF45" s="144"/>
      <c r="AG45" s="144"/>
      <c r="AH45" s="144"/>
      <c r="AI45" s="144"/>
      <c r="AJ45" s="129"/>
      <c r="AK45" s="144"/>
      <c r="AL45" s="144"/>
      <c r="AM45" s="144"/>
      <c r="AN45" s="113"/>
      <c r="AO45" s="144"/>
      <c r="AP45" s="144"/>
      <c r="AQ45" s="129"/>
      <c r="AR45" s="144"/>
      <c r="AS45" s="144"/>
      <c r="AT45" s="144"/>
      <c r="AU45" s="113"/>
      <c r="AV45" s="144"/>
      <c r="AW45" s="129"/>
      <c r="AX45" s="144"/>
      <c r="AY45" s="144"/>
      <c r="AZ45" s="144"/>
      <c r="BA45" s="144"/>
      <c r="BB45" s="144"/>
      <c r="BC45" s="144"/>
      <c r="BD45" s="129"/>
      <c r="BE45" s="144"/>
      <c r="BF45" s="144"/>
      <c r="BG45" s="144"/>
      <c r="BH45" s="144"/>
      <c r="BI45" s="144"/>
      <c r="BJ45" s="144"/>
      <c r="BK45" s="129"/>
      <c r="BL45" s="129"/>
      <c r="BM45" s="129"/>
      <c r="BN45" s="129"/>
      <c r="BO45" s="129"/>
      <c r="BP45" s="129"/>
      <c r="BQ45" s="129"/>
      <c r="BR45" s="129"/>
      <c r="BS45" s="129"/>
      <c r="BT45" s="129"/>
      <c r="BU45" s="129"/>
      <c r="BV45" s="129"/>
      <c r="BW45" s="129"/>
      <c r="BX45" s="129"/>
    </row>
    <row r="46" ht="15.75" customHeight="1">
      <c r="A46" s="76" t="s">
        <v>1563</v>
      </c>
      <c r="B46" s="77" t="s">
        <v>1517</v>
      </c>
      <c r="C46" s="83" t="s">
        <v>1564</v>
      </c>
      <c r="D46" s="173"/>
      <c r="E46" s="131" t="s">
        <v>1569</v>
      </c>
      <c r="F46" s="144" t="s">
        <v>1572</v>
      </c>
      <c r="G46" s="144"/>
      <c r="H46" s="175"/>
      <c r="I46" s="113"/>
      <c r="J46" s="144" t="s">
        <v>1575</v>
      </c>
      <c r="K46" s="144"/>
      <c r="L46" s="144" t="s">
        <v>1580</v>
      </c>
      <c r="M46" s="129"/>
      <c r="N46" s="144" t="s">
        <v>800</v>
      </c>
      <c r="O46" s="144" t="s">
        <v>1583</v>
      </c>
      <c r="P46" s="144" t="str">
        <f>HYPERLINK("https://youtu.be/Z3lDpXDeu-A","48.50")</f>
        <v>48.50</v>
      </c>
      <c r="Q46" s="144"/>
      <c r="R46" s="113"/>
      <c r="S46" s="144"/>
      <c r="T46" s="144"/>
      <c r="U46" s="144"/>
      <c r="V46" s="144" t="s">
        <v>1564</v>
      </c>
      <c r="W46" s="144"/>
      <c r="X46" s="144"/>
      <c r="Y46" s="144"/>
      <c r="Z46" s="144"/>
      <c r="AA46" s="144"/>
      <c r="AB46" s="144"/>
      <c r="AC46" s="144"/>
      <c r="AD46" s="144"/>
      <c r="AE46" s="144"/>
      <c r="AF46" s="144"/>
      <c r="AG46" s="144"/>
      <c r="AH46" s="144"/>
      <c r="AI46" s="144"/>
      <c r="AJ46" s="129"/>
      <c r="AK46" s="144"/>
      <c r="AL46" s="144"/>
      <c r="AM46" s="144"/>
      <c r="AN46" s="113"/>
      <c r="AO46" s="144"/>
      <c r="AP46" s="144"/>
      <c r="AQ46" s="129"/>
      <c r="AR46" s="144"/>
      <c r="AS46" s="144"/>
      <c r="AT46" s="144"/>
      <c r="AU46" s="113"/>
      <c r="AV46" s="144"/>
      <c r="AW46" s="129"/>
      <c r="AX46" s="144"/>
      <c r="AY46" s="144"/>
      <c r="AZ46" s="144"/>
      <c r="BA46" s="144"/>
      <c r="BB46" s="144"/>
      <c r="BC46" s="144"/>
      <c r="BD46" s="129"/>
      <c r="BE46" s="144"/>
      <c r="BF46" s="144"/>
      <c r="BG46" s="144"/>
      <c r="BH46" s="144"/>
      <c r="BI46" s="144"/>
      <c r="BJ46" s="144"/>
      <c r="BK46" s="129"/>
      <c r="BL46" s="129"/>
      <c r="BM46" s="129"/>
      <c r="BN46" s="129"/>
      <c r="BO46" s="129"/>
      <c r="BP46" s="129"/>
      <c r="BQ46" s="129"/>
      <c r="BR46" s="129"/>
      <c r="BS46" s="129"/>
      <c r="BT46" s="129"/>
      <c r="BU46" s="129"/>
      <c r="BV46" s="129"/>
      <c r="BW46" s="129"/>
      <c r="BX46" s="129"/>
    </row>
    <row r="47" ht="15.75" customHeight="1">
      <c r="A47" s="464"/>
      <c r="B47" s="135" t="s">
        <v>1595</v>
      </c>
      <c r="C47" s="172" t="s">
        <v>1597</v>
      </c>
      <c r="D47" s="141"/>
      <c r="E47" s="113"/>
      <c r="F47" s="113"/>
      <c r="G47" s="113"/>
      <c r="H47" s="175"/>
      <c r="I47" s="113"/>
      <c r="J47" s="109" t="s">
        <v>1597</v>
      </c>
      <c r="K47" s="113"/>
      <c r="L47" s="113"/>
      <c r="M47" s="154"/>
      <c r="N47" s="113"/>
      <c r="O47" s="113"/>
      <c r="P47" s="113"/>
      <c r="Q47" s="113"/>
      <c r="R47" s="113"/>
      <c r="S47" s="113"/>
      <c r="T47" s="113"/>
      <c r="U47" s="113"/>
      <c r="V47" s="113"/>
      <c r="W47" s="113"/>
      <c r="X47" s="113"/>
      <c r="Y47" s="113"/>
      <c r="Z47" s="113"/>
      <c r="AA47" s="113"/>
      <c r="AB47" s="113"/>
      <c r="AC47" s="113"/>
      <c r="AD47" s="113"/>
      <c r="AE47" s="113"/>
      <c r="AF47" s="113"/>
      <c r="AG47" s="113"/>
      <c r="AH47" s="113"/>
      <c r="AI47" s="113"/>
      <c r="AJ47" s="154"/>
      <c r="AK47" s="113"/>
      <c r="AL47" s="113"/>
      <c r="AM47" s="113"/>
      <c r="AN47" s="113"/>
      <c r="AO47" s="113"/>
      <c r="AP47" s="113"/>
      <c r="AQ47" s="154"/>
      <c r="AR47" s="113"/>
      <c r="AS47" s="113"/>
      <c r="AT47" s="113"/>
      <c r="AU47" s="113"/>
      <c r="AV47" s="113"/>
      <c r="AW47" s="154"/>
      <c r="AX47" s="113"/>
      <c r="AY47" s="113"/>
      <c r="AZ47" s="113"/>
      <c r="BA47" s="113"/>
      <c r="BB47" s="113"/>
      <c r="BC47" s="113"/>
      <c r="BD47" s="154"/>
      <c r="BE47" s="113"/>
      <c r="BF47" s="113"/>
      <c r="BG47" s="113"/>
      <c r="BH47" s="113"/>
      <c r="BI47" s="113"/>
      <c r="BJ47" s="113"/>
      <c r="BK47" s="154"/>
      <c r="BL47" s="154"/>
      <c r="BM47" s="154"/>
      <c r="BN47" s="154"/>
      <c r="BO47" s="154"/>
      <c r="BP47" s="154"/>
      <c r="BQ47" s="154"/>
      <c r="BR47" s="154"/>
      <c r="BS47" s="154"/>
      <c r="BT47" s="154"/>
      <c r="BU47" s="154"/>
      <c r="BV47" s="154"/>
      <c r="BW47" s="154"/>
      <c r="BX47" s="154"/>
    </row>
    <row r="48" ht="15.75" customHeight="1">
      <c r="A48" s="503"/>
      <c r="B48" s="235" t="s">
        <v>1610</v>
      </c>
      <c r="C48" s="83" t="s">
        <v>1611</v>
      </c>
      <c r="D48" s="173"/>
      <c r="E48" s="113"/>
      <c r="F48" s="113"/>
      <c r="G48" s="113"/>
      <c r="H48" s="175"/>
      <c r="I48" s="113"/>
      <c r="J48" s="109" t="s">
        <v>1611</v>
      </c>
      <c r="K48" s="113"/>
      <c r="L48" s="113"/>
      <c r="M48" s="129"/>
      <c r="N48" s="113"/>
      <c r="O48" s="113"/>
      <c r="P48" s="113"/>
      <c r="Q48" s="113"/>
      <c r="R48" s="113"/>
      <c r="S48" s="113"/>
      <c r="T48" s="113"/>
      <c r="U48" s="113"/>
      <c r="V48" s="113"/>
      <c r="W48" s="113"/>
      <c r="X48" s="113"/>
      <c r="Y48" s="113"/>
      <c r="Z48" s="113"/>
      <c r="AA48" s="113"/>
      <c r="AB48" s="113"/>
      <c r="AC48" s="113"/>
      <c r="AD48" s="113"/>
      <c r="AE48" s="113"/>
      <c r="AF48" s="113"/>
      <c r="AG48" s="113"/>
      <c r="AH48" s="113"/>
      <c r="AI48" s="113"/>
      <c r="AJ48" s="129"/>
      <c r="AK48" s="113"/>
      <c r="AL48" s="113"/>
      <c r="AM48" s="113"/>
      <c r="AN48" s="113"/>
      <c r="AO48" s="113"/>
      <c r="AP48" s="113"/>
      <c r="AQ48" s="129"/>
      <c r="AR48" s="113"/>
      <c r="AS48" s="113"/>
      <c r="AT48" s="113"/>
      <c r="AU48" s="113"/>
      <c r="AV48" s="113"/>
      <c r="AW48" s="129"/>
      <c r="AX48" s="113"/>
      <c r="AY48" s="113"/>
      <c r="AZ48" s="113"/>
      <c r="BA48" s="113"/>
      <c r="BB48" s="113"/>
      <c r="BC48" s="113"/>
      <c r="BD48" s="129"/>
      <c r="BE48" s="113"/>
      <c r="BF48" s="113"/>
      <c r="BG48" s="113"/>
      <c r="BH48" s="113"/>
      <c r="BI48" s="113"/>
      <c r="BJ48" s="113"/>
      <c r="BK48" s="129"/>
      <c r="BL48" s="129"/>
      <c r="BM48" s="129"/>
      <c r="BN48" s="129"/>
      <c r="BO48" s="129"/>
      <c r="BP48" s="129"/>
      <c r="BQ48" s="129"/>
      <c r="BR48" s="129"/>
      <c r="BS48" s="129"/>
      <c r="BT48" s="129"/>
      <c r="BU48" s="129"/>
      <c r="BV48" s="129"/>
      <c r="BW48" s="129"/>
      <c r="BX48" s="129"/>
    </row>
    <row r="49" ht="15.75" customHeight="1">
      <c r="A49" s="464"/>
      <c r="B49" s="135" t="s">
        <v>1626</v>
      </c>
      <c r="C49" s="83" t="s">
        <v>1627</v>
      </c>
      <c r="D49" s="141"/>
      <c r="E49" s="506" t="s">
        <v>1631</v>
      </c>
      <c r="F49" s="113"/>
      <c r="G49" s="113" t="s">
        <v>1631</v>
      </c>
      <c r="H49" s="175"/>
      <c r="I49" s="113" t="s">
        <v>1635</v>
      </c>
      <c r="J49" s="109" t="s">
        <v>1627</v>
      </c>
      <c r="K49" s="507" t="s">
        <v>1636</v>
      </c>
      <c r="L49" s="113"/>
      <c r="M49" s="154"/>
      <c r="N49" s="113"/>
      <c r="O49" s="113"/>
      <c r="P49" s="113"/>
      <c r="Q49" s="113"/>
      <c r="R49" s="113"/>
      <c r="S49" s="113"/>
      <c r="T49" s="113"/>
      <c r="U49" s="113"/>
      <c r="V49" s="113"/>
      <c r="W49" s="113"/>
      <c r="X49" s="113"/>
      <c r="Y49" s="113"/>
      <c r="Z49" s="113"/>
      <c r="AA49" s="113"/>
      <c r="AB49" s="113"/>
      <c r="AC49" s="113"/>
      <c r="AD49" s="113"/>
      <c r="AE49" s="113"/>
      <c r="AF49" s="113"/>
      <c r="AG49" s="113"/>
      <c r="AH49" s="113"/>
      <c r="AI49" s="113"/>
      <c r="AJ49" s="154"/>
      <c r="AK49" s="113"/>
      <c r="AL49" s="113"/>
      <c r="AM49" s="113"/>
      <c r="AN49" s="113"/>
      <c r="AO49" s="113"/>
      <c r="AP49" s="113"/>
      <c r="AQ49" s="154"/>
      <c r="AR49" s="113"/>
      <c r="AS49" s="113"/>
      <c r="AT49" s="113"/>
      <c r="AU49" s="113"/>
      <c r="AV49" s="113"/>
      <c r="AW49" s="154"/>
      <c r="AX49" s="113"/>
      <c r="AY49" s="113"/>
      <c r="AZ49" s="113"/>
      <c r="BA49" s="113"/>
      <c r="BB49" s="113"/>
      <c r="BC49" s="113"/>
      <c r="BD49" s="154"/>
      <c r="BE49" s="113"/>
      <c r="BF49" s="113"/>
      <c r="BG49" s="113"/>
      <c r="BH49" s="113"/>
      <c r="BI49" s="113"/>
      <c r="BJ49" s="113"/>
      <c r="BK49" s="154"/>
      <c r="BL49" s="154"/>
      <c r="BM49" s="154"/>
      <c r="BN49" s="154"/>
      <c r="BO49" s="154"/>
      <c r="BP49" s="154"/>
      <c r="BQ49" s="154"/>
      <c r="BR49" s="154"/>
      <c r="BS49" s="154"/>
      <c r="BT49" s="154"/>
      <c r="BU49" s="154"/>
      <c r="BV49" s="154"/>
      <c r="BW49" s="154"/>
      <c r="BX49" s="154"/>
    </row>
    <row r="50" ht="15.75" customHeight="1">
      <c r="A50" s="503"/>
      <c r="B50" s="509" t="s">
        <v>1644</v>
      </c>
      <c r="C50" s="83" t="s">
        <v>1645</v>
      </c>
      <c r="D50" s="90" t="s">
        <v>1647</v>
      </c>
      <c r="E50" s="510"/>
      <c r="F50" s="144"/>
      <c r="G50" s="144"/>
      <c r="H50" s="175"/>
      <c r="I50" s="113"/>
      <c r="J50" s="144"/>
      <c r="K50" s="144"/>
      <c r="L50" s="144"/>
      <c r="M50" s="129"/>
      <c r="N50" s="144"/>
      <c r="O50" s="144"/>
      <c r="P50" s="144"/>
      <c r="Q50" s="144"/>
      <c r="R50" s="113"/>
      <c r="S50" s="144"/>
      <c r="T50" s="144"/>
      <c r="U50" s="144"/>
      <c r="V50" s="144"/>
      <c r="W50" s="144"/>
      <c r="X50" s="144"/>
      <c r="Y50" s="144"/>
      <c r="Z50" s="144"/>
      <c r="AA50" s="144"/>
      <c r="AB50" s="144"/>
      <c r="AC50" s="144"/>
      <c r="AD50" s="144"/>
      <c r="AE50" s="144"/>
      <c r="AF50" s="144"/>
      <c r="AG50" s="144"/>
      <c r="AH50" s="144"/>
      <c r="AI50" s="144"/>
      <c r="AJ50" s="129"/>
      <c r="AK50" s="144"/>
      <c r="AL50" s="144"/>
      <c r="AM50" s="365" t="s">
        <v>1645</v>
      </c>
      <c r="AN50" s="113"/>
      <c r="AO50" s="144"/>
      <c r="AP50" s="144"/>
      <c r="AQ50" s="129"/>
      <c r="AR50" s="144"/>
      <c r="AS50" s="144"/>
      <c r="AT50" s="144"/>
      <c r="AU50" s="113"/>
      <c r="AV50" s="144"/>
      <c r="AW50" s="129"/>
      <c r="AX50" s="144"/>
      <c r="AY50" s="144"/>
      <c r="AZ50" s="144"/>
      <c r="BA50" s="144"/>
      <c r="BB50" s="144"/>
      <c r="BC50" s="144"/>
      <c r="BD50" s="129"/>
      <c r="BE50" s="144"/>
      <c r="BF50" s="144"/>
      <c r="BG50" s="144"/>
      <c r="BH50" s="144"/>
      <c r="BI50" s="144"/>
      <c r="BJ50" s="144"/>
      <c r="BK50" s="129"/>
      <c r="BL50" s="129"/>
      <c r="BM50" s="129"/>
      <c r="BN50" s="129"/>
      <c r="BO50" s="129"/>
      <c r="BP50" s="129"/>
      <c r="BQ50" s="129"/>
      <c r="BR50" s="129"/>
      <c r="BS50" s="129"/>
      <c r="BT50" s="129"/>
      <c r="BU50" s="129"/>
      <c r="BV50" s="129"/>
      <c r="BW50" s="129"/>
      <c r="BX50" s="129"/>
    </row>
    <row r="51" ht="15.75" customHeight="1">
      <c r="A51" s="169" t="s">
        <v>1544</v>
      </c>
      <c r="B51" s="170" t="s">
        <v>1517</v>
      </c>
      <c r="C51" s="83" t="s">
        <v>1657</v>
      </c>
      <c r="D51" s="173"/>
      <c r="E51" s="510"/>
      <c r="F51" s="144"/>
      <c r="G51" s="144"/>
      <c r="H51" s="175"/>
      <c r="I51" s="113" t="s">
        <v>1658</v>
      </c>
      <c r="J51" s="144"/>
      <c r="K51" s="144"/>
      <c r="L51" s="144"/>
      <c r="M51" s="129"/>
      <c r="N51" s="144"/>
      <c r="O51" s="144"/>
      <c r="P51" s="144"/>
      <c r="Q51" s="144"/>
      <c r="R51" s="113"/>
      <c r="S51" s="144"/>
      <c r="T51" s="144"/>
      <c r="U51" s="144"/>
      <c r="V51" s="365" t="s">
        <v>1661</v>
      </c>
      <c r="W51" s="144"/>
      <c r="X51" s="144"/>
      <c r="Y51" s="144"/>
      <c r="Z51" s="144"/>
      <c r="AA51" s="144"/>
      <c r="AB51" s="144"/>
      <c r="AC51" s="144"/>
      <c r="AD51" s="144"/>
      <c r="AE51" s="144"/>
      <c r="AF51" s="144"/>
      <c r="AG51" s="144"/>
      <c r="AH51" s="144"/>
      <c r="AI51" s="144"/>
      <c r="AJ51" s="129"/>
      <c r="AK51" s="144"/>
      <c r="AL51" s="144"/>
      <c r="AM51" s="144"/>
      <c r="AN51" s="113"/>
      <c r="AO51" s="144"/>
      <c r="AP51" s="144"/>
      <c r="AQ51" s="129"/>
      <c r="AR51" s="144"/>
      <c r="AS51" s="144"/>
      <c r="AT51" s="144"/>
      <c r="AU51" s="113"/>
      <c r="AV51" s="144"/>
      <c r="AW51" s="129"/>
      <c r="AX51" s="144"/>
      <c r="AY51" s="144"/>
      <c r="AZ51" s="144"/>
      <c r="BA51" s="144"/>
      <c r="BB51" s="144"/>
      <c r="BC51" s="144"/>
      <c r="BD51" s="129"/>
      <c r="BE51" s="144"/>
      <c r="BF51" s="144"/>
      <c r="BG51" s="144"/>
      <c r="BH51" s="144"/>
      <c r="BI51" s="144"/>
      <c r="BJ51" s="144"/>
      <c r="BK51" s="129"/>
      <c r="BL51" s="129"/>
      <c r="BM51" s="129"/>
      <c r="BN51" s="129"/>
      <c r="BO51" s="129"/>
      <c r="BP51" s="129"/>
      <c r="BQ51" s="129"/>
      <c r="BR51" s="129"/>
      <c r="BS51" s="129"/>
      <c r="BT51" s="129"/>
      <c r="BU51" s="129"/>
      <c r="BV51" s="129"/>
      <c r="BW51" s="129"/>
      <c r="BX51" s="129"/>
    </row>
    <row r="52" ht="15.75" customHeight="1">
      <c r="A52" s="464"/>
      <c r="B52" s="513" t="s">
        <v>1664</v>
      </c>
      <c r="C52" s="172" t="s">
        <v>1666</v>
      </c>
      <c r="D52" s="90" t="s">
        <v>1668</v>
      </c>
      <c r="E52" s="506" t="s">
        <v>1672</v>
      </c>
      <c r="F52" s="144"/>
      <c r="G52" s="144" t="s">
        <v>1675</v>
      </c>
      <c r="H52" s="175"/>
      <c r="I52" s="113" t="s">
        <v>1676</v>
      </c>
      <c r="J52" s="144"/>
      <c r="K52" s="144"/>
      <c r="L52" s="144"/>
      <c r="M52" s="129"/>
      <c r="N52" s="144"/>
      <c r="O52" s="144"/>
      <c r="P52" s="144"/>
      <c r="Q52" s="144"/>
      <c r="R52" s="113"/>
      <c r="S52" s="144"/>
      <c r="T52" s="144"/>
      <c r="U52" s="144"/>
      <c r="V52" s="144"/>
      <c r="W52" s="144"/>
      <c r="X52" s="144"/>
      <c r="Y52" s="144"/>
      <c r="Z52" s="144"/>
      <c r="AA52" s="144"/>
      <c r="AB52" s="144"/>
      <c r="AC52" s="144"/>
      <c r="AD52" s="144"/>
      <c r="AE52" s="144"/>
      <c r="AF52" s="144"/>
      <c r="AG52" s="144"/>
      <c r="AH52" s="144"/>
      <c r="AI52" s="144"/>
      <c r="AJ52" s="129"/>
      <c r="AK52" s="144"/>
      <c r="AL52" s="144"/>
      <c r="AM52" s="109" t="s">
        <v>1683</v>
      </c>
      <c r="AN52" s="113"/>
      <c r="AO52" s="144"/>
      <c r="AP52" s="144"/>
      <c r="AQ52" s="129"/>
      <c r="AR52" s="144"/>
      <c r="AS52" s="144"/>
      <c r="AT52" s="144"/>
      <c r="AU52" s="113"/>
      <c r="AV52" s="144"/>
      <c r="AW52" s="129"/>
      <c r="AX52" s="144"/>
      <c r="AY52" s="144"/>
      <c r="AZ52" s="144"/>
      <c r="BA52" s="144"/>
      <c r="BB52" s="144"/>
      <c r="BC52" s="144"/>
      <c r="BD52" s="129"/>
      <c r="BE52" s="144"/>
      <c r="BF52" s="144"/>
      <c r="BG52" s="144"/>
      <c r="BH52" s="144"/>
      <c r="BI52" s="144"/>
      <c r="BJ52" s="144"/>
      <c r="BK52" s="129"/>
      <c r="BL52" s="129"/>
      <c r="BM52" s="129"/>
      <c r="BN52" s="129"/>
      <c r="BO52" s="129"/>
      <c r="BP52" s="129"/>
      <c r="BQ52" s="129"/>
      <c r="BR52" s="129"/>
      <c r="BS52" s="129"/>
      <c r="BT52" s="129"/>
      <c r="BU52" s="129"/>
      <c r="BV52" s="129"/>
      <c r="BW52" s="129"/>
      <c r="BX52" s="129"/>
    </row>
    <row r="53" ht="15.75" customHeight="1">
      <c r="A53" s="76" t="s">
        <v>253</v>
      </c>
      <c r="B53" s="77" t="s">
        <v>146</v>
      </c>
      <c r="C53" s="83" t="s">
        <v>1061</v>
      </c>
      <c r="D53" s="90" t="s">
        <v>1692</v>
      </c>
      <c r="E53" s="131" t="s">
        <v>1694</v>
      </c>
      <c r="F53" s="109" t="s">
        <v>1061</v>
      </c>
      <c r="G53" s="117"/>
      <c r="H53" s="112" t="s">
        <v>1698</v>
      </c>
      <c r="I53" s="113" t="s">
        <v>1702</v>
      </c>
      <c r="J53" s="117"/>
      <c r="K53" s="117"/>
      <c r="L53" s="117"/>
      <c r="M53" s="154"/>
      <c r="N53" s="109" t="s">
        <v>1703</v>
      </c>
      <c r="O53" s="117"/>
      <c r="P53" s="117"/>
      <c r="Q53" s="117"/>
      <c r="R53" s="113"/>
      <c r="S53" s="117"/>
      <c r="T53" s="117"/>
      <c r="U53" s="117"/>
      <c r="V53" s="117"/>
      <c r="W53" s="117"/>
      <c r="X53" s="117"/>
      <c r="Y53" s="117"/>
      <c r="Z53" s="117"/>
      <c r="AA53" s="117"/>
      <c r="AB53" s="117"/>
      <c r="AC53" s="117"/>
      <c r="AD53" s="117"/>
      <c r="AE53" s="117"/>
      <c r="AF53" s="117"/>
      <c r="AG53" s="117"/>
      <c r="AH53" s="117"/>
      <c r="AI53" s="117"/>
      <c r="AJ53" s="154"/>
      <c r="AK53" s="117"/>
      <c r="AL53" s="117"/>
      <c r="AM53" s="117"/>
      <c r="AN53" s="113"/>
      <c r="AO53" s="117"/>
      <c r="AP53" s="117"/>
      <c r="AQ53" s="154"/>
      <c r="AR53" s="117"/>
      <c r="AS53" s="117"/>
      <c r="AT53" s="117"/>
      <c r="AU53" s="113"/>
      <c r="AV53" s="117"/>
      <c r="AW53" s="154"/>
      <c r="AX53" s="117"/>
      <c r="AY53" s="117"/>
      <c r="AZ53" s="117"/>
      <c r="BA53" s="117"/>
      <c r="BB53" s="117"/>
      <c r="BC53" s="117"/>
      <c r="BD53" s="154"/>
      <c r="BE53" s="117"/>
      <c r="BF53" s="117"/>
      <c r="BG53" s="117"/>
      <c r="BH53" s="117"/>
      <c r="BI53" s="117"/>
      <c r="BJ53" s="117"/>
      <c r="BK53" s="154"/>
      <c r="BL53" s="154"/>
      <c r="BM53" s="154"/>
      <c r="BN53" s="154"/>
      <c r="BO53" s="154"/>
      <c r="BP53" s="154"/>
      <c r="BQ53" s="154"/>
      <c r="BR53" s="154"/>
      <c r="BS53" s="154"/>
      <c r="BT53" s="154"/>
      <c r="BU53" s="154"/>
      <c r="BV53" s="154"/>
      <c r="BW53" s="154"/>
      <c r="BX53" s="154"/>
    </row>
    <row r="54">
      <c r="A54" s="514" t="s">
        <v>96</v>
      </c>
      <c r="D54" s="515"/>
      <c r="E54" s="516"/>
      <c r="F54" s="516"/>
      <c r="G54" s="516"/>
      <c r="H54" s="517"/>
      <c r="I54" s="516"/>
      <c r="J54" s="516"/>
      <c r="K54" s="516"/>
      <c r="L54" s="516"/>
      <c r="M54" s="518"/>
      <c r="N54" s="516"/>
      <c r="O54" s="516"/>
      <c r="P54" s="516"/>
      <c r="Q54" s="516"/>
      <c r="R54" s="519"/>
      <c r="S54" s="516"/>
      <c r="T54" s="516"/>
      <c r="U54" s="516"/>
      <c r="V54" s="516"/>
      <c r="W54" s="516"/>
      <c r="X54" s="516"/>
      <c r="Y54" s="516"/>
      <c r="Z54" s="516"/>
      <c r="AA54" s="516"/>
      <c r="AB54" s="516"/>
      <c r="AC54" s="516"/>
      <c r="AD54" s="516"/>
      <c r="AE54" s="516"/>
      <c r="AF54" s="516"/>
      <c r="AG54" s="516"/>
      <c r="AH54" s="516"/>
      <c r="AI54" s="516"/>
      <c r="AJ54" s="518"/>
      <c r="AK54" s="516"/>
      <c r="AL54" s="516"/>
      <c r="AM54" s="516"/>
      <c r="AN54" s="516"/>
      <c r="AO54" s="516"/>
      <c r="AP54" s="516"/>
      <c r="AQ54" s="518"/>
      <c r="AR54" s="516"/>
      <c r="AS54" s="516"/>
      <c r="AT54" s="516"/>
      <c r="AU54" s="516"/>
      <c r="AV54" s="516"/>
      <c r="AW54" s="518"/>
      <c r="AX54" s="516"/>
      <c r="AY54" s="516"/>
      <c r="AZ54" s="516"/>
      <c r="BA54" s="516"/>
      <c r="BB54" s="516"/>
      <c r="BC54" s="516"/>
      <c r="BD54" s="518"/>
      <c r="BE54" s="516"/>
      <c r="BF54" s="516"/>
      <c r="BG54" s="516"/>
      <c r="BH54" s="516"/>
      <c r="BI54" s="516"/>
      <c r="BJ54" s="516"/>
      <c r="BK54" s="518"/>
      <c r="BL54" s="518"/>
      <c r="BM54" s="518"/>
      <c r="BN54" s="518"/>
      <c r="BO54" s="518"/>
      <c r="BP54" s="518"/>
      <c r="BQ54" s="518"/>
      <c r="BR54" s="518"/>
      <c r="BS54" s="518"/>
      <c r="BT54" s="518"/>
      <c r="BU54" s="518"/>
      <c r="BV54" s="518"/>
      <c r="BW54" s="518"/>
      <c r="BX54" s="518"/>
    </row>
    <row r="55" ht="15.75" customHeight="1">
      <c r="A55" s="520" t="s">
        <v>1716</v>
      </c>
      <c r="B55" s="522" t="s">
        <v>1718</v>
      </c>
      <c r="C55" s="523" t="s">
        <v>1720</v>
      </c>
      <c r="D55" s="173"/>
      <c r="E55" s="144"/>
      <c r="F55" s="144" t="s">
        <v>1723</v>
      </c>
      <c r="G55" s="144"/>
      <c r="H55" s="112" t="s">
        <v>1726</v>
      </c>
      <c r="I55" s="525"/>
      <c r="J55" s="144" t="s">
        <v>1468</v>
      </c>
      <c r="K55" s="144" t="s">
        <v>1720</v>
      </c>
      <c r="L55" s="144" t="s">
        <v>1733</v>
      </c>
      <c r="M55" s="526" t="s">
        <v>1737</v>
      </c>
      <c r="N55" s="144" t="s">
        <v>166</v>
      </c>
      <c r="O55" s="144" t="s">
        <v>1742</v>
      </c>
      <c r="P55" s="144" t="s">
        <v>405</v>
      </c>
      <c r="Q55" s="144"/>
      <c r="R55" s="113" t="s">
        <v>1744</v>
      </c>
      <c r="S55" s="144" t="s">
        <v>1745</v>
      </c>
      <c r="T55" s="144" t="s">
        <v>1746</v>
      </c>
      <c r="U55" s="144" t="s">
        <v>1750</v>
      </c>
      <c r="V55" s="144"/>
      <c r="W55" s="144"/>
      <c r="X55" s="144" t="s">
        <v>1751</v>
      </c>
      <c r="Y55" s="144"/>
      <c r="Z55" s="144"/>
      <c r="AA55" s="144"/>
      <c r="AB55" s="144"/>
      <c r="AC55" s="144"/>
      <c r="AD55" s="144"/>
      <c r="AE55" s="144"/>
      <c r="AF55" s="144"/>
      <c r="AG55" s="144"/>
      <c r="AH55" s="144"/>
      <c r="AI55" s="144"/>
      <c r="AJ55" s="527"/>
      <c r="AK55" s="144"/>
      <c r="AL55" s="144"/>
      <c r="AM55" s="144"/>
      <c r="AN55" s="525"/>
      <c r="AO55" s="144" t="s">
        <v>945</v>
      </c>
      <c r="AP55" s="144"/>
      <c r="AQ55" s="527"/>
      <c r="AR55" s="144"/>
      <c r="AS55" s="144"/>
      <c r="AT55" s="144"/>
      <c r="AU55" s="525"/>
      <c r="AV55" s="144"/>
      <c r="AW55" s="527"/>
      <c r="AX55" s="144"/>
      <c r="AY55" s="144"/>
      <c r="AZ55" s="144"/>
      <c r="BA55" s="144"/>
      <c r="BB55" s="144"/>
      <c r="BC55" s="144"/>
      <c r="BD55" s="527"/>
      <c r="BE55" s="144"/>
      <c r="BF55" s="144"/>
      <c r="BG55" s="144"/>
      <c r="BH55" s="144"/>
      <c r="BI55" s="144"/>
      <c r="BJ55" s="144"/>
      <c r="BK55" s="527"/>
      <c r="BL55" s="527"/>
      <c r="BM55" s="527"/>
      <c r="BN55" s="527"/>
      <c r="BO55" s="527"/>
      <c r="BP55" s="527"/>
      <c r="BQ55" s="527"/>
      <c r="BR55" s="527"/>
      <c r="BS55" s="527"/>
      <c r="BT55" s="527"/>
      <c r="BU55" s="527"/>
      <c r="BV55" s="527"/>
      <c r="BW55" s="527"/>
      <c r="BX55" s="527"/>
    </row>
    <row r="56" ht="15.75" customHeight="1">
      <c r="A56" s="528"/>
      <c r="B56" s="529" t="s">
        <v>1760</v>
      </c>
      <c r="C56" s="523" t="s">
        <v>1761</v>
      </c>
      <c r="D56" s="530"/>
      <c r="E56" s="144"/>
      <c r="F56" s="144" t="s">
        <v>1761</v>
      </c>
      <c r="G56" s="144"/>
      <c r="H56" s="175"/>
      <c r="I56" s="525"/>
      <c r="J56" s="144"/>
      <c r="K56" s="144"/>
      <c r="L56" s="144"/>
      <c r="M56" s="154"/>
      <c r="N56" s="144"/>
      <c r="O56" s="144"/>
      <c r="P56" s="144"/>
      <c r="Q56" s="144" t="s">
        <v>1224</v>
      </c>
      <c r="R56" s="113" t="s">
        <v>219</v>
      </c>
      <c r="S56" s="144" t="s">
        <v>1770</v>
      </c>
      <c r="T56" s="144"/>
      <c r="U56" s="144"/>
      <c r="V56" s="144"/>
      <c r="W56" s="144" t="s">
        <v>1773</v>
      </c>
      <c r="X56" s="144"/>
      <c r="Y56" s="144"/>
      <c r="Z56" s="144"/>
      <c r="AA56" s="144"/>
      <c r="AB56" s="144"/>
      <c r="AC56" s="144"/>
      <c r="AD56" s="144"/>
      <c r="AE56" s="144"/>
      <c r="AF56" s="144"/>
      <c r="AG56" s="144"/>
      <c r="AH56" s="144"/>
      <c r="AI56" s="144"/>
      <c r="AJ56" s="154"/>
      <c r="AK56" s="144"/>
      <c r="AL56" s="144"/>
      <c r="AM56" s="144"/>
      <c r="AN56" s="525"/>
      <c r="AO56" s="144"/>
      <c r="AP56" s="144"/>
      <c r="AQ56" s="154"/>
      <c r="AR56" s="144"/>
      <c r="AS56" s="144"/>
      <c r="AT56" s="144"/>
      <c r="AU56" s="525"/>
      <c r="AV56" s="144"/>
      <c r="AW56" s="154"/>
      <c r="AX56" s="144"/>
      <c r="AY56" s="144"/>
      <c r="AZ56" s="144"/>
      <c r="BA56" s="144"/>
      <c r="BB56" s="144"/>
      <c r="BC56" s="144"/>
      <c r="BD56" s="154"/>
      <c r="BE56" s="144"/>
      <c r="BF56" s="144"/>
      <c r="BG56" s="144"/>
      <c r="BH56" s="144"/>
      <c r="BI56" s="144"/>
      <c r="BJ56" s="144"/>
      <c r="BK56" s="154"/>
      <c r="BL56" s="154"/>
      <c r="BM56" s="154"/>
      <c r="BN56" s="154"/>
      <c r="BO56" s="154"/>
      <c r="BP56" s="154"/>
      <c r="BQ56" s="154"/>
      <c r="BR56" s="154"/>
      <c r="BS56" s="154"/>
      <c r="BT56" s="154"/>
      <c r="BU56" s="154"/>
      <c r="BV56" s="154"/>
      <c r="BW56" s="154"/>
      <c r="BX56" s="154"/>
    </row>
    <row r="57" ht="15.75" customHeight="1">
      <c r="A57" s="532"/>
      <c r="B57" s="533" t="s">
        <v>1778</v>
      </c>
      <c r="C57" s="523">
        <v>52.89</v>
      </c>
      <c r="D57" s="173"/>
      <c r="E57" s="398" t="s">
        <v>1782</v>
      </c>
      <c r="F57" s="534"/>
      <c r="G57" s="534"/>
      <c r="H57" s="175"/>
      <c r="I57" s="525"/>
      <c r="J57" s="534"/>
      <c r="K57" s="534"/>
      <c r="L57" s="534"/>
      <c r="M57" s="527"/>
      <c r="N57" s="534"/>
      <c r="O57" s="534"/>
      <c r="P57" s="536" t="s">
        <v>1785</v>
      </c>
      <c r="Q57" s="534"/>
      <c r="R57" s="113"/>
      <c r="S57" s="534"/>
      <c r="T57" s="398" t="s">
        <v>1787</v>
      </c>
      <c r="U57" s="534"/>
      <c r="V57" s="534"/>
      <c r="W57" s="534"/>
      <c r="X57" s="534"/>
      <c r="Y57" s="534"/>
      <c r="Z57" s="534"/>
      <c r="AA57" s="534"/>
      <c r="AB57" s="534"/>
      <c r="AC57" s="534"/>
      <c r="AD57" s="534"/>
      <c r="AE57" s="534"/>
      <c r="AF57" s="534"/>
      <c r="AG57" s="534"/>
      <c r="AH57" s="534"/>
      <c r="AI57" s="534"/>
      <c r="AJ57" s="527"/>
      <c r="AK57" s="534"/>
      <c r="AL57" s="534"/>
      <c r="AM57" s="534"/>
      <c r="AN57" s="525"/>
      <c r="AO57" s="534"/>
      <c r="AP57" s="534"/>
      <c r="AQ57" s="527"/>
      <c r="AR57" s="534"/>
      <c r="AS57" s="534"/>
      <c r="AT57" s="534"/>
      <c r="AU57" s="525"/>
      <c r="AV57" s="534"/>
      <c r="AW57" s="527"/>
      <c r="AX57" s="534"/>
      <c r="AY57" s="534"/>
      <c r="AZ57" s="534"/>
      <c r="BA57" s="534"/>
      <c r="BB57" s="534"/>
      <c r="BC57" s="534"/>
      <c r="BD57" s="527"/>
      <c r="BE57" s="534"/>
      <c r="BF57" s="534"/>
      <c r="BG57" s="534"/>
      <c r="BH57" s="534"/>
      <c r="BI57" s="534"/>
      <c r="BJ57" s="534"/>
      <c r="BK57" s="527"/>
      <c r="BL57" s="527"/>
      <c r="BM57" s="527"/>
      <c r="BN57" s="527"/>
      <c r="BO57" s="527"/>
      <c r="BP57" s="527"/>
      <c r="BQ57" s="527"/>
      <c r="BR57" s="527"/>
      <c r="BS57" s="527"/>
      <c r="BT57" s="527"/>
      <c r="BU57" s="527"/>
      <c r="BV57" s="527"/>
      <c r="BW57" s="527"/>
      <c r="BX57" s="527"/>
    </row>
    <row r="58" ht="15.75" customHeight="1">
      <c r="A58" s="528"/>
      <c r="B58" s="529" t="s">
        <v>1796</v>
      </c>
      <c r="C58" s="523" t="s">
        <v>640</v>
      </c>
      <c r="D58" s="254" t="s">
        <v>1800</v>
      </c>
      <c r="E58" s="144" t="s">
        <v>1656</v>
      </c>
      <c r="F58" s="398" t="s">
        <v>1063</v>
      </c>
      <c r="G58" s="112" t="s">
        <v>392</v>
      </c>
      <c r="H58" s="112" t="s">
        <v>1809</v>
      </c>
      <c r="I58" s="525"/>
      <c r="J58" s="398"/>
      <c r="K58" s="398"/>
      <c r="L58" s="398"/>
      <c r="M58" s="154"/>
      <c r="N58" s="398"/>
      <c r="O58" s="398"/>
      <c r="P58" s="398"/>
      <c r="Q58" s="398" t="s">
        <v>1800</v>
      </c>
      <c r="R58" s="113"/>
      <c r="S58" s="398"/>
      <c r="T58" s="398"/>
      <c r="U58" s="398"/>
      <c r="V58" s="398"/>
      <c r="W58" s="398"/>
      <c r="X58" s="398"/>
      <c r="Y58" s="398"/>
      <c r="Z58" s="398"/>
      <c r="AA58" s="398"/>
      <c r="AB58" s="398"/>
      <c r="AC58" s="398"/>
      <c r="AD58" s="398"/>
      <c r="AE58" s="398"/>
      <c r="AF58" s="398"/>
      <c r="AG58" s="398"/>
      <c r="AH58" s="398"/>
      <c r="AI58" s="398"/>
      <c r="AJ58" s="154"/>
      <c r="AK58" s="398"/>
      <c r="AL58" s="398"/>
      <c r="AM58" s="398"/>
      <c r="AN58" s="525"/>
      <c r="AO58" s="398"/>
      <c r="AP58" s="398"/>
      <c r="AQ58" s="154"/>
      <c r="AR58" s="398"/>
      <c r="AS58" s="398"/>
      <c r="AT58" s="398"/>
      <c r="AU58" s="525"/>
      <c r="AV58" s="398"/>
      <c r="AW58" s="154"/>
      <c r="AX58" s="398"/>
      <c r="AY58" s="398"/>
      <c r="AZ58" s="398"/>
      <c r="BA58" s="398"/>
      <c r="BB58" s="398"/>
      <c r="BC58" s="398"/>
      <c r="BD58" s="154"/>
      <c r="BE58" s="398"/>
      <c r="BF58" s="398"/>
      <c r="BG58" s="398"/>
      <c r="BH58" s="398"/>
      <c r="BI58" s="398"/>
      <c r="BJ58" s="398"/>
      <c r="BK58" s="154"/>
      <c r="BL58" s="154"/>
      <c r="BM58" s="154"/>
      <c r="BN58" s="154"/>
      <c r="BO58" s="154"/>
      <c r="BP58" s="154"/>
      <c r="BQ58" s="154"/>
      <c r="BR58" s="154"/>
      <c r="BS58" s="154"/>
      <c r="BT58" s="154"/>
      <c r="BU58" s="154"/>
      <c r="BV58" s="154"/>
      <c r="BW58" s="154"/>
      <c r="BX58" s="154"/>
    </row>
    <row r="59" ht="15.75" customHeight="1">
      <c r="A59" s="532"/>
      <c r="B59" s="542" t="s">
        <v>1824</v>
      </c>
      <c r="C59" s="252" t="s">
        <v>1828</v>
      </c>
      <c r="D59" s="254" t="s">
        <v>1828</v>
      </c>
      <c r="E59" s="398"/>
      <c r="F59" s="398"/>
      <c r="G59" s="398" t="s">
        <v>1835</v>
      </c>
      <c r="H59" s="175"/>
      <c r="I59" s="543" t="s">
        <v>1836</v>
      </c>
      <c r="J59" s="398"/>
      <c r="K59" s="398"/>
      <c r="L59" s="398"/>
      <c r="M59" s="527"/>
      <c r="N59" s="398"/>
      <c r="O59" s="398"/>
      <c r="P59" s="398"/>
      <c r="Q59" s="398"/>
      <c r="R59" s="113"/>
      <c r="S59" s="398"/>
      <c r="T59" s="398"/>
      <c r="U59" s="398"/>
      <c r="V59" s="398"/>
      <c r="W59" s="398"/>
      <c r="X59" s="398"/>
      <c r="Y59" s="398"/>
      <c r="Z59" s="398"/>
      <c r="AA59" s="398"/>
      <c r="AB59" s="398"/>
      <c r="AC59" s="398"/>
      <c r="AD59" s="398"/>
      <c r="AE59" s="398"/>
      <c r="AF59" s="398"/>
      <c r="AG59" s="398"/>
      <c r="AH59" s="398"/>
      <c r="AI59" s="398"/>
      <c r="AJ59" s="527"/>
      <c r="AK59" s="398"/>
      <c r="AL59" s="398"/>
      <c r="AM59" s="398"/>
      <c r="AN59" s="525"/>
      <c r="AO59" s="398"/>
      <c r="AP59" s="398"/>
      <c r="AQ59" s="527"/>
      <c r="AR59" s="398"/>
      <c r="AS59" s="398"/>
      <c r="AT59" s="398"/>
      <c r="AU59" s="525"/>
      <c r="AV59" s="398"/>
      <c r="AW59" s="527"/>
      <c r="AX59" s="398"/>
      <c r="AY59" s="398"/>
      <c r="AZ59" s="398"/>
      <c r="BA59" s="398"/>
      <c r="BB59" s="398"/>
      <c r="BC59" s="398"/>
      <c r="BD59" s="527"/>
      <c r="BE59" s="398"/>
      <c r="BF59" s="398"/>
      <c r="BG59" s="398"/>
      <c r="BH59" s="398"/>
      <c r="BI59" s="398"/>
      <c r="BJ59" s="398"/>
      <c r="BK59" s="527"/>
      <c r="BL59" s="527"/>
      <c r="BM59" s="527"/>
      <c r="BN59" s="527"/>
      <c r="BO59" s="527"/>
      <c r="BP59" s="527"/>
      <c r="BQ59" s="527"/>
      <c r="BR59" s="527"/>
      <c r="BS59" s="527"/>
      <c r="BT59" s="527"/>
      <c r="BU59" s="527"/>
      <c r="BV59" s="527"/>
      <c r="BW59" s="527"/>
      <c r="BX59" s="527"/>
    </row>
    <row r="60" ht="15.75" customHeight="1">
      <c r="A60" s="544" t="s">
        <v>410</v>
      </c>
      <c r="B60" s="545" t="s">
        <v>1718</v>
      </c>
      <c r="C60" s="523" t="s">
        <v>1843</v>
      </c>
      <c r="D60" s="173"/>
      <c r="E60" s="398"/>
      <c r="F60" s="398" t="s">
        <v>1848</v>
      </c>
      <c r="G60" s="398"/>
      <c r="H60" s="175"/>
      <c r="I60" s="525"/>
      <c r="J60" s="398"/>
      <c r="K60" s="398"/>
      <c r="L60" s="398"/>
      <c r="M60" s="527"/>
      <c r="N60" s="398"/>
      <c r="O60" s="398"/>
      <c r="P60" s="398"/>
      <c r="Q60" s="398"/>
      <c r="R60" s="113"/>
      <c r="S60" s="398"/>
      <c r="T60" s="398"/>
      <c r="U60" s="398"/>
      <c r="V60" s="398"/>
      <c r="W60" s="398"/>
      <c r="X60" s="398"/>
      <c r="Y60" s="398"/>
      <c r="Z60" s="398"/>
      <c r="AA60" s="398"/>
      <c r="AB60" s="398"/>
      <c r="AC60" s="398"/>
      <c r="AD60" s="398"/>
      <c r="AE60" s="398"/>
      <c r="AF60" s="398"/>
      <c r="AG60" s="398"/>
      <c r="AH60" s="398"/>
      <c r="AI60" s="398"/>
      <c r="AJ60" s="527"/>
      <c r="AK60" s="398"/>
      <c r="AL60" s="398"/>
      <c r="AM60" s="398"/>
      <c r="AN60" s="525"/>
      <c r="AO60" s="398"/>
      <c r="AP60" s="398"/>
      <c r="AQ60" s="527"/>
      <c r="AR60" s="398"/>
      <c r="AS60" s="398"/>
      <c r="AT60" s="398"/>
      <c r="AU60" s="525"/>
      <c r="AV60" s="398"/>
      <c r="AW60" s="527"/>
      <c r="AX60" s="398"/>
      <c r="AY60" s="398"/>
      <c r="AZ60" s="398"/>
      <c r="BA60" s="398"/>
      <c r="BB60" s="398"/>
      <c r="BC60" s="398"/>
      <c r="BD60" s="527"/>
      <c r="BE60" s="398"/>
      <c r="BF60" s="398"/>
      <c r="BG60" s="398"/>
      <c r="BH60" s="398"/>
      <c r="BI60" s="398"/>
      <c r="BJ60" s="398"/>
      <c r="BK60" s="527"/>
      <c r="BL60" s="527"/>
      <c r="BM60" s="527"/>
      <c r="BN60" s="527"/>
      <c r="BO60" s="527"/>
      <c r="BP60" s="527"/>
      <c r="BQ60" s="527"/>
      <c r="BR60" s="527"/>
      <c r="BS60" s="527"/>
      <c r="BT60" s="527"/>
      <c r="BU60" s="527"/>
      <c r="BV60" s="527"/>
      <c r="BW60" s="527"/>
      <c r="BX60" s="527"/>
    </row>
    <row r="61" ht="15.75" customHeight="1">
      <c r="A61" s="528"/>
      <c r="B61" s="529" t="s">
        <v>1760</v>
      </c>
      <c r="C61" s="523" t="s">
        <v>1586</v>
      </c>
      <c r="D61" s="550"/>
      <c r="E61" s="398"/>
      <c r="F61" s="398" t="s">
        <v>1858</v>
      </c>
      <c r="G61" s="398" t="s">
        <v>1586</v>
      </c>
      <c r="H61" s="175"/>
      <c r="I61" s="100" t="s">
        <v>452</v>
      </c>
      <c r="J61" s="398"/>
      <c r="K61" s="398"/>
      <c r="L61" s="398"/>
      <c r="M61" s="157" t="s">
        <v>852</v>
      </c>
      <c r="N61" s="398"/>
      <c r="O61" s="398"/>
      <c r="P61" s="398"/>
      <c r="Q61" s="398"/>
      <c r="R61" s="113" t="s">
        <v>1862</v>
      </c>
      <c r="S61" s="398" t="s">
        <v>1863</v>
      </c>
      <c r="T61" s="398"/>
      <c r="U61" s="398"/>
      <c r="V61" s="398"/>
      <c r="W61" s="398"/>
      <c r="X61" s="398"/>
      <c r="Y61" s="398"/>
      <c r="Z61" s="398"/>
      <c r="AA61" s="398" t="s">
        <v>1865</v>
      </c>
      <c r="AB61" s="398"/>
      <c r="AC61" s="398"/>
      <c r="AD61" s="398"/>
      <c r="AE61" s="398"/>
      <c r="AF61" s="398"/>
      <c r="AG61" s="398"/>
      <c r="AH61" s="398"/>
      <c r="AI61" s="398"/>
      <c r="AJ61" s="154"/>
      <c r="AK61" s="398"/>
      <c r="AL61" s="398"/>
      <c r="AM61" s="398"/>
      <c r="AN61" s="525"/>
      <c r="AO61" s="398"/>
      <c r="AP61" s="398"/>
      <c r="AQ61" s="154"/>
      <c r="AR61" s="398"/>
      <c r="AS61" s="398"/>
      <c r="AT61" s="398"/>
      <c r="AU61" s="525"/>
      <c r="AV61" s="398"/>
      <c r="AW61" s="154"/>
      <c r="AX61" s="398"/>
      <c r="AY61" s="398"/>
      <c r="AZ61" s="398"/>
      <c r="BA61" s="398"/>
      <c r="BB61" s="398"/>
      <c r="BC61" s="398"/>
      <c r="BD61" s="154"/>
      <c r="BE61" s="398"/>
      <c r="BF61" s="398"/>
      <c r="BG61" s="398"/>
      <c r="BH61" s="398"/>
      <c r="BI61" s="398"/>
      <c r="BJ61" s="398"/>
      <c r="BK61" s="154"/>
      <c r="BL61" s="154"/>
      <c r="BM61" s="154"/>
      <c r="BN61" s="154"/>
      <c r="BO61" s="154"/>
      <c r="BP61" s="154"/>
      <c r="BQ61" s="154"/>
      <c r="BR61" s="154"/>
      <c r="BS61" s="154"/>
      <c r="BT61" s="154"/>
      <c r="BU61" s="154"/>
      <c r="BV61" s="154"/>
      <c r="BW61" s="154"/>
      <c r="BX61" s="154"/>
    </row>
    <row r="62" ht="15.75" customHeight="1">
      <c r="A62" s="532"/>
      <c r="B62" s="533" t="s">
        <v>1778</v>
      </c>
      <c r="C62" s="523" t="s">
        <v>1874</v>
      </c>
      <c r="D62" s="173"/>
      <c r="E62" s="398" t="s">
        <v>1876</v>
      </c>
      <c r="F62" s="534"/>
      <c r="G62" s="112" t="s">
        <v>1878</v>
      </c>
      <c r="H62" s="175"/>
      <c r="I62" s="525"/>
      <c r="J62" s="534"/>
      <c r="K62" s="534"/>
      <c r="L62" s="534"/>
      <c r="M62" s="527"/>
      <c r="N62" s="534"/>
      <c r="O62" s="534"/>
      <c r="P62" s="534"/>
      <c r="Q62" s="534"/>
      <c r="R62" s="113"/>
      <c r="S62" s="534"/>
      <c r="T62" s="534"/>
      <c r="U62" s="534"/>
      <c r="V62" s="534"/>
      <c r="W62" s="534"/>
      <c r="X62" s="534"/>
      <c r="Y62" s="534"/>
      <c r="Z62" s="534"/>
      <c r="AA62" s="534"/>
      <c r="AB62" s="534"/>
      <c r="AC62" s="534"/>
      <c r="AD62" s="534"/>
      <c r="AE62" s="534"/>
      <c r="AF62" s="534"/>
      <c r="AG62" s="534"/>
      <c r="AH62" s="534"/>
      <c r="AI62" s="534"/>
      <c r="AJ62" s="527"/>
      <c r="AK62" s="534"/>
      <c r="AL62" s="534"/>
      <c r="AM62" s="534"/>
      <c r="AN62" s="525"/>
      <c r="AO62" s="534"/>
      <c r="AP62" s="534"/>
      <c r="AQ62" s="527"/>
      <c r="AR62" s="534"/>
      <c r="AS62" s="534"/>
      <c r="AT62" s="534"/>
      <c r="AU62" s="525"/>
      <c r="AV62" s="534"/>
      <c r="AW62" s="527"/>
      <c r="AX62" s="534"/>
      <c r="AY62" s="534"/>
      <c r="AZ62" s="534"/>
      <c r="BA62" s="534"/>
      <c r="BB62" s="534"/>
      <c r="BC62" s="534"/>
      <c r="BD62" s="527"/>
      <c r="BE62" s="534"/>
      <c r="BF62" s="534"/>
      <c r="BG62" s="534"/>
      <c r="BH62" s="534"/>
      <c r="BI62" s="534"/>
      <c r="BJ62" s="534"/>
      <c r="BK62" s="527"/>
      <c r="BL62" s="527"/>
      <c r="BM62" s="527"/>
      <c r="BN62" s="527"/>
      <c r="BO62" s="527"/>
      <c r="BP62" s="527"/>
      <c r="BQ62" s="527"/>
      <c r="BR62" s="527"/>
      <c r="BS62" s="527"/>
      <c r="BT62" s="527"/>
      <c r="BU62" s="527"/>
      <c r="BV62" s="527"/>
      <c r="BW62" s="527"/>
      <c r="BX62" s="527"/>
    </row>
    <row r="63" ht="15.75" customHeight="1">
      <c r="A63" s="528"/>
      <c r="B63" s="529" t="s">
        <v>1796</v>
      </c>
      <c r="C63" s="523" t="s">
        <v>1310</v>
      </c>
      <c r="D63" s="557" t="s">
        <v>1892</v>
      </c>
      <c r="E63" s="398"/>
      <c r="F63" s="398" t="s">
        <v>1896</v>
      </c>
      <c r="G63" s="112" t="s">
        <v>1897</v>
      </c>
      <c r="H63" s="112" t="s">
        <v>1900</v>
      </c>
      <c r="I63" s="525"/>
      <c r="J63" s="398"/>
      <c r="K63" s="398"/>
      <c r="L63" s="398"/>
      <c r="M63" s="154"/>
      <c r="N63" s="398"/>
      <c r="O63" s="398"/>
      <c r="P63" s="398"/>
      <c r="Q63" s="112" t="s">
        <v>1903</v>
      </c>
      <c r="R63" s="113" t="s">
        <v>1906</v>
      </c>
      <c r="S63" s="398" t="s">
        <v>852</v>
      </c>
      <c r="T63" s="398"/>
      <c r="U63" s="398" t="s">
        <v>529</v>
      </c>
      <c r="V63" s="398"/>
      <c r="W63" s="398"/>
      <c r="X63" s="398"/>
      <c r="Y63" s="398"/>
      <c r="Z63" s="398"/>
      <c r="AA63" s="398"/>
      <c r="AB63" s="398" t="s">
        <v>1903</v>
      </c>
      <c r="AC63" s="398"/>
      <c r="AD63" s="398"/>
      <c r="AE63" s="398"/>
      <c r="AF63" s="398"/>
      <c r="AG63" s="398" t="s">
        <v>529</v>
      </c>
      <c r="AH63" s="398" t="s">
        <v>1310</v>
      </c>
      <c r="AI63" s="398"/>
      <c r="AJ63" s="154"/>
      <c r="AK63" s="398"/>
      <c r="AL63" s="398"/>
      <c r="AM63" s="398"/>
      <c r="AN63" s="525"/>
      <c r="AO63" s="398"/>
      <c r="AP63" s="398"/>
      <c r="AQ63" s="154"/>
      <c r="AR63" s="398"/>
      <c r="AS63" s="398"/>
      <c r="AT63" s="398"/>
      <c r="AU63" s="525"/>
      <c r="AV63" s="398"/>
      <c r="AW63" s="154"/>
      <c r="AX63" s="398"/>
      <c r="AY63" s="398"/>
      <c r="AZ63" s="398"/>
      <c r="BA63" s="398"/>
      <c r="BB63" s="398"/>
      <c r="BC63" s="398"/>
      <c r="BD63" s="154"/>
      <c r="BE63" s="398"/>
      <c r="BF63" s="398"/>
      <c r="BG63" s="398"/>
      <c r="BH63" s="398"/>
      <c r="BI63" s="398"/>
      <c r="BJ63" s="398"/>
      <c r="BK63" s="154"/>
      <c r="BL63" s="154"/>
      <c r="BM63" s="154"/>
      <c r="BN63" s="154"/>
      <c r="BO63" s="154"/>
      <c r="BP63" s="154"/>
      <c r="BQ63" s="154"/>
      <c r="BR63" s="154"/>
      <c r="BS63" s="154"/>
      <c r="BT63" s="154"/>
      <c r="BU63" s="154"/>
      <c r="BV63" s="154"/>
      <c r="BW63" s="154"/>
      <c r="BX63" s="154"/>
    </row>
    <row r="64" ht="15.75" customHeight="1">
      <c r="A64" s="563" t="s">
        <v>320</v>
      </c>
      <c r="B64" s="565" t="s">
        <v>1922</v>
      </c>
      <c r="C64" s="523" t="s">
        <v>1925</v>
      </c>
      <c r="D64" s="254" t="s">
        <v>1928</v>
      </c>
      <c r="E64" s="154"/>
      <c r="F64" s="154"/>
      <c r="G64" s="112">
        <v>31.09</v>
      </c>
      <c r="H64" s="175"/>
      <c r="I64" s="154"/>
      <c r="J64" s="154"/>
      <c r="K64" s="154"/>
      <c r="L64" s="154"/>
      <c r="M64" s="147" t="s">
        <v>1937</v>
      </c>
      <c r="N64" s="154"/>
      <c r="O64" s="154"/>
      <c r="P64" s="154"/>
      <c r="Q64" s="154"/>
      <c r="R64" s="567"/>
      <c r="S64" s="154"/>
      <c r="T64" s="154"/>
      <c r="U64" s="154"/>
      <c r="V64" s="154"/>
      <c r="W64" s="154"/>
      <c r="X64" s="154"/>
      <c r="Y64" s="154"/>
      <c r="Z64" s="154"/>
      <c r="AA64" s="154"/>
      <c r="AB64" s="154"/>
      <c r="AC64" s="154"/>
      <c r="AD64" s="154"/>
      <c r="AE64" s="154"/>
      <c r="AF64" s="154"/>
      <c r="AG64" s="154"/>
      <c r="AH64" s="154"/>
      <c r="AI64" s="154"/>
      <c r="AJ64" s="147" t="s">
        <v>1957</v>
      </c>
      <c r="AK64" s="154"/>
      <c r="AL64" s="154"/>
      <c r="AM64" s="154"/>
      <c r="AN64" s="154"/>
      <c r="AO64" s="154"/>
      <c r="AP64" s="154"/>
      <c r="AQ64" s="154"/>
      <c r="AR64" s="154"/>
      <c r="AS64" s="154"/>
      <c r="AT64" s="154"/>
      <c r="AU64" s="154"/>
      <c r="AV64" s="154"/>
      <c r="AW64" s="154"/>
      <c r="AX64" s="154"/>
      <c r="AY64" s="154"/>
      <c r="AZ64" s="154"/>
      <c r="BA64" s="154"/>
      <c r="BB64" s="154"/>
      <c r="BC64" s="154"/>
      <c r="BD64" s="154"/>
      <c r="BE64" s="154"/>
      <c r="BF64" s="154"/>
      <c r="BG64" s="154"/>
      <c r="BH64" s="154"/>
      <c r="BI64" s="154"/>
      <c r="BJ64" s="154"/>
      <c r="BK64" s="154"/>
      <c r="BL64" s="154"/>
      <c r="BM64" s="154"/>
      <c r="BN64" s="154"/>
      <c r="BO64" s="154"/>
      <c r="BP64" s="154"/>
      <c r="BQ64" s="154"/>
      <c r="BR64" s="154"/>
      <c r="BS64" s="154"/>
      <c r="BT64" s="154"/>
      <c r="BU64" s="154"/>
      <c r="BV64" s="154"/>
      <c r="BW64" s="154"/>
      <c r="BX64" s="154"/>
    </row>
    <row r="65" ht="15.75" customHeight="1">
      <c r="A65" s="528"/>
      <c r="B65" s="529" t="s">
        <v>1969</v>
      </c>
      <c r="C65" s="225" t="s">
        <v>1971</v>
      </c>
      <c r="D65" s="557" t="s">
        <v>1971</v>
      </c>
      <c r="E65" s="398"/>
      <c r="F65" s="398"/>
      <c r="G65" s="147" t="s">
        <v>1971</v>
      </c>
      <c r="H65" s="175"/>
      <c r="I65" s="525"/>
      <c r="J65" s="398"/>
      <c r="K65" s="398"/>
      <c r="L65" s="398"/>
      <c r="M65" s="147" t="s">
        <v>1985</v>
      </c>
      <c r="N65" s="398"/>
      <c r="O65" s="398"/>
      <c r="P65" s="398"/>
      <c r="Q65" s="175"/>
      <c r="R65" s="113"/>
      <c r="S65" s="398"/>
      <c r="T65" s="398"/>
      <c r="U65" s="398"/>
      <c r="V65" s="398"/>
      <c r="W65" s="398"/>
      <c r="X65" s="398"/>
      <c r="Y65" s="398"/>
      <c r="Z65" s="398"/>
      <c r="AA65" s="398"/>
      <c r="AB65" s="398"/>
      <c r="AC65" s="398"/>
      <c r="AD65" s="398"/>
      <c r="AE65" s="398"/>
      <c r="AF65" s="398"/>
      <c r="AG65" s="398"/>
      <c r="AH65" s="398"/>
      <c r="AI65" s="398"/>
      <c r="AJ65" s="147" t="s">
        <v>1997</v>
      </c>
      <c r="AK65" s="398"/>
      <c r="AL65" s="398"/>
      <c r="AM65" s="398"/>
      <c r="AN65" s="525"/>
      <c r="AO65" s="398"/>
      <c r="AP65" s="398"/>
      <c r="AQ65" s="154"/>
      <c r="AR65" s="398"/>
      <c r="AS65" s="398"/>
      <c r="AT65" s="398"/>
      <c r="AU65" s="525"/>
      <c r="AV65" s="398"/>
      <c r="AW65" s="154"/>
      <c r="AX65" s="398"/>
      <c r="AY65" s="398"/>
      <c r="AZ65" s="398"/>
      <c r="BA65" s="398"/>
      <c r="BB65" s="398"/>
      <c r="BC65" s="398"/>
      <c r="BD65" s="154"/>
      <c r="BE65" s="398"/>
      <c r="BF65" s="398"/>
      <c r="BG65" s="398"/>
      <c r="BH65" s="398"/>
      <c r="BI65" s="398"/>
      <c r="BJ65" s="398"/>
      <c r="BK65" s="154"/>
      <c r="BL65" s="154"/>
      <c r="BM65" s="154"/>
      <c r="BN65" s="154"/>
      <c r="BO65" s="154"/>
      <c r="BP65" s="154"/>
      <c r="BQ65" s="154"/>
      <c r="BR65" s="154"/>
      <c r="BS65" s="154"/>
      <c r="BT65" s="154"/>
      <c r="BU65" s="154"/>
      <c r="BV65" s="154"/>
      <c r="BW65" s="154"/>
      <c r="BX65" s="154"/>
    </row>
    <row r="66" ht="15.75" customHeight="1">
      <c r="A66" s="520" t="s">
        <v>227</v>
      </c>
      <c r="B66" s="522" t="s">
        <v>146</v>
      </c>
      <c r="C66" s="577" t="s">
        <v>195</v>
      </c>
      <c r="D66" s="557" t="s">
        <v>195</v>
      </c>
      <c r="E66" s="489" t="s">
        <v>2018</v>
      </c>
      <c r="F66" s="489"/>
      <c r="G66" s="489" t="s">
        <v>2021</v>
      </c>
      <c r="H66" s="175"/>
      <c r="I66" s="543" t="s">
        <v>2024</v>
      </c>
      <c r="J66" s="489"/>
      <c r="K66" s="489"/>
      <c r="L66" s="489"/>
      <c r="M66" s="526" t="s">
        <v>2026</v>
      </c>
      <c r="N66" s="489"/>
      <c r="O66" s="489"/>
      <c r="P66" s="489"/>
      <c r="Q66" s="489"/>
      <c r="R66" s="290"/>
      <c r="S66" s="489"/>
      <c r="T66" s="489"/>
      <c r="U66" s="489"/>
      <c r="V66" s="489"/>
      <c r="W66" s="489"/>
      <c r="X66" s="489"/>
      <c r="Y66" s="489"/>
      <c r="Z66" s="489"/>
      <c r="AA66" s="489" t="s">
        <v>2034</v>
      </c>
      <c r="AB66" s="489"/>
      <c r="AC66" s="489"/>
      <c r="AD66" s="489"/>
      <c r="AE66" s="489"/>
      <c r="AF66" s="489"/>
      <c r="AG66" s="489"/>
      <c r="AH66" s="489"/>
      <c r="AI66" s="489"/>
      <c r="AJ66" s="527"/>
      <c r="AK66" s="489"/>
      <c r="AL66" s="489"/>
      <c r="AM66" s="489"/>
      <c r="AN66" s="525"/>
      <c r="AO66" s="489"/>
      <c r="AP66" s="489"/>
      <c r="AQ66" s="527"/>
      <c r="AR66" s="489"/>
      <c r="AS66" s="489"/>
      <c r="AT66" s="489"/>
      <c r="AU66" s="525"/>
      <c r="AV66" s="489"/>
      <c r="AW66" s="527"/>
      <c r="AX66" s="489"/>
      <c r="AY66" s="489"/>
      <c r="AZ66" s="489"/>
      <c r="BA66" s="489"/>
      <c r="BB66" s="489"/>
      <c r="BC66" s="489"/>
      <c r="BD66" s="527"/>
      <c r="BE66" s="489"/>
      <c r="BF66" s="489"/>
      <c r="BG66" s="489"/>
      <c r="BH66" s="489"/>
      <c r="BI66" s="489"/>
      <c r="BJ66" s="489"/>
      <c r="BK66" s="527"/>
      <c r="BL66" s="527"/>
      <c r="BM66" s="527"/>
      <c r="BN66" s="527"/>
      <c r="BO66" s="527"/>
      <c r="BP66" s="527"/>
      <c r="BQ66" s="527"/>
      <c r="BR66" s="527"/>
      <c r="BS66" s="527"/>
      <c r="BT66" s="527"/>
      <c r="BU66" s="527"/>
      <c r="BV66" s="527"/>
      <c r="BW66" s="527"/>
      <c r="BX66" s="527"/>
    </row>
    <row r="67" ht="15.75" customHeight="1">
      <c r="A67" s="544" t="s">
        <v>320</v>
      </c>
      <c r="B67" s="545" t="s">
        <v>2047</v>
      </c>
      <c r="C67" s="523" t="s">
        <v>2048</v>
      </c>
      <c r="D67" s="173"/>
      <c r="E67" s="489"/>
      <c r="F67" s="489"/>
      <c r="G67" s="112">
        <v>35.06</v>
      </c>
      <c r="H67" s="175"/>
      <c r="I67" s="525"/>
      <c r="J67" s="489"/>
      <c r="K67" s="489"/>
      <c r="L67" s="489"/>
      <c r="M67" s="147" t="s">
        <v>2054</v>
      </c>
      <c r="N67" s="489"/>
      <c r="O67" s="489"/>
      <c r="P67" s="489"/>
      <c r="Q67" s="489"/>
      <c r="R67" s="290"/>
      <c r="S67" s="489"/>
      <c r="T67" s="489" t="s">
        <v>2060</v>
      </c>
      <c r="U67" s="489"/>
      <c r="V67" s="489"/>
      <c r="W67" s="489"/>
      <c r="X67" s="489"/>
      <c r="Y67" s="489"/>
      <c r="Z67" s="489"/>
      <c r="AA67" s="489"/>
      <c r="AB67" s="489"/>
      <c r="AC67" s="489"/>
      <c r="AD67" s="489"/>
      <c r="AE67" s="489"/>
      <c r="AF67" s="489"/>
      <c r="AG67" s="489"/>
      <c r="AH67" s="489"/>
      <c r="AI67" s="489"/>
      <c r="AJ67" s="154"/>
      <c r="AK67" s="489"/>
      <c r="AL67" s="489"/>
      <c r="AM67" s="489"/>
      <c r="AN67" s="525"/>
      <c r="AO67" s="489"/>
      <c r="AP67" s="489"/>
      <c r="AQ67" s="154"/>
      <c r="AR67" s="489"/>
      <c r="AS67" s="489"/>
      <c r="AT67" s="489"/>
      <c r="AU67" s="100" t="s">
        <v>2071</v>
      </c>
      <c r="AV67" s="489"/>
      <c r="AW67" s="154"/>
      <c r="AX67" s="489"/>
      <c r="AY67" s="489"/>
      <c r="AZ67" s="489"/>
      <c r="BA67" s="489"/>
      <c r="BB67" s="489"/>
      <c r="BC67" s="489"/>
      <c r="BD67" s="154"/>
      <c r="BE67" s="489"/>
      <c r="BF67" s="489"/>
      <c r="BG67" s="489"/>
      <c r="BH67" s="489"/>
      <c r="BI67" s="489"/>
      <c r="BJ67" s="489"/>
      <c r="BK67" s="154"/>
      <c r="BL67" s="154"/>
      <c r="BM67" s="154"/>
      <c r="BN67" s="154"/>
      <c r="BO67" s="154"/>
      <c r="BP67" s="154"/>
      <c r="BQ67" s="154"/>
      <c r="BR67" s="154"/>
      <c r="BS67" s="154"/>
      <c r="BT67" s="154"/>
      <c r="BU67" s="154"/>
      <c r="BV67" s="154"/>
      <c r="BW67" s="154"/>
      <c r="BX67" s="154"/>
    </row>
    <row r="68" ht="15.75" customHeight="1">
      <c r="A68" s="582"/>
      <c r="B68" s="529" t="s">
        <v>2079</v>
      </c>
      <c r="C68" s="583" t="s">
        <v>2080</v>
      </c>
      <c r="D68" s="584"/>
      <c r="E68" s="113"/>
      <c r="F68" s="113"/>
      <c r="G68" s="113"/>
      <c r="H68" s="175"/>
      <c r="I68" s="585"/>
      <c r="J68" s="113"/>
      <c r="K68" s="113"/>
      <c r="L68" s="113"/>
      <c r="M68" s="526" t="s">
        <v>2088</v>
      </c>
      <c r="N68" s="113"/>
      <c r="O68" s="113"/>
      <c r="P68" s="113"/>
      <c r="Q68" s="113"/>
      <c r="R68" s="113"/>
      <c r="S68" s="113"/>
      <c r="T68" s="586"/>
      <c r="U68" s="117"/>
      <c r="V68" s="113"/>
      <c r="W68" s="113"/>
      <c r="X68" s="113"/>
      <c r="Y68" s="113"/>
      <c r="Z68" s="113"/>
      <c r="AA68" s="113"/>
      <c r="AB68" s="113"/>
      <c r="AC68" s="113"/>
      <c r="AD68" s="113"/>
      <c r="AE68" s="113"/>
      <c r="AF68" s="113"/>
      <c r="AG68" s="113"/>
      <c r="AH68" s="113"/>
      <c r="AI68" s="113"/>
      <c r="AJ68" s="527"/>
      <c r="AK68" s="113"/>
      <c r="AL68" s="113"/>
      <c r="AM68" s="113"/>
      <c r="AN68" s="585"/>
      <c r="AO68" s="113"/>
      <c r="AP68" s="113"/>
      <c r="AQ68" s="527"/>
      <c r="AR68" s="113"/>
      <c r="AS68" s="113"/>
      <c r="AT68" s="113"/>
      <c r="AU68" s="585"/>
      <c r="AV68" s="113"/>
      <c r="AW68" s="527"/>
      <c r="AX68" s="113"/>
      <c r="AY68" s="113"/>
      <c r="AZ68" s="113"/>
      <c r="BA68" s="113"/>
      <c r="BB68" s="113"/>
      <c r="BC68" s="113"/>
      <c r="BD68" s="527"/>
      <c r="BE68" s="113"/>
      <c r="BF68" s="113"/>
      <c r="BG68" s="113"/>
      <c r="BH68" s="113"/>
      <c r="BI68" s="113"/>
      <c r="BJ68" s="113"/>
      <c r="BK68" s="527"/>
      <c r="BL68" s="527"/>
      <c r="BM68" s="527"/>
      <c r="BN68" s="527"/>
      <c r="BO68" s="527"/>
      <c r="BP68" s="527"/>
      <c r="BQ68" s="527"/>
      <c r="BR68" s="527"/>
      <c r="BS68" s="527"/>
      <c r="BT68" s="527"/>
      <c r="BU68" s="527"/>
      <c r="BV68" s="527"/>
      <c r="BW68" s="527"/>
      <c r="BX68" s="527"/>
    </row>
    <row r="69" ht="15.75" customHeight="1">
      <c r="A69" s="587"/>
      <c r="B69" s="533" t="s">
        <v>2099</v>
      </c>
      <c r="C69" s="252" t="s">
        <v>2101</v>
      </c>
      <c r="D69" s="254" t="s">
        <v>2101</v>
      </c>
      <c r="E69" s="113" t="s">
        <v>852</v>
      </c>
      <c r="F69" s="113"/>
      <c r="G69" s="507" t="s">
        <v>549</v>
      </c>
      <c r="H69" s="175"/>
      <c r="I69" s="588" t="s">
        <v>2111</v>
      </c>
      <c r="J69" s="113"/>
      <c r="K69" s="113"/>
      <c r="L69" s="113"/>
      <c r="M69" s="526" t="s">
        <v>2114</v>
      </c>
      <c r="N69" s="113"/>
      <c r="O69" s="113"/>
      <c r="P69" s="113"/>
      <c r="Q69" s="113"/>
      <c r="R69" s="113"/>
      <c r="S69" s="113"/>
      <c r="T69" s="109" t="s">
        <v>2120</v>
      </c>
      <c r="U69" s="109" t="s">
        <v>1928</v>
      </c>
      <c r="V69" s="113"/>
      <c r="W69" s="113"/>
      <c r="X69" s="113"/>
      <c r="Y69" s="113"/>
      <c r="Z69" s="113"/>
      <c r="AA69" s="113"/>
      <c r="AB69" s="113"/>
      <c r="AC69" s="113"/>
      <c r="AD69" s="113"/>
      <c r="AE69" s="113"/>
      <c r="AF69" s="113"/>
      <c r="AG69" s="113"/>
      <c r="AH69" s="113"/>
      <c r="AI69" s="113"/>
      <c r="AJ69" s="527"/>
      <c r="AK69" s="113"/>
      <c r="AL69" s="113"/>
      <c r="AM69" s="113"/>
      <c r="AN69" s="585"/>
      <c r="AO69" s="113"/>
      <c r="AP69" s="113"/>
      <c r="AQ69" s="527"/>
      <c r="AR69" s="113"/>
      <c r="AS69" s="113"/>
      <c r="AT69" s="113"/>
      <c r="AU69" s="585"/>
      <c r="AV69" s="113"/>
      <c r="AW69" s="527"/>
      <c r="AX69" s="113"/>
      <c r="AY69" s="113"/>
      <c r="AZ69" s="113"/>
      <c r="BA69" s="113"/>
      <c r="BB69" s="113"/>
      <c r="BC69" s="113"/>
      <c r="BD69" s="527"/>
      <c r="BE69" s="113"/>
      <c r="BF69" s="113"/>
      <c r="BG69" s="113"/>
      <c r="BH69" s="113"/>
      <c r="BI69" s="113"/>
      <c r="BJ69" s="113"/>
      <c r="BK69" s="527"/>
      <c r="BL69" s="527"/>
      <c r="BM69" s="527"/>
      <c r="BN69" s="527"/>
      <c r="BO69" s="527"/>
      <c r="BP69" s="527"/>
      <c r="BQ69" s="527"/>
      <c r="BR69" s="527"/>
      <c r="BS69" s="527"/>
      <c r="BT69" s="527"/>
      <c r="BU69" s="527"/>
      <c r="BV69" s="527"/>
      <c r="BW69" s="527"/>
      <c r="BX69" s="527"/>
    </row>
    <row r="70" ht="15.75" customHeight="1">
      <c r="A70" s="544" t="s">
        <v>410</v>
      </c>
      <c r="B70" s="545" t="s">
        <v>2047</v>
      </c>
      <c r="C70" s="172" t="s">
        <v>2138</v>
      </c>
      <c r="D70" s="173"/>
      <c r="E70" s="113" t="s">
        <v>2142</v>
      </c>
      <c r="F70" s="113"/>
      <c r="G70" s="113"/>
      <c r="H70" s="175"/>
      <c r="I70" s="585"/>
      <c r="J70" s="113"/>
      <c r="K70" s="507" t="s">
        <v>2143</v>
      </c>
      <c r="L70" s="113"/>
      <c r="M70" s="147" t="s">
        <v>2147</v>
      </c>
      <c r="N70" s="113"/>
      <c r="O70" s="113"/>
      <c r="P70" s="113"/>
      <c r="Q70" s="113"/>
      <c r="R70" s="113"/>
      <c r="S70" s="113"/>
      <c r="T70" s="113"/>
      <c r="U70" s="113"/>
      <c r="V70" s="113"/>
      <c r="W70" s="113"/>
      <c r="X70" s="113"/>
      <c r="Y70" s="113"/>
      <c r="Z70" s="113"/>
      <c r="AA70" s="113"/>
      <c r="AB70" s="113"/>
      <c r="AC70" s="113"/>
      <c r="AD70" s="113"/>
      <c r="AE70" s="113"/>
      <c r="AF70" s="113"/>
      <c r="AG70" s="113"/>
      <c r="AH70" s="113"/>
      <c r="AI70" s="113"/>
      <c r="AJ70" s="154"/>
      <c r="AK70" s="113"/>
      <c r="AL70" s="113"/>
      <c r="AM70" s="113"/>
      <c r="AN70" s="585"/>
      <c r="AO70" s="113"/>
      <c r="AP70" s="113"/>
      <c r="AQ70" s="154"/>
      <c r="AR70" s="113"/>
      <c r="AS70" s="113"/>
      <c r="AT70" s="113"/>
      <c r="AU70" s="100" t="s">
        <v>2138</v>
      </c>
      <c r="AV70" s="113"/>
      <c r="AW70" s="154"/>
      <c r="AX70" s="113"/>
      <c r="AY70" s="113"/>
      <c r="AZ70" s="113"/>
      <c r="BA70" s="113"/>
      <c r="BB70" s="113"/>
      <c r="BC70" s="507" t="s">
        <v>2156</v>
      </c>
      <c r="BD70" s="154"/>
      <c r="BE70" s="113"/>
      <c r="BF70" s="113"/>
      <c r="BG70" s="113"/>
      <c r="BH70" s="113"/>
      <c r="BI70" s="113"/>
      <c r="BJ70" s="113"/>
      <c r="BK70" s="154"/>
      <c r="BL70" s="154"/>
      <c r="BM70" s="154"/>
      <c r="BN70" s="154"/>
      <c r="BO70" s="154"/>
      <c r="BP70" s="154"/>
      <c r="BQ70" s="154"/>
      <c r="BR70" s="154"/>
      <c r="BS70" s="154"/>
      <c r="BT70" s="154"/>
      <c r="BU70" s="154"/>
      <c r="BV70" s="154"/>
      <c r="BW70" s="154"/>
      <c r="BX70" s="154"/>
    </row>
    <row r="71" ht="15.75" customHeight="1">
      <c r="A71" s="582"/>
      <c r="B71" s="529" t="s">
        <v>2162</v>
      </c>
      <c r="C71" s="172" t="s">
        <v>1586</v>
      </c>
      <c r="D71" s="557" t="s">
        <v>2166</v>
      </c>
      <c r="E71" s="144" t="s">
        <v>2170</v>
      </c>
      <c r="F71" s="144" t="s">
        <v>2171</v>
      </c>
      <c r="G71" s="144" t="s">
        <v>1941</v>
      </c>
      <c r="H71" s="175"/>
      <c r="I71" s="543" t="s">
        <v>2179</v>
      </c>
      <c r="J71" s="144"/>
      <c r="K71" s="144" t="s">
        <v>2166</v>
      </c>
      <c r="L71" s="144"/>
      <c r="M71" s="526" t="s">
        <v>2186</v>
      </c>
      <c r="N71" s="144"/>
      <c r="O71" s="144" t="s">
        <v>2171</v>
      </c>
      <c r="P71" s="144"/>
      <c r="Q71" s="144"/>
      <c r="R71" s="113"/>
      <c r="S71" s="144"/>
      <c r="T71" s="398" t="s">
        <v>2194</v>
      </c>
      <c r="U71" s="144"/>
      <c r="V71" s="144"/>
      <c r="W71" s="144" t="s">
        <v>2197</v>
      </c>
      <c r="X71" s="144"/>
      <c r="Y71" s="144" t="s">
        <v>2200</v>
      </c>
      <c r="Z71" s="144" t="s">
        <v>2201</v>
      </c>
      <c r="AA71" s="144"/>
      <c r="AB71" s="144" t="s">
        <v>2203</v>
      </c>
      <c r="AC71" s="144"/>
      <c r="AD71" s="144"/>
      <c r="AE71" s="144"/>
      <c r="AF71" s="144"/>
      <c r="AG71" s="144" t="s">
        <v>1843</v>
      </c>
      <c r="AH71" s="144"/>
      <c r="AI71" s="144"/>
      <c r="AJ71" s="526" t="s">
        <v>2209</v>
      </c>
      <c r="AK71" s="144"/>
      <c r="AL71" s="144"/>
      <c r="AM71" s="109" t="s">
        <v>1586</v>
      </c>
      <c r="AN71" s="525"/>
      <c r="AO71" s="144"/>
      <c r="AP71" s="144"/>
      <c r="AQ71" s="527"/>
      <c r="AR71" s="144"/>
      <c r="AS71" s="144"/>
      <c r="AT71" s="144"/>
      <c r="AU71" s="525"/>
      <c r="AV71" s="144"/>
      <c r="AW71" s="527"/>
      <c r="AX71" s="144"/>
      <c r="AY71" s="144"/>
      <c r="AZ71" s="144"/>
      <c r="BA71" s="144"/>
      <c r="BB71" s="144"/>
      <c r="BC71" s="144"/>
      <c r="BD71" s="527"/>
      <c r="BE71" s="144"/>
      <c r="BF71" s="144"/>
      <c r="BG71" s="144"/>
      <c r="BH71" s="144"/>
      <c r="BI71" s="144"/>
      <c r="BJ71" s="144"/>
      <c r="BK71" s="527"/>
      <c r="BL71" s="527"/>
      <c r="BM71" s="527"/>
      <c r="BN71" s="527"/>
      <c r="BO71" s="527"/>
      <c r="BP71" s="527"/>
      <c r="BQ71" s="527"/>
      <c r="BR71" s="527"/>
      <c r="BS71" s="527"/>
      <c r="BT71" s="527"/>
      <c r="BU71" s="527"/>
      <c r="BV71" s="527"/>
      <c r="BW71" s="527"/>
      <c r="BX71" s="527"/>
    </row>
    <row r="72" ht="15.75" customHeight="1">
      <c r="A72" s="520" t="s">
        <v>2221</v>
      </c>
      <c r="B72" s="522" t="s">
        <v>2222</v>
      </c>
      <c r="C72" s="523" t="str">
        <f>HYPERLINK("https://youtu.be/4OqNmNgyDyw","16.24")</f>
        <v>16.24</v>
      </c>
      <c r="D72" s="550"/>
      <c r="E72" s="594"/>
      <c r="F72" s="594" t="s">
        <v>2227</v>
      </c>
      <c r="G72" s="594"/>
      <c r="H72" s="175"/>
      <c r="I72" s="543"/>
      <c r="J72" s="594"/>
      <c r="K72" s="594"/>
      <c r="L72" s="594"/>
      <c r="M72" s="157" t="s">
        <v>2228</v>
      </c>
      <c r="N72" s="594"/>
      <c r="O72" s="594"/>
      <c r="P72" s="109" t="s">
        <v>2230</v>
      </c>
      <c r="Q72" s="594"/>
      <c r="R72" s="174"/>
      <c r="S72" s="594" t="str">
        <f>HYPERLINK("https://clips.twitch.tv/ThankfulSpoopyHerdWOOP","16.58")</f>
        <v>16.58</v>
      </c>
      <c r="T72" s="594"/>
      <c r="U72" s="594"/>
      <c r="V72" s="594"/>
      <c r="W72" s="594"/>
      <c r="X72" s="594" t="s">
        <v>2239</v>
      </c>
      <c r="Y72" s="594"/>
      <c r="Z72" s="594" t="s">
        <v>2240</v>
      </c>
      <c r="AA72" s="594"/>
      <c r="AB72" s="594"/>
      <c r="AC72" s="594"/>
      <c r="AD72" s="594"/>
      <c r="AE72" s="594"/>
      <c r="AF72" s="594"/>
      <c r="AG72" s="594"/>
      <c r="AH72" s="594"/>
      <c r="AI72" s="594"/>
      <c r="AJ72" s="154"/>
      <c r="AK72" s="594"/>
      <c r="AL72" s="594"/>
      <c r="AM72" s="594"/>
      <c r="AN72" s="525"/>
      <c r="AO72" s="594"/>
      <c r="AP72" s="594"/>
      <c r="AQ72" s="154"/>
      <c r="AR72" s="594"/>
      <c r="AS72" s="594"/>
      <c r="AT72" s="594"/>
      <c r="AU72" s="525"/>
      <c r="AV72" s="594"/>
      <c r="AW72" s="154"/>
      <c r="AX72" s="594"/>
      <c r="AY72" s="594"/>
      <c r="AZ72" s="594"/>
      <c r="BA72" s="594"/>
      <c r="BB72" s="594"/>
      <c r="BC72" s="594"/>
      <c r="BD72" s="154"/>
      <c r="BE72" s="594"/>
      <c r="BF72" s="594"/>
      <c r="BG72" s="594"/>
      <c r="BH72" s="594"/>
      <c r="BI72" s="594"/>
      <c r="BJ72" s="594"/>
      <c r="BK72" s="154"/>
      <c r="BL72" s="154"/>
      <c r="BM72" s="154"/>
      <c r="BN72" s="154"/>
      <c r="BO72" s="154"/>
      <c r="BP72" s="154"/>
      <c r="BQ72" s="154"/>
      <c r="BR72" s="154"/>
      <c r="BS72" s="154"/>
      <c r="BT72" s="154"/>
      <c r="BU72" s="154"/>
      <c r="BV72" s="154"/>
      <c r="BW72" s="154"/>
      <c r="BX72" s="154"/>
    </row>
    <row r="73" ht="15.75" customHeight="1">
      <c r="A73" s="528"/>
      <c r="B73" s="529" t="s">
        <v>2248</v>
      </c>
      <c r="C73" s="523" t="s">
        <v>2250</v>
      </c>
      <c r="D73" s="254" t="s">
        <v>1035</v>
      </c>
      <c r="E73" s="144" t="s">
        <v>1768</v>
      </c>
      <c r="F73" s="144"/>
      <c r="G73" s="144" t="s">
        <v>2257</v>
      </c>
      <c r="H73" s="112" t="s">
        <v>2258</v>
      </c>
      <c r="I73" s="525"/>
      <c r="J73" s="144" t="s">
        <v>1231</v>
      </c>
      <c r="K73" s="144" t="s">
        <v>2270</v>
      </c>
      <c r="L73" s="144"/>
      <c r="M73" s="597">
        <v>16.449</v>
      </c>
      <c r="N73" s="144"/>
      <c r="O73" s="144"/>
      <c r="P73" s="144" t="str">
        <f>HYPERLINK("https://youtu.be/1clufi5ICPo","15.10")</f>
        <v>15.10</v>
      </c>
      <c r="Q73" s="144"/>
      <c r="R73" s="113"/>
      <c r="S73" s="144" t="s">
        <v>2285</v>
      </c>
      <c r="T73" s="144"/>
      <c r="U73" s="144"/>
      <c r="V73" s="144"/>
      <c r="W73" s="144"/>
      <c r="X73" s="144" t="s">
        <v>1768</v>
      </c>
      <c r="Y73" s="144"/>
      <c r="Z73" s="144"/>
      <c r="AA73" s="144"/>
      <c r="AB73" s="144"/>
      <c r="AC73" s="144"/>
      <c r="AD73" s="144"/>
      <c r="AE73" s="144"/>
      <c r="AF73" s="144"/>
      <c r="AG73" s="144"/>
      <c r="AH73" s="144"/>
      <c r="AI73" s="144"/>
      <c r="AJ73" s="527"/>
      <c r="AK73" s="144"/>
      <c r="AL73" s="144"/>
      <c r="AM73" s="144"/>
      <c r="AN73" s="525"/>
      <c r="AO73" s="144"/>
      <c r="AP73" s="144"/>
      <c r="AQ73" s="527"/>
      <c r="AR73" s="144"/>
      <c r="AS73" s="144"/>
      <c r="AT73" s="144"/>
      <c r="AU73" s="525"/>
      <c r="AV73" s="144"/>
      <c r="AW73" s="527"/>
      <c r="AX73" s="144"/>
      <c r="AY73" s="144"/>
      <c r="AZ73" s="144"/>
      <c r="BA73" s="144"/>
      <c r="BB73" s="144"/>
      <c r="BC73" s="144"/>
      <c r="BD73" s="527"/>
      <c r="BE73" s="144"/>
      <c r="BF73" s="144"/>
      <c r="BG73" s="144"/>
      <c r="BH73" s="144"/>
      <c r="BI73" s="144"/>
      <c r="BJ73" s="144"/>
      <c r="BK73" s="527"/>
      <c r="BL73" s="527"/>
      <c r="BM73" s="527"/>
      <c r="BN73" s="527"/>
      <c r="BO73" s="527"/>
      <c r="BP73" s="527"/>
      <c r="BQ73" s="527"/>
      <c r="BR73" s="527"/>
      <c r="BS73" s="527"/>
      <c r="BT73" s="527"/>
      <c r="BU73" s="527"/>
      <c r="BV73" s="527"/>
      <c r="BW73" s="527"/>
      <c r="BX73" s="527"/>
    </row>
    <row r="74" ht="15.75" customHeight="1">
      <c r="A74" s="532"/>
      <c r="B74" s="533" t="s">
        <v>2297</v>
      </c>
      <c r="C74" s="523" t="s">
        <v>694</v>
      </c>
      <c r="D74" s="557" t="s">
        <v>1543</v>
      </c>
      <c r="E74" s="144" t="s">
        <v>2305</v>
      </c>
      <c r="F74" s="489" t="s">
        <v>2310</v>
      </c>
      <c r="G74" s="489" t="s">
        <v>2311</v>
      </c>
      <c r="H74" s="112" t="s">
        <v>2305</v>
      </c>
      <c r="I74" s="543" t="s">
        <v>2323</v>
      </c>
      <c r="J74" s="489" t="s">
        <v>2324</v>
      </c>
      <c r="K74" s="489" t="s">
        <v>2326</v>
      </c>
      <c r="L74" s="489" t="s">
        <v>2329</v>
      </c>
      <c r="M74" s="526" t="s">
        <v>2335</v>
      </c>
      <c r="N74" s="489" t="s">
        <v>2338</v>
      </c>
      <c r="O74" s="489" t="s">
        <v>2339</v>
      </c>
      <c r="P74" s="489" t="s">
        <v>402</v>
      </c>
      <c r="Q74" s="489" t="s">
        <v>1015</v>
      </c>
      <c r="R74" s="290"/>
      <c r="S74" s="489" t="s">
        <v>2349</v>
      </c>
      <c r="T74" s="489"/>
      <c r="U74" s="489"/>
      <c r="V74" s="489" t="s">
        <v>2351</v>
      </c>
      <c r="W74" s="489"/>
      <c r="X74" s="489"/>
      <c r="Y74" s="489"/>
      <c r="Z74" s="489"/>
      <c r="AA74" s="489"/>
      <c r="AB74" s="489"/>
      <c r="AC74" s="489" t="s">
        <v>2250</v>
      </c>
      <c r="AD74" s="489"/>
      <c r="AE74" s="489"/>
      <c r="AF74" s="489"/>
      <c r="AG74" s="489"/>
      <c r="AH74" s="489"/>
      <c r="AI74" s="489"/>
      <c r="AJ74" s="154"/>
      <c r="AK74" s="489" t="s">
        <v>694</v>
      </c>
      <c r="AL74" s="489"/>
      <c r="AM74" s="489"/>
      <c r="AN74" s="525"/>
      <c r="AO74" s="489" t="s">
        <v>2369</v>
      </c>
      <c r="AP74" s="489"/>
      <c r="AQ74" s="154"/>
      <c r="AR74" s="489"/>
      <c r="AS74" s="489"/>
      <c r="AT74" s="489"/>
      <c r="AU74" s="525"/>
      <c r="AV74" s="489"/>
      <c r="AW74" s="154"/>
      <c r="AX74" s="489"/>
      <c r="AY74" s="489"/>
      <c r="AZ74" s="489"/>
      <c r="BA74" s="489"/>
      <c r="BB74" s="489"/>
      <c r="BC74" s="489"/>
      <c r="BD74" s="154"/>
      <c r="BE74" s="489"/>
      <c r="BF74" s="489"/>
      <c r="BG74" s="489"/>
      <c r="BH74" s="489"/>
      <c r="BI74" s="489"/>
      <c r="BJ74" s="489"/>
      <c r="BK74" s="154"/>
      <c r="BL74" s="154"/>
      <c r="BM74" s="154"/>
      <c r="BN74" s="154"/>
      <c r="BO74" s="154"/>
      <c r="BP74" s="154"/>
      <c r="BQ74" s="154"/>
      <c r="BR74" s="154"/>
      <c r="BS74" s="154"/>
      <c r="BT74" s="154"/>
      <c r="BU74" s="154"/>
      <c r="BV74" s="154"/>
      <c r="BW74" s="154"/>
      <c r="BX74" s="154"/>
    </row>
    <row r="75" ht="15.75" customHeight="1">
      <c r="A75" s="520" t="s">
        <v>2376</v>
      </c>
      <c r="B75" s="522" t="s">
        <v>2377</v>
      </c>
      <c r="C75" s="523" t="s">
        <v>2380</v>
      </c>
      <c r="D75" s="530"/>
      <c r="E75" s="144"/>
      <c r="F75" s="144" t="s">
        <v>2380</v>
      </c>
      <c r="G75" s="144"/>
      <c r="H75" s="112" t="s">
        <v>2418</v>
      </c>
      <c r="I75" s="525"/>
      <c r="J75" s="144" t="s">
        <v>2426</v>
      </c>
      <c r="K75" s="144"/>
      <c r="L75" s="144" t="s">
        <v>2427</v>
      </c>
      <c r="M75" s="605" t="s">
        <v>2430</v>
      </c>
      <c r="N75" s="144"/>
      <c r="O75" s="144"/>
      <c r="P75" s="144" t="s">
        <v>2431</v>
      </c>
      <c r="Q75" s="144"/>
      <c r="R75" s="113"/>
      <c r="S75" s="144"/>
      <c r="T75" s="144"/>
      <c r="U75" s="144"/>
      <c r="V75" s="144"/>
      <c r="W75" s="144"/>
      <c r="X75" s="144"/>
      <c r="Y75" s="144"/>
      <c r="Z75" s="144"/>
      <c r="AA75" s="144"/>
      <c r="AB75" s="144"/>
      <c r="AC75" s="144"/>
      <c r="AD75" s="144"/>
      <c r="AE75" s="144"/>
      <c r="AF75" s="144"/>
      <c r="AG75" s="144"/>
      <c r="AH75" s="144"/>
      <c r="AI75" s="144"/>
      <c r="AJ75" s="527"/>
      <c r="AK75" s="144"/>
      <c r="AL75" s="144"/>
      <c r="AM75" s="144"/>
      <c r="AN75" s="525"/>
      <c r="AO75" s="144"/>
      <c r="AP75" s="144"/>
      <c r="AQ75" s="527"/>
      <c r="AR75" s="144"/>
      <c r="AS75" s="144"/>
      <c r="AT75" s="144"/>
      <c r="AU75" s="525"/>
      <c r="AV75" s="144"/>
      <c r="AW75" s="527"/>
      <c r="AX75" s="144"/>
      <c r="AY75" s="144"/>
      <c r="AZ75" s="144"/>
      <c r="BA75" s="144"/>
      <c r="BB75" s="144"/>
      <c r="BC75" s="144"/>
      <c r="BD75" s="527"/>
      <c r="BE75" s="144"/>
      <c r="BF75" s="144"/>
      <c r="BG75" s="144"/>
      <c r="BH75" s="144"/>
      <c r="BI75" s="144"/>
      <c r="BJ75" s="144"/>
      <c r="BK75" s="527"/>
      <c r="BL75" s="527"/>
      <c r="BM75" s="527"/>
      <c r="BN75" s="527"/>
      <c r="BO75" s="527"/>
      <c r="BP75" s="527"/>
      <c r="BQ75" s="527"/>
      <c r="BR75" s="527"/>
      <c r="BS75" s="527"/>
      <c r="BT75" s="527"/>
      <c r="BU75" s="527"/>
      <c r="BV75" s="527"/>
      <c r="BW75" s="527"/>
      <c r="BX75" s="527"/>
    </row>
    <row r="76" ht="15.75" customHeight="1">
      <c r="A76" s="528"/>
      <c r="B76" s="529" t="s">
        <v>2451</v>
      </c>
      <c r="C76" s="523" t="s">
        <v>1074</v>
      </c>
      <c r="D76" s="90" t="s">
        <v>2276</v>
      </c>
      <c r="E76" s="144" t="s">
        <v>2465</v>
      </c>
      <c r="F76" s="144" t="s">
        <v>1074</v>
      </c>
      <c r="G76" s="144" t="s">
        <v>2468</v>
      </c>
      <c r="H76" s="112" t="s">
        <v>2477</v>
      </c>
      <c r="I76" s="100" t="s">
        <v>2485</v>
      </c>
      <c r="J76" s="144" t="s">
        <v>2490</v>
      </c>
      <c r="K76" s="144" t="s">
        <v>2491</v>
      </c>
      <c r="L76" s="144" t="s">
        <v>2497</v>
      </c>
      <c r="M76" s="147" t="s">
        <v>583</v>
      </c>
      <c r="N76" s="144" t="s">
        <v>243</v>
      </c>
      <c r="O76" s="144" t="s">
        <v>2518</v>
      </c>
      <c r="P76" s="144" t="s">
        <v>2526</v>
      </c>
      <c r="Q76" s="144" t="s">
        <v>2527</v>
      </c>
      <c r="R76" s="113" t="s">
        <v>2535</v>
      </c>
      <c r="S76" s="144" t="s">
        <v>2536</v>
      </c>
      <c r="T76" s="144"/>
      <c r="U76" s="144"/>
      <c r="V76" s="144" t="s">
        <v>2538</v>
      </c>
      <c r="W76" s="144"/>
      <c r="X76" s="144"/>
      <c r="Y76" s="144"/>
      <c r="Z76" s="144"/>
      <c r="AA76" s="144"/>
      <c r="AB76" s="144"/>
      <c r="AC76" s="144"/>
      <c r="AD76" s="144"/>
      <c r="AE76" s="144"/>
      <c r="AF76" s="144"/>
      <c r="AG76" s="144"/>
      <c r="AH76" s="144"/>
      <c r="AI76" s="144"/>
      <c r="AJ76" s="154"/>
      <c r="AK76" s="144"/>
      <c r="AL76" s="144"/>
      <c r="AM76" s="144"/>
      <c r="AN76" s="525"/>
      <c r="AO76" s="144"/>
      <c r="AP76" s="144"/>
      <c r="AQ76" s="154"/>
      <c r="AR76" s="144"/>
      <c r="AS76" s="144"/>
      <c r="AT76" s="144"/>
      <c r="AU76" s="525"/>
      <c r="AV76" s="144"/>
      <c r="AW76" s="154"/>
      <c r="AX76" s="144"/>
      <c r="AY76" s="144"/>
      <c r="AZ76" s="144"/>
      <c r="BA76" s="144"/>
      <c r="BB76" s="144"/>
      <c r="BC76" s="144"/>
      <c r="BD76" s="154"/>
      <c r="BE76" s="144"/>
      <c r="BF76" s="144"/>
      <c r="BG76" s="144"/>
      <c r="BH76" s="144"/>
      <c r="BI76" s="144"/>
      <c r="BJ76" s="144"/>
      <c r="BK76" s="154"/>
      <c r="BL76" s="154"/>
      <c r="BM76" s="154"/>
      <c r="BN76" s="154"/>
      <c r="BO76" s="154"/>
      <c r="BP76" s="154"/>
      <c r="BQ76" s="154"/>
      <c r="BR76" s="154"/>
      <c r="BS76" s="154"/>
      <c r="BT76" s="154"/>
      <c r="BU76" s="154"/>
      <c r="BV76" s="154"/>
      <c r="BW76" s="154"/>
      <c r="BX76" s="154"/>
    </row>
    <row r="77" ht="15.75" customHeight="1">
      <c r="A77" s="544" t="s">
        <v>320</v>
      </c>
      <c r="B77" s="545" t="s">
        <v>2564</v>
      </c>
      <c r="C77" s="172" t="s">
        <v>508</v>
      </c>
      <c r="D77" s="530"/>
      <c r="E77" s="144"/>
      <c r="F77" s="144"/>
      <c r="G77" s="144"/>
      <c r="H77" s="175"/>
      <c r="I77" s="525"/>
      <c r="J77" s="144"/>
      <c r="K77" s="144"/>
      <c r="L77" s="144"/>
      <c r="M77" s="147" t="s">
        <v>2574</v>
      </c>
      <c r="N77" s="144"/>
      <c r="O77" s="144"/>
      <c r="P77" s="144"/>
      <c r="Q77" s="144"/>
      <c r="R77" s="113"/>
      <c r="S77" s="144"/>
      <c r="T77" s="117"/>
      <c r="U77" s="144"/>
      <c r="V77" s="144"/>
      <c r="W77" s="144"/>
      <c r="X77" s="144"/>
      <c r="Y77" s="144"/>
      <c r="Z77" s="144"/>
      <c r="AA77" s="144"/>
      <c r="AB77" s="144"/>
      <c r="AC77" s="144"/>
      <c r="AD77" s="144"/>
      <c r="AE77" s="144"/>
      <c r="AF77" s="144"/>
      <c r="AG77" s="144"/>
      <c r="AH77" s="144"/>
      <c r="AI77" s="144"/>
      <c r="AJ77" s="154"/>
      <c r="AK77" s="144"/>
      <c r="AL77" s="144"/>
      <c r="AM77" s="144"/>
      <c r="AN77" s="525"/>
      <c r="AO77" s="144"/>
      <c r="AP77" s="144"/>
      <c r="AQ77" s="154"/>
      <c r="AR77" s="144"/>
      <c r="AS77" s="144"/>
      <c r="AT77" s="144"/>
      <c r="AU77" s="100" t="s">
        <v>2586</v>
      </c>
      <c r="AV77" s="144"/>
      <c r="AW77" s="154"/>
      <c r="AX77" s="144"/>
      <c r="AY77" s="144"/>
      <c r="AZ77" s="144"/>
      <c r="BA77" s="144"/>
      <c r="BB77" s="144"/>
      <c r="BC77" s="144"/>
      <c r="BD77" s="624"/>
      <c r="BE77" s="144"/>
      <c r="BF77" s="144"/>
      <c r="BG77" s="144"/>
      <c r="BH77" s="144"/>
      <c r="BI77" s="144"/>
      <c r="BJ77" s="144"/>
      <c r="BK77" s="154"/>
      <c r="BL77" s="154"/>
      <c r="BM77" s="154"/>
      <c r="BN77" s="154"/>
      <c r="BO77" s="154"/>
      <c r="BP77" s="154"/>
      <c r="BQ77" s="154"/>
      <c r="BR77" s="154"/>
      <c r="BS77" s="154"/>
      <c r="BT77" s="154"/>
      <c r="BU77" s="154"/>
      <c r="BV77" s="154"/>
      <c r="BW77" s="154"/>
      <c r="BX77" s="154"/>
    </row>
    <row r="78" ht="15.75" customHeight="1">
      <c r="A78" s="625"/>
      <c r="B78" s="625" t="s">
        <v>2592</v>
      </c>
      <c r="C78" s="225" t="s">
        <v>2593</v>
      </c>
      <c r="D78" s="530"/>
      <c r="E78" s="144"/>
      <c r="F78" s="144"/>
      <c r="G78" s="144"/>
      <c r="H78" s="175"/>
      <c r="I78" s="525"/>
      <c r="J78" s="144"/>
      <c r="K78" s="144"/>
      <c r="L78" s="144"/>
      <c r="M78" s="157" t="s">
        <v>2604</v>
      </c>
      <c r="N78" s="144"/>
      <c r="O78" s="144"/>
      <c r="P78" s="144"/>
      <c r="Q78" s="144"/>
      <c r="R78" s="113"/>
      <c r="S78" s="144"/>
      <c r="T78" s="109" t="s">
        <v>2610</v>
      </c>
      <c r="U78" s="144"/>
      <c r="V78" s="144"/>
      <c r="W78" s="144"/>
      <c r="X78" s="144"/>
      <c r="Y78" s="144"/>
      <c r="Z78" s="144"/>
      <c r="AA78" s="144"/>
      <c r="AB78" s="144"/>
      <c r="AC78" s="144"/>
      <c r="AD78" s="144"/>
      <c r="AE78" s="144"/>
      <c r="AF78" s="144"/>
      <c r="AG78" s="144"/>
      <c r="AH78" s="144"/>
      <c r="AI78" s="144"/>
      <c r="AJ78" s="154"/>
      <c r="AK78" s="144"/>
      <c r="AL78" s="144"/>
      <c r="AM78" s="144"/>
      <c r="AN78" s="525"/>
      <c r="AO78" s="144"/>
      <c r="AP78" s="144"/>
      <c r="AQ78" s="154"/>
      <c r="AR78" s="144"/>
      <c r="AS78" s="144"/>
      <c r="AT78" s="144"/>
      <c r="AU78" s="525"/>
      <c r="AV78" s="144"/>
      <c r="AW78" s="154"/>
      <c r="AX78" s="144"/>
      <c r="AY78" s="144"/>
      <c r="AZ78" s="144"/>
      <c r="BA78" s="144"/>
      <c r="BB78" s="144"/>
      <c r="BC78" s="144"/>
      <c r="BD78" s="147" t="s">
        <v>2593</v>
      </c>
      <c r="BE78" s="144"/>
      <c r="BF78" s="144"/>
      <c r="BG78" s="144"/>
      <c r="BH78" s="144"/>
      <c r="BI78" s="144"/>
      <c r="BJ78" s="144"/>
      <c r="BK78" s="154"/>
      <c r="BL78" s="154"/>
      <c r="BM78" s="154"/>
      <c r="BN78" s="154"/>
      <c r="BO78" s="154"/>
      <c r="BP78" s="154"/>
      <c r="BQ78" s="154"/>
      <c r="BR78" s="154"/>
      <c r="BS78" s="154"/>
      <c r="BT78" s="154"/>
      <c r="BU78" s="154"/>
      <c r="BV78" s="154"/>
      <c r="BW78" s="154"/>
      <c r="BX78" s="154"/>
    </row>
    <row r="79" ht="15.75" customHeight="1">
      <c r="A79" s="532"/>
      <c r="B79" s="533" t="s">
        <v>2631</v>
      </c>
      <c r="C79" s="523" t="s">
        <v>1077</v>
      </c>
      <c r="D79" s="90" t="s">
        <v>1270</v>
      </c>
      <c r="E79" s="144" t="s">
        <v>2644</v>
      </c>
      <c r="F79" s="144" t="s">
        <v>2650</v>
      </c>
      <c r="G79" s="144" t="s">
        <v>2654</v>
      </c>
      <c r="H79" s="112" t="s">
        <v>2657</v>
      </c>
      <c r="I79" s="543" t="s">
        <v>2101</v>
      </c>
      <c r="J79" s="144" t="str">
        <f>HYPERLINK("https://www.youtube.com/watch?v=Imyo7x5mfG4&amp;feature=youtu.be","30.15")</f>
        <v>30.15</v>
      </c>
      <c r="K79" s="144" t="s">
        <v>467</v>
      </c>
      <c r="L79" s="144" t="s">
        <v>2666</v>
      </c>
      <c r="M79" s="526" t="s">
        <v>1690</v>
      </c>
      <c r="N79" s="144" t="s">
        <v>438</v>
      </c>
      <c r="O79" s="144" t="s">
        <v>2650</v>
      </c>
      <c r="P79" s="144" t="s">
        <v>438</v>
      </c>
      <c r="Q79" s="144" t="s">
        <v>2671</v>
      </c>
      <c r="R79" s="113" t="s">
        <v>2675</v>
      </c>
      <c r="S79" s="144" t="s">
        <v>2676</v>
      </c>
      <c r="T79" s="109" t="s">
        <v>2110</v>
      </c>
      <c r="U79" s="144"/>
      <c r="V79" s="144"/>
      <c r="W79" s="144"/>
      <c r="X79" s="144" t="s">
        <v>2684</v>
      </c>
      <c r="Y79" s="144"/>
      <c r="Z79" s="144"/>
      <c r="AA79" s="144"/>
      <c r="AB79" s="144"/>
      <c r="AC79" s="144"/>
      <c r="AD79" s="144"/>
      <c r="AE79" s="144"/>
      <c r="AF79" s="144"/>
      <c r="AG79" s="144"/>
      <c r="AH79" s="144"/>
      <c r="AI79" s="144"/>
      <c r="AJ79" s="527"/>
      <c r="AK79" s="144"/>
      <c r="AL79" s="144"/>
      <c r="AM79" s="144"/>
      <c r="AN79" s="525"/>
      <c r="AO79" s="144" t="s">
        <v>2692</v>
      </c>
      <c r="AP79" s="144"/>
      <c r="AQ79" s="527"/>
      <c r="AR79" s="144"/>
      <c r="AS79" s="144"/>
      <c r="AT79" s="144"/>
      <c r="AU79" s="525"/>
      <c r="AV79" s="144"/>
      <c r="AW79" s="527"/>
      <c r="AX79" s="144"/>
      <c r="AY79" s="144"/>
      <c r="AZ79" s="144"/>
      <c r="BA79" s="144" t="s">
        <v>2707</v>
      </c>
      <c r="BB79" s="144"/>
      <c r="BC79" s="144"/>
      <c r="BD79" s="527"/>
      <c r="BE79" s="144"/>
      <c r="BF79" s="144"/>
      <c r="BG79" s="144"/>
      <c r="BH79" s="144"/>
      <c r="BI79" s="144"/>
      <c r="BJ79" s="144"/>
      <c r="BK79" s="527"/>
      <c r="BL79" s="527"/>
      <c r="BM79" s="527"/>
      <c r="BN79" s="527"/>
      <c r="BO79" s="527"/>
      <c r="BP79" s="527"/>
      <c r="BQ79" s="527"/>
      <c r="BR79" s="527"/>
      <c r="BS79" s="527"/>
      <c r="BT79" s="527"/>
      <c r="BU79" s="527"/>
      <c r="BV79" s="527"/>
      <c r="BW79" s="527"/>
      <c r="BX79" s="527"/>
    </row>
    <row r="80" ht="15.75" customHeight="1">
      <c r="A80" s="544" t="s">
        <v>410</v>
      </c>
      <c r="B80" s="545" t="s">
        <v>2726</v>
      </c>
      <c r="C80" s="172" t="s">
        <v>2727</v>
      </c>
      <c r="D80" s="530"/>
      <c r="E80" s="144"/>
      <c r="F80" s="144"/>
      <c r="G80" s="109" t="s">
        <v>2727</v>
      </c>
      <c r="H80" s="175"/>
      <c r="I80" s="525"/>
      <c r="J80" s="144"/>
      <c r="K80" s="144"/>
      <c r="L80" s="144"/>
      <c r="M80" s="147" t="s">
        <v>2731</v>
      </c>
      <c r="N80" s="144"/>
      <c r="O80" s="144"/>
      <c r="P80" s="144"/>
      <c r="Q80" s="144"/>
      <c r="R80" s="113"/>
      <c r="S80" s="144"/>
      <c r="T80" s="144"/>
      <c r="U80" s="144"/>
      <c r="V80" s="144"/>
      <c r="W80" s="144"/>
      <c r="X80" s="144"/>
      <c r="Y80" s="144"/>
      <c r="Z80" s="144"/>
      <c r="AA80" s="144"/>
      <c r="AB80" s="144"/>
      <c r="AC80" s="144"/>
      <c r="AD80" s="144"/>
      <c r="AE80" s="144"/>
      <c r="AF80" s="144"/>
      <c r="AG80" s="144"/>
      <c r="AH80" s="144"/>
      <c r="AI80" s="144"/>
      <c r="AJ80" s="154"/>
      <c r="AK80" s="144"/>
      <c r="AL80" s="144"/>
      <c r="AM80" s="144"/>
      <c r="AN80" s="525"/>
      <c r="AO80" s="144"/>
      <c r="AP80" s="144"/>
      <c r="AQ80" s="154"/>
      <c r="AR80" s="144"/>
      <c r="AS80" s="144"/>
      <c r="AT80" s="144"/>
      <c r="AU80" s="525"/>
      <c r="AV80" s="144"/>
      <c r="AW80" s="154"/>
      <c r="AX80" s="144"/>
      <c r="AY80" s="144"/>
      <c r="AZ80" s="144"/>
      <c r="BA80" s="144"/>
      <c r="BB80" s="144"/>
      <c r="BC80" s="144"/>
      <c r="BD80" s="154"/>
      <c r="BE80" s="144"/>
      <c r="BF80" s="144"/>
      <c r="BG80" s="144"/>
      <c r="BH80" s="144"/>
      <c r="BI80" s="144"/>
      <c r="BJ80" s="144"/>
      <c r="BK80" s="154"/>
      <c r="BL80" s="154"/>
      <c r="BM80" s="154"/>
      <c r="BN80" s="154"/>
      <c r="BO80" s="154"/>
      <c r="BP80" s="154"/>
      <c r="BQ80" s="154"/>
      <c r="BR80" s="154"/>
      <c r="BS80" s="154"/>
      <c r="BT80" s="154"/>
      <c r="BU80" s="154"/>
      <c r="BV80" s="154"/>
      <c r="BW80" s="154"/>
      <c r="BX80" s="154"/>
    </row>
    <row r="81" ht="15.75" customHeight="1">
      <c r="A81" s="587"/>
      <c r="B81" s="542" t="s">
        <v>2741</v>
      </c>
      <c r="C81" s="523" t="s">
        <v>679</v>
      </c>
      <c r="D81" s="530"/>
      <c r="E81" s="144"/>
      <c r="F81" s="144" t="s">
        <v>679</v>
      </c>
      <c r="G81" s="144"/>
      <c r="H81" s="112" t="s">
        <v>2749</v>
      </c>
      <c r="I81" s="525"/>
      <c r="J81" s="144"/>
      <c r="K81" s="144"/>
      <c r="L81" s="144"/>
      <c r="M81" s="147" t="s">
        <v>2758</v>
      </c>
      <c r="N81" s="144"/>
      <c r="O81" s="144"/>
      <c r="P81" s="144"/>
      <c r="Q81" s="144"/>
      <c r="R81" s="113"/>
      <c r="S81" s="144"/>
      <c r="T81" s="144"/>
      <c r="U81" s="144"/>
      <c r="V81" s="144"/>
      <c r="W81" s="144"/>
      <c r="X81" s="144"/>
      <c r="Y81" s="144"/>
      <c r="Z81" s="144" t="s">
        <v>669</v>
      </c>
      <c r="AA81" s="144"/>
      <c r="AB81" s="144"/>
      <c r="AC81" s="144"/>
      <c r="AD81" s="144"/>
      <c r="AE81" s="144" t="s">
        <v>2349</v>
      </c>
      <c r="AF81" s="144"/>
      <c r="AG81" s="144"/>
      <c r="AH81" s="144"/>
      <c r="AI81" s="144"/>
      <c r="AJ81" s="154"/>
      <c r="AK81" s="144"/>
      <c r="AL81" s="144"/>
      <c r="AM81" s="144"/>
      <c r="AN81" s="525"/>
      <c r="AO81" s="144"/>
      <c r="AP81" s="144"/>
      <c r="AQ81" s="154"/>
      <c r="AR81" s="144"/>
      <c r="AS81" s="144"/>
      <c r="AT81" s="144"/>
      <c r="AU81" s="525"/>
      <c r="AV81" s="144"/>
      <c r="AW81" s="154"/>
      <c r="AX81" s="144"/>
      <c r="AY81" s="144"/>
      <c r="AZ81" s="144"/>
      <c r="BA81" s="144"/>
      <c r="BB81" s="144"/>
      <c r="BC81" s="144"/>
      <c r="BD81" s="154"/>
      <c r="BE81" s="144"/>
      <c r="BF81" s="144"/>
      <c r="BG81" s="144"/>
      <c r="BH81" s="144"/>
      <c r="BI81" s="144"/>
      <c r="BJ81" s="144"/>
      <c r="BK81" s="154"/>
      <c r="BL81" s="154"/>
      <c r="BM81" s="154"/>
      <c r="BN81" s="154"/>
      <c r="BO81" s="154"/>
      <c r="BP81" s="154"/>
      <c r="BQ81" s="154"/>
      <c r="BR81" s="154"/>
      <c r="BS81" s="154"/>
      <c r="BT81" s="154"/>
      <c r="BU81" s="154"/>
      <c r="BV81" s="154"/>
      <c r="BW81" s="154"/>
      <c r="BX81" s="154"/>
    </row>
    <row r="82" ht="15.75" customHeight="1">
      <c r="A82" s="582"/>
      <c r="B82" s="529" t="s">
        <v>2768</v>
      </c>
      <c r="C82" s="523" t="s">
        <v>2770</v>
      </c>
      <c r="D82" s="254" t="s">
        <v>2776</v>
      </c>
      <c r="E82" s="144" t="s">
        <v>2778</v>
      </c>
      <c r="F82" s="144" t="s">
        <v>2780</v>
      </c>
      <c r="G82" s="144"/>
      <c r="H82" s="112" t="s">
        <v>2790</v>
      </c>
      <c r="I82" s="525"/>
      <c r="J82" s="144"/>
      <c r="K82" s="144"/>
      <c r="L82" s="144"/>
      <c r="M82" s="526" t="s">
        <v>2794</v>
      </c>
      <c r="N82" s="144"/>
      <c r="O82" s="144" t="s">
        <v>2804</v>
      </c>
      <c r="P82" s="144"/>
      <c r="Q82" s="144"/>
      <c r="R82" s="113" t="s">
        <v>2805</v>
      </c>
      <c r="S82" s="144"/>
      <c r="T82" s="144"/>
      <c r="U82" s="144"/>
      <c r="V82" s="144" t="s">
        <v>2807</v>
      </c>
      <c r="W82" s="144"/>
      <c r="X82" s="144"/>
      <c r="Y82" s="144" t="s">
        <v>2805</v>
      </c>
      <c r="Z82" s="144" t="s">
        <v>2816</v>
      </c>
      <c r="AA82" s="144" t="s">
        <v>2770</v>
      </c>
      <c r="AB82" s="144"/>
      <c r="AC82" s="144"/>
      <c r="AD82" s="144"/>
      <c r="AE82" s="144"/>
      <c r="AF82" s="144"/>
      <c r="AG82" s="144"/>
      <c r="AH82" s="144"/>
      <c r="AI82" s="144"/>
      <c r="AJ82" s="527"/>
      <c r="AK82" s="144"/>
      <c r="AL82" s="144"/>
      <c r="AM82" s="144"/>
      <c r="AN82" s="525"/>
      <c r="AO82" s="144"/>
      <c r="AP82" s="144"/>
      <c r="AQ82" s="527"/>
      <c r="AR82" s="144"/>
      <c r="AS82" s="144"/>
      <c r="AT82" s="144"/>
      <c r="AU82" s="525"/>
      <c r="AV82" s="144"/>
      <c r="AW82" s="527"/>
      <c r="AX82" s="144"/>
      <c r="AY82" s="144"/>
      <c r="AZ82" s="144"/>
      <c r="BA82" s="144"/>
      <c r="BB82" s="144"/>
      <c r="BC82" s="144"/>
      <c r="BD82" s="527"/>
      <c r="BE82" s="144"/>
      <c r="BF82" s="144"/>
      <c r="BG82" s="144"/>
      <c r="BH82" s="144"/>
      <c r="BI82" s="144"/>
      <c r="BJ82" s="144"/>
      <c r="BK82" s="527"/>
      <c r="BL82" s="527"/>
      <c r="BM82" s="527"/>
      <c r="BN82" s="527"/>
      <c r="BO82" s="527"/>
      <c r="BP82" s="527"/>
      <c r="BQ82" s="527"/>
      <c r="BR82" s="527"/>
      <c r="BS82" s="527"/>
      <c r="BT82" s="527"/>
      <c r="BU82" s="527"/>
      <c r="BV82" s="527"/>
      <c r="BW82" s="527"/>
      <c r="BX82" s="527"/>
    </row>
    <row r="83" ht="15.75" customHeight="1">
      <c r="A83" s="587"/>
      <c r="B83" s="533" t="s">
        <v>2832</v>
      </c>
      <c r="C83" s="523" t="s">
        <v>2833</v>
      </c>
      <c r="D83" s="557" t="s">
        <v>2840</v>
      </c>
      <c r="E83" s="398"/>
      <c r="F83" s="398"/>
      <c r="G83" s="594" t="s">
        <v>2833</v>
      </c>
      <c r="H83" s="175"/>
      <c r="I83" s="525"/>
      <c r="J83" s="398"/>
      <c r="K83" s="398"/>
      <c r="L83" s="398"/>
      <c r="M83" s="154"/>
      <c r="N83" s="398"/>
      <c r="O83" s="398"/>
      <c r="P83" s="398"/>
      <c r="Q83" s="398" t="s">
        <v>2833</v>
      </c>
      <c r="R83" s="113" t="s">
        <v>2848</v>
      </c>
      <c r="S83" s="398"/>
      <c r="T83" s="398"/>
      <c r="U83" s="398"/>
      <c r="V83" s="398"/>
      <c r="W83" s="398"/>
      <c r="X83" s="398"/>
      <c r="Y83" s="398"/>
      <c r="Z83" s="398"/>
      <c r="AA83" s="398"/>
      <c r="AB83" s="398" t="s">
        <v>2852</v>
      </c>
      <c r="AC83" s="398"/>
      <c r="AD83" s="398"/>
      <c r="AE83" s="398"/>
      <c r="AF83" s="398"/>
      <c r="AG83" s="398"/>
      <c r="AH83" s="398"/>
      <c r="AI83" s="398"/>
      <c r="AJ83" s="147" t="s">
        <v>2858</v>
      </c>
      <c r="AK83" s="398"/>
      <c r="AL83" s="398"/>
      <c r="AM83" s="398"/>
      <c r="AN83" s="525"/>
      <c r="AO83" s="398"/>
      <c r="AP83" s="398"/>
      <c r="AQ83" s="154"/>
      <c r="AR83" s="398"/>
      <c r="AS83" s="398"/>
      <c r="AT83" s="398"/>
      <c r="AU83" s="525"/>
      <c r="AV83" s="398"/>
      <c r="AW83" s="154"/>
      <c r="AX83" s="398"/>
      <c r="AY83" s="398"/>
      <c r="AZ83" s="398"/>
      <c r="BA83" s="398"/>
      <c r="BB83" s="398"/>
      <c r="BC83" s="398"/>
      <c r="BD83" s="154"/>
      <c r="BE83" s="398"/>
      <c r="BF83" s="398"/>
      <c r="BG83" s="398"/>
      <c r="BH83" s="398"/>
      <c r="BI83" s="398"/>
      <c r="BJ83" s="398"/>
      <c r="BK83" s="154"/>
      <c r="BL83" s="154"/>
      <c r="BM83" s="154"/>
      <c r="BN83" s="154"/>
      <c r="BO83" s="154"/>
      <c r="BP83" s="154"/>
      <c r="BQ83" s="154"/>
      <c r="BR83" s="154"/>
      <c r="BS83" s="154"/>
      <c r="BT83" s="154"/>
      <c r="BU83" s="154"/>
      <c r="BV83" s="154"/>
      <c r="BW83" s="154"/>
      <c r="BX83" s="154"/>
    </row>
    <row r="84" ht="15.75" customHeight="1">
      <c r="A84" s="520" t="s">
        <v>916</v>
      </c>
      <c r="B84" s="522" t="s">
        <v>2867</v>
      </c>
      <c r="C84" s="523" t="s">
        <v>2869</v>
      </c>
      <c r="D84" s="530"/>
      <c r="E84" s="144"/>
      <c r="F84" s="144" t="s">
        <v>2869</v>
      </c>
      <c r="G84" s="144"/>
      <c r="H84" s="112" t="s">
        <v>2871</v>
      </c>
      <c r="I84" s="525"/>
      <c r="J84" s="144"/>
      <c r="K84" s="144"/>
      <c r="L84" s="144"/>
      <c r="M84" s="154"/>
      <c r="N84" s="144"/>
      <c r="O84" s="144"/>
      <c r="P84" s="144"/>
      <c r="Q84" s="144"/>
      <c r="R84" s="113"/>
      <c r="S84" s="144"/>
      <c r="T84" s="144"/>
      <c r="U84" s="144"/>
      <c r="V84" s="144"/>
      <c r="W84" s="144"/>
      <c r="X84" s="144"/>
      <c r="Y84" s="144"/>
      <c r="Z84" s="144"/>
      <c r="AA84" s="144"/>
      <c r="AB84" s="144"/>
      <c r="AC84" s="144"/>
      <c r="AD84" s="144"/>
      <c r="AE84" s="144"/>
      <c r="AF84" s="144"/>
      <c r="AG84" s="144"/>
      <c r="AH84" s="144"/>
      <c r="AI84" s="144"/>
      <c r="AJ84" s="154"/>
      <c r="AK84" s="144"/>
      <c r="AL84" s="144"/>
      <c r="AM84" s="144"/>
      <c r="AN84" s="525"/>
      <c r="AO84" s="144"/>
      <c r="AP84" s="144"/>
      <c r="AQ84" s="154"/>
      <c r="AR84" s="144"/>
      <c r="AS84" s="144"/>
      <c r="AT84" s="144"/>
      <c r="AU84" s="525"/>
      <c r="AV84" s="144"/>
      <c r="AW84" s="154"/>
      <c r="AX84" s="144"/>
      <c r="AY84" s="144"/>
      <c r="AZ84" s="144"/>
      <c r="BA84" s="144"/>
      <c r="BB84" s="144"/>
      <c r="BC84" s="144"/>
      <c r="BD84" s="154"/>
      <c r="BE84" s="144"/>
      <c r="BF84" s="144"/>
      <c r="BG84" s="144"/>
      <c r="BH84" s="144"/>
      <c r="BI84" s="144"/>
      <c r="BJ84" s="144"/>
      <c r="BK84" s="154"/>
      <c r="BL84" s="154"/>
      <c r="BM84" s="154"/>
      <c r="BN84" s="154"/>
      <c r="BO84" s="154"/>
      <c r="BP84" s="154"/>
      <c r="BQ84" s="154"/>
      <c r="BR84" s="154"/>
      <c r="BS84" s="154"/>
      <c r="BT84" s="154"/>
      <c r="BU84" s="154"/>
      <c r="BV84" s="154"/>
      <c r="BW84" s="154"/>
      <c r="BX84" s="154"/>
    </row>
    <row r="85" ht="15.75" customHeight="1">
      <c r="A85" s="528"/>
      <c r="B85" s="529" t="s">
        <v>2875</v>
      </c>
      <c r="C85" s="523" t="s">
        <v>2877</v>
      </c>
      <c r="D85" s="173"/>
      <c r="E85" s="144" t="s">
        <v>2881</v>
      </c>
      <c r="F85" s="144" t="s">
        <v>2877</v>
      </c>
      <c r="G85" s="144"/>
      <c r="H85" s="175"/>
      <c r="I85" s="525"/>
      <c r="J85" s="144"/>
      <c r="K85" s="144"/>
      <c r="L85" s="144" t="s">
        <v>2883</v>
      </c>
      <c r="M85" s="605" t="s">
        <v>2886</v>
      </c>
      <c r="N85" s="144" t="s">
        <v>2887</v>
      </c>
      <c r="O85" s="144"/>
      <c r="P85" s="144" t="str">
        <f>HYPERLINK("https://youtu.be/HUwmtKe7cOY","56.54")</f>
        <v>56.54</v>
      </c>
      <c r="Q85" s="144"/>
      <c r="R85" s="113" t="s">
        <v>2890</v>
      </c>
      <c r="S85" s="144"/>
      <c r="T85" s="144" t="s">
        <v>2891</v>
      </c>
      <c r="U85" s="144"/>
      <c r="V85" s="144"/>
      <c r="W85" s="144"/>
      <c r="X85" s="144" t="s">
        <v>2899</v>
      </c>
      <c r="Y85" s="144"/>
      <c r="Z85" s="144"/>
      <c r="AA85" s="144"/>
      <c r="AB85" s="144"/>
      <c r="AC85" s="144"/>
      <c r="AD85" s="144"/>
      <c r="AE85" s="144"/>
      <c r="AF85" s="144"/>
      <c r="AG85" s="144"/>
      <c r="AH85" s="144"/>
      <c r="AI85" s="144"/>
      <c r="AJ85" s="527"/>
      <c r="AK85" s="144"/>
      <c r="AL85" s="144"/>
      <c r="AM85" s="144"/>
      <c r="AN85" s="525"/>
      <c r="AO85" s="144"/>
      <c r="AP85" s="144"/>
      <c r="AQ85" s="527"/>
      <c r="AR85" s="144"/>
      <c r="AS85" s="144"/>
      <c r="AT85" s="144"/>
      <c r="AU85" s="525"/>
      <c r="AV85" s="144"/>
      <c r="AW85" s="527"/>
      <c r="AX85" s="144"/>
      <c r="AY85" s="144"/>
      <c r="AZ85" s="144"/>
      <c r="BA85" s="144"/>
      <c r="BB85" s="144"/>
      <c r="BC85" s="144"/>
      <c r="BD85" s="527"/>
      <c r="BE85" s="144"/>
      <c r="BF85" s="144"/>
      <c r="BG85" s="144"/>
      <c r="BH85" s="144"/>
      <c r="BI85" s="144"/>
      <c r="BJ85" s="144"/>
      <c r="BK85" s="527"/>
      <c r="BL85" s="527"/>
      <c r="BM85" s="527"/>
      <c r="BN85" s="527"/>
      <c r="BO85" s="527"/>
      <c r="BP85" s="527"/>
      <c r="BQ85" s="527"/>
      <c r="BR85" s="527"/>
      <c r="BS85" s="527"/>
      <c r="BT85" s="527"/>
      <c r="BU85" s="527"/>
      <c r="BV85" s="527"/>
      <c r="BW85" s="527"/>
      <c r="BX85" s="527"/>
    </row>
    <row r="86" ht="15.75" customHeight="1">
      <c r="A86" s="532"/>
      <c r="B86" s="533" t="s">
        <v>2917</v>
      </c>
      <c r="C86" s="523" t="s">
        <v>2919</v>
      </c>
      <c r="D86" s="272" t="s">
        <v>2925</v>
      </c>
      <c r="E86" s="144" t="s">
        <v>2931</v>
      </c>
      <c r="F86" s="144" t="s">
        <v>2935</v>
      </c>
      <c r="G86" s="144" t="s">
        <v>2919</v>
      </c>
      <c r="H86" s="112" t="s">
        <v>440</v>
      </c>
      <c r="I86" s="543" t="s">
        <v>2943</v>
      </c>
      <c r="J86" s="144" t="s">
        <v>2944</v>
      </c>
      <c r="K86" s="144" t="s">
        <v>2945</v>
      </c>
      <c r="L86" s="144"/>
      <c r="M86" s="154"/>
      <c r="N86" s="144"/>
      <c r="O86" s="144"/>
      <c r="P86" s="144" t="str">
        <f>HYPERLINK("https://youtu.be/vycxuqUj3Q4","56.44")</f>
        <v>56.44</v>
      </c>
      <c r="Q86" s="144" t="s">
        <v>2954</v>
      </c>
      <c r="R86" s="113"/>
      <c r="S86" s="144"/>
      <c r="T86" s="144"/>
      <c r="U86" s="144"/>
      <c r="V86" s="144"/>
      <c r="W86" s="144" t="s">
        <v>1553</v>
      </c>
      <c r="X86" s="144"/>
      <c r="Y86" s="144"/>
      <c r="Z86" s="144"/>
      <c r="AA86" s="144"/>
      <c r="AB86" s="144"/>
      <c r="AC86" s="144"/>
      <c r="AD86" s="144"/>
      <c r="AE86" s="144"/>
      <c r="AF86" s="144"/>
      <c r="AG86" s="144"/>
      <c r="AH86" s="144"/>
      <c r="AI86" s="144"/>
      <c r="AJ86" s="154"/>
      <c r="AK86" s="144"/>
      <c r="AL86" s="144"/>
      <c r="AM86" s="144"/>
      <c r="AN86" s="525"/>
      <c r="AO86" s="144"/>
      <c r="AP86" s="144"/>
      <c r="AQ86" s="154"/>
      <c r="AR86" s="144"/>
      <c r="AS86" s="144"/>
      <c r="AT86" s="144"/>
      <c r="AU86" s="525"/>
      <c r="AV86" s="144"/>
      <c r="AW86" s="154"/>
      <c r="AX86" s="144"/>
      <c r="AY86" s="144"/>
      <c r="AZ86" s="144"/>
      <c r="BA86" s="144"/>
      <c r="BB86" s="144"/>
      <c r="BC86" s="144"/>
      <c r="BD86" s="154"/>
      <c r="BE86" s="144"/>
      <c r="BF86" s="144"/>
      <c r="BG86" s="144"/>
      <c r="BH86" s="144"/>
      <c r="BI86" s="144"/>
      <c r="BJ86" s="144"/>
      <c r="BK86" s="154"/>
      <c r="BL86" s="154"/>
      <c r="BM86" s="154"/>
      <c r="BN86" s="154"/>
      <c r="BO86" s="154"/>
      <c r="BP86" s="154"/>
      <c r="BQ86" s="154"/>
      <c r="BR86" s="154"/>
      <c r="BS86" s="154"/>
      <c r="BT86" s="154"/>
      <c r="BU86" s="154"/>
      <c r="BV86" s="154"/>
      <c r="BW86" s="154"/>
      <c r="BX86" s="154"/>
    </row>
    <row r="87" ht="15.75" customHeight="1">
      <c r="A87" s="532"/>
      <c r="B87" s="533" t="s">
        <v>2967</v>
      </c>
      <c r="C87" s="523" t="s">
        <v>2567</v>
      </c>
      <c r="D87" s="523" t="s">
        <v>2567</v>
      </c>
      <c r="E87" s="654"/>
      <c r="F87" s="144"/>
      <c r="G87" s="144"/>
      <c r="H87" s="175"/>
      <c r="I87" s="543"/>
      <c r="J87" s="144"/>
      <c r="K87" s="144"/>
      <c r="L87" s="144"/>
      <c r="M87" s="154"/>
      <c r="N87" s="144"/>
      <c r="O87" s="144"/>
      <c r="P87" s="144"/>
      <c r="Q87" s="144"/>
      <c r="R87" s="113"/>
      <c r="S87" s="144"/>
      <c r="T87" s="144"/>
      <c r="U87" s="144"/>
      <c r="V87" s="144"/>
      <c r="W87" s="144"/>
      <c r="X87" s="144"/>
      <c r="Y87" s="144"/>
      <c r="Z87" s="144"/>
      <c r="AA87" s="144"/>
      <c r="AB87" s="144"/>
      <c r="AC87" s="144"/>
      <c r="AD87" s="144"/>
      <c r="AE87" s="144"/>
      <c r="AF87" s="144"/>
      <c r="AG87" s="144"/>
      <c r="AH87" s="144"/>
      <c r="AI87" s="144"/>
      <c r="AJ87" s="154"/>
      <c r="AK87" s="144"/>
      <c r="AL87" s="144"/>
      <c r="AM87" s="144"/>
      <c r="AN87" s="525"/>
      <c r="AO87" s="144"/>
      <c r="AP87" s="144"/>
      <c r="AQ87" s="154"/>
      <c r="AR87" s="144"/>
      <c r="AS87" s="144"/>
      <c r="AT87" s="144"/>
      <c r="AU87" s="525"/>
      <c r="AV87" s="144"/>
      <c r="AW87" s="154"/>
      <c r="AX87" s="144"/>
      <c r="AY87" s="144"/>
      <c r="AZ87" s="144"/>
      <c r="BA87" s="144"/>
      <c r="BB87" s="144"/>
      <c r="BC87" s="144"/>
      <c r="BD87" s="154"/>
      <c r="BE87" s="144"/>
      <c r="BF87" s="144"/>
      <c r="BG87" s="144"/>
      <c r="BH87" s="144"/>
      <c r="BI87" s="144"/>
      <c r="BJ87" s="144"/>
      <c r="BK87" s="154"/>
      <c r="BL87" s="154"/>
      <c r="BM87" s="154"/>
      <c r="BN87" s="154"/>
      <c r="BO87" s="154"/>
      <c r="BP87" s="154"/>
      <c r="BQ87" s="154"/>
      <c r="BR87" s="154"/>
      <c r="BS87" s="154"/>
      <c r="BT87" s="154"/>
      <c r="BU87" s="154"/>
      <c r="BV87" s="154"/>
      <c r="BW87" s="154"/>
      <c r="BX87" s="154"/>
    </row>
    <row r="88" ht="15.75" customHeight="1">
      <c r="A88" s="520" t="s">
        <v>2988</v>
      </c>
      <c r="B88" s="522" t="s">
        <v>2990</v>
      </c>
      <c r="C88" s="523" t="s">
        <v>2992</v>
      </c>
      <c r="D88" s="173"/>
      <c r="E88" s="144"/>
      <c r="F88" s="144" t="s">
        <v>2999</v>
      </c>
      <c r="G88" s="144"/>
      <c r="H88" s="112" t="s">
        <v>3004</v>
      </c>
      <c r="I88" s="525"/>
      <c r="J88" s="144"/>
      <c r="K88" s="144"/>
      <c r="L88" s="144"/>
      <c r="M88" s="527"/>
      <c r="N88" s="144"/>
      <c r="O88" s="144"/>
      <c r="P88" s="144"/>
      <c r="Q88" s="144"/>
      <c r="R88" s="113"/>
      <c r="S88" s="144"/>
      <c r="T88" s="144"/>
      <c r="U88" s="144"/>
      <c r="V88" s="144"/>
      <c r="W88" s="144"/>
      <c r="X88" s="144"/>
      <c r="Y88" s="144"/>
      <c r="Z88" s="144"/>
      <c r="AA88" s="144"/>
      <c r="AB88" s="144"/>
      <c r="AC88" s="144"/>
      <c r="AD88" s="144" t="s">
        <v>2992</v>
      </c>
      <c r="AE88" s="144"/>
      <c r="AF88" s="144"/>
      <c r="AG88" s="144"/>
      <c r="AH88" s="144"/>
      <c r="AI88" s="144"/>
      <c r="AJ88" s="527"/>
      <c r="AK88" s="144"/>
      <c r="AL88" s="144"/>
      <c r="AM88" s="144"/>
      <c r="AN88" s="525"/>
      <c r="AO88" s="144"/>
      <c r="AP88" s="144"/>
      <c r="AQ88" s="527"/>
      <c r="AR88" s="144"/>
      <c r="AS88" s="144"/>
      <c r="AT88" s="144"/>
      <c r="AU88" s="525"/>
      <c r="AV88" s="144"/>
      <c r="AW88" s="527"/>
      <c r="AX88" s="144"/>
      <c r="AY88" s="144"/>
      <c r="AZ88" s="144"/>
      <c r="BA88" s="144"/>
      <c r="BB88" s="144"/>
      <c r="BC88" s="144"/>
      <c r="BD88" s="527"/>
      <c r="BE88" s="144"/>
      <c r="BF88" s="144"/>
      <c r="BG88" s="144"/>
      <c r="BH88" s="144"/>
      <c r="BI88" s="144"/>
      <c r="BJ88" s="144"/>
      <c r="BK88" s="527"/>
      <c r="BL88" s="527"/>
      <c r="BM88" s="527"/>
      <c r="BN88" s="527"/>
      <c r="BO88" s="527"/>
      <c r="BP88" s="527"/>
      <c r="BQ88" s="527"/>
      <c r="BR88" s="527"/>
      <c r="BS88" s="527"/>
      <c r="BT88" s="527"/>
      <c r="BU88" s="527"/>
      <c r="BV88" s="527"/>
      <c r="BW88" s="527"/>
      <c r="BX88" s="527"/>
    </row>
    <row r="89" ht="15.75" customHeight="1">
      <c r="A89" s="528"/>
      <c r="B89" s="529" t="s">
        <v>3031</v>
      </c>
      <c r="C89" s="523" t="s">
        <v>3032</v>
      </c>
      <c r="D89" s="272" t="s">
        <v>3037</v>
      </c>
      <c r="E89" s="144" t="s">
        <v>3032</v>
      </c>
      <c r="F89" s="534"/>
      <c r="G89" s="534"/>
      <c r="H89" s="175"/>
      <c r="I89" s="543" t="s">
        <v>3048</v>
      </c>
      <c r="J89" s="534"/>
      <c r="K89" s="534"/>
      <c r="L89" s="534"/>
      <c r="M89" s="147" t="s">
        <v>3050</v>
      </c>
      <c r="N89" s="534"/>
      <c r="O89" s="534"/>
      <c r="P89" s="534"/>
      <c r="Q89" s="534"/>
      <c r="R89" s="113"/>
      <c r="S89" s="534"/>
      <c r="T89" s="534"/>
      <c r="U89" s="534" t="s">
        <v>3060</v>
      </c>
      <c r="V89" s="534"/>
      <c r="W89" s="534"/>
      <c r="X89" s="534"/>
      <c r="Y89" s="534" t="s">
        <v>3071</v>
      </c>
      <c r="Z89" s="534"/>
      <c r="AA89" s="534"/>
      <c r="AB89" s="534"/>
      <c r="AC89" s="534"/>
      <c r="AD89" s="534"/>
      <c r="AE89" s="534"/>
      <c r="AF89" s="534" t="s">
        <v>3060</v>
      </c>
      <c r="AG89" s="534"/>
      <c r="AH89" s="534"/>
      <c r="AI89" s="534"/>
      <c r="AJ89" s="154"/>
      <c r="AK89" s="534"/>
      <c r="AL89" s="534"/>
      <c r="AM89" s="534"/>
      <c r="AN89" s="525"/>
      <c r="AO89" s="534"/>
      <c r="AP89" s="534"/>
      <c r="AQ89" s="154"/>
      <c r="AR89" s="534"/>
      <c r="AS89" s="534"/>
      <c r="AT89" s="534"/>
      <c r="AU89" s="525"/>
      <c r="AV89" s="534"/>
      <c r="AW89" s="154"/>
      <c r="AX89" s="534" t="s">
        <v>3093</v>
      </c>
      <c r="AY89" s="534"/>
      <c r="AZ89" s="534"/>
      <c r="BA89" s="534"/>
      <c r="BB89" s="534"/>
      <c r="BC89" s="534"/>
      <c r="BD89" s="154"/>
      <c r="BE89" s="534"/>
      <c r="BF89" s="534"/>
      <c r="BG89" s="534"/>
      <c r="BH89" s="534"/>
      <c r="BI89" s="534"/>
      <c r="BJ89" s="534"/>
      <c r="BK89" s="154"/>
      <c r="BL89" s="154"/>
      <c r="BM89" s="154"/>
      <c r="BN89" s="154"/>
      <c r="BO89" s="154"/>
      <c r="BP89" s="154"/>
      <c r="BQ89" s="154"/>
      <c r="BR89" s="154"/>
      <c r="BS89" s="154"/>
      <c r="BT89" s="154"/>
      <c r="BU89" s="154"/>
      <c r="BV89" s="154"/>
      <c r="BW89" s="154"/>
      <c r="BX89" s="154"/>
    </row>
    <row r="90" ht="15.75" customHeight="1">
      <c r="A90" s="661"/>
      <c r="B90" s="662" t="s">
        <v>3109</v>
      </c>
      <c r="C90" s="663" t="s">
        <v>3110</v>
      </c>
      <c r="D90" s="664"/>
      <c r="E90" s="665" t="s">
        <v>3113</v>
      </c>
      <c r="F90" s="664" t="s">
        <v>3114</v>
      </c>
      <c r="G90" s="665" t="s">
        <v>442</v>
      </c>
      <c r="H90" s="664" t="s">
        <v>2598</v>
      </c>
      <c r="I90" s="667"/>
      <c r="J90" s="664" t="s">
        <v>3120</v>
      </c>
      <c r="K90" s="664" t="s">
        <v>3123</v>
      </c>
      <c r="L90" s="665" t="s">
        <v>3132</v>
      </c>
      <c r="M90" s="154"/>
      <c r="N90" s="665" t="s">
        <v>3133</v>
      </c>
      <c r="O90" s="667"/>
      <c r="P90" s="667"/>
      <c r="Q90" s="664" t="s">
        <v>3110</v>
      </c>
      <c r="R90" s="664" t="s">
        <v>3135</v>
      </c>
      <c r="S90" s="667"/>
      <c r="T90" s="667"/>
      <c r="U90" s="667"/>
      <c r="V90" s="667"/>
      <c r="W90" s="667"/>
      <c r="X90" s="667"/>
      <c r="Y90" s="667"/>
      <c r="Z90" s="667"/>
      <c r="AA90" s="667"/>
      <c r="AB90" s="667"/>
      <c r="AC90" s="667"/>
      <c r="AD90" s="667"/>
      <c r="AE90" s="667"/>
      <c r="AF90" s="667"/>
      <c r="AG90" s="667"/>
      <c r="AH90" s="667"/>
      <c r="AI90" s="667"/>
      <c r="AJ90" s="154"/>
      <c r="AK90" s="667"/>
      <c r="AL90" s="667"/>
      <c r="AM90" s="667"/>
      <c r="AN90" s="667"/>
      <c r="AO90" s="667"/>
      <c r="AP90" s="667"/>
      <c r="AQ90" s="154"/>
      <c r="AR90" s="667"/>
      <c r="AS90" s="667"/>
      <c r="AT90" s="667"/>
      <c r="AU90" s="667"/>
      <c r="AV90" s="667"/>
      <c r="AW90" s="154"/>
      <c r="AX90" s="667"/>
      <c r="AY90" s="664" t="s">
        <v>3146</v>
      </c>
      <c r="AZ90" s="534"/>
      <c r="BA90" s="667"/>
      <c r="BB90" s="667"/>
      <c r="BC90" s="667"/>
      <c r="BD90" s="667"/>
      <c r="BE90" s="667"/>
      <c r="BF90" s="667"/>
      <c r="BG90" s="534"/>
      <c r="BH90" s="534"/>
      <c r="BI90" s="534"/>
      <c r="BJ90" s="534"/>
      <c r="BK90" s="154"/>
      <c r="BL90" s="154"/>
      <c r="BM90" s="154"/>
      <c r="BN90" s="154"/>
      <c r="BO90" s="154"/>
      <c r="BP90" s="154"/>
      <c r="BQ90" s="154"/>
      <c r="BR90" s="154"/>
      <c r="BS90" s="154"/>
      <c r="BT90" s="154"/>
      <c r="BU90" s="154"/>
      <c r="BV90" s="154"/>
      <c r="BW90" s="154"/>
      <c r="BX90" s="154"/>
    </row>
    <row r="91" ht="15.75" customHeight="1">
      <c r="A91" s="668" t="s">
        <v>3150</v>
      </c>
      <c r="B91" s="565" t="s">
        <v>146</v>
      </c>
      <c r="C91" s="577" t="s">
        <v>3153</v>
      </c>
      <c r="D91" s="90" t="s">
        <v>3153</v>
      </c>
      <c r="E91" s="109" t="s">
        <v>3160</v>
      </c>
      <c r="F91" s="398"/>
      <c r="G91" s="109" t="s">
        <v>3153</v>
      </c>
      <c r="H91" s="175"/>
      <c r="I91" s="543" t="s">
        <v>3162</v>
      </c>
      <c r="J91" s="398"/>
      <c r="K91" s="398"/>
      <c r="L91" s="398"/>
      <c r="M91" s="527"/>
      <c r="N91" s="398"/>
      <c r="O91" s="398"/>
      <c r="P91" s="398"/>
      <c r="Q91" s="398"/>
      <c r="R91" s="113"/>
      <c r="S91" s="398"/>
      <c r="T91" s="398"/>
      <c r="U91" s="398"/>
      <c r="V91" s="398"/>
      <c r="W91" s="398"/>
      <c r="X91" s="398"/>
      <c r="Y91" s="398"/>
      <c r="Z91" s="398"/>
      <c r="AA91" s="398"/>
      <c r="AB91" s="398"/>
      <c r="AC91" s="398"/>
      <c r="AD91" s="398"/>
      <c r="AE91" s="398"/>
      <c r="AF91" s="398"/>
      <c r="AG91" s="398"/>
      <c r="AH91" s="398"/>
      <c r="AI91" s="398"/>
      <c r="AJ91" s="526" t="s">
        <v>2693</v>
      </c>
      <c r="AK91" s="398"/>
      <c r="AL91" s="398"/>
      <c r="AM91" s="398"/>
      <c r="AN91" s="525"/>
      <c r="AO91" s="398"/>
      <c r="AP91" s="398"/>
      <c r="AQ91" s="527"/>
      <c r="AR91" s="398"/>
      <c r="AS91" s="398"/>
      <c r="AT91" s="398"/>
      <c r="AU91" s="525"/>
      <c r="AV91" s="398"/>
      <c r="AW91" s="527"/>
      <c r="AX91" s="398"/>
      <c r="AY91" s="398"/>
      <c r="AZ91" s="398"/>
      <c r="BA91" s="398"/>
      <c r="BB91" s="398"/>
      <c r="BC91" s="398"/>
      <c r="BD91" s="527"/>
      <c r="BE91" s="398"/>
      <c r="BF91" s="398"/>
      <c r="BG91" s="398"/>
      <c r="BH91" s="398"/>
      <c r="BI91" s="398"/>
      <c r="BJ91" s="398"/>
      <c r="BK91" s="527"/>
      <c r="BL91" s="527"/>
      <c r="BM91" s="527"/>
      <c r="BN91" s="527"/>
      <c r="BO91" s="527"/>
      <c r="BP91" s="527"/>
      <c r="BQ91" s="527"/>
      <c r="BR91" s="527"/>
      <c r="BS91" s="527"/>
      <c r="BT91" s="527"/>
      <c r="BU91" s="527"/>
      <c r="BV91" s="527"/>
      <c r="BW91" s="527"/>
      <c r="BX91" s="527"/>
    </row>
    <row r="92" ht="15.75" customHeight="1">
      <c r="A92" s="668" t="s">
        <v>3185</v>
      </c>
      <c r="B92" s="565" t="s">
        <v>146</v>
      </c>
      <c r="C92" s="252" t="s">
        <v>3186</v>
      </c>
      <c r="D92" s="254" t="s">
        <v>3190</v>
      </c>
      <c r="E92" s="109" t="s">
        <v>3192</v>
      </c>
      <c r="F92" s="398"/>
      <c r="G92" s="109" t="s">
        <v>3186</v>
      </c>
      <c r="H92" s="175"/>
      <c r="I92" s="543" t="s">
        <v>3197</v>
      </c>
      <c r="J92" s="398"/>
      <c r="K92" s="398"/>
      <c r="L92" s="398"/>
      <c r="M92" s="527"/>
      <c r="N92" s="398"/>
      <c r="O92" s="398"/>
      <c r="P92" s="398"/>
      <c r="Q92" s="398"/>
      <c r="R92" s="113"/>
      <c r="S92" s="398"/>
      <c r="T92" s="109" t="s">
        <v>3199</v>
      </c>
      <c r="U92" s="398"/>
      <c r="V92" s="398"/>
      <c r="W92" s="398"/>
      <c r="X92" s="398"/>
      <c r="Y92" s="398"/>
      <c r="Z92" s="398"/>
      <c r="AA92" s="398"/>
      <c r="AB92" s="398"/>
      <c r="AC92" s="398"/>
      <c r="AD92" s="398"/>
      <c r="AE92" s="398"/>
      <c r="AF92" s="398"/>
      <c r="AG92" s="398"/>
      <c r="AH92" s="398"/>
      <c r="AI92" s="398"/>
      <c r="AJ92" s="526" t="s">
        <v>3210</v>
      </c>
      <c r="AK92" s="398"/>
      <c r="AL92" s="398"/>
      <c r="AM92" s="398"/>
      <c r="AN92" s="525"/>
      <c r="AO92" s="398"/>
      <c r="AP92" s="398"/>
      <c r="AQ92" s="527"/>
      <c r="AR92" s="398"/>
      <c r="AS92" s="398"/>
      <c r="AT92" s="398"/>
      <c r="AU92" s="525"/>
      <c r="AV92" s="398"/>
      <c r="AW92" s="527"/>
      <c r="AX92" s="398"/>
      <c r="AY92" s="398"/>
      <c r="AZ92" s="398"/>
      <c r="BA92" s="398"/>
      <c r="BB92" s="398"/>
      <c r="BC92" s="398"/>
      <c r="BD92" s="527"/>
      <c r="BE92" s="398"/>
      <c r="BF92" s="398"/>
      <c r="BG92" s="398"/>
      <c r="BH92" s="398"/>
      <c r="BI92" s="398"/>
      <c r="BJ92" s="398"/>
      <c r="BK92" s="527"/>
      <c r="BL92" s="527"/>
      <c r="BM92" s="527"/>
      <c r="BN92" s="527"/>
      <c r="BO92" s="527"/>
      <c r="BP92" s="527"/>
      <c r="BQ92" s="527"/>
      <c r="BR92" s="527"/>
      <c r="BS92" s="527"/>
      <c r="BT92" s="527"/>
      <c r="BU92" s="527"/>
      <c r="BV92" s="527"/>
      <c r="BW92" s="527"/>
      <c r="BX92" s="527"/>
    </row>
    <row r="93" ht="15.75" customHeight="1">
      <c r="A93" s="520" t="s">
        <v>1423</v>
      </c>
      <c r="B93" s="522" t="s">
        <v>1424</v>
      </c>
      <c r="C93" s="523" t="s">
        <v>1816</v>
      </c>
      <c r="D93" s="530"/>
      <c r="E93" s="144" t="s">
        <v>2299</v>
      </c>
      <c r="F93" s="144" t="s">
        <v>1816</v>
      </c>
      <c r="G93" s="144" t="s">
        <v>1816</v>
      </c>
      <c r="H93" s="175"/>
      <c r="I93" s="543" t="s">
        <v>3225</v>
      </c>
      <c r="J93" s="144" t="s">
        <v>3226</v>
      </c>
      <c r="K93" s="144"/>
      <c r="L93" s="144" t="s">
        <v>593</v>
      </c>
      <c r="M93" s="157" t="s">
        <v>3227</v>
      </c>
      <c r="N93" s="144"/>
      <c r="O93" s="144" t="s">
        <v>2086</v>
      </c>
      <c r="P93" s="144" t="str">
        <f>HYPERLINK("https://youtu.be/HjDDp_Mj_yI","16.74")</f>
        <v>16.74</v>
      </c>
      <c r="Q93" s="144"/>
      <c r="R93" s="113" t="s">
        <v>3230</v>
      </c>
      <c r="S93" s="144"/>
      <c r="T93" s="144"/>
      <c r="U93" s="144" t="s">
        <v>1816</v>
      </c>
      <c r="V93" s="144"/>
      <c r="W93" s="144"/>
      <c r="X93" s="144" t="s">
        <v>3226</v>
      </c>
      <c r="Y93" s="144"/>
      <c r="Z93" s="144"/>
      <c r="AA93" s="144"/>
      <c r="AB93" s="144"/>
      <c r="AC93" s="144"/>
      <c r="AD93" s="144"/>
      <c r="AE93" s="144"/>
      <c r="AF93" s="144" t="s">
        <v>1816</v>
      </c>
      <c r="AG93" s="144"/>
      <c r="AH93" s="144"/>
      <c r="AI93" s="144"/>
      <c r="AJ93" s="154"/>
      <c r="AK93" s="144"/>
      <c r="AL93" s="144"/>
      <c r="AM93" s="144"/>
      <c r="AN93" s="525"/>
      <c r="AO93" s="144"/>
      <c r="AP93" s="144"/>
      <c r="AQ93" s="154"/>
      <c r="AR93" s="144" t="s">
        <v>3235</v>
      </c>
      <c r="AS93" s="144"/>
      <c r="AT93" s="144"/>
      <c r="AU93" s="525"/>
      <c r="AV93" s="144"/>
      <c r="AW93" s="154"/>
      <c r="AX93" s="144"/>
      <c r="AY93" s="144"/>
      <c r="AZ93" s="144"/>
      <c r="BA93" s="144"/>
      <c r="BB93" s="144"/>
      <c r="BC93" s="144"/>
      <c r="BD93" s="154"/>
      <c r="BE93" s="144"/>
      <c r="BF93" s="144"/>
      <c r="BG93" s="144"/>
      <c r="BH93" s="144"/>
      <c r="BI93" s="144"/>
      <c r="BJ93" s="144"/>
      <c r="BK93" s="154"/>
      <c r="BL93" s="154"/>
      <c r="BM93" s="154"/>
      <c r="BN93" s="154"/>
      <c r="BO93" s="154"/>
      <c r="BP93" s="154"/>
      <c r="BQ93" s="154"/>
      <c r="BR93" s="154"/>
      <c r="BS93" s="154"/>
      <c r="BT93" s="154"/>
      <c r="BU93" s="154"/>
      <c r="BV93" s="154"/>
      <c r="BW93" s="154"/>
      <c r="BX93" s="154"/>
    </row>
    <row r="94" ht="15.75" customHeight="1">
      <c r="A94" s="528"/>
      <c r="B94" s="529" t="s">
        <v>3244</v>
      </c>
      <c r="C94" s="523" t="s">
        <v>409</v>
      </c>
      <c r="D94" s="173"/>
      <c r="E94" s="144"/>
      <c r="F94" s="144" t="s">
        <v>409</v>
      </c>
      <c r="G94" s="144" t="s">
        <v>409</v>
      </c>
      <c r="H94" s="175"/>
      <c r="I94" s="525"/>
      <c r="J94" s="144"/>
      <c r="K94" s="144"/>
      <c r="L94" s="144"/>
      <c r="M94" s="527"/>
      <c r="N94" s="144"/>
      <c r="O94" s="144" t="s">
        <v>409</v>
      </c>
      <c r="P94" s="144"/>
      <c r="Q94" s="144"/>
      <c r="R94" s="113"/>
      <c r="S94" s="144" t="s">
        <v>1490</v>
      </c>
      <c r="T94" s="144"/>
      <c r="U94" s="144" t="s">
        <v>409</v>
      </c>
      <c r="V94" s="144"/>
      <c r="W94" s="144"/>
      <c r="X94" s="144"/>
      <c r="Y94" s="144"/>
      <c r="Z94" s="144"/>
      <c r="AA94" s="144"/>
      <c r="AB94" s="144"/>
      <c r="AC94" s="144"/>
      <c r="AD94" s="144"/>
      <c r="AE94" s="144"/>
      <c r="AF94" s="144" t="s">
        <v>863</v>
      </c>
      <c r="AG94" s="144"/>
      <c r="AH94" s="144"/>
      <c r="AI94" s="144"/>
      <c r="AJ94" s="527"/>
      <c r="AK94" s="144"/>
      <c r="AL94" s="144"/>
      <c r="AM94" s="144"/>
      <c r="AN94" s="525"/>
      <c r="AO94" s="144"/>
      <c r="AP94" s="144"/>
      <c r="AQ94" s="527"/>
      <c r="AR94" s="144"/>
      <c r="AS94" s="144"/>
      <c r="AT94" s="144"/>
      <c r="AU94" s="525"/>
      <c r="AV94" s="144"/>
      <c r="AW94" s="527"/>
      <c r="AX94" s="144"/>
      <c r="AY94" s="144"/>
      <c r="AZ94" s="144"/>
      <c r="BA94" s="144"/>
      <c r="BB94" s="144"/>
      <c r="BC94" s="144"/>
      <c r="BD94" s="527"/>
      <c r="BE94" s="144"/>
      <c r="BF94" s="144"/>
      <c r="BG94" s="144"/>
      <c r="BH94" s="144"/>
      <c r="BI94" s="144"/>
      <c r="BJ94" s="144"/>
      <c r="BK94" s="527"/>
      <c r="BL94" s="527"/>
      <c r="BM94" s="527"/>
      <c r="BN94" s="527"/>
      <c r="BO94" s="527"/>
      <c r="BP94" s="527"/>
      <c r="BQ94" s="527"/>
      <c r="BR94" s="527"/>
      <c r="BS94" s="527"/>
      <c r="BT94" s="527"/>
      <c r="BU94" s="527"/>
      <c r="BV94" s="527"/>
      <c r="BW94" s="527"/>
      <c r="BX94" s="527"/>
    </row>
    <row r="95" ht="15.75" customHeight="1">
      <c r="A95" s="532"/>
      <c r="B95" s="533" t="s">
        <v>3274</v>
      </c>
      <c r="C95" s="523" t="s">
        <v>613</v>
      </c>
      <c r="D95" s="530"/>
      <c r="E95" s="144"/>
      <c r="F95" s="144" t="s">
        <v>3286</v>
      </c>
      <c r="G95" s="144" t="s">
        <v>613</v>
      </c>
      <c r="H95" s="175"/>
      <c r="I95" s="525"/>
      <c r="J95" s="144"/>
      <c r="K95" s="144"/>
      <c r="L95" s="144"/>
      <c r="M95" s="154"/>
      <c r="N95" s="144"/>
      <c r="O95" s="144"/>
      <c r="P95" s="144"/>
      <c r="Q95" s="144"/>
      <c r="R95" s="113"/>
      <c r="S95" s="144"/>
      <c r="T95" s="144"/>
      <c r="U95" s="144"/>
      <c r="V95" s="144"/>
      <c r="W95" s="144"/>
      <c r="X95" s="144"/>
      <c r="Y95" s="144"/>
      <c r="Z95" s="144"/>
      <c r="AA95" s="144"/>
      <c r="AB95" s="144"/>
      <c r="AC95" s="144"/>
      <c r="AD95" s="144"/>
      <c r="AE95" s="144"/>
      <c r="AF95" s="144" t="s">
        <v>1768</v>
      </c>
      <c r="AG95" s="144"/>
      <c r="AH95" s="144"/>
      <c r="AI95" s="144"/>
      <c r="AJ95" s="154"/>
      <c r="AK95" s="144"/>
      <c r="AL95" s="144" t="s">
        <v>3311</v>
      </c>
      <c r="AM95" s="144"/>
      <c r="AN95" s="525"/>
      <c r="AO95" s="144"/>
      <c r="AP95" s="144"/>
      <c r="AQ95" s="154"/>
      <c r="AR95" s="144"/>
      <c r="AS95" s="144"/>
      <c r="AT95" s="144"/>
      <c r="AU95" s="525"/>
      <c r="AV95" s="144"/>
      <c r="AW95" s="154"/>
      <c r="AX95" s="144"/>
      <c r="AY95" s="144"/>
      <c r="AZ95" s="144"/>
      <c r="BA95" s="144"/>
      <c r="BB95" s="144"/>
      <c r="BC95" s="144"/>
      <c r="BD95" s="154"/>
      <c r="BE95" s="144"/>
      <c r="BF95" s="144"/>
      <c r="BG95" s="144"/>
      <c r="BH95" s="144"/>
      <c r="BI95" s="144"/>
      <c r="BJ95" s="144"/>
      <c r="BK95" s="154"/>
      <c r="BL95" s="154"/>
      <c r="BM95" s="154"/>
      <c r="BN95" s="154"/>
      <c r="BO95" s="154"/>
      <c r="BP95" s="154"/>
      <c r="BQ95" s="154"/>
      <c r="BR95" s="154"/>
      <c r="BS95" s="154"/>
      <c r="BT95" s="154"/>
      <c r="BU95" s="154"/>
      <c r="BV95" s="154"/>
      <c r="BW95" s="154"/>
      <c r="BX95" s="154"/>
    </row>
    <row r="96" ht="15.75" customHeight="1">
      <c r="A96" s="528"/>
      <c r="B96" s="529" t="s">
        <v>3320</v>
      </c>
      <c r="C96" s="523" t="s">
        <v>3321</v>
      </c>
      <c r="D96" s="173"/>
      <c r="E96" s="144" t="s">
        <v>3325</v>
      </c>
      <c r="F96" s="109" t="s">
        <v>402</v>
      </c>
      <c r="G96" s="109" t="s">
        <v>3321</v>
      </c>
      <c r="H96" s="112" t="s">
        <v>444</v>
      </c>
      <c r="I96" s="525"/>
      <c r="J96" s="117"/>
      <c r="K96" s="109" t="s">
        <v>3340</v>
      </c>
      <c r="L96" s="117"/>
      <c r="M96" s="527"/>
      <c r="N96" s="117" t="s">
        <v>3353</v>
      </c>
      <c r="O96" s="109" t="s">
        <v>3354</v>
      </c>
      <c r="P96" s="117"/>
      <c r="Q96" s="109" t="s">
        <v>3353</v>
      </c>
      <c r="R96" s="113" t="s">
        <v>3353</v>
      </c>
      <c r="S96" s="117"/>
      <c r="T96" s="117"/>
      <c r="U96" s="117"/>
      <c r="V96" s="117"/>
      <c r="W96" s="117"/>
      <c r="X96" s="117"/>
      <c r="Y96" s="117"/>
      <c r="Z96" s="117"/>
      <c r="AA96" s="117"/>
      <c r="AB96" s="117"/>
      <c r="AC96" s="117"/>
      <c r="AD96" s="117"/>
      <c r="AE96" s="117"/>
      <c r="AF96" s="109" t="s">
        <v>444</v>
      </c>
      <c r="AG96" s="117"/>
      <c r="AH96" s="117"/>
      <c r="AI96" s="117"/>
      <c r="AJ96" s="527"/>
      <c r="AK96" s="109" t="str">
        <f>HYPERLINK("https://clips.twitch.tv/TameArbitraryBurritoYouDontSay","15.00")</f>
        <v>15.00</v>
      </c>
      <c r="AL96" s="117"/>
      <c r="AM96" s="117"/>
      <c r="AN96" s="525"/>
      <c r="AO96" s="117"/>
      <c r="AP96" s="117"/>
      <c r="AQ96" s="527"/>
      <c r="AR96" s="117"/>
      <c r="AS96" s="117"/>
      <c r="AT96" s="117"/>
      <c r="AU96" s="525"/>
      <c r="AV96" s="117"/>
      <c r="AW96" s="527"/>
      <c r="AX96" s="117"/>
      <c r="AY96" s="117"/>
      <c r="AZ96" s="117"/>
      <c r="BA96" s="117"/>
      <c r="BB96" s="117"/>
      <c r="BC96" s="117"/>
      <c r="BD96" s="527"/>
      <c r="BE96" s="117"/>
      <c r="BF96" s="117"/>
      <c r="BG96" s="117"/>
      <c r="BH96" s="117"/>
      <c r="BI96" s="117"/>
      <c r="BJ96" s="117"/>
      <c r="BK96" s="527"/>
      <c r="BL96" s="527"/>
      <c r="BM96" s="527"/>
      <c r="BN96" s="527"/>
      <c r="BO96" s="527"/>
      <c r="BP96" s="527"/>
      <c r="BQ96" s="527"/>
      <c r="BR96" s="527"/>
      <c r="BS96" s="527"/>
      <c r="BT96" s="527"/>
      <c r="BU96" s="527"/>
      <c r="BV96" s="527"/>
      <c r="BW96" s="527"/>
      <c r="BX96" s="527"/>
    </row>
    <row r="97" ht="15.75" customHeight="1">
      <c r="A97" s="532"/>
      <c r="B97" s="533" t="s">
        <v>3378</v>
      </c>
      <c r="C97" s="523" t="s">
        <v>2749</v>
      </c>
      <c r="D97" s="584" t="s">
        <v>2749</v>
      </c>
      <c r="E97" s="144" t="s">
        <v>2749</v>
      </c>
      <c r="F97" s="144"/>
      <c r="G97" s="117" t="s">
        <v>2749</v>
      </c>
      <c r="H97" s="175"/>
      <c r="I97" s="525"/>
      <c r="J97" s="144"/>
      <c r="K97" s="144"/>
      <c r="L97" s="144"/>
      <c r="M97" s="154"/>
      <c r="N97" s="144"/>
      <c r="O97" s="144"/>
      <c r="P97" s="144"/>
      <c r="Q97" s="144"/>
      <c r="R97" s="113"/>
      <c r="S97" s="144"/>
      <c r="T97" s="144"/>
      <c r="U97" s="144"/>
      <c r="V97" s="144"/>
      <c r="W97" s="144"/>
      <c r="X97" s="144"/>
      <c r="Y97" s="144"/>
      <c r="Z97" s="144"/>
      <c r="AA97" s="144"/>
      <c r="AB97" s="144"/>
      <c r="AC97" s="144"/>
      <c r="AD97" s="144"/>
      <c r="AE97" s="144"/>
      <c r="AF97" s="144"/>
      <c r="AG97" s="144"/>
      <c r="AH97" s="144"/>
      <c r="AI97" s="144"/>
      <c r="AJ97" s="154"/>
      <c r="AK97" s="144"/>
      <c r="AL97" s="144"/>
      <c r="AM97" s="144"/>
      <c r="AN97" s="525"/>
      <c r="AO97" s="144"/>
      <c r="AP97" s="144"/>
      <c r="AQ97" s="154"/>
      <c r="AR97" s="144"/>
      <c r="AS97" s="144"/>
      <c r="AT97" s="144"/>
      <c r="AU97" s="525"/>
      <c r="AV97" s="144"/>
      <c r="AW97" s="154"/>
      <c r="AX97" s="144"/>
      <c r="AY97" s="144"/>
      <c r="AZ97" s="144"/>
      <c r="BA97" s="144"/>
      <c r="BB97" s="144"/>
      <c r="BC97" s="144"/>
      <c r="BD97" s="154"/>
      <c r="BE97" s="144"/>
      <c r="BF97" s="144"/>
      <c r="BG97" s="144"/>
      <c r="BH97" s="144"/>
      <c r="BI97" s="144"/>
      <c r="BJ97" s="144"/>
      <c r="BK97" s="154"/>
      <c r="BL97" s="154"/>
      <c r="BM97" s="154"/>
      <c r="BN97" s="154"/>
      <c r="BO97" s="154"/>
      <c r="BP97" s="154"/>
      <c r="BQ97" s="154"/>
      <c r="BR97" s="154"/>
      <c r="BS97" s="154"/>
      <c r="BT97" s="154"/>
      <c r="BU97" s="154"/>
      <c r="BV97" s="154"/>
      <c r="BW97" s="154"/>
      <c r="BX97" s="154"/>
    </row>
    <row r="98" ht="15.75" customHeight="1">
      <c r="A98" s="520" t="s">
        <v>1494</v>
      </c>
      <c r="B98" s="522" t="s">
        <v>3394</v>
      </c>
      <c r="C98" s="523" t="s">
        <v>1091</v>
      </c>
      <c r="D98" s="90" t="s">
        <v>3398</v>
      </c>
      <c r="E98" s="131" t="s">
        <v>3400</v>
      </c>
      <c r="F98" s="144" t="s">
        <v>3403</v>
      </c>
      <c r="G98" s="144"/>
      <c r="H98" s="112" t="s">
        <v>3405</v>
      </c>
      <c r="I98" s="100" t="s">
        <v>3406</v>
      </c>
      <c r="J98" s="144" t="str">
        <f>HYPERLINK("https://youtu.be/VjOXmvP4h2s","46.37")</f>
        <v>46.37</v>
      </c>
      <c r="K98" s="144" t="s">
        <v>1091</v>
      </c>
      <c r="L98" s="144"/>
      <c r="M98" s="154"/>
      <c r="N98" s="144"/>
      <c r="O98" s="144"/>
      <c r="P98" s="144" t="s">
        <v>1744</v>
      </c>
      <c r="Q98" s="144"/>
      <c r="R98" s="113"/>
      <c r="S98" s="144"/>
      <c r="T98" s="144"/>
      <c r="U98" s="144"/>
      <c r="V98" s="144"/>
      <c r="W98" s="144"/>
      <c r="X98" s="144"/>
      <c r="Y98" s="144"/>
      <c r="Z98" s="144"/>
      <c r="AA98" s="144"/>
      <c r="AB98" s="144"/>
      <c r="AC98" s="144"/>
      <c r="AD98" s="144"/>
      <c r="AE98" s="144"/>
      <c r="AF98" s="144"/>
      <c r="AG98" s="144"/>
      <c r="AH98" s="144"/>
      <c r="AI98" s="144"/>
      <c r="AJ98" s="154"/>
      <c r="AK98" s="144"/>
      <c r="AL98" s="144"/>
      <c r="AM98" s="144"/>
      <c r="AN98" s="525"/>
      <c r="AO98" s="144"/>
      <c r="AP98" s="144"/>
      <c r="AQ98" s="154"/>
      <c r="AR98" s="144"/>
      <c r="AS98" s="144"/>
      <c r="AT98" s="144"/>
      <c r="AU98" s="525"/>
      <c r="AV98" s="144"/>
      <c r="AW98" s="154"/>
      <c r="AX98" s="144"/>
      <c r="AY98" s="144"/>
      <c r="AZ98" s="144"/>
      <c r="BA98" s="144"/>
      <c r="BB98" s="144"/>
      <c r="BC98" s="144"/>
      <c r="BD98" s="154"/>
      <c r="BE98" s="144"/>
      <c r="BF98" s="144"/>
      <c r="BG98" s="144"/>
      <c r="BH98" s="144"/>
      <c r="BI98" s="144"/>
      <c r="BJ98" s="144"/>
      <c r="BK98" s="154"/>
      <c r="BL98" s="154"/>
      <c r="BM98" s="157" t="s">
        <v>3426</v>
      </c>
      <c r="BN98" s="154"/>
      <c r="BO98" s="154"/>
      <c r="BP98" s="154"/>
      <c r="BQ98" s="154"/>
      <c r="BR98" s="154"/>
      <c r="BS98" s="154"/>
      <c r="BT98" s="154"/>
      <c r="BU98" s="154"/>
      <c r="BV98" s="154"/>
      <c r="BW98" s="154"/>
      <c r="BX98" s="154"/>
    </row>
    <row r="99" ht="15.75" customHeight="1">
      <c r="A99" s="520" t="s">
        <v>3428</v>
      </c>
      <c r="B99" s="522" t="s">
        <v>1517</v>
      </c>
      <c r="C99" s="523" t="s">
        <v>3429</v>
      </c>
      <c r="D99" s="90" t="s">
        <v>3434</v>
      </c>
      <c r="E99" s="506" t="s">
        <v>3437</v>
      </c>
      <c r="F99" s="144" t="s">
        <v>449</v>
      </c>
      <c r="G99" s="144" t="s">
        <v>1918</v>
      </c>
      <c r="H99" s="175"/>
      <c r="I99" s="543" t="s">
        <v>3446</v>
      </c>
      <c r="J99" s="144"/>
      <c r="K99" s="144"/>
      <c r="L99" s="144"/>
      <c r="M99" s="527"/>
      <c r="N99" s="144" t="s">
        <v>3447</v>
      </c>
      <c r="O99" s="144" t="str">
        <f>HYPERLINK("https://www.youtube.com/watch?v=8BrDAvD-IV4","1:01.54")</f>
        <v>1:01.54</v>
      </c>
      <c r="P99" s="144" t="s">
        <v>3450</v>
      </c>
      <c r="Q99" s="144"/>
      <c r="R99" s="113"/>
      <c r="S99" s="144"/>
      <c r="T99" s="109" t="s">
        <v>3456</v>
      </c>
      <c r="U99" s="144"/>
      <c r="V99" s="144"/>
      <c r="W99" s="144"/>
      <c r="X99" s="144"/>
      <c r="Y99" s="144"/>
      <c r="Z99" s="144"/>
      <c r="AA99" s="144"/>
      <c r="AB99" s="144"/>
      <c r="AC99" s="144"/>
      <c r="AD99" s="144"/>
      <c r="AE99" s="144"/>
      <c r="AF99" s="144"/>
      <c r="AG99" s="144"/>
      <c r="AH99" s="144"/>
      <c r="AI99" s="144"/>
      <c r="AJ99" s="527"/>
      <c r="AK99" s="144"/>
      <c r="AL99" s="144"/>
      <c r="AM99" s="144"/>
      <c r="AN99" s="525"/>
      <c r="AO99" s="144"/>
      <c r="AP99" s="144"/>
      <c r="AQ99" s="527"/>
      <c r="AR99" s="144"/>
      <c r="AS99" s="144"/>
      <c r="AT99" s="144"/>
      <c r="AU99" s="525"/>
      <c r="AV99" s="144"/>
      <c r="AW99" s="527"/>
      <c r="AX99" s="144"/>
      <c r="AY99" s="144"/>
      <c r="AZ99" s="144"/>
      <c r="BA99" s="144"/>
      <c r="BB99" s="144"/>
      <c r="BC99" s="144"/>
      <c r="BD99" s="527"/>
      <c r="BE99" s="144"/>
      <c r="BF99" s="144"/>
      <c r="BG99" s="144"/>
      <c r="BH99" s="144"/>
      <c r="BI99" s="144"/>
      <c r="BJ99" s="144"/>
      <c r="BK99" s="527"/>
      <c r="BL99" s="527"/>
      <c r="BM99" s="527"/>
      <c r="BN99" s="527"/>
      <c r="BO99" s="527"/>
      <c r="BP99" s="527"/>
      <c r="BQ99" s="527"/>
      <c r="BR99" s="527"/>
      <c r="BS99" s="527"/>
      <c r="BT99" s="527"/>
      <c r="BU99" s="527"/>
      <c r="BV99" s="527"/>
      <c r="BW99" s="527"/>
      <c r="BX99" s="527"/>
    </row>
    <row r="100" ht="15.75" customHeight="1">
      <c r="A100" s="668" t="s">
        <v>3470</v>
      </c>
      <c r="B100" s="565" t="s">
        <v>1517</v>
      </c>
      <c r="C100" s="695" t="s">
        <v>3472</v>
      </c>
      <c r="D100" s="90" t="s">
        <v>3473</v>
      </c>
      <c r="E100" s="498" t="s">
        <v>3477</v>
      </c>
      <c r="F100" s="144"/>
      <c r="G100" s="144" t="s">
        <v>3472</v>
      </c>
      <c r="H100" s="175"/>
      <c r="I100" s="543" t="s">
        <v>3478</v>
      </c>
      <c r="J100" s="144"/>
      <c r="K100" s="144"/>
      <c r="L100" s="144"/>
      <c r="M100" s="527"/>
      <c r="N100" s="144"/>
      <c r="O100" s="144"/>
      <c r="P100" s="144"/>
      <c r="Q100" s="144"/>
      <c r="R100" s="113"/>
      <c r="S100" s="144"/>
      <c r="T100" s="109" t="s">
        <v>3481</v>
      </c>
      <c r="U100" s="144"/>
      <c r="V100" s="144"/>
      <c r="W100" s="144"/>
      <c r="X100" s="144"/>
      <c r="Y100" s="144"/>
      <c r="Z100" s="144"/>
      <c r="AA100" s="144"/>
      <c r="AB100" s="144"/>
      <c r="AC100" s="144"/>
      <c r="AD100" s="144"/>
      <c r="AE100" s="144"/>
      <c r="AF100" s="144"/>
      <c r="AG100" s="144"/>
      <c r="AH100" s="144"/>
      <c r="AI100" s="144"/>
      <c r="AJ100" s="527"/>
      <c r="AK100" s="144"/>
      <c r="AL100" s="144"/>
      <c r="AM100" s="144"/>
      <c r="AN100" s="525"/>
      <c r="AO100" s="144"/>
      <c r="AP100" s="144"/>
      <c r="AQ100" s="527"/>
      <c r="AR100" s="144"/>
      <c r="AS100" s="144"/>
      <c r="AT100" s="144"/>
      <c r="AU100" s="525"/>
      <c r="AV100" s="144"/>
      <c r="AW100" s="527"/>
      <c r="AX100" s="144"/>
      <c r="AY100" s="144"/>
      <c r="AZ100" s="144"/>
      <c r="BA100" s="144"/>
      <c r="BB100" s="144"/>
      <c r="BC100" s="144"/>
      <c r="BD100" s="527"/>
      <c r="BE100" s="144"/>
      <c r="BF100" s="144"/>
      <c r="BG100" s="144"/>
      <c r="BH100" s="144"/>
      <c r="BI100" s="144"/>
      <c r="BJ100" s="144"/>
      <c r="BK100" s="527"/>
      <c r="BL100" s="527"/>
      <c r="BM100" s="527"/>
      <c r="BN100" s="527"/>
      <c r="BO100" s="527"/>
      <c r="BP100" s="527"/>
      <c r="BQ100" s="527"/>
      <c r="BR100" s="527"/>
      <c r="BS100" s="527"/>
      <c r="BT100" s="527"/>
      <c r="BU100" s="527"/>
      <c r="BV100" s="527"/>
      <c r="BW100" s="527"/>
      <c r="BX100" s="527"/>
    </row>
    <row r="101" ht="15.75" customHeight="1">
      <c r="A101" s="520" t="s">
        <v>253</v>
      </c>
      <c r="B101" s="522" t="s">
        <v>146</v>
      </c>
      <c r="C101" s="523" t="s">
        <v>1098</v>
      </c>
      <c r="D101" s="90" t="s">
        <v>3495</v>
      </c>
      <c r="E101" s="131" t="s">
        <v>2375</v>
      </c>
      <c r="F101" s="109" t="s">
        <v>1098</v>
      </c>
      <c r="G101" s="117"/>
      <c r="H101" s="112" t="s">
        <v>3499</v>
      </c>
      <c r="I101" s="543" t="s">
        <v>3500</v>
      </c>
      <c r="J101" s="117"/>
      <c r="K101" s="117"/>
      <c r="L101" s="117"/>
      <c r="M101" s="527"/>
      <c r="N101" s="109" t="s">
        <v>3501</v>
      </c>
      <c r="O101" s="117"/>
      <c r="P101" s="117"/>
      <c r="Q101" s="117"/>
      <c r="R101" s="113"/>
      <c r="S101" s="117"/>
      <c r="T101" s="117"/>
      <c r="U101" s="117"/>
      <c r="V101" s="117"/>
      <c r="W101" s="117"/>
      <c r="X101" s="117"/>
      <c r="Y101" s="117"/>
      <c r="Z101" s="117"/>
      <c r="AA101" s="117"/>
      <c r="AB101" s="117"/>
      <c r="AC101" s="117"/>
      <c r="AD101" s="117"/>
      <c r="AE101" s="117"/>
      <c r="AF101" s="117"/>
      <c r="AG101" s="117"/>
      <c r="AH101" s="117"/>
      <c r="AI101" s="117"/>
      <c r="AJ101" s="527"/>
      <c r="AK101" s="117"/>
      <c r="AL101" s="117"/>
      <c r="AM101" s="117"/>
      <c r="AN101" s="525"/>
      <c r="AO101" s="117"/>
      <c r="AP101" s="117"/>
      <c r="AQ101" s="527"/>
      <c r="AR101" s="117"/>
      <c r="AS101" s="117"/>
      <c r="AT101" s="117"/>
      <c r="AU101" s="525"/>
      <c r="AV101" s="117"/>
      <c r="AW101" s="527"/>
      <c r="AX101" s="117"/>
      <c r="AY101" s="117"/>
      <c r="AZ101" s="117"/>
      <c r="BA101" s="117"/>
      <c r="BB101" s="117"/>
      <c r="BC101" s="117"/>
      <c r="BD101" s="527"/>
      <c r="BE101" s="117"/>
      <c r="BF101" s="117"/>
      <c r="BG101" s="117"/>
      <c r="BH101" s="117"/>
      <c r="BI101" s="117"/>
      <c r="BJ101" s="117"/>
      <c r="BK101" s="527"/>
      <c r="BL101" s="527"/>
      <c r="BM101" s="527"/>
      <c r="BN101" s="527"/>
      <c r="BO101" s="527"/>
      <c r="BP101" s="527"/>
      <c r="BQ101" s="527"/>
      <c r="BR101" s="527"/>
      <c r="BS101" s="527"/>
      <c r="BT101" s="527"/>
      <c r="BU101" s="527"/>
      <c r="BV101" s="527"/>
      <c r="BW101" s="527"/>
      <c r="BX101" s="527"/>
    </row>
    <row r="102">
      <c r="A102" s="711" t="s">
        <v>129</v>
      </c>
      <c r="D102" s="713"/>
      <c r="E102" s="714"/>
      <c r="F102" s="714"/>
      <c r="G102" s="714"/>
      <c r="H102" s="715"/>
      <c r="I102" s="714"/>
      <c r="J102" s="714"/>
      <c r="K102" s="714"/>
      <c r="L102" s="714"/>
      <c r="M102" s="716"/>
      <c r="N102" s="714"/>
      <c r="O102" s="714"/>
      <c r="P102" s="714"/>
      <c r="Q102" s="714"/>
      <c r="R102" s="717"/>
      <c r="S102" s="714"/>
      <c r="T102" s="714"/>
      <c r="U102" s="714"/>
      <c r="V102" s="714"/>
      <c r="W102" s="714"/>
      <c r="X102" s="714"/>
      <c r="Y102" s="714"/>
      <c r="Z102" s="714"/>
      <c r="AA102" s="714"/>
      <c r="AB102" s="714"/>
      <c r="AC102" s="714"/>
      <c r="AD102" s="714"/>
      <c r="AE102" s="714"/>
      <c r="AF102" s="714"/>
      <c r="AG102" s="714"/>
      <c r="AH102" s="714"/>
      <c r="AI102" s="714"/>
      <c r="AJ102" s="716"/>
      <c r="AK102" s="714"/>
      <c r="AL102" s="714"/>
      <c r="AM102" s="714"/>
      <c r="AN102" s="714"/>
      <c r="AO102" s="714"/>
      <c r="AP102" s="714"/>
      <c r="AQ102" s="716"/>
      <c r="AR102" s="714"/>
      <c r="AS102" s="714"/>
      <c r="AT102" s="714"/>
      <c r="AU102" s="714"/>
      <c r="AV102" s="714"/>
      <c r="AW102" s="716"/>
      <c r="AX102" s="714"/>
      <c r="AY102" s="714"/>
      <c r="AZ102" s="714"/>
      <c r="BA102" s="714"/>
      <c r="BB102" s="714"/>
      <c r="BC102" s="714"/>
      <c r="BD102" s="716"/>
      <c r="BE102" s="714"/>
      <c r="BF102" s="714"/>
      <c r="BG102" s="714"/>
      <c r="BH102" s="714"/>
      <c r="BI102" s="714"/>
      <c r="BJ102" s="714"/>
      <c r="BK102" s="716"/>
      <c r="BL102" s="716"/>
      <c r="BM102" s="716"/>
      <c r="BN102" s="716"/>
      <c r="BO102" s="716"/>
      <c r="BP102" s="716"/>
      <c r="BQ102" s="716"/>
      <c r="BR102" s="716"/>
      <c r="BS102" s="716"/>
      <c r="BT102" s="716"/>
      <c r="BU102" s="716"/>
      <c r="BV102" s="716"/>
      <c r="BW102" s="716"/>
      <c r="BX102" s="716"/>
    </row>
    <row r="103" ht="15.75" customHeight="1">
      <c r="A103" s="721" t="s">
        <v>143</v>
      </c>
      <c r="B103" s="722"/>
      <c r="C103" s="725" t="s">
        <v>3512</v>
      </c>
      <c r="D103" s="90" t="s">
        <v>761</v>
      </c>
      <c r="E103" s="131" t="s">
        <v>2381</v>
      </c>
      <c r="F103" s="728" t="s">
        <v>3519</v>
      </c>
      <c r="G103" s="728"/>
      <c r="H103" s="112" t="s">
        <v>3525</v>
      </c>
      <c r="I103" s="729" t="s">
        <v>3532</v>
      </c>
      <c r="J103" s="728" t="str">
        <f>HYPERLINK("https://youtu.be/ycBfir2aflI","41.70")</f>
        <v>41.70</v>
      </c>
      <c r="K103" s="728" t="s">
        <v>634</v>
      </c>
      <c r="L103" s="728"/>
      <c r="M103" s="731"/>
      <c r="N103" s="728" t="s">
        <v>3548</v>
      </c>
      <c r="O103" s="728"/>
      <c r="P103" s="728" t="str">
        <f>HYPERLINK("https://youtu.be/OxlK2SgEm_U","42.73")</f>
        <v>42.73</v>
      </c>
      <c r="Q103" s="728"/>
      <c r="R103" s="732" t="s">
        <v>3555</v>
      </c>
      <c r="S103" s="728"/>
      <c r="T103" s="728"/>
      <c r="U103" s="728"/>
      <c r="V103" s="728"/>
      <c r="W103" s="728"/>
      <c r="X103" s="728"/>
      <c r="Y103" s="728"/>
      <c r="Z103" s="728"/>
      <c r="AA103" s="728"/>
      <c r="AB103" s="728"/>
      <c r="AC103" s="728"/>
      <c r="AD103" s="728"/>
      <c r="AE103" s="728"/>
      <c r="AF103" s="728"/>
      <c r="AG103" s="728"/>
      <c r="AH103" s="728"/>
      <c r="AI103" s="728"/>
      <c r="AJ103" s="731"/>
      <c r="AK103" s="728"/>
      <c r="AL103" s="728"/>
      <c r="AM103" s="728"/>
      <c r="AN103" s="733"/>
      <c r="AO103" s="728"/>
      <c r="AP103" s="728"/>
      <c r="AQ103" s="731"/>
      <c r="AR103" s="728"/>
      <c r="AS103" s="728"/>
      <c r="AT103" s="728"/>
      <c r="AU103" s="733"/>
      <c r="AV103" s="728"/>
      <c r="AW103" s="731"/>
      <c r="AX103" s="728"/>
      <c r="AY103" s="728"/>
      <c r="AZ103" s="728"/>
      <c r="BA103" s="728"/>
      <c r="BB103" s="728"/>
      <c r="BC103" s="728"/>
      <c r="BD103" s="731"/>
      <c r="BE103" s="728"/>
      <c r="BF103" s="728"/>
      <c r="BG103" s="728"/>
      <c r="BH103" s="728"/>
      <c r="BI103" s="728"/>
      <c r="BJ103" s="728"/>
      <c r="BK103" s="731"/>
      <c r="BL103" s="731"/>
      <c r="BM103" s="731"/>
      <c r="BN103" s="731"/>
      <c r="BO103" s="731"/>
      <c r="BP103" s="731"/>
      <c r="BQ103" s="731"/>
      <c r="BR103" s="731"/>
      <c r="BS103" s="731"/>
      <c r="BT103" s="731"/>
      <c r="BU103" s="731"/>
      <c r="BV103" s="731"/>
      <c r="BW103" s="731"/>
      <c r="BX103" s="731"/>
    </row>
    <row r="104" ht="15.75" customHeight="1">
      <c r="A104" s="735" t="s">
        <v>320</v>
      </c>
      <c r="B104" s="736"/>
      <c r="C104" s="725" t="s">
        <v>2963</v>
      </c>
      <c r="D104" s="272" t="s">
        <v>3562</v>
      </c>
      <c r="E104" s="131" t="s">
        <v>3567</v>
      </c>
      <c r="F104" s="738"/>
      <c r="G104" s="738"/>
      <c r="H104" s="112" t="s">
        <v>1858</v>
      </c>
      <c r="I104" s="729" t="s">
        <v>3569</v>
      </c>
      <c r="J104" s="728" t="s">
        <v>3570</v>
      </c>
      <c r="K104" s="728" t="s">
        <v>1865</v>
      </c>
      <c r="L104" s="738" t="s">
        <v>3574</v>
      </c>
      <c r="M104" s="154"/>
      <c r="N104" s="738" t="s">
        <v>3575</v>
      </c>
      <c r="O104" s="728" t="s">
        <v>3191</v>
      </c>
      <c r="P104" s="738" t="s">
        <v>3579</v>
      </c>
      <c r="Q104" s="728" t="s">
        <v>2963</v>
      </c>
      <c r="R104" s="740" t="s">
        <v>3580</v>
      </c>
      <c r="S104" s="738"/>
      <c r="T104" s="738"/>
      <c r="U104" s="738" t="s">
        <v>2342</v>
      </c>
      <c r="V104" s="738"/>
      <c r="W104" s="738"/>
      <c r="X104" s="738"/>
      <c r="Y104" s="738"/>
      <c r="Z104" s="738"/>
      <c r="AA104" s="738"/>
      <c r="AB104" s="738"/>
      <c r="AC104" s="738"/>
      <c r="AD104" s="738"/>
      <c r="AE104" s="738"/>
      <c r="AF104" s="738"/>
      <c r="AG104" s="738"/>
      <c r="AH104" s="738"/>
      <c r="AI104" s="738"/>
      <c r="AJ104" s="154"/>
      <c r="AK104" s="738"/>
      <c r="AL104" s="738"/>
      <c r="AM104" s="738"/>
      <c r="AN104" s="733"/>
      <c r="AO104" s="738"/>
      <c r="AP104" s="738"/>
      <c r="AQ104" s="154"/>
      <c r="AR104" s="738"/>
      <c r="AS104" s="738"/>
      <c r="AT104" s="738"/>
      <c r="AU104" s="733"/>
      <c r="AV104" s="738"/>
      <c r="AW104" s="154"/>
      <c r="AX104" s="738"/>
      <c r="AY104" s="738"/>
      <c r="AZ104" s="738"/>
      <c r="BA104" s="738"/>
      <c r="BB104" s="738"/>
      <c r="BC104" s="738"/>
      <c r="BD104" s="154"/>
      <c r="BE104" s="738"/>
      <c r="BF104" s="738"/>
      <c r="BG104" s="738"/>
      <c r="BH104" s="738"/>
      <c r="BI104" s="738"/>
      <c r="BJ104" s="738"/>
      <c r="BK104" s="154"/>
      <c r="BL104" s="154"/>
      <c r="BM104" s="154"/>
      <c r="BN104" s="154"/>
      <c r="BO104" s="154"/>
      <c r="BP104" s="154"/>
      <c r="BQ104" s="154"/>
      <c r="BR104" s="154"/>
      <c r="BS104" s="154"/>
      <c r="BT104" s="154"/>
      <c r="BU104" s="154"/>
      <c r="BV104" s="154"/>
      <c r="BW104" s="154"/>
      <c r="BX104" s="154"/>
    </row>
    <row r="105" ht="15.75" customHeight="1">
      <c r="A105" s="735" t="s">
        <v>410</v>
      </c>
      <c r="B105" s="741"/>
      <c r="C105" s="725" t="s">
        <v>3597</v>
      </c>
      <c r="D105" s="90" t="s">
        <v>3602</v>
      </c>
      <c r="E105" s="742" t="s">
        <v>3605</v>
      </c>
      <c r="F105" s="738"/>
      <c r="G105" s="738"/>
      <c r="H105" s="112" t="s">
        <v>3607</v>
      </c>
      <c r="I105" s="729" t="s">
        <v>3609</v>
      </c>
      <c r="J105" s="738"/>
      <c r="K105" s="728" t="s">
        <v>3597</v>
      </c>
      <c r="L105" s="738"/>
      <c r="M105" s="731"/>
      <c r="N105" s="738" t="s">
        <v>2171</v>
      </c>
      <c r="O105" s="738"/>
      <c r="P105" s="738"/>
      <c r="Q105" s="738"/>
      <c r="R105" s="740"/>
      <c r="S105" s="738"/>
      <c r="T105" s="738"/>
      <c r="U105" s="738"/>
      <c r="V105" s="738"/>
      <c r="W105" s="738" t="s">
        <v>3205</v>
      </c>
      <c r="X105" s="738"/>
      <c r="Y105" s="738"/>
      <c r="Z105" s="738"/>
      <c r="AA105" s="738"/>
      <c r="AB105" s="738"/>
      <c r="AC105" s="738"/>
      <c r="AD105" s="738"/>
      <c r="AE105" s="738"/>
      <c r="AF105" s="738"/>
      <c r="AG105" s="738"/>
      <c r="AH105" s="738"/>
      <c r="AI105" s="738"/>
      <c r="AJ105" s="731"/>
      <c r="AK105" s="738"/>
      <c r="AL105" s="738"/>
      <c r="AM105" s="738"/>
      <c r="AN105" s="733"/>
      <c r="AO105" s="738"/>
      <c r="AP105" s="738" t="s">
        <v>3580</v>
      </c>
      <c r="AQ105" s="731"/>
      <c r="AR105" s="738"/>
      <c r="AS105" s="738"/>
      <c r="AT105" s="738"/>
      <c r="AU105" s="733"/>
      <c r="AV105" s="738"/>
      <c r="AW105" s="731"/>
      <c r="AX105" s="738"/>
      <c r="AY105" s="738"/>
      <c r="AZ105" s="738"/>
      <c r="BA105" s="738"/>
      <c r="BB105" s="738"/>
      <c r="BC105" s="738"/>
      <c r="BD105" s="731"/>
      <c r="BE105" s="738"/>
      <c r="BF105" s="738"/>
      <c r="BG105" s="738"/>
      <c r="BH105" s="738"/>
      <c r="BI105" s="738"/>
      <c r="BJ105" s="738"/>
      <c r="BK105" s="731"/>
      <c r="BL105" s="731"/>
      <c r="BM105" s="731"/>
      <c r="BN105" s="731"/>
      <c r="BO105" s="731"/>
      <c r="BP105" s="731"/>
      <c r="BQ105" s="731"/>
      <c r="BR105" s="731"/>
      <c r="BS105" s="731"/>
      <c r="BT105" s="731"/>
      <c r="BU105" s="731"/>
      <c r="BV105" s="731"/>
      <c r="BW105" s="731"/>
      <c r="BX105" s="731"/>
    </row>
    <row r="106" ht="15.75" customHeight="1">
      <c r="A106" s="721" t="s">
        <v>3616</v>
      </c>
      <c r="B106" s="744" t="s">
        <v>3617</v>
      </c>
      <c r="C106" s="725" t="s">
        <v>3618</v>
      </c>
      <c r="D106" s="173"/>
      <c r="E106" s="107" t="s">
        <v>3622</v>
      </c>
      <c r="F106" s="738"/>
      <c r="G106" s="738"/>
      <c r="H106" s="112" t="s">
        <v>453</v>
      </c>
      <c r="I106" s="729" t="s">
        <v>3626</v>
      </c>
      <c r="J106" s="738" t="s">
        <v>1256</v>
      </c>
      <c r="K106" s="728" t="s">
        <v>3627</v>
      </c>
      <c r="L106" s="738"/>
      <c r="M106" s="731"/>
      <c r="N106" s="728" t="s">
        <v>3631</v>
      </c>
      <c r="O106" s="738"/>
      <c r="P106" s="728" t="str">
        <f>HYPERLINK("https://youtu.be/amAFpVoAKyY","1:57.90")</f>
        <v>1:57.90</v>
      </c>
      <c r="Q106" s="738"/>
      <c r="R106" s="740"/>
      <c r="S106" s="738"/>
      <c r="T106" s="738"/>
      <c r="U106" s="738"/>
      <c r="V106" s="738"/>
      <c r="W106" s="738"/>
      <c r="X106" s="738"/>
      <c r="Y106" s="738"/>
      <c r="Z106" s="738"/>
      <c r="AA106" s="738"/>
      <c r="AB106" s="738" t="s">
        <v>3618</v>
      </c>
      <c r="AC106" s="738"/>
      <c r="AD106" s="738"/>
      <c r="AE106" s="738"/>
      <c r="AF106" s="738"/>
      <c r="AG106" s="738"/>
      <c r="AH106" s="738"/>
      <c r="AI106" s="738"/>
      <c r="AJ106" s="731"/>
      <c r="AK106" s="738"/>
      <c r="AL106" s="738"/>
      <c r="AM106" s="738"/>
      <c r="AN106" s="733"/>
      <c r="AO106" s="738"/>
      <c r="AP106" s="738"/>
      <c r="AQ106" s="731"/>
      <c r="AR106" s="738"/>
      <c r="AS106" s="738"/>
      <c r="AT106" s="738"/>
      <c r="AU106" s="733"/>
      <c r="AV106" s="738"/>
      <c r="AW106" s="731"/>
      <c r="AX106" s="738"/>
      <c r="AY106" s="738"/>
      <c r="AZ106" s="738"/>
      <c r="BA106" s="738"/>
      <c r="BB106" s="738"/>
      <c r="BC106" s="738"/>
      <c r="BD106" s="731"/>
      <c r="BE106" s="738"/>
      <c r="BF106" s="738"/>
      <c r="BG106" s="738"/>
      <c r="BH106" s="738"/>
      <c r="BI106" s="738"/>
      <c r="BJ106" s="738"/>
      <c r="BK106" s="731"/>
      <c r="BL106" s="731"/>
      <c r="BM106" s="731"/>
      <c r="BN106" s="731"/>
      <c r="BO106" s="731"/>
      <c r="BP106" s="731"/>
      <c r="BQ106" s="731"/>
      <c r="BR106" s="731"/>
      <c r="BS106" s="731"/>
      <c r="BT106" s="731"/>
      <c r="BU106" s="731"/>
      <c r="BV106" s="731"/>
      <c r="BW106" s="731"/>
      <c r="BX106" s="731"/>
    </row>
    <row r="107" ht="15.75" customHeight="1">
      <c r="A107" s="747"/>
      <c r="B107" s="748" t="s">
        <v>3641</v>
      </c>
      <c r="C107" s="725" t="s">
        <v>3642</v>
      </c>
      <c r="D107" s="90" t="s">
        <v>3454</v>
      </c>
      <c r="E107" s="131" t="s">
        <v>3645</v>
      </c>
      <c r="F107" s="738"/>
      <c r="G107" s="738"/>
      <c r="H107" s="175"/>
      <c r="I107" s="733"/>
      <c r="J107" s="738"/>
      <c r="K107" s="728" t="s">
        <v>3642</v>
      </c>
      <c r="L107" s="738"/>
      <c r="M107" s="154"/>
      <c r="N107" s="738"/>
      <c r="O107" s="738"/>
      <c r="P107" s="738"/>
      <c r="Q107" s="738"/>
      <c r="R107" s="740"/>
      <c r="S107" s="738"/>
      <c r="T107" s="738"/>
      <c r="U107" s="738"/>
      <c r="V107" s="738"/>
      <c r="W107" s="738"/>
      <c r="X107" s="738"/>
      <c r="Y107" s="738"/>
      <c r="Z107" s="738"/>
      <c r="AA107" s="738"/>
      <c r="AB107" s="738"/>
      <c r="AC107" s="738"/>
      <c r="AD107" s="738"/>
      <c r="AE107" s="738"/>
      <c r="AF107" s="738"/>
      <c r="AG107" s="738"/>
      <c r="AH107" s="738"/>
      <c r="AI107" s="738"/>
      <c r="AJ107" s="154"/>
      <c r="AK107" s="738"/>
      <c r="AL107" s="738"/>
      <c r="AM107" s="738"/>
      <c r="AN107" s="733"/>
      <c r="AO107" s="738"/>
      <c r="AP107" s="738"/>
      <c r="AQ107" s="154"/>
      <c r="AR107" s="738"/>
      <c r="AS107" s="738"/>
      <c r="AT107" s="738"/>
      <c r="AU107" s="733"/>
      <c r="AV107" s="738"/>
      <c r="AW107" s="154"/>
      <c r="AX107" s="738"/>
      <c r="AY107" s="738"/>
      <c r="AZ107" s="738"/>
      <c r="BA107" s="738"/>
      <c r="BB107" s="738"/>
      <c r="BC107" s="738"/>
      <c r="BD107" s="154"/>
      <c r="BE107" s="738"/>
      <c r="BF107" s="738"/>
      <c r="BG107" s="738"/>
      <c r="BH107" s="738"/>
      <c r="BI107" s="738"/>
      <c r="BJ107" s="738"/>
      <c r="BK107" s="154"/>
      <c r="BL107" s="154"/>
      <c r="BM107" s="154"/>
      <c r="BN107" s="154"/>
      <c r="BO107" s="154"/>
      <c r="BP107" s="154"/>
      <c r="BQ107" s="154"/>
      <c r="BR107" s="154"/>
      <c r="BS107" s="154"/>
      <c r="BT107" s="154"/>
      <c r="BU107" s="154"/>
      <c r="BV107" s="154"/>
      <c r="BW107" s="154"/>
      <c r="BX107" s="154"/>
    </row>
    <row r="108" ht="15.75" customHeight="1">
      <c r="A108" s="721" t="s">
        <v>2221</v>
      </c>
      <c r="B108" s="744" t="s">
        <v>3666</v>
      </c>
      <c r="C108" s="725" t="s">
        <v>659</v>
      </c>
      <c r="D108" s="90" t="s">
        <v>983</v>
      </c>
      <c r="E108" s="107" t="s">
        <v>250</v>
      </c>
      <c r="F108" s="738"/>
      <c r="G108" s="738"/>
      <c r="H108" s="112" t="s">
        <v>2185</v>
      </c>
      <c r="I108" s="733"/>
      <c r="J108" s="738"/>
      <c r="K108" s="728" t="s">
        <v>3675</v>
      </c>
      <c r="L108" s="738" t="s">
        <v>3680</v>
      </c>
      <c r="M108" s="731"/>
      <c r="N108" s="738"/>
      <c r="O108" s="738"/>
      <c r="P108" s="738"/>
      <c r="Q108" s="738"/>
      <c r="R108" s="740"/>
      <c r="S108" s="738"/>
      <c r="T108" s="738"/>
      <c r="U108" s="738"/>
      <c r="V108" s="738"/>
      <c r="W108" s="738"/>
      <c r="X108" s="738"/>
      <c r="Y108" s="738"/>
      <c r="Z108" s="738"/>
      <c r="AA108" s="738"/>
      <c r="AB108" s="738"/>
      <c r="AC108" s="738"/>
      <c r="AD108" s="738"/>
      <c r="AE108" s="738"/>
      <c r="AF108" s="738"/>
      <c r="AG108" s="738"/>
      <c r="AH108" s="738"/>
      <c r="AI108" s="738"/>
      <c r="AJ108" s="731"/>
      <c r="AK108" s="738"/>
      <c r="AL108" s="738"/>
      <c r="AM108" s="738"/>
      <c r="AN108" s="733"/>
      <c r="AO108" s="738"/>
      <c r="AP108" s="738"/>
      <c r="AQ108" s="731"/>
      <c r="AR108" s="738"/>
      <c r="AS108" s="738"/>
      <c r="AT108" s="738"/>
      <c r="AU108" s="733"/>
      <c r="AV108" s="738"/>
      <c r="AW108" s="731"/>
      <c r="AX108" s="738"/>
      <c r="AY108" s="738"/>
      <c r="AZ108" s="738"/>
      <c r="BA108" s="738"/>
      <c r="BB108" s="738"/>
      <c r="BC108" s="738"/>
      <c r="BD108" s="731"/>
      <c r="BE108" s="738"/>
      <c r="BF108" s="738"/>
      <c r="BG108" s="738"/>
      <c r="BH108" s="738" t="s">
        <v>3686</v>
      </c>
      <c r="BI108" s="738"/>
      <c r="BJ108" s="738"/>
      <c r="BK108" s="731"/>
      <c r="BL108" s="731"/>
      <c r="BM108" s="731"/>
      <c r="BN108" s="731"/>
      <c r="BO108" s="731"/>
      <c r="BP108" s="731"/>
      <c r="BQ108" s="731"/>
      <c r="BR108" s="731"/>
      <c r="BS108" s="731"/>
      <c r="BT108" s="731"/>
      <c r="BU108" s="731"/>
      <c r="BV108" s="731"/>
      <c r="BW108" s="731"/>
      <c r="BX108" s="731"/>
    </row>
    <row r="109" ht="15.75" customHeight="1">
      <c r="A109" s="721" t="s">
        <v>2376</v>
      </c>
      <c r="B109" s="744" t="s">
        <v>3693</v>
      </c>
      <c r="C109" s="725" t="s">
        <v>3695</v>
      </c>
      <c r="D109" s="90" t="s">
        <v>3706</v>
      </c>
      <c r="E109" s="107" t="s">
        <v>3709</v>
      </c>
      <c r="F109" s="738"/>
      <c r="G109" s="738"/>
      <c r="H109" s="112" t="s">
        <v>455</v>
      </c>
      <c r="I109" s="729"/>
      <c r="J109" s="738" t="s">
        <v>3712</v>
      </c>
      <c r="K109" s="728" t="s">
        <v>3713</v>
      </c>
      <c r="L109" s="738" t="s">
        <v>3720</v>
      </c>
      <c r="M109" s="154"/>
      <c r="N109" s="738" t="s">
        <v>3722</v>
      </c>
      <c r="O109" s="738"/>
      <c r="P109" s="738" t="s">
        <v>2952</v>
      </c>
      <c r="Q109" s="738"/>
      <c r="R109" s="740"/>
      <c r="S109" s="738"/>
      <c r="T109" s="738"/>
      <c r="U109" s="738"/>
      <c r="V109" s="738"/>
      <c r="W109" s="738"/>
      <c r="X109" s="738"/>
      <c r="Y109" s="738"/>
      <c r="Z109" s="738"/>
      <c r="AA109" s="738"/>
      <c r="AB109" s="738"/>
      <c r="AC109" s="738"/>
      <c r="AD109" s="738"/>
      <c r="AE109" s="738"/>
      <c r="AF109" s="738"/>
      <c r="AG109" s="738"/>
      <c r="AH109" s="738"/>
      <c r="AI109" s="738"/>
      <c r="AJ109" s="154"/>
      <c r="AK109" s="738"/>
      <c r="AL109" s="738"/>
      <c r="AM109" s="738"/>
      <c r="AN109" s="733"/>
      <c r="AO109" s="738"/>
      <c r="AP109" s="738"/>
      <c r="AQ109" s="154"/>
      <c r="AR109" s="738"/>
      <c r="AS109" s="738"/>
      <c r="AT109" s="738"/>
      <c r="AU109" s="733"/>
      <c r="AV109" s="738"/>
      <c r="AW109" s="154"/>
      <c r="AX109" s="738"/>
      <c r="AY109" s="738"/>
      <c r="AZ109" s="738"/>
      <c r="BA109" s="738"/>
      <c r="BB109" s="738"/>
      <c r="BC109" s="738"/>
      <c r="BD109" s="154"/>
      <c r="BE109" s="738"/>
      <c r="BF109" s="738"/>
      <c r="BG109" s="738"/>
      <c r="BH109" s="738"/>
      <c r="BI109" s="738"/>
      <c r="BJ109" s="738"/>
      <c r="BK109" s="154"/>
      <c r="BL109" s="154"/>
      <c r="BM109" s="154"/>
      <c r="BN109" s="154"/>
      <c r="BO109" s="154"/>
      <c r="BP109" s="154"/>
      <c r="BQ109" s="154"/>
      <c r="BR109" s="154"/>
      <c r="BS109" s="154"/>
      <c r="BT109" s="154"/>
      <c r="BU109" s="154"/>
      <c r="BV109" s="154"/>
      <c r="BW109" s="154"/>
      <c r="BX109" s="154"/>
    </row>
    <row r="110" ht="15.75" customHeight="1">
      <c r="A110" s="735" t="s">
        <v>320</v>
      </c>
      <c r="B110" s="736" t="s">
        <v>3693</v>
      </c>
      <c r="C110" s="83" t="s">
        <v>3738</v>
      </c>
      <c r="D110" s="90" t="s">
        <v>3746</v>
      </c>
      <c r="E110" s="506" t="s">
        <v>1928</v>
      </c>
      <c r="F110" s="728" t="s">
        <v>1117</v>
      </c>
      <c r="G110" s="728"/>
      <c r="H110" s="112" t="s">
        <v>3754</v>
      </c>
      <c r="I110" s="733"/>
      <c r="J110" s="728"/>
      <c r="K110" s="728"/>
      <c r="L110" s="728"/>
      <c r="M110" s="731"/>
      <c r="N110" s="728"/>
      <c r="O110" s="728"/>
      <c r="P110" s="728" t="str">
        <f>HYPERLINK("https://youtu.be/fN_8rgua0Xs","36.26")</f>
        <v>36.26</v>
      </c>
      <c r="Q110" s="728"/>
      <c r="R110" s="732"/>
      <c r="S110" s="728"/>
      <c r="T110" s="728"/>
      <c r="U110" s="728"/>
      <c r="V110" s="728"/>
      <c r="W110" s="728" t="s">
        <v>457</v>
      </c>
      <c r="X110" s="728"/>
      <c r="Y110" s="728"/>
      <c r="Z110" s="728"/>
      <c r="AA110" s="728"/>
      <c r="AB110" s="728"/>
      <c r="AC110" s="728"/>
      <c r="AD110" s="728"/>
      <c r="AE110" s="728"/>
      <c r="AF110" s="728"/>
      <c r="AG110" s="728"/>
      <c r="AH110" s="728"/>
      <c r="AI110" s="728"/>
      <c r="AJ110" s="731"/>
      <c r="AK110" s="728"/>
      <c r="AL110" s="728"/>
      <c r="AM110" s="728"/>
      <c r="AN110" s="733"/>
      <c r="AO110" s="728"/>
      <c r="AP110" s="728"/>
      <c r="AQ110" s="731"/>
      <c r="AR110" s="728"/>
      <c r="AS110" s="728"/>
      <c r="AT110" s="728"/>
      <c r="AU110" s="365" t="s">
        <v>3738</v>
      </c>
      <c r="AV110" s="728"/>
      <c r="AW110" s="731"/>
      <c r="AX110" s="728"/>
      <c r="AY110" s="728"/>
      <c r="AZ110" s="728"/>
      <c r="BA110" s="728"/>
      <c r="BB110" s="728"/>
      <c r="BC110" s="728"/>
      <c r="BD110" s="731"/>
      <c r="BE110" s="728"/>
      <c r="BF110" s="728"/>
      <c r="BG110" s="728"/>
      <c r="BH110" s="728"/>
      <c r="BI110" s="728"/>
      <c r="BJ110" s="728"/>
      <c r="BK110" s="731"/>
      <c r="BL110" s="731"/>
      <c r="BM110" s="731"/>
      <c r="BN110" s="731"/>
      <c r="BO110" s="731"/>
      <c r="BP110" s="731"/>
      <c r="BQ110" s="731"/>
      <c r="BR110" s="731"/>
      <c r="BS110" s="731"/>
      <c r="BT110" s="731"/>
      <c r="BU110" s="731"/>
      <c r="BV110" s="731"/>
      <c r="BW110" s="731"/>
      <c r="BX110" s="731"/>
    </row>
    <row r="111" ht="15.75" customHeight="1">
      <c r="A111" s="735" t="s">
        <v>410</v>
      </c>
      <c r="B111" s="757" t="s">
        <v>3617</v>
      </c>
      <c r="C111" s="725" t="s">
        <v>1955</v>
      </c>
      <c r="D111" s="90" t="s">
        <v>3767</v>
      </c>
      <c r="E111" s="738"/>
      <c r="F111" s="738"/>
      <c r="G111" s="738"/>
      <c r="H111" s="112" t="s">
        <v>566</v>
      </c>
      <c r="I111" s="729" t="s">
        <v>3770</v>
      </c>
      <c r="J111" s="738"/>
      <c r="K111" s="738"/>
      <c r="L111" s="738"/>
      <c r="M111" s="154"/>
      <c r="N111" s="738"/>
      <c r="O111" s="738"/>
      <c r="P111" s="738"/>
      <c r="Q111" s="738"/>
      <c r="R111" s="740"/>
      <c r="S111" s="738"/>
      <c r="T111" s="738"/>
      <c r="U111" s="738"/>
      <c r="V111" s="738"/>
      <c r="W111" s="738"/>
      <c r="X111" s="738"/>
      <c r="Y111" s="738"/>
      <c r="Z111" s="738"/>
      <c r="AA111" s="738"/>
      <c r="AB111" s="738"/>
      <c r="AC111" s="738"/>
      <c r="AD111" s="738"/>
      <c r="AE111" s="738"/>
      <c r="AF111" s="738"/>
      <c r="AG111" s="738"/>
      <c r="AH111" s="742" t="s">
        <v>3772</v>
      </c>
      <c r="AI111" s="738"/>
      <c r="AJ111" s="154"/>
      <c r="AK111" s="738"/>
      <c r="AL111" s="738"/>
      <c r="AM111" s="738"/>
      <c r="AN111" s="733"/>
      <c r="AO111" s="738"/>
      <c r="AP111" s="738"/>
      <c r="AQ111" s="154"/>
      <c r="AR111" s="738"/>
      <c r="AS111" s="738"/>
      <c r="AT111" s="738"/>
      <c r="AU111" s="733"/>
      <c r="AV111" s="738"/>
      <c r="AW111" s="154"/>
      <c r="AX111" s="738"/>
      <c r="AY111" s="738"/>
      <c r="AZ111" s="738"/>
      <c r="BA111" s="738"/>
      <c r="BB111" s="738"/>
      <c r="BC111" s="738"/>
      <c r="BD111" s="154"/>
      <c r="BE111" s="738"/>
      <c r="BF111" s="738"/>
      <c r="BG111" s="738"/>
      <c r="BH111" s="738"/>
      <c r="BI111" s="738"/>
      <c r="BJ111" s="738"/>
      <c r="BK111" s="154"/>
      <c r="BL111" s="154"/>
      <c r="BM111" s="154"/>
      <c r="BN111" s="154"/>
      <c r="BO111" s="154"/>
      <c r="BP111" s="154"/>
      <c r="BQ111" s="154"/>
      <c r="BR111" s="154"/>
      <c r="BS111" s="154"/>
      <c r="BT111" s="154"/>
      <c r="BU111" s="154"/>
      <c r="BV111" s="154"/>
      <c r="BW111" s="154"/>
      <c r="BX111" s="154"/>
    </row>
    <row r="112" ht="15.75" customHeight="1">
      <c r="A112" s="721" t="s">
        <v>3774</v>
      </c>
      <c r="B112" s="760" t="s">
        <v>146</v>
      </c>
      <c r="C112" s="252" t="s">
        <v>3776</v>
      </c>
      <c r="D112" s="254" t="s">
        <v>3776</v>
      </c>
      <c r="E112" s="738"/>
      <c r="F112" s="738"/>
      <c r="G112" s="738"/>
      <c r="H112" s="175"/>
      <c r="I112" s="733"/>
      <c r="J112" s="738"/>
      <c r="K112" s="738"/>
      <c r="L112" s="738"/>
      <c r="M112" s="731"/>
      <c r="N112" s="738"/>
      <c r="O112" s="738"/>
      <c r="P112" s="738"/>
      <c r="Q112" s="738"/>
      <c r="R112" s="740"/>
      <c r="S112" s="738"/>
      <c r="T112" s="738"/>
      <c r="U112" s="738"/>
      <c r="V112" s="738"/>
      <c r="W112" s="738"/>
      <c r="X112" s="738"/>
      <c r="Y112" s="738"/>
      <c r="Z112" s="738"/>
      <c r="AA112" s="738"/>
      <c r="AB112" s="738"/>
      <c r="AC112" s="738"/>
      <c r="AD112" s="738"/>
      <c r="AE112" s="738"/>
      <c r="AF112" s="738"/>
      <c r="AG112" s="738"/>
      <c r="AH112" s="738"/>
      <c r="AI112" s="738"/>
      <c r="AJ112" s="731"/>
      <c r="AK112" s="738"/>
      <c r="AL112" s="738"/>
      <c r="AM112" s="738"/>
      <c r="AN112" s="733"/>
      <c r="AO112" s="738"/>
      <c r="AP112" s="738"/>
      <c r="AQ112" s="731"/>
      <c r="AR112" s="738"/>
      <c r="AS112" s="738"/>
      <c r="AT112" s="738"/>
      <c r="AU112" s="733"/>
      <c r="AV112" s="738"/>
      <c r="AW112" s="731"/>
      <c r="AX112" s="738"/>
      <c r="AY112" s="738"/>
      <c r="AZ112" s="738"/>
      <c r="BA112" s="738"/>
      <c r="BB112" s="738"/>
      <c r="BC112" s="738"/>
      <c r="BD112" s="731"/>
      <c r="BE112" s="738"/>
      <c r="BF112" s="738"/>
      <c r="BG112" s="738"/>
      <c r="BH112" s="738"/>
      <c r="BI112" s="738"/>
      <c r="BJ112" s="738"/>
      <c r="BK112" s="731"/>
      <c r="BL112" s="731"/>
      <c r="BM112" s="731"/>
      <c r="BN112" s="731"/>
      <c r="BO112" s="731"/>
      <c r="BP112" s="731"/>
      <c r="BQ112" s="731"/>
      <c r="BR112" s="731"/>
      <c r="BS112" s="731"/>
      <c r="BT112" s="731"/>
      <c r="BU112" s="731"/>
      <c r="BV112" s="731"/>
      <c r="BW112" s="731"/>
      <c r="BX112" s="731"/>
    </row>
    <row r="113" ht="15.75" customHeight="1">
      <c r="A113" s="721" t="s">
        <v>2988</v>
      </c>
      <c r="B113" s="744" t="s">
        <v>1517</v>
      </c>
      <c r="C113" s="725" t="str">
        <f>HYPERLINK("https://youtu.be/v1WXz9d1jVU","1:11.53")</f>
        <v>1:11.53</v>
      </c>
      <c r="D113" s="764"/>
      <c r="E113" s="738"/>
      <c r="F113" s="738"/>
      <c r="G113" s="738"/>
      <c r="H113" s="175"/>
      <c r="I113" s="733"/>
      <c r="J113" s="738"/>
      <c r="K113" s="738"/>
      <c r="L113" s="738"/>
      <c r="M113" s="731"/>
      <c r="N113" s="738"/>
      <c r="O113" s="738"/>
      <c r="P113" s="728" t="str">
        <f>HYPERLINK("https://youtu.be/v1WXz9d1jVU","1:11.53")</f>
        <v>1:11.53</v>
      </c>
      <c r="Q113" s="738"/>
      <c r="R113" s="740"/>
      <c r="S113" s="738"/>
      <c r="T113" s="738"/>
      <c r="U113" s="738"/>
      <c r="V113" s="738"/>
      <c r="W113" s="738"/>
      <c r="X113" s="738"/>
      <c r="Y113" s="738"/>
      <c r="Z113" s="738"/>
      <c r="AA113" s="738"/>
      <c r="AB113" s="738"/>
      <c r="AC113" s="738"/>
      <c r="AD113" s="738"/>
      <c r="AE113" s="738"/>
      <c r="AF113" s="738"/>
      <c r="AG113" s="738"/>
      <c r="AH113" s="738"/>
      <c r="AI113" s="738"/>
      <c r="AJ113" s="731"/>
      <c r="AK113" s="738"/>
      <c r="AL113" s="738"/>
      <c r="AM113" s="738"/>
      <c r="AN113" s="733"/>
      <c r="AO113" s="738"/>
      <c r="AP113" s="738"/>
      <c r="AQ113" s="731"/>
      <c r="AR113" s="738"/>
      <c r="AS113" s="738"/>
      <c r="AT113" s="738"/>
      <c r="AU113" s="733"/>
      <c r="AV113" s="738"/>
      <c r="AW113" s="731"/>
      <c r="AX113" s="738"/>
      <c r="AY113" s="738"/>
      <c r="AZ113" s="738"/>
      <c r="BA113" s="738"/>
      <c r="BB113" s="738"/>
      <c r="BC113" s="738"/>
      <c r="BD113" s="731"/>
      <c r="BE113" s="738"/>
      <c r="BF113" s="738"/>
      <c r="BG113" s="738"/>
      <c r="BH113" s="738"/>
      <c r="BI113" s="738"/>
      <c r="BJ113" s="738"/>
      <c r="BK113" s="731"/>
      <c r="BL113" s="731"/>
      <c r="BM113" s="731"/>
      <c r="BN113" s="731"/>
      <c r="BO113" s="731"/>
      <c r="BP113" s="731"/>
      <c r="BQ113" s="731"/>
      <c r="BR113" s="731"/>
      <c r="BS113" s="731"/>
      <c r="BT113" s="731"/>
      <c r="BU113" s="731"/>
      <c r="BV113" s="731"/>
      <c r="BW113" s="731"/>
      <c r="BX113" s="731"/>
    </row>
    <row r="114" ht="15.75" customHeight="1">
      <c r="A114" s="767"/>
      <c r="B114" s="748" t="s">
        <v>3797</v>
      </c>
      <c r="C114" s="725" t="s">
        <v>190</v>
      </c>
      <c r="D114" s="90" t="s">
        <v>3798</v>
      </c>
      <c r="E114" s="131" t="s">
        <v>3800</v>
      </c>
      <c r="F114" s="738"/>
      <c r="G114" s="738"/>
      <c r="H114" s="112" t="s">
        <v>3801</v>
      </c>
      <c r="I114" s="365" t="s">
        <v>1571</v>
      </c>
      <c r="J114" s="738" t="s">
        <v>3805</v>
      </c>
      <c r="K114" s="728" t="s">
        <v>190</v>
      </c>
      <c r="L114" s="738" t="s">
        <v>388</v>
      </c>
      <c r="M114" s="154"/>
      <c r="N114" s="728" t="s">
        <v>3807</v>
      </c>
      <c r="O114" s="738"/>
      <c r="P114" s="738"/>
      <c r="Q114" s="738"/>
      <c r="R114" s="740"/>
      <c r="S114" s="738"/>
      <c r="T114" s="738"/>
      <c r="U114" s="738"/>
      <c r="V114" s="738"/>
      <c r="W114" s="738"/>
      <c r="X114" s="738"/>
      <c r="Y114" s="738"/>
      <c r="Z114" s="738"/>
      <c r="AA114" s="738"/>
      <c r="AB114" s="738"/>
      <c r="AC114" s="738"/>
      <c r="AD114" s="738"/>
      <c r="AE114" s="738"/>
      <c r="AF114" s="738"/>
      <c r="AG114" s="738"/>
      <c r="AH114" s="738"/>
      <c r="AI114" s="738"/>
      <c r="AJ114" s="154"/>
      <c r="AK114" s="738"/>
      <c r="AL114" s="738"/>
      <c r="AM114" s="738"/>
      <c r="AN114" s="733"/>
      <c r="AO114" s="738"/>
      <c r="AP114" s="738"/>
      <c r="AQ114" s="154"/>
      <c r="AR114" s="738"/>
      <c r="AS114" s="738"/>
      <c r="AT114" s="738"/>
      <c r="AU114" s="733"/>
      <c r="AV114" s="738"/>
      <c r="AW114" s="154"/>
      <c r="AX114" s="738"/>
      <c r="AY114" s="738"/>
      <c r="AZ114" s="738"/>
      <c r="BA114" s="738"/>
      <c r="BB114" s="738"/>
      <c r="BC114" s="738"/>
      <c r="BD114" s="154"/>
      <c r="BE114" s="738"/>
      <c r="BF114" s="738"/>
      <c r="BG114" s="738"/>
      <c r="BH114" s="738"/>
      <c r="BI114" s="738"/>
      <c r="BJ114" s="738"/>
      <c r="BK114" s="154"/>
      <c r="BL114" s="154"/>
      <c r="BM114" s="154"/>
      <c r="BN114" s="154"/>
      <c r="BO114" s="154"/>
      <c r="BP114" s="154"/>
      <c r="BQ114" s="154"/>
      <c r="BR114" s="154"/>
      <c r="BS114" s="154"/>
      <c r="BT114" s="154"/>
      <c r="BU114" s="154"/>
      <c r="BV114" s="154"/>
      <c r="BW114" s="154"/>
      <c r="BX114" s="154"/>
    </row>
    <row r="115" ht="15.75" customHeight="1">
      <c r="A115" s="721" t="s">
        <v>1423</v>
      </c>
      <c r="B115" s="744" t="s">
        <v>3822</v>
      </c>
      <c r="C115" s="725" t="s">
        <v>1594</v>
      </c>
      <c r="D115" s="769" t="s">
        <v>3827</v>
      </c>
      <c r="E115" s="738" t="s">
        <v>3831</v>
      </c>
      <c r="H115" s="175"/>
      <c r="I115" s="733"/>
      <c r="J115" s="728" t="str">
        <f>HYPERLINK("https://youtu.be/NIfI1hsvvFQ","19.73")</f>
        <v>19.73</v>
      </c>
      <c r="K115" s="728" t="s">
        <v>1594</v>
      </c>
      <c r="L115" s="728" t="s">
        <v>3833</v>
      </c>
      <c r="M115" s="771" t="s">
        <v>3835</v>
      </c>
      <c r="N115" s="728"/>
      <c r="O115" s="738" t="s">
        <v>283</v>
      </c>
      <c r="P115" s="728" t="str">
        <f>HYPERLINK("https://youtu.be/vlD8b3WQME8","20.08")</f>
        <v>20.08</v>
      </c>
      <c r="Q115" s="728"/>
      <c r="R115" s="732" t="s">
        <v>3845</v>
      </c>
      <c r="S115" s="728"/>
      <c r="T115" s="728"/>
      <c r="U115" s="728" t="s">
        <v>3607</v>
      </c>
      <c r="V115" s="728"/>
      <c r="W115" s="728"/>
      <c r="X115" s="728"/>
      <c r="Y115" s="728"/>
      <c r="Z115" s="728"/>
      <c r="AA115" s="728"/>
      <c r="AB115" s="728"/>
      <c r="AC115" s="728"/>
      <c r="AD115" s="728"/>
      <c r="AE115" s="728"/>
      <c r="AF115" s="728"/>
      <c r="AG115" s="728"/>
      <c r="AH115" s="728"/>
      <c r="AI115" s="728"/>
      <c r="AJ115" s="731"/>
      <c r="AK115" s="728"/>
      <c r="AL115" s="728"/>
      <c r="AM115" s="728"/>
      <c r="AN115" s="733"/>
      <c r="AO115" s="728"/>
      <c r="AP115" s="728"/>
      <c r="AQ115" s="731"/>
      <c r="AR115" s="728"/>
      <c r="AS115" s="728"/>
      <c r="AT115" s="728"/>
      <c r="AU115" s="733"/>
      <c r="AV115" s="728"/>
      <c r="AW115" s="731"/>
      <c r="AX115" s="728"/>
      <c r="AY115" s="728"/>
      <c r="AZ115" s="728"/>
      <c r="BA115" s="728"/>
      <c r="BB115" s="728"/>
      <c r="BC115" s="728"/>
      <c r="BD115" s="731"/>
      <c r="BE115" s="728"/>
      <c r="BF115" s="728"/>
      <c r="BG115" s="728"/>
      <c r="BH115" s="728"/>
      <c r="BI115" s="728"/>
      <c r="BJ115" s="728"/>
      <c r="BK115" s="731"/>
      <c r="BL115" s="731"/>
      <c r="BM115" s="731"/>
      <c r="BN115" s="731"/>
      <c r="BO115" s="731"/>
      <c r="BP115" s="731"/>
      <c r="BQ115" s="773" t="s">
        <v>3767</v>
      </c>
      <c r="BR115" s="731"/>
      <c r="BS115" s="731"/>
      <c r="BT115" s="731"/>
      <c r="BU115" s="731"/>
      <c r="BV115" s="731"/>
      <c r="BW115" s="731"/>
      <c r="BX115" s="731"/>
    </row>
    <row r="116" ht="15.75" customHeight="1">
      <c r="A116" s="767"/>
      <c r="B116" s="748" t="s">
        <v>3853</v>
      </c>
      <c r="C116" s="776" t="s">
        <v>2209</v>
      </c>
      <c r="D116" s="769" t="s">
        <v>2209</v>
      </c>
      <c r="E116" s="728"/>
      <c r="F116" s="728" t="s">
        <v>3607</v>
      </c>
      <c r="G116" s="728" t="s">
        <v>3607</v>
      </c>
      <c r="H116" s="175"/>
      <c r="I116" s="733"/>
      <c r="J116" s="728"/>
      <c r="K116" s="728"/>
      <c r="L116" s="728"/>
      <c r="M116" s="731"/>
      <c r="N116" s="728"/>
      <c r="O116" s="728"/>
      <c r="Q116" s="728"/>
      <c r="R116" s="732"/>
      <c r="S116" s="728"/>
      <c r="T116" s="728"/>
      <c r="U116" s="728"/>
      <c r="V116" s="728"/>
      <c r="W116" s="728"/>
      <c r="X116" s="728"/>
      <c r="Y116" s="728"/>
      <c r="Z116" s="728"/>
      <c r="AA116" s="728"/>
      <c r="AB116" s="728"/>
      <c r="AC116" s="728"/>
      <c r="AD116" s="728"/>
      <c r="AE116" s="728"/>
      <c r="AF116" s="728"/>
      <c r="AG116" s="728"/>
      <c r="AH116" s="728"/>
      <c r="AI116" s="728"/>
      <c r="AJ116" s="731"/>
      <c r="AK116" s="728"/>
      <c r="AL116" s="728"/>
      <c r="AM116" s="728"/>
      <c r="AN116" s="733"/>
      <c r="AO116" s="728"/>
      <c r="AP116" s="728"/>
      <c r="AQ116" s="731"/>
      <c r="AR116" s="728"/>
      <c r="AS116" s="728"/>
      <c r="AT116" s="728"/>
      <c r="AU116" s="733"/>
      <c r="AV116" s="728"/>
      <c r="AW116" s="731"/>
      <c r="AX116" s="728"/>
      <c r="AY116" s="728"/>
      <c r="AZ116" s="728"/>
      <c r="BA116" s="728"/>
      <c r="BB116" s="728"/>
      <c r="BC116" s="728"/>
      <c r="BD116" s="731"/>
      <c r="BE116" s="728"/>
      <c r="BF116" s="728"/>
      <c r="BG116" s="728"/>
      <c r="BH116" s="728"/>
      <c r="BI116" s="728"/>
      <c r="BJ116" s="728"/>
      <c r="BK116" s="731"/>
      <c r="BL116" s="731"/>
      <c r="BM116" s="731"/>
      <c r="BN116" s="731"/>
      <c r="BO116" s="731"/>
      <c r="BP116" s="731"/>
      <c r="BQ116" s="773" t="s">
        <v>3878</v>
      </c>
      <c r="BR116" s="731"/>
      <c r="BS116" s="731"/>
      <c r="BT116" s="731"/>
      <c r="BU116" s="731"/>
      <c r="BV116" s="731"/>
      <c r="BW116" s="731"/>
      <c r="BX116" s="731"/>
    </row>
    <row r="117" ht="15.75" customHeight="1">
      <c r="A117" s="778"/>
      <c r="B117" s="779" t="s">
        <v>1455</v>
      </c>
      <c r="C117" s="725" t="s">
        <v>1602</v>
      </c>
      <c r="D117" s="272" t="s">
        <v>2582</v>
      </c>
      <c r="E117" s="144" t="s">
        <v>3561</v>
      </c>
      <c r="F117" s="728" t="s">
        <v>2660</v>
      </c>
      <c r="G117" s="728" t="s">
        <v>1602</v>
      </c>
      <c r="H117" s="112" t="s">
        <v>3886</v>
      </c>
      <c r="I117" s="729" t="s">
        <v>3887</v>
      </c>
      <c r="J117" s="728"/>
      <c r="K117" s="728" t="s">
        <v>3888</v>
      </c>
      <c r="L117" s="728" t="s">
        <v>3888</v>
      </c>
      <c r="M117" s="154"/>
      <c r="N117" s="728" t="s">
        <v>2660</v>
      </c>
      <c r="O117" s="728" t="s">
        <v>529</v>
      </c>
      <c r="P117" s="728"/>
      <c r="Q117" s="728" t="s">
        <v>2258</v>
      </c>
      <c r="R117" s="732"/>
      <c r="S117" s="728"/>
      <c r="T117" s="728"/>
      <c r="U117" s="728"/>
      <c r="V117" s="728"/>
      <c r="W117" s="728"/>
      <c r="X117" s="728"/>
      <c r="Y117" s="728"/>
      <c r="Z117" s="728"/>
      <c r="AA117" s="728"/>
      <c r="AB117" s="728"/>
      <c r="AC117" s="728"/>
      <c r="AD117" s="728"/>
      <c r="AE117" s="728"/>
      <c r="AF117" s="728"/>
      <c r="AG117" s="728"/>
      <c r="AH117" s="728"/>
      <c r="AI117" s="728"/>
      <c r="AJ117" s="154"/>
      <c r="AK117" s="728" t="s">
        <v>1602</v>
      </c>
      <c r="AL117" s="728"/>
      <c r="AM117" s="728"/>
      <c r="AN117" s="733"/>
      <c r="AO117" s="728"/>
      <c r="AP117" s="728"/>
      <c r="AQ117" s="154"/>
      <c r="AR117" s="728"/>
      <c r="AS117" s="728"/>
      <c r="AT117" s="728"/>
      <c r="AU117" s="733"/>
      <c r="AV117" s="728"/>
      <c r="AW117" s="154"/>
      <c r="AX117" s="728"/>
      <c r="AY117" s="728"/>
      <c r="AZ117" s="728"/>
      <c r="BA117" s="728"/>
      <c r="BB117" s="728"/>
      <c r="BC117" s="728"/>
      <c r="BD117" s="154"/>
      <c r="BE117" s="728"/>
      <c r="BF117" s="728"/>
      <c r="BG117" s="728"/>
      <c r="BH117" s="728"/>
      <c r="BI117" s="728"/>
      <c r="BJ117" s="728"/>
      <c r="BK117" s="154"/>
      <c r="BL117" s="154"/>
      <c r="BM117" s="154"/>
      <c r="BN117" s="154"/>
      <c r="BO117" s="154"/>
      <c r="BP117" s="154"/>
      <c r="BQ117" s="157" t="s">
        <v>3895</v>
      </c>
      <c r="BR117" s="154"/>
      <c r="BS117" s="154"/>
      <c r="BT117" s="154"/>
      <c r="BU117" s="154"/>
      <c r="BV117" s="154"/>
      <c r="BW117" s="154"/>
      <c r="BX117" s="154"/>
    </row>
    <row r="118" ht="15.75" customHeight="1">
      <c r="A118" s="721" t="s">
        <v>1494</v>
      </c>
      <c r="B118" s="744" t="s">
        <v>3896</v>
      </c>
      <c r="C118" s="725" t="s">
        <v>3897</v>
      </c>
      <c r="D118" s="764"/>
      <c r="E118" s="738"/>
      <c r="F118" s="738"/>
      <c r="G118" s="738"/>
      <c r="H118" s="112" t="s">
        <v>3898</v>
      </c>
      <c r="I118" s="733"/>
      <c r="J118" s="738"/>
      <c r="K118" s="738"/>
      <c r="L118" s="728" t="s">
        <v>3899</v>
      </c>
      <c r="M118" s="771" t="s">
        <v>3902</v>
      </c>
      <c r="N118" s="738"/>
      <c r="O118" s="738"/>
      <c r="P118" s="738" t="s">
        <v>3904</v>
      </c>
      <c r="Q118" s="738"/>
      <c r="R118" s="740"/>
      <c r="S118" s="738"/>
      <c r="T118" s="738"/>
      <c r="U118" s="738"/>
      <c r="V118" s="738"/>
      <c r="W118" s="738"/>
      <c r="X118" s="738"/>
      <c r="Y118" s="738"/>
      <c r="Z118" s="738"/>
      <c r="AA118" s="738"/>
      <c r="AB118" s="738"/>
      <c r="AC118" s="738"/>
      <c r="AD118" s="738"/>
      <c r="AE118" s="738"/>
      <c r="AF118" s="738"/>
      <c r="AG118" s="738"/>
      <c r="AH118" s="738"/>
      <c r="AI118" s="738"/>
      <c r="AJ118" s="731"/>
      <c r="AK118" s="738"/>
      <c r="AL118" s="738"/>
      <c r="AM118" s="738"/>
      <c r="AN118" s="365" t="s">
        <v>3906</v>
      </c>
      <c r="AO118" s="738"/>
      <c r="AP118" s="738"/>
      <c r="AQ118" s="731"/>
      <c r="AR118" s="738"/>
      <c r="AS118" s="738"/>
      <c r="AT118" s="738" t="s">
        <v>3909</v>
      </c>
      <c r="AU118" s="733"/>
      <c r="AV118" s="738"/>
      <c r="AW118" s="773" t="s">
        <v>3913</v>
      </c>
      <c r="AX118" s="738"/>
      <c r="AY118" s="738"/>
      <c r="AZ118" s="738"/>
      <c r="BA118" s="738"/>
      <c r="BB118" s="738"/>
      <c r="BC118" s="738"/>
      <c r="BD118" s="731"/>
      <c r="BE118" s="738"/>
      <c r="BF118" s="738"/>
      <c r="BG118" s="738"/>
      <c r="BH118" s="738"/>
      <c r="BI118" s="738"/>
      <c r="BJ118" s="738"/>
      <c r="BK118" s="773" t="s">
        <v>3916</v>
      </c>
      <c r="BL118" s="731"/>
      <c r="BM118" s="731"/>
      <c r="BN118" s="731"/>
      <c r="BO118" s="731"/>
      <c r="BP118" s="731"/>
      <c r="BQ118" s="731"/>
      <c r="BR118" s="731"/>
      <c r="BS118" s="731"/>
      <c r="BT118" s="731"/>
      <c r="BU118" s="731"/>
      <c r="BV118" s="731"/>
      <c r="BW118" s="731"/>
      <c r="BX118" s="731"/>
    </row>
    <row r="119" ht="15.75" customHeight="1">
      <c r="A119" s="767"/>
      <c r="B119" s="748" t="s">
        <v>3924</v>
      </c>
      <c r="C119" s="725" t="s">
        <v>3715</v>
      </c>
      <c r="D119" s="173"/>
      <c r="E119" s="738" t="s">
        <v>3925</v>
      </c>
      <c r="F119" s="738"/>
      <c r="G119" s="738"/>
      <c r="H119" s="112" t="s">
        <v>3465</v>
      </c>
      <c r="I119" s="733"/>
      <c r="J119" s="738"/>
      <c r="K119" s="728" t="s">
        <v>518</v>
      </c>
      <c r="L119" s="738" t="s">
        <v>438</v>
      </c>
      <c r="M119" s="154"/>
      <c r="N119" s="738" t="s">
        <v>865</v>
      </c>
      <c r="O119" s="738"/>
      <c r="P119" s="738"/>
      <c r="Q119" s="738"/>
      <c r="R119" s="740" t="s">
        <v>3931</v>
      </c>
      <c r="S119" s="738" t="s">
        <v>3932</v>
      </c>
      <c r="T119" s="738" t="s">
        <v>3725</v>
      </c>
      <c r="U119" s="738" t="s">
        <v>2244</v>
      </c>
      <c r="V119" s="738"/>
      <c r="W119" s="738"/>
      <c r="X119" s="738" t="s">
        <v>3936</v>
      </c>
      <c r="Y119" s="738"/>
      <c r="Z119" s="738"/>
      <c r="AA119" s="738"/>
      <c r="AB119" s="738"/>
      <c r="AC119" s="742" t="s">
        <v>3005</v>
      </c>
      <c r="AD119" s="738"/>
      <c r="AE119" s="738"/>
      <c r="AF119" s="738"/>
      <c r="AG119" s="738"/>
      <c r="AH119" s="738"/>
      <c r="AI119" s="738"/>
      <c r="AJ119" s="154"/>
      <c r="AK119" s="738"/>
      <c r="AL119" s="738"/>
      <c r="AM119" s="738"/>
      <c r="AN119" s="733"/>
      <c r="AO119" s="738"/>
      <c r="AP119" s="738"/>
      <c r="AQ119" s="154"/>
      <c r="AR119" s="738"/>
      <c r="AS119" s="738"/>
      <c r="AT119" s="738"/>
      <c r="AU119" s="733"/>
      <c r="AV119" s="738"/>
      <c r="AW119" s="154"/>
      <c r="AX119" s="738"/>
      <c r="AY119" s="738"/>
      <c r="AZ119" s="738"/>
      <c r="BA119" s="738"/>
      <c r="BB119" s="738"/>
      <c r="BC119" s="738"/>
      <c r="BD119" s="154"/>
      <c r="BE119" s="738"/>
      <c r="BF119" s="738"/>
      <c r="BG119" s="738"/>
      <c r="BH119" s="738"/>
      <c r="BI119" s="738"/>
      <c r="BJ119" s="738"/>
      <c r="BK119" s="154"/>
      <c r="BL119" s="154"/>
      <c r="BM119" s="154"/>
      <c r="BN119" s="154"/>
      <c r="BO119" s="154"/>
      <c r="BP119" s="154"/>
      <c r="BQ119" s="154"/>
      <c r="BR119" s="154"/>
      <c r="BS119" s="154"/>
      <c r="BT119" s="154"/>
      <c r="BU119" s="154"/>
      <c r="BV119" s="154"/>
      <c r="BW119" s="154"/>
      <c r="BX119" s="154"/>
    </row>
    <row r="120" ht="15.75" customHeight="1">
      <c r="A120" s="778"/>
      <c r="B120" s="779" t="s">
        <v>3939</v>
      </c>
      <c r="C120" s="725" t="s">
        <v>3940</v>
      </c>
      <c r="D120" s="254" t="s">
        <v>3944</v>
      </c>
      <c r="E120" s="144" t="s">
        <v>3946</v>
      </c>
      <c r="F120" s="728" t="s">
        <v>3940</v>
      </c>
      <c r="G120" s="738" t="s">
        <v>1901</v>
      </c>
      <c r="H120" s="175"/>
      <c r="I120" s="733"/>
      <c r="J120" s="728" t="s">
        <v>724</v>
      </c>
      <c r="K120" s="728" t="s">
        <v>3949</v>
      </c>
      <c r="L120" s="728" t="s">
        <v>2244</v>
      </c>
      <c r="M120" s="731"/>
      <c r="N120" s="728"/>
      <c r="O120" s="728" t="s">
        <v>3216</v>
      </c>
      <c r="P120" s="728"/>
      <c r="Q120" s="728" t="s">
        <v>3954</v>
      </c>
      <c r="R120" s="732" t="s">
        <v>3956</v>
      </c>
      <c r="S120" s="728" t="s">
        <v>3957</v>
      </c>
      <c r="T120" s="728"/>
      <c r="U120" s="728" t="s">
        <v>3958</v>
      </c>
      <c r="V120" s="728"/>
      <c r="W120" s="728" t="s">
        <v>355</v>
      </c>
      <c r="X120" s="728"/>
      <c r="Y120" s="728"/>
      <c r="Z120" s="728"/>
      <c r="AA120" s="728"/>
      <c r="AB120" s="728"/>
      <c r="AC120" s="728"/>
      <c r="AD120" s="728"/>
      <c r="AE120" s="728"/>
      <c r="AF120" s="728"/>
      <c r="AG120" s="728"/>
      <c r="AH120" s="728"/>
      <c r="AI120" s="728"/>
      <c r="AJ120" s="731"/>
      <c r="AK120" s="728"/>
      <c r="AL120" s="728"/>
      <c r="AM120" s="728"/>
      <c r="AN120" s="733"/>
      <c r="AO120" s="728"/>
      <c r="AP120" s="728"/>
      <c r="AQ120" s="731"/>
      <c r="AR120" s="728"/>
      <c r="AS120" s="728"/>
      <c r="AT120" s="728"/>
      <c r="AU120" s="733"/>
      <c r="AV120" s="728"/>
      <c r="AW120" s="731"/>
      <c r="AX120" s="728"/>
      <c r="AY120" s="728"/>
      <c r="AZ120" s="728"/>
      <c r="BA120" s="728"/>
      <c r="BB120" s="728"/>
      <c r="BC120" s="728"/>
      <c r="BD120" s="731"/>
      <c r="BE120" s="728"/>
      <c r="BF120" s="728"/>
      <c r="BG120" s="728"/>
      <c r="BH120" s="728"/>
      <c r="BI120" s="728"/>
      <c r="BJ120" s="728"/>
      <c r="BK120" s="731"/>
      <c r="BL120" s="731"/>
      <c r="BM120" s="731"/>
      <c r="BN120" s="731"/>
      <c r="BO120" s="731"/>
      <c r="BP120" s="731"/>
      <c r="BQ120" s="731"/>
      <c r="BR120" s="731"/>
      <c r="BS120" s="731"/>
      <c r="BT120" s="731"/>
      <c r="BU120" s="731"/>
      <c r="BV120" s="731"/>
      <c r="BW120" s="731"/>
      <c r="BX120" s="731"/>
    </row>
    <row r="121" ht="15.75" customHeight="1">
      <c r="A121" s="767"/>
      <c r="B121" s="748" t="s">
        <v>3966</v>
      </c>
      <c r="C121" s="725" t="s">
        <v>3967</v>
      </c>
      <c r="D121" s="90" t="s">
        <v>3969</v>
      </c>
      <c r="E121" s="738"/>
      <c r="F121" s="738"/>
      <c r="G121" s="738"/>
      <c r="H121" s="175"/>
      <c r="I121" s="733"/>
      <c r="J121" s="738"/>
      <c r="K121" s="738"/>
      <c r="L121" s="738"/>
      <c r="M121" s="154"/>
      <c r="N121" s="738"/>
      <c r="O121" s="738"/>
      <c r="P121" s="738"/>
      <c r="Q121" s="738"/>
      <c r="R121" s="740"/>
      <c r="S121" s="738"/>
      <c r="T121" s="738"/>
      <c r="U121" s="738"/>
      <c r="V121" s="738" t="s">
        <v>3976</v>
      </c>
      <c r="W121" s="738"/>
      <c r="X121" s="738"/>
      <c r="Y121" s="738"/>
      <c r="Z121" s="738"/>
      <c r="AA121" s="738"/>
      <c r="AB121" s="738"/>
      <c r="AC121" s="738"/>
      <c r="AD121" s="738"/>
      <c r="AE121" s="738"/>
      <c r="AF121" s="738"/>
      <c r="AG121" s="738"/>
      <c r="AH121" s="738"/>
      <c r="AI121" s="738"/>
      <c r="AJ121" s="154"/>
      <c r="AK121" s="738"/>
      <c r="AL121" s="738"/>
      <c r="AM121" s="738"/>
      <c r="AN121" s="733"/>
      <c r="AO121" s="738"/>
      <c r="AP121" s="738"/>
      <c r="AQ121" s="154"/>
      <c r="AR121" s="738"/>
      <c r="AS121" s="738"/>
      <c r="AT121" s="738"/>
      <c r="AU121" s="733"/>
      <c r="AV121" s="738"/>
      <c r="AW121" s="154"/>
      <c r="AX121" s="738"/>
      <c r="AY121" s="738"/>
      <c r="AZ121" s="738"/>
      <c r="BA121" s="738"/>
      <c r="BB121" s="738"/>
      <c r="BC121" s="738"/>
      <c r="BD121" s="154"/>
      <c r="BE121" s="738"/>
      <c r="BF121" s="738"/>
      <c r="BG121" s="738"/>
      <c r="BH121" s="738"/>
      <c r="BI121" s="738"/>
      <c r="BJ121" s="738"/>
      <c r="BK121" s="154"/>
      <c r="BL121" s="154"/>
      <c r="BM121" s="154"/>
      <c r="BN121" s="154"/>
      <c r="BO121" s="154"/>
      <c r="BP121" s="154"/>
      <c r="BQ121" s="154"/>
      <c r="BR121" s="154"/>
      <c r="BS121" s="154"/>
      <c r="BT121" s="154"/>
      <c r="BU121" s="154"/>
      <c r="BV121" s="154"/>
      <c r="BW121" s="154"/>
      <c r="BX121" s="154"/>
    </row>
    <row r="122" ht="15.75" customHeight="1">
      <c r="A122" s="721" t="s">
        <v>3980</v>
      </c>
      <c r="B122" s="760" t="s">
        <v>1517</v>
      </c>
      <c r="C122" s="725" t="s">
        <v>3908</v>
      </c>
      <c r="D122" s="788" t="s">
        <v>3981</v>
      </c>
      <c r="E122" s="131" t="s">
        <v>3985</v>
      </c>
      <c r="F122" s="738"/>
      <c r="G122" s="738" t="s">
        <v>3987</v>
      </c>
      <c r="H122" s="175"/>
      <c r="I122" s="729" t="s">
        <v>3981</v>
      </c>
      <c r="J122" s="738" t="s">
        <v>3990</v>
      </c>
      <c r="K122" s="738"/>
      <c r="L122" s="738" t="s">
        <v>3991</v>
      </c>
      <c r="M122" s="154"/>
      <c r="N122" s="728" t="s">
        <v>3908</v>
      </c>
      <c r="O122" s="738"/>
      <c r="P122" s="738"/>
      <c r="Q122" s="738"/>
      <c r="R122" s="740"/>
      <c r="S122" s="738"/>
      <c r="T122" s="738"/>
      <c r="U122" s="738"/>
      <c r="V122" s="738"/>
      <c r="W122" s="738"/>
      <c r="X122" s="738"/>
      <c r="Y122" s="738"/>
      <c r="Z122" s="738"/>
      <c r="AA122" s="738"/>
      <c r="AB122" s="738"/>
      <c r="AC122" s="738"/>
      <c r="AD122" s="738"/>
      <c r="AE122" s="738"/>
      <c r="AF122" s="738"/>
      <c r="AG122" s="738"/>
      <c r="AH122" s="738"/>
      <c r="AI122" s="738"/>
      <c r="AJ122" s="154"/>
      <c r="AK122" s="738" t="s">
        <v>3576</v>
      </c>
      <c r="AL122" s="738"/>
      <c r="AM122" s="738"/>
      <c r="AN122" s="733"/>
      <c r="AO122" s="738"/>
      <c r="AP122" s="738" t="s">
        <v>3996</v>
      </c>
      <c r="AQ122" s="154"/>
      <c r="AR122" s="738"/>
      <c r="AS122" s="738"/>
      <c r="AT122" s="738"/>
      <c r="AU122" s="733"/>
      <c r="AV122" s="738"/>
      <c r="AW122" s="154"/>
      <c r="AX122" s="738"/>
      <c r="AY122" s="738"/>
      <c r="AZ122" s="738"/>
      <c r="BA122" s="738"/>
      <c r="BB122" s="738"/>
      <c r="BC122" s="738"/>
      <c r="BD122" s="154"/>
      <c r="BE122" s="738"/>
      <c r="BF122" s="738"/>
      <c r="BG122" s="738"/>
      <c r="BH122" s="738"/>
      <c r="BI122" s="738"/>
      <c r="BJ122" s="738"/>
      <c r="BK122" s="154"/>
      <c r="BL122" s="154"/>
      <c r="BM122" s="154"/>
      <c r="BN122" s="154"/>
      <c r="BO122" s="154"/>
      <c r="BP122" s="154"/>
      <c r="BQ122" s="154"/>
      <c r="BR122" s="154"/>
      <c r="BS122" s="154"/>
      <c r="BT122" s="154"/>
      <c r="BU122" s="154"/>
      <c r="BV122" s="154"/>
      <c r="BW122" s="154"/>
      <c r="BX122" s="154"/>
    </row>
    <row r="123" ht="15.75" customHeight="1">
      <c r="A123" s="735" t="s">
        <v>3470</v>
      </c>
      <c r="B123" s="736" t="s">
        <v>1517</v>
      </c>
      <c r="C123" s="776" t="s">
        <v>4008</v>
      </c>
      <c r="D123" s="788" t="s">
        <v>4008</v>
      </c>
      <c r="E123" s="498" t="s">
        <v>4010</v>
      </c>
      <c r="F123" s="738"/>
      <c r="G123" s="738"/>
      <c r="H123" s="175"/>
      <c r="I123" s="729" t="s">
        <v>4011</v>
      </c>
      <c r="J123" s="738"/>
      <c r="K123" s="738"/>
      <c r="L123" s="738"/>
      <c r="M123" s="154"/>
      <c r="N123" s="738"/>
      <c r="O123" s="738"/>
      <c r="P123" s="738"/>
      <c r="Q123" s="738"/>
      <c r="R123" s="740"/>
      <c r="S123" s="738"/>
      <c r="T123" s="738"/>
      <c r="U123" s="738"/>
      <c r="V123" s="738"/>
      <c r="W123" s="738"/>
      <c r="X123" s="738"/>
      <c r="Y123" s="738"/>
      <c r="Z123" s="738"/>
      <c r="AA123" s="738"/>
      <c r="AB123" s="738"/>
      <c r="AC123" s="738"/>
      <c r="AD123" s="738"/>
      <c r="AE123" s="738"/>
      <c r="AF123" s="738"/>
      <c r="AG123" s="738"/>
      <c r="AH123" s="738"/>
      <c r="AI123" s="738"/>
      <c r="AJ123" s="154"/>
      <c r="AK123" s="738"/>
      <c r="AL123" s="738"/>
      <c r="AM123" s="738"/>
      <c r="AN123" s="733"/>
      <c r="AO123" s="738"/>
      <c r="AP123" s="738"/>
      <c r="AQ123" s="154"/>
      <c r="AR123" s="738"/>
      <c r="AS123" s="738"/>
      <c r="AT123" s="738"/>
      <c r="AU123" s="733"/>
      <c r="AV123" s="738"/>
      <c r="AW123" s="154"/>
      <c r="AX123" s="738"/>
      <c r="AY123" s="738"/>
      <c r="AZ123" s="738"/>
      <c r="BA123" s="738"/>
      <c r="BB123" s="738"/>
      <c r="BC123" s="738"/>
      <c r="BD123" s="154"/>
      <c r="BE123" s="738"/>
      <c r="BF123" s="738"/>
      <c r="BG123" s="738"/>
      <c r="BH123" s="738"/>
      <c r="BI123" s="738"/>
      <c r="BJ123" s="738"/>
      <c r="BK123" s="154"/>
      <c r="BL123" s="154"/>
      <c r="BM123" s="154"/>
      <c r="BN123" s="154"/>
      <c r="BO123" s="154"/>
      <c r="BP123" s="154"/>
      <c r="BQ123" s="154"/>
      <c r="BR123" s="154"/>
      <c r="BS123" s="154"/>
      <c r="BT123" s="154"/>
      <c r="BU123" s="154"/>
      <c r="BV123" s="154"/>
      <c r="BW123" s="154"/>
      <c r="BX123" s="154"/>
    </row>
    <row r="124" ht="15.75" customHeight="1">
      <c r="A124" s="721" t="s">
        <v>127</v>
      </c>
      <c r="B124" s="760" t="s">
        <v>146</v>
      </c>
      <c r="C124" s="725" t="s">
        <v>1402</v>
      </c>
      <c r="D124" s="90" t="s">
        <v>4014</v>
      </c>
      <c r="E124" s="131" t="s">
        <v>2301</v>
      </c>
      <c r="F124" s="738"/>
      <c r="G124" s="738"/>
      <c r="H124" s="112" t="s">
        <v>2722</v>
      </c>
      <c r="I124" s="365" t="s">
        <v>1548</v>
      </c>
      <c r="J124" s="728" t="str">
        <f>HYPERLINK("https://youtu.be/JiJPMQx9xwU","31.85")</f>
        <v>31.85</v>
      </c>
      <c r="K124" s="738"/>
      <c r="L124" s="738"/>
      <c r="M124" s="731"/>
      <c r="N124" s="738" t="s">
        <v>3467</v>
      </c>
      <c r="O124" s="738" t="s">
        <v>329</v>
      </c>
      <c r="P124" s="738"/>
      <c r="Q124" s="728" t="s">
        <v>489</v>
      </c>
      <c r="R124" s="740"/>
      <c r="S124" s="738"/>
      <c r="T124" s="738"/>
      <c r="U124" s="738"/>
      <c r="V124" s="738"/>
      <c r="W124" s="738"/>
      <c r="X124" s="738"/>
      <c r="Y124" s="738"/>
      <c r="Z124" s="738"/>
      <c r="AA124" s="738"/>
      <c r="AB124" s="738"/>
      <c r="AC124" s="738"/>
      <c r="AD124" s="738"/>
      <c r="AE124" s="738"/>
      <c r="AF124" s="738"/>
      <c r="AG124" s="738"/>
      <c r="AH124" s="738"/>
      <c r="AI124" s="738"/>
      <c r="AJ124" s="731"/>
      <c r="AK124" s="738"/>
      <c r="AL124" s="738"/>
      <c r="AM124" s="738"/>
      <c r="AN124" s="733"/>
      <c r="AO124" s="738"/>
      <c r="AP124" s="738"/>
      <c r="AQ124" s="731"/>
      <c r="AR124" s="738"/>
      <c r="AS124" s="738"/>
      <c r="AT124" s="738"/>
      <c r="AU124" s="733"/>
      <c r="AV124" s="738"/>
      <c r="AW124" s="731"/>
      <c r="AX124" s="738"/>
      <c r="AY124" s="738"/>
      <c r="AZ124" s="738"/>
      <c r="BA124" s="738"/>
      <c r="BB124" s="738"/>
      <c r="BC124" s="738"/>
      <c r="BD124" s="731"/>
      <c r="BE124" s="738"/>
      <c r="BF124" s="738"/>
      <c r="BG124" s="738"/>
      <c r="BH124" s="738"/>
      <c r="BI124" s="738"/>
      <c r="BJ124" s="738"/>
      <c r="BK124" s="731"/>
      <c r="BL124" s="731"/>
      <c r="BM124" s="731"/>
      <c r="BN124" s="731"/>
      <c r="BO124" s="731"/>
      <c r="BP124" s="731"/>
      <c r="BQ124" s="731"/>
      <c r="BR124" s="731"/>
      <c r="BS124" s="731"/>
      <c r="BT124" s="731"/>
      <c r="BU124" s="731"/>
      <c r="BV124" s="731"/>
      <c r="BW124" s="731"/>
      <c r="BX124" s="731"/>
    </row>
    <row r="125" ht="15.75" customHeight="1">
      <c r="A125" s="721" t="s">
        <v>253</v>
      </c>
      <c r="B125" s="760" t="s">
        <v>3617</v>
      </c>
      <c r="C125" s="725" t="s">
        <v>4022</v>
      </c>
      <c r="D125" s="90" t="s">
        <v>4023</v>
      </c>
      <c r="E125" s="131" t="s">
        <v>4024</v>
      </c>
      <c r="F125" s="738"/>
      <c r="G125" s="738"/>
      <c r="H125" s="175"/>
      <c r="I125" s="733"/>
      <c r="J125" s="728" t="s">
        <v>4025</v>
      </c>
      <c r="K125" s="738"/>
      <c r="L125" s="738"/>
      <c r="M125" s="154"/>
      <c r="N125" s="738" t="s">
        <v>3911</v>
      </c>
      <c r="O125" s="738"/>
      <c r="P125" s="738"/>
      <c r="Q125" s="738"/>
      <c r="R125" s="740"/>
      <c r="S125" s="738"/>
      <c r="T125" s="738"/>
      <c r="U125" s="738"/>
      <c r="V125" s="738"/>
      <c r="W125" s="738"/>
      <c r="X125" s="738"/>
      <c r="Y125" s="738"/>
      <c r="Z125" s="738"/>
      <c r="AA125" s="738"/>
      <c r="AB125" s="738"/>
      <c r="AC125" s="738"/>
      <c r="AD125" s="738"/>
      <c r="AE125" s="738"/>
      <c r="AF125" s="738"/>
      <c r="AG125" s="738"/>
      <c r="AH125" s="738"/>
      <c r="AI125" s="738"/>
      <c r="AJ125" s="154"/>
      <c r="AK125" s="738"/>
      <c r="AL125" s="738"/>
      <c r="AM125" s="738"/>
      <c r="AN125" s="733"/>
      <c r="AO125" s="738"/>
      <c r="AP125" s="738"/>
      <c r="AQ125" s="154"/>
      <c r="AR125" s="738"/>
      <c r="AS125" s="738"/>
      <c r="AT125" s="738"/>
      <c r="AU125" s="733"/>
      <c r="AV125" s="738"/>
      <c r="AW125" s="154"/>
      <c r="AX125" s="738"/>
      <c r="AY125" s="738"/>
      <c r="AZ125" s="738"/>
      <c r="BA125" s="738"/>
      <c r="BB125" s="738"/>
      <c r="BC125" s="738"/>
      <c r="BD125" s="154"/>
      <c r="BE125" s="738"/>
      <c r="BF125" s="738"/>
      <c r="BG125" s="738"/>
      <c r="BH125" s="738"/>
      <c r="BI125" s="738"/>
      <c r="BJ125" s="738"/>
      <c r="BK125" s="154"/>
      <c r="BL125" s="154"/>
      <c r="BM125" s="154"/>
      <c r="BN125" s="154"/>
      <c r="BO125" s="154"/>
      <c r="BP125" s="154"/>
      <c r="BQ125" s="154"/>
      <c r="BR125" s="154"/>
      <c r="BS125" s="154"/>
      <c r="BT125" s="154"/>
      <c r="BU125" s="154"/>
      <c r="BV125" s="154"/>
      <c r="BW125" s="154"/>
      <c r="BX125" s="154"/>
    </row>
    <row r="126">
      <c r="A126" s="797" t="s">
        <v>107</v>
      </c>
      <c r="D126" s="798"/>
      <c r="E126" s="799"/>
      <c r="F126" s="799"/>
      <c r="G126" s="799"/>
      <c r="H126" s="800"/>
      <c r="I126" s="799"/>
      <c r="J126" s="799"/>
      <c r="K126" s="799"/>
      <c r="L126" s="799"/>
      <c r="M126" s="801"/>
      <c r="N126" s="799"/>
      <c r="O126" s="799"/>
      <c r="P126" s="799"/>
      <c r="Q126" s="799"/>
      <c r="R126" s="803"/>
      <c r="S126" s="799"/>
      <c r="T126" s="799"/>
      <c r="U126" s="799"/>
      <c r="V126" s="799"/>
      <c r="W126" s="799"/>
      <c r="X126" s="799"/>
      <c r="Y126" s="799"/>
      <c r="Z126" s="799"/>
      <c r="AA126" s="799"/>
      <c r="AB126" s="799"/>
      <c r="AC126" s="799"/>
      <c r="AD126" s="799"/>
      <c r="AE126" s="799"/>
      <c r="AF126" s="799"/>
      <c r="AG126" s="799"/>
      <c r="AH126" s="799"/>
      <c r="AI126" s="799"/>
      <c r="AJ126" s="801"/>
      <c r="AK126" s="799"/>
      <c r="AL126" s="799"/>
      <c r="AM126" s="799"/>
      <c r="AN126" s="799"/>
      <c r="AO126" s="799"/>
      <c r="AP126" s="799"/>
      <c r="AQ126" s="801"/>
      <c r="AR126" s="799"/>
      <c r="AS126" s="799"/>
      <c r="AT126" s="799"/>
      <c r="AU126" s="799"/>
      <c r="AV126" s="799"/>
      <c r="AW126" s="801"/>
      <c r="AX126" s="799"/>
      <c r="AY126" s="799"/>
      <c r="AZ126" s="799"/>
      <c r="BA126" s="799"/>
      <c r="BB126" s="799"/>
      <c r="BC126" s="799"/>
      <c r="BD126" s="801"/>
      <c r="BE126" s="799"/>
      <c r="BF126" s="799"/>
      <c r="BG126" s="799"/>
      <c r="BH126" s="799"/>
      <c r="BI126" s="799"/>
      <c r="BJ126" s="799"/>
      <c r="BK126" s="801"/>
      <c r="BL126" s="801"/>
      <c r="BM126" s="801"/>
      <c r="BN126" s="801"/>
      <c r="BO126" s="801"/>
      <c r="BP126" s="801"/>
      <c r="BQ126" s="801"/>
      <c r="BR126" s="801"/>
      <c r="BS126" s="801"/>
      <c r="BT126" s="801"/>
      <c r="BU126" s="801"/>
      <c r="BV126" s="801"/>
      <c r="BW126" s="801"/>
      <c r="BX126" s="801"/>
    </row>
    <row r="127" ht="15.75" customHeight="1">
      <c r="A127" s="804" t="s">
        <v>4038</v>
      </c>
      <c r="B127" s="805"/>
      <c r="C127" s="725" t="s">
        <v>4039</v>
      </c>
      <c r="D127" s="254" t="s">
        <v>4041</v>
      </c>
      <c r="E127" s="728" t="s">
        <v>4043</v>
      </c>
      <c r="F127" s="728" t="s">
        <v>4044</v>
      </c>
      <c r="G127" s="728" t="s">
        <v>4039</v>
      </c>
      <c r="H127" s="175"/>
      <c r="I127" s="733"/>
      <c r="J127" s="728"/>
      <c r="K127" s="728"/>
      <c r="L127" s="728"/>
      <c r="M127" s="806"/>
      <c r="N127" s="728" t="s">
        <v>4044</v>
      </c>
      <c r="O127" s="728"/>
      <c r="P127" s="728"/>
      <c r="Q127" s="728"/>
      <c r="R127" s="732" t="s">
        <v>4048</v>
      </c>
      <c r="S127" s="728"/>
      <c r="T127" s="728"/>
      <c r="U127" s="728"/>
      <c r="V127" s="728" t="s">
        <v>4049</v>
      </c>
      <c r="W127" s="728"/>
      <c r="X127" s="728"/>
      <c r="Y127" s="728" t="s">
        <v>4048</v>
      </c>
      <c r="Z127" s="728"/>
      <c r="AA127" s="728"/>
      <c r="AB127" s="728" t="s">
        <v>4041</v>
      </c>
      <c r="AC127" s="728"/>
      <c r="AD127" s="728"/>
      <c r="AE127" s="728"/>
      <c r="AF127" s="728"/>
      <c r="AG127" s="728"/>
      <c r="AH127" s="728"/>
      <c r="AI127" s="728"/>
      <c r="AJ127" s="806"/>
      <c r="AK127" s="728"/>
      <c r="AL127" s="728"/>
      <c r="AM127" s="728"/>
      <c r="AN127" s="733"/>
      <c r="AO127" s="728"/>
      <c r="AP127" s="728"/>
      <c r="AQ127" s="806"/>
      <c r="AR127" s="728"/>
      <c r="AS127" s="728"/>
      <c r="AT127" s="728"/>
      <c r="AU127" s="733"/>
      <c r="AV127" s="728"/>
      <c r="AW127" s="806"/>
      <c r="AX127" s="728"/>
      <c r="AY127" s="728"/>
      <c r="AZ127" s="728"/>
      <c r="BA127" s="728"/>
      <c r="BB127" s="728"/>
      <c r="BC127" s="728"/>
      <c r="BD127" s="806"/>
      <c r="BE127" s="728"/>
      <c r="BF127" s="728"/>
      <c r="BG127" s="728"/>
      <c r="BH127" s="728"/>
      <c r="BI127" s="728"/>
      <c r="BJ127" s="728"/>
      <c r="BK127" s="806"/>
      <c r="BL127" s="806"/>
      <c r="BM127" s="806"/>
      <c r="BN127" s="806"/>
      <c r="BO127" s="806"/>
      <c r="BP127" s="806"/>
      <c r="BQ127" s="806"/>
      <c r="BR127" s="806"/>
      <c r="BS127" s="806"/>
      <c r="BT127" s="806"/>
      <c r="BU127" s="806"/>
      <c r="BV127" s="806"/>
      <c r="BW127" s="806"/>
      <c r="BX127" s="806"/>
    </row>
    <row r="128" ht="15.75" customHeight="1">
      <c r="A128" s="804" t="s">
        <v>143</v>
      </c>
      <c r="B128" s="808" t="s">
        <v>4051</v>
      </c>
      <c r="C128" s="725"/>
      <c r="D128" s="809"/>
      <c r="E128" s="738"/>
      <c r="F128" s="738"/>
      <c r="G128" s="738"/>
      <c r="H128" s="175"/>
      <c r="I128" s="733"/>
      <c r="J128" s="738"/>
      <c r="K128" s="738"/>
      <c r="L128" s="738"/>
      <c r="M128" s="154"/>
      <c r="N128" s="738"/>
      <c r="O128" s="738"/>
      <c r="P128" s="738"/>
      <c r="Q128" s="738"/>
      <c r="R128" s="740"/>
      <c r="S128" s="738"/>
      <c r="T128" s="738"/>
      <c r="U128" s="738"/>
      <c r="V128" s="738"/>
      <c r="W128" s="738"/>
      <c r="X128" s="738"/>
      <c r="Y128" s="738"/>
      <c r="Z128" s="738"/>
      <c r="AA128" s="738"/>
      <c r="AB128" s="738"/>
      <c r="AC128" s="738"/>
      <c r="AD128" s="738"/>
      <c r="AE128" s="738"/>
      <c r="AF128" s="738"/>
      <c r="AG128" s="738"/>
      <c r="AH128" s="738"/>
      <c r="AI128" s="738"/>
      <c r="AJ128" s="154"/>
      <c r="AK128" s="738"/>
      <c r="AL128" s="738"/>
      <c r="AM128" s="738"/>
      <c r="AN128" s="733"/>
      <c r="AO128" s="738"/>
      <c r="AP128" s="738"/>
      <c r="AQ128" s="154"/>
      <c r="AR128" s="738"/>
      <c r="AS128" s="738"/>
      <c r="AT128" s="738"/>
      <c r="AU128" s="733"/>
      <c r="AV128" s="738"/>
      <c r="AW128" s="154"/>
      <c r="AX128" s="738"/>
      <c r="AY128" s="738"/>
      <c r="AZ128" s="738"/>
      <c r="BA128" s="738"/>
      <c r="BB128" s="738"/>
      <c r="BC128" s="738"/>
      <c r="BD128" s="154"/>
      <c r="BE128" s="738"/>
      <c r="BF128" s="738"/>
      <c r="BG128" s="738"/>
      <c r="BH128" s="738"/>
      <c r="BI128" s="738"/>
      <c r="BJ128" s="738"/>
      <c r="BK128" s="154"/>
      <c r="BL128" s="154"/>
      <c r="BM128" s="154"/>
      <c r="BN128" s="154"/>
      <c r="BO128" s="154"/>
      <c r="BP128" s="154"/>
      <c r="BQ128" s="154"/>
      <c r="BR128" s="154"/>
      <c r="BS128" s="154"/>
      <c r="BT128" s="154"/>
      <c r="BU128" s="154"/>
      <c r="BV128" s="154"/>
      <c r="BW128" s="154"/>
      <c r="BX128" s="154"/>
    </row>
    <row r="129" ht="15.75" customHeight="1">
      <c r="A129" s="811"/>
      <c r="B129" s="812" t="s">
        <v>4053</v>
      </c>
      <c r="C129" s="725" t="s">
        <v>4054</v>
      </c>
      <c r="D129" s="173"/>
      <c r="E129" s="738"/>
      <c r="F129" s="738"/>
      <c r="G129" s="738"/>
      <c r="H129" s="112" t="s">
        <v>4054</v>
      </c>
      <c r="I129" s="733"/>
      <c r="J129" s="738"/>
      <c r="K129" s="738"/>
      <c r="L129" s="738"/>
      <c r="M129" s="813"/>
      <c r="N129" s="738"/>
      <c r="O129" s="738"/>
      <c r="P129" s="738"/>
      <c r="Q129" s="738"/>
      <c r="R129" s="740"/>
      <c r="S129" s="738"/>
      <c r="T129" s="738"/>
      <c r="U129" s="738"/>
      <c r="V129" s="738"/>
      <c r="W129" s="738"/>
      <c r="X129" s="738"/>
      <c r="Y129" s="738"/>
      <c r="Z129" s="738"/>
      <c r="AA129" s="738"/>
      <c r="AB129" s="738"/>
      <c r="AC129" s="112" t="s">
        <v>4065</v>
      </c>
      <c r="AD129" s="738"/>
      <c r="AE129" s="738"/>
      <c r="AF129" s="738"/>
      <c r="AG129" s="738"/>
      <c r="AH129" s="738"/>
      <c r="AI129" s="738"/>
      <c r="AJ129" s="806"/>
      <c r="AK129" s="738"/>
      <c r="AL129" s="738"/>
      <c r="AM129" s="738"/>
      <c r="AN129" s="733"/>
      <c r="AO129" s="738"/>
      <c r="AP129" s="738"/>
      <c r="AQ129" s="806"/>
      <c r="AR129" s="738"/>
      <c r="AS129" s="738"/>
      <c r="AT129" s="738"/>
      <c r="AU129" s="733"/>
      <c r="AV129" s="738"/>
      <c r="AW129" s="806"/>
      <c r="AX129" s="738"/>
      <c r="AY129" s="738"/>
      <c r="AZ129" s="738"/>
      <c r="BA129" s="738"/>
      <c r="BB129" s="738"/>
      <c r="BC129" s="738"/>
      <c r="BD129" s="806"/>
      <c r="BE129" s="738"/>
      <c r="BF129" s="738"/>
      <c r="BG129" s="738"/>
      <c r="BH129" s="738"/>
      <c r="BI129" s="738"/>
      <c r="BJ129" s="738"/>
      <c r="BK129" s="806"/>
      <c r="BL129" s="806"/>
      <c r="BM129" s="806"/>
      <c r="BN129" s="806"/>
      <c r="BO129" s="806"/>
      <c r="BP129" s="806"/>
      <c r="BQ129" s="806"/>
      <c r="BR129" s="806"/>
      <c r="BS129" s="806"/>
      <c r="BT129" s="806"/>
      <c r="BU129" s="806"/>
      <c r="BV129" s="806"/>
      <c r="BW129" s="806"/>
      <c r="BX129" s="806"/>
    </row>
    <row r="130" ht="15.75" customHeight="1">
      <c r="A130" s="814"/>
      <c r="B130" s="816" t="s">
        <v>4070</v>
      </c>
      <c r="C130" s="252" t="s">
        <v>4071</v>
      </c>
      <c r="D130" s="254" t="s">
        <v>4071</v>
      </c>
      <c r="E130" s="144" t="s">
        <v>406</v>
      </c>
      <c r="F130" s="738"/>
      <c r="G130" s="738"/>
      <c r="H130" s="112" t="s">
        <v>4079</v>
      </c>
      <c r="I130" s="733"/>
      <c r="J130" s="738"/>
      <c r="K130" s="738" t="s">
        <v>4081</v>
      </c>
      <c r="L130" s="738" t="s">
        <v>4082</v>
      </c>
      <c r="M130" s="154"/>
      <c r="N130" s="738"/>
      <c r="O130" s="738"/>
      <c r="P130" s="738"/>
      <c r="Q130" s="738"/>
      <c r="R130" s="740" t="s">
        <v>4083</v>
      </c>
      <c r="S130" s="738"/>
      <c r="T130" s="738"/>
      <c r="U130" s="738"/>
      <c r="V130" s="738"/>
      <c r="W130" s="738"/>
      <c r="X130" s="738"/>
      <c r="Y130" s="738"/>
      <c r="Z130" s="738"/>
      <c r="AA130" s="738"/>
      <c r="AB130" s="738"/>
      <c r="AC130" s="738"/>
      <c r="AD130" s="738"/>
      <c r="AE130" s="738"/>
      <c r="AF130" s="738"/>
      <c r="AG130" s="738"/>
      <c r="AH130" s="738"/>
      <c r="AI130" s="738"/>
      <c r="AJ130" s="154"/>
      <c r="AK130" s="738"/>
      <c r="AL130" s="738"/>
      <c r="AM130" s="738"/>
      <c r="AN130" s="733"/>
      <c r="AO130" s="738"/>
      <c r="AP130" s="738"/>
      <c r="AQ130" s="154"/>
      <c r="AR130" s="738"/>
      <c r="AS130" s="738"/>
      <c r="AT130" s="738"/>
      <c r="AU130" s="733"/>
      <c r="AV130" s="738"/>
      <c r="AW130" s="154"/>
      <c r="AX130" s="738"/>
      <c r="AY130" s="738"/>
      <c r="AZ130" s="738"/>
      <c r="BA130" s="738"/>
      <c r="BB130" s="738"/>
      <c r="BC130" s="738"/>
      <c r="BD130" s="154"/>
      <c r="BE130" s="738"/>
      <c r="BF130" s="738"/>
      <c r="BG130" s="738"/>
      <c r="BH130" s="738"/>
      <c r="BI130" s="738"/>
      <c r="BJ130" s="738"/>
      <c r="BK130" s="154"/>
      <c r="BL130" s="154"/>
      <c r="BM130" s="154"/>
      <c r="BN130" s="154"/>
      <c r="BO130" s="154"/>
      <c r="BP130" s="154"/>
      <c r="BQ130" s="154"/>
      <c r="BR130" s="154"/>
      <c r="BS130" s="154"/>
      <c r="BT130" s="154"/>
      <c r="BU130" s="154"/>
      <c r="BV130" s="154"/>
      <c r="BW130" s="154"/>
      <c r="BX130" s="154"/>
    </row>
    <row r="131" ht="15.75" customHeight="1">
      <c r="A131" s="811"/>
      <c r="B131" s="812" t="s">
        <v>4087</v>
      </c>
      <c r="C131" s="83" t="s">
        <v>4088</v>
      </c>
      <c r="D131" s="90" t="s">
        <v>4089</v>
      </c>
      <c r="E131" s="738"/>
      <c r="F131" s="738"/>
      <c r="G131" s="365" t="s">
        <v>4088</v>
      </c>
      <c r="H131" s="112" t="s">
        <v>4091</v>
      </c>
      <c r="I131" s="733"/>
      <c r="J131" s="738"/>
      <c r="K131" s="738"/>
      <c r="L131" s="738"/>
      <c r="M131" s="806"/>
      <c r="N131" s="738"/>
      <c r="O131" s="738"/>
      <c r="P131" s="738"/>
      <c r="Q131" s="365" t="s">
        <v>4092</v>
      </c>
      <c r="R131" s="740"/>
      <c r="S131" s="738"/>
      <c r="T131" s="738"/>
      <c r="U131" s="738"/>
      <c r="V131" s="738" t="s">
        <v>4094</v>
      </c>
      <c r="W131" s="738"/>
      <c r="X131" s="738"/>
      <c r="Y131" s="738"/>
      <c r="Z131" s="738"/>
      <c r="AA131" s="738"/>
      <c r="AB131" s="738"/>
      <c r="AC131" s="738"/>
      <c r="AD131" s="738"/>
      <c r="AE131" s="738"/>
      <c r="AF131" s="738"/>
      <c r="AG131" s="738" t="s">
        <v>2347</v>
      </c>
      <c r="AH131" s="738"/>
      <c r="AI131" s="738"/>
      <c r="AJ131" s="806"/>
      <c r="AK131" s="738"/>
      <c r="AL131" s="738"/>
      <c r="AM131" s="738"/>
      <c r="AN131" s="733"/>
      <c r="AO131" s="738"/>
      <c r="AP131" s="738"/>
      <c r="AQ131" s="806"/>
      <c r="AR131" s="738"/>
      <c r="AS131" s="738"/>
      <c r="AT131" s="738"/>
      <c r="AU131" s="733"/>
      <c r="AV131" s="738"/>
      <c r="AW131" s="806"/>
      <c r="AX131" s="738"/>
      <c r="AY131" s="738"/>
      <c r="AZ131" s="738"/>
      <c r="BA131" s="738"/>
      <c r="BB131" s="738"/>
      <c r="BC131" s="738"/>
      <c r="BD131" s="806"/>
      <c r="BE131" s="738"/>
      <c r="BF131" s="738"/>
      <c r="BG131" s="738"/>
      <c r="BH131" s="738"/>
      <c r="BI131" s="738"/>
      <c r="BJ131" s="738"/>
      <c r="BK131" s="806"/>
      <c r="BL131" s="806"/>
      <c r="BM131" s="806"/>
      <c r="BN131" s="806"/>
      <c r="BO131" s="806"/>
      <c r="BP131" s="806"/>
      <c r="BQ131" s="806"/>
      <c r="BR131" s="806"/>
      <c r="BS131" s="806"/>
      <c r="BT131" s="806"/>
      <c r="BU131" s="806"/>
      <c r="BV131" s="806"/>
      <c r="BW131" s="806"/>
      <c r="BX131" s="806"/>
    </row>
    <row r="132" ht="15.75" customHeight="1">
      <c r="A132" s="817" t="s">
        <v>320</v>
      </c>
      <c r="B132" s="818" t="s">
        <v>146</v>
      </c>
      <c r="C132" s="725" t="s">
        <v>4096</v>
      </c>
      <c r="D132" s="819" t="s">
        <v>1228</v>
      </c>
      <c r="E132" s="733"/>
      <c r="F132" s="733"/>
      <c r="G132" s="365" t="s">
        <v>4096</v>
      </c>
      <c r="H132" s="175"/>
      <c r="I132" s="733"/>
      <c r="J132" s="733"/>
      <c r="K132" s="733"/>
      <c r="L132" s="733"/>
      <c r="M132" s="154"/>
      <c r="N132" s="733"/>
      <c r="O132" s="733"/>
      <c r="P132" s="733"/>
      <c r="Q132" s="733"/>
      <c r="R132" s="820"/>
      <c r="S132" s="733"/>
      <c r="T132" s="733"/>
      <c r="U132" s="733"/>
      <c r="V132" s="733"/>
      <c r="W132" s="733"/>
      <c r="X132" s="733"/>
      <c r="Y132" s="733"/>
      <c r="Z132" s="733"/>
      <c r="AA132" s="733"/>
      <c r="AB132" s="733"/>
      <c r="AC132" s="733"/>
      <c r="AD132" s="733"/>
      <c r="AE132" s="733"/>
      <c r="AF132" s="733"/>
      <c r="AG132" s="733"/>
      <c r="AH132" s="733"/>
      <c r="AI132" s="733"/>
      <c r="AJ132" s="154"/>
      <c r="AK132" s="733"/>
      <c r="AL132" s="733"/>
      <c r="AM132" s="733"/>
      <c r="AN132" s="733"/>
      <c r="AO132" s="733"/>
      <c r="AP132" s="733"/>
      <c r="AQ132" s="154"/>
      <c r="AR132" s="733"/>
      <c r="AS132" s="733"/>
      <c r="AT132" s="733"/>
      <c r="AU132" s="733"/>
      <c r="AV132" s="733"/>
      <c r="AW132" s="154"/>
      <c r="AX132" s="733"/>
      <c r="AY132" s="733"/>
      <c r="AZ132" s="733"/>
      <c r="BA132" s="733"/>
      <c r="BB132" s="733"/>
      <c r="BC132" s="733"/>
      <c r="BD132" s="154"/>
      <c r="BE132" s="733"/>
      <c r="BF132" s="733"/>
      <c r="BG132" s="733"/>
      <c r="BH132" s="733"/>
      <c r="BI132" s="733"/>
      <c r="BJ132" s="733"/>
      <c r="BK132" s="154"/>
      <c r="BL132" s="154"/>
      <c r="BM132" s="154"/>
      <c r="BN132" s="154"/>
      <c r="BO132" s="154"/>
      <c r="BP132" s="154"/>
      <c r="BQ132" s="154"/>
      <c r="BR132" s="154"/>
      <c r="BS132" s="154"/>
      <c r="BT132" s="154"/>
      <c r="BU132" s="154"/>
      <c r="BV132" s="154"/>
      <c r="BW132" s="154"/>
      <c r="BX132" s="154"/>
    </row>
    <row r="133" ht="15.75" customHeight="1">
      <c r="A133" s="821" t="s">
        <v>410</v>
      </c>
      <c r="B133" s="822" t="s">
        <v>146</v>
      </c>
      <c r="C133" s="725" t="s">
        <v>4102</v>
      </c>
      <c r="D133" s="254" t="s">
        <v>4104</v>
      </c>
      <c r="E133" s="738"/>
      <c r="F133" s="738"/>
      <c r="G133" s="112" t="s">
        <v>4102</v>
      </c>
      <c r="H133" s="112" t="s">
        <v>4104</v>
      </c>
      <c r="I133" s="733"/>
      <c r="J133" s="738"/>
      <c r="K133" s="738"/>
      <c r="L133" s="738"/>
      <c r="M133" s="806"/>
      <c r="N133" s="738"/>
      <c r="O133" s="738"/>
      <c r="P133" s="738"/>
      <c r="Q133" s="738"/>
      <c r="R133" s="740"/>
      <c r="S133" s="738"/>
      <c r="T133" s="738"/>
      <c r="U133" s="738"/>
      <c r="V133" s="738" t="s">
        <v>4102</v>
      </c>
      <c r="W133" s="738"/>
      <c r="X133" s="738"/>
      <c r="Y133" s="738"/>
      <c r="Z133" s="738"/>
      <c r="AA133" s="738"/>
      <c r="AB133" s="738"/>
      <c r="AC133" s="738"/>
      <c r="AD133" s="738"/>
      <c r="AE133" s="738"/>
      <c r="AF133" s="738"/>
      <c r="AG133" s="738"/>
      <c r="AH133" s="738"/>
      <c r="AI133" s="738"/>
      <c r="AJ133" s="823" t="s">
        <v>4108</v>
      </c>
      <c r="AK133" s="738"/>
      <c r="AL133" s="738"/>
      <c r="AM133" s="738"/>
      <c r="AN133" s="733"/>
      <c r="AO133" s="738"/>
      <c r="AP133" s="738"/>
      <c r="AQ133" s="806"/>
      <c r="AR133" s="738"/>
      <c r="AS133" s="738"/>
      <c r="AT133" s="738"/>
      <c r="AU133" s="733"/>
      <c r="AV133" s="738"/>
      <c r="AW133" s="806"/>
      <c r="AX133" s="738"/>
      <c r="AY133" s="738"/>
      <c r="AZ133" s="738"/>
      <c r="BA133" s="738"/>
      <c r="BB133" s="738"/>
      <c r="BC133" s="738"/>
      <c r="BD133" s="806"/>
      <c r="BE133" s="738"/>
      <c r="BF133" s="738"/>
      <c r="BG133" s="738"/>
      <c r="BH133" s="738"/>
      <c r="BI133" s="738"/>
      <c r="BJ133" s="738"/>
      <c r="BK133" s="806"/>
      <c r="BL133" s="806"/>
      <c r="BM133" s="806"/>
      <c r="BN133" s="806"/>
      <c r="BO133" s="806"/>
      <c r="BP133" s="806"/>
      <c r="BQ133" s="806"/>
      <c r="BR133" s="806"/>
      <c r="BS133" s="806"/>
      <c r="BT133" s="806"/>
      <c r="BU133" s="806"/>
      <c r="BV133" s="806"/>
      <c r="BW133" s="806"/>
      <c r="BX133" s="806"/>
    </row>
    <row r="134" ht="15.75" customHeight="1">
      <c r="A134" s="804" t="s">
        <v>227</v>
      </c>
      <c r="B134" s="805"/>
      <c r="C134" s="725" t="s">
        <v>1668</v>
      </c>
      <c r="D134" s="90" t="s">
        <v>1668</v>
      </c>
      <c r="E134" s="144" t="s">
        <v>3938</v>
      </c>
      <c r="F134" s="738"/>
      <c r="G134" s="738"/>
      <c r="H134" s="112" t="s">
        <v>4112</v>
      </c>
      <c r="I134" s="729" t="s">
        <v>362</v>
      </c>
      <c r="J134" s="365" t="str">
        <f>HYPERLINK("https://youtu.be/6f5dBhAmU1g","42.10")</f>
        <v>42.10</v>
      </c>
      <c r="K134" s="738" t="s">
        <v>1759</v>
      </c>
      <c r="L134" s="738" t="s">
        <v>2751</v>
      </c>
      <c r="M134" s="147" t="s">
        <v>4116</v>
      </c>
      <c r="N134" s="365" t="s">
        <v>3919</v>
      </c>
      <c r="O134" s="365" t="s">
        <v>1668</v>
      </c>
      <c r="P134" s="738" t="s">
        <v>4117</v>
      </c>
      <c r="Q134" s="738"/>
      <c r="R134" s="740" t="s">
        <v>4118</v>
      </c>
      <c r="S134" s="738"/>
      <c r="T134" s="738"/>
      <c r="U134" s="738"/>
      <c r="V134" s="738"/>
      <c r="W134" s="738"/>
      <c r="X134" s="738"/>
      <c r="Y134" s="738"/>
      <c r="Z134" s="738"/>
      <c r="AA134" s="738"/>
      <c r="AB134" s="738"/>
      <c r="AC134" s="738"/>
      <c r="AD134" s="738"/>
      <c r="AE134" s="738"/>
      <c r="AF134" s="738"/>
      <c r="AG134" s="738"/>
      <c r="AH134" s="738"/>
      <c r="AI134" s="738"/>
      <c r="AJ134" s="154"/>
      <c r="AK134" s="738"/>
      <c r="AL134" s="738"/>
      <c r="AM134" s="738"/>
      <c r="AN134" s="733"/>
      <c r="AO134" s="738"/>
      <c r="AP134" s="738"/>
      <c r="AQ134" s="154"/>
      <c r="AR134" s="738"/>
      <c r="AS134" s="738"/>
      <c r="AT134" s="738"/>
      <c r="AU134" s="733"/>
      <c r="AV134" s="738"/>
      <c r="AW134" s="154"/>
      <c r="AX134" s="738"/>
      <c r="AY134" s="738"/>
      <c r="AZ134" s="738"/>
      <c r="BA134" s="738"/>
      <c r="BB134" s="738"/>
      <c r="BC134" s="738" t="s">
        <v>3983</v>
      </c>
      <c r="BD134" s="154"/>
      <c r="BE134" s="738"/>
      <c r="BF134" s="738"/>
      <c r="BG134" s="738"/>
      <c r="BH134" s="738"/>
      <c r="BI134" s="738"/>
      <c r="BJ134" s="738"/>
      <c r="BK134" s="154"/>
      <c r="BL134" s="154"/>
      <c r="BM134" s="154"/>
      <c r="BN134" s="154"/>
      <c r="BO134" s="154"/>
      <c r="BP134" s="154"/>
      <c r="BQ134" s="154"/>
      <c r="BR134" s="154"/>
      <c r="BS134" s="154"/>
      <c r="BT134" s="154"/>
      <c r="BU134" s="154"/>
      <c r="BV134" s="154"/>
      <c r="BW134" s="154"/>
      <c r="BX134" s="154"/>
    </row>
    <row r="135" ht="15.75" customHeight="1">
      <c r="A135" s="821" t="s">
        <v>320</v>
      </c>
      <c r="B135" s="822" t="s">
        <v>146</v>
      </c>
      <c r="C135" s="725" t="str">
        <f>HYPERLINK("https://youtu.be/sDPkawvhuRo","28.54")</f>
        <v>28.54</v>
      </c>
      <c r="D135" s="272" t="s">
        <v>3932</v>
      </c>
      <c r="E135" s="144" t="s">
        <v>4123</v>
      </c>
      <c r="F135" s="738"/>
      <c r="G135" s="365" t="s">
        <v>4125</v>
      </c>
      <c r="H135" s="112" t="s">
        <v>1148</v>
      </c>
      <c r="I135" s="729" t="s">
        <v>4129</v>
      </c>
      <c r="J135" s="738" t="s">
        <v>4131</v>
      </c>
      <c r="K135" s="738" t="s">
        <v>2374</v>
      </c>
      <c r="L135" s="738" t="s">
        <v>1236</v>
      </c>
      <c r="M135" s="806"/>
      <c r="N135" s="365" t="s">
        <v>469</v>
      </c>
      <c r="O135" s="365" t="s">
        <v>1148</v>
      </c>
      <c r="P135" s="738" t="s">
        <v>4136</v>
      </c>
      <c r="Q135" s="365" t="s">
        <v>724</v>
      </c>
      <c r="R135" s="740" t="s">
        <v>884</v>
      </c>
      <c r="S135" s="738"/>
      <c r="T135" s="738"/>
      <c r="U135" s="738"/>
      <c r="V135" s="738" t="s">
        <v>1408</v>
      </c>
      <c r="W135" s="738"/>
      <c r="X135" s="738" t="s">
        <v>1713</v>
      </c>
      <c r="Y135" s="738"/>
      <c r="Z135" s="738"/>
      <c r="AA135" s="738"/>
      <c r="AB135" s="738"/>
      <c r="AC135" s="738"/>
      <c r="AD135" s="738"/>
      <c r="AE135" s="738"/>
      <c r="AF135" s="738"/>
      <c r="AG135" s="738"/>
      <c r="AH135" s="738"/>
      <c r="AI135" s="738"/>
      <c r="AJ135" s="806"/>
      <c r="AK135" s="738"/>
      <c r="AL135" s="738"/>
      <c r="AM135" s="738"/>
      <c r="AN135" s="733"/>
      <c r="AO135" s="738"/>
      <c r="AP135" s="738"/>
      <c r="AQ135" s="806"/>
      <c r="AR135" s="738"/>
      <c r="AS135" s="738"/>
      <c r="AT135" s="738"/>
      <c r="AU135" s="733"/>
      <c r="AV135" s="738"/>
      <c r="AW135" s="806"/>
      <c r="AX135" s="738"/>
      <c r="AY135" s="738"/>
      <c r="AZ135" s="738"/>
      <c r="BA135" s="738"/>
      <c r="BB135" s="738"/>
      <c r="BC135" s="738"/>
      <c r="BD135" s="806"/>
      <c r="BE135" s="738"/>
      <c r="BF135" s="738"/>
      <c r="BG135" s="738"/>
      <c r="BH135" s="738"/>
      <c r="BI135" s="738"/>
      <c r="BJ135" s="738"/>
      <c r="BK135" s="806"/>
      <c r="BL135" s="806"/>
      <c r="BM135" s="806"/>
      <c r="BN135" s="806"/>
      <c r="BO135" s="806"/>
      <c r="BP135" s="806"/>
      <c r="BQ135" s="806"/>
      <c r="BR135" s="806"/>
      <c r="BS135" s="806"/>
      <c r="BT135" s="806"/>
      <c r="BU135" s="806"/>
      <c r="BV135" s="806"/>
      <c r="BW135" s="806"/>
      <c r="BX135" s="806"/>
    </row>
    <row r="136" ht="15.75" customHeight="1">
      <c r="A136" s="821" t="s">
        <v>410</v>
      </c>
      <c r="B136" s="822" t="s">
        <v>146</v>
      </c>
      <c r="C136" s="83" t="s">
        <v>4143</v>
      </c>
      <c r="D136" s="819" t="s">
        <v>4145</v>
      </c>
      <c r="E136" s="728"/>
      <c r="F136" s="728" t="s">
        <v>4147</v>
      </c>
      <c r="G136" s="112" t="s">
        <v>4143</v>
      </c>
      <c r="H136" s="112" t="s">
        <v>4149</v>
      </c>
      <c r="I136" s="729" t="s">
        <v>4150</v>
      </c>
      <c r="J136" s="728"/>
      <c r="K136" s="728"/>
      <c r="L136" s="728"/>
      <c r="M136" s="154"/>
      <c r="N136" s="728" t="s">
        <v>2833</v>
      </c>
      <c r="O136" s="728" t="s">
        <v>4149</v>
      </c>
      <c r="P136" s="728"/>
      <c r="Q136" s="728"/>
      <c r="R136" s="732" t="s">
        <v>4147</v>
      </c>
      <c r="S136" s="728" t="s">
        <v>1643</v>
      </c>
      <c r="T136" s="728"/>
      <c r="U136" s="728"/>
      <c r="V136" s="728"/>
      <c r="W136" s="728"/>
      <c r="X136" s="728"/>
      <c r="Y136" s="728"/>
      <c r="Z136" s="728"/>
      <c r="AA136" s="728" t="s">
        <v>4152</v>
      </c>
      <c r="AB136" s="728"/>
      <c r="AC136" s="728"/>
      <c r="AD136" s="728"/>
      <c r="AE136" s="728"/>
      <c r="AF136" s="728"/>
      <c r="AG136" s="728"/>
      <c r="AH136" s="728"/>
      <c r="AI136" s="728"/>
      <c r="AJ136" s="154"/>
      <c r="AK136" s="728"/>
      <c r="AL136" s="728"/>
      <c r="AM136" s="728"/>
      <c r="AN136" s="733"/>
      <c r="AO136" s="728"/>
      <c r="AP136" s="728"/>
      <c r="AQ136" s="154"/>
      <c r="AR136" s="728"/>
      <c r="AS136" s="728"/>
      <c r="AT136" s="728"/>
      <c r="AU136" s="733"/>
      <c r="AV136" s="728"/>
      <c r="AW136" s="154"/>
      <c r="AX136" s="728"/>
      <c r="AY136" s="728"/>
      <c r="AZ136" s="728"/>
      <c r="BA136" s="728"/>
      <c r="BB136" s="728"/>
      <c r="BC136" s="728"/>
      <c r="BD136" s="154"/>
      <c r="BE136" s="728"/>
      <c r="BF136" s="728"/>
      <c r="BG136" s="728"/>
      <c r="BH136" s="728"/>
      <c r="BI136" s="728"/>
      <c r="BJ136" s="728"/>
      <c r="BK136" s="154"/>
      <c r="BL136" s="154"/>
      <c r="BM136" s="154"/>
      <c r="BN136" s="154"/>
      <c r="BO136" s="154"/>
      <c r="BP136" s="154"/>
      <c r="BQ136" s="154"/>
      <c r="BR136" s="154"/>
      <c r="BS136" s="154"/>
      <c r="BT136" s="154"/>
      <c r="BU136" s="154"/>
      <c r="BV136" s="154"/>
      <c r="BW136" s="154"/>
      <c r="BX136" s="154"/>
    </row>
    <row r="137" ht="15.75" customHeight="1">
      <c r="A137" s="804" t="s">
        <v>2221</v>
      </c>
      <c r="B137" s="808" t="s">
        <v>4156</v>
      </c>
      <c r="C137" s="83" t="s">
        <v>2027</v>
      </c>
      <c r="D137" s="173"/>
      <c r="E137" s="738"/>
      <c r="F137" s="738"/>
      <c r="G137" s="738"/>
      <c r="H137" s="112" t="s">
        <v>717</v>
      </c>
      <c r="I137" s="733"/>
      <c r="J137" s="738"/>
      <c r="K137" s="738"/>
      <c r="L137" s="738" t="s">
        <v>818</v>
      </c>
      <c r="M137" s="823" t="s">
        <v>4163</v>
      </c>
      <c r="N137" s="738"/>
      <c r="O137" s="738"/>
      <c r="P137" s="738"/>
      <c r="Q137" s="738"/>
      <c r="R137" s="740"/>
      <c r="S137" s="738"/>
      <c r="T137" s="112" t="s">
        <v>2027</v>
      </c>
      <c r="U137" s="738"/>
      <c r="V137" s="738"/>
      <c r="W137" s="738"/>
      <c r="X137" s="738"/>
      <c r="Y137" s="738"/>
      <c r="Z137" s="738" t="s">
        <v>3892</v>
      </c>
      <c r="AA137" s="738"/>
      <c r="AB137" s="738"/>
      <c r="AC137" s="738"/>
      <c r="AD137" s="738"/>
      <c r="AE137" s="738"/>
      <c r="AF137" s="738"/>
      <c r="AG137" s="738"/>
      <c r="AH137" s="738"/>
      <c r="AI137" s="738"/>
      <c r="AJ137" s="806"/>
      <c r="AK137" s="738"/>
      <c r="AL137" s="738"/>
      <c r="AM137" s="738"/>
      <c r="AN137" s="733"/>
      <c r="AO137" s="738"/>
      <c r="AP137" s="738"/>
      <c r="AQ137" s="806"/>
      <c r="AR137" s="738"/>
      <c r="AS137" s="738"/>
      <c r="AT137" s="738"/>
      <c r="AU137" s="733"/>
      <c r="AV137" s="738"/>
      <c r="AW137" s="806"/>
      <c r="AX137" s="738"/>
      <c r="AY137" s="738"/>
      <c r="AZ137" s="738"/>
      <c r="BA137" s="738"/>
      <c r="BB137" s="738"/>
      <c r="BC137" s="738"/>
      <c r="BD137" s="806"/>
      <c r="BE137" s="738"/>
      <c r="BF137" s="738"/>
      <c r="BG137" s="738"/>
      <c r="BH137" s="738"/>
      <c r="BI137" s="738"/>
      <c r="BJ137" s="738"/>
      <c r="BK137" s="806"/>
      <c r="BL137" s="806"/>
      <c r="BM137" s="806"/>
      <c r="BN137" s="806"/>
      <c r="BO137" s="806"/>
      <c r="BP137" s="806"/>
      <c r="BQ137" s="806"/>
      <c r="BR137" s="806"/>
      <c r="BS137" s="806"/>
      <c r="BT137" s="806"/>
      <c r="BU137" s="806"/>
      <c r="BV137" s="806"/>
      <c r="BW137" s="806"/>
      <c r="BX137" s="806"/>
    </row>
    <row r="138" ht="15.75" customHeight="1">
      <c r="A138" s="811"/>
      <c r="B138" s="812" t="s">
        <v>4167</v>
      </c>
      <c r="C138" s="725" t="s">
        <v>4168</v>
      </c>
      <c r="D138" s="809"/>
      <c r="E138" s="738" t="s">
        <v>4171</v>
      </c>
      <c r="F138" s="738"/>
      <c r="G138" s="738"/>
      <c r="H138" s="175"/>
      <c r="I138" s="733"/>
      <c r="J138" s="738"/>
      <c r="K138" s="738"/>
      <c r="L138" s="738" t="s">
        <v>1659</v>
      </c>
      <c r="M138" s="154"/>
      <c r="N138" s="738"/>
      <c r="O138" s="738"/>
      <c r="P138" s="738"/>
      <c r="Q138" s="738"/>
      <c r="R138" s="740"/>
      <c r="S138" s="738"/>
      <c r="T138" s="738"/>
      <c r="U138" s="738" t="s">
        <v>4173</v>
      </c>
      <c r="V138" s="738"/>
      <c r="W138" s="738"/>
      <c r="X138" s="738"/>
      <c r="Y138" s="738"/>
      <c r="Z138" s="738" t="s">
        <v>1968</v>
      </c>
      <c r="AA138" s="738"/>
      <c r="AB138" s="738" t="s">
        <v>1202</v>
      </c>
      <c r="AC138" s="738"/>
      <c r="AD138" s="738"/>
      <c r="AE138" s="738"/>
      <c r="AF138" s="738"/>
      <c r="AG138" s="738"/>
      <c r="AH138" s="738"/>
      <c r="AI138" s="738"/>
      <c r="AJ138" s="154"/>
      <c r="AK138" s="738"/>
      <c r="AL138" s="738"/>
      <c r="AM138" s="738"/>
      <c r="AN138" s="733"/>
      <c r="AO138" s="738"/>
      <c r="AP138" s="738"/>
      <c r="AQ138" s="154"/>
      <c r="AR138" s="738"/>
      <c r="AS138" s="738"/>
      <c r="AT138" s="738"/>
      <c r="AU138" s="733"/>
      <c r="AV138" s="738"/>
      <c r="AW138" s="154"/>
      <c r="AX138" s="738"/>
      <c r="AY138" s="738"/>
      <c r="AZ138" s="738"/>
      <c r="BA138" s="738"/>
      <c r="BB138" s="738"/>
      <c r="BC138" s="738"/>
      <c r="BD138" s="154"/>
      <c r="BE138" s="738"/>
      <c r="BF138" s="738"/>
      <c r="BG138" s="738"/>
      <c r="BH138" s="738"/>
      <c r="BI138" s="738"/>
      <c r="BJ138" s="738"/>
      <c r="BK138" s="154"/>
      <c r="BL138" s="154"/>
      <c r="BM138" s="154"/>
      <c r="BN138" s="154"/>
      <c r="BO138" s="154"/>
      <c r="BP138" s="154"/>
      <c r="BQ138" s="154"/>
      <c r="BR138" s="154"/>
      <c r="BS138" s="154"/>
      <c r="BT138" s="154"/>
      <c r="BU138" s="154"/>
      <c r="BV138" s="154"/>
      <c r="BW138" s="154"/>
      <c r="BX138" s="154"/>
    </row>
    <row r="139" ht="15.75" customHeight="1">
      <c r="A139" s="814"/>
      <c r="B139" s="816" t="s">
        <v>4177</v>
      </c>
      <c r="C139" s="725" t="s">
        <v>4178</v>
      </c>
      <c r="D139" s="173"/>
      <c r="E139" s="738"/>
      <c r="F139" s="738"/>
      <c r="G139" s="738"/>
      <c r="H139" s="175"/>
      <c r="I139" s="733"/>
      <c r="J139" s="738"/>
      <c r="K139" s="738"/>
      <c r="L139" s="738"/>
      <c r="M139" s="806"/>
      <c r="N139" s="738"/>
      <c r="O139" s="738"/>
      <c r="P139" s="738"/>
      <c r="Q139" s="738"/>
      <c r="R139" s="740"/>
      <c r="S139" s="738"/>
      <c r="T139" s="738"/>
      <c r="U139" s="738"/>
      <c r="V139" s="738"/>
      <c r="W139" s="738"/>
      <c r="X139" s="738"/>
      <c r="Y139" s="738"/>
      <c r="Z139" s="738"/>
      <c r="AA139" s="738"/>
      <c r="AB139" s="738"/>
      <c r="AC139" s="738"/>
      <c r="AD139" s="738"/>
      <c r="AE139" s="738"/>
      <c r="AF139" s="738"/>
      <c r="AG139" s="738"/>
      <c r="AH139" s="738" t="s">
        <v>4178</v>
      </c>
      <c r="AI139" s="738"/>
      <c r="AJ139" s="806"/>
      <c r="AK139" s="738"/>
      <c r="AL139" s="738"/>
      <c r="AM139" s="738"/>
      <c r="AN139" s="733"/>
      <c r="AO139" s="738"/>
      <c r="AP139" s="738"/>
      <c r="AQ139" s="806"/>
      <c r="AR139" s="738"/>
      <c r="AS139" s="738"/>
      <c r="AT139" s="738"/>
      <c r="AU139" s="733"/>
      <c r="AV139" s="738"/>
      <c r="AW139" s="806"/>
      <c r="AX139" s="738"/>
      <c r="AY139" s="738" t="s">
        <v>4184</v>
      </c>
      <c r="AZ139" s="738"/>
      <c r="BA139" s="738"/>
      <c r="BB139" s="738"/>
      <c r="BC139" s="738"/>
      <c r="BD139" s="806"/>
      <c r="BE139" s="738"/>
      <c r="BF139" s="738"/>
      <c r="BG139" s="738"/>
      <c r="BH139" s="738"/>
      <c r="BI139" s="738"/>
      <c r="BJ139" s="738"/>
      <c r="BK139" s="806"/>
      <c r="BL139" s="806"/>
      <c r="BM139" s="806"/>
      <c r="BN139" s="806"/>
      <c r="BO139" s="806"/>
      <c r="BP139" s="806"/>
      <c r="BQ139" s="806"/>
      <c r="BR139" s="806"/>
      <c r="BS139" s="806"/>
      <c r="BT139" s="806"/>
      <c r="BU139" s="806"/>
      <c r="BV139" s="806"/>
      <c r="BW139" s="806"/>
      <c r="BX139" s="806"/>
    </row>
    <row r="140" ht="15.75" customHeight="1">
      <c r="A140" s="811"/>
      <c r="B140" s="812" t="s">
        <v>4185</v>
      </c>
      <c r="C140" s="83" t="s">
        <v>4187</v>
      </c>
      <c r="D140" s="90" t="s">
        <v>4189</v>
      </c>
      <c r="E140" s="144" t="s">
        <v>3236</v>
      </c>
      <c r="F140" s="112" t="s">
        <v>1150</v>
      </c>
      <c r="G140" s="112" t="s">
        <v>4187</v>
      </c>
      <c r="H140" s="112" t="s">
        <v>4193</v>
      </c>
      <c r="I140" s="729" t="s">
        <v>3007</v>
      </c>
      <c r="J140" s="112" t="s">
        <v>3313</v>
      </c>
      <c r="K140" s="175"/>
      <c r="L140" s="175"/>
      <c r="M140" s="154"/>
      <c r="N140" s="112" t="s">
        <v>3926</v>
      </c>
      <c r="O140" s="112" t="s">
        <v>4196</v>
      </c>
      <c r="P140" s="175"/>
      <c r="Q140" s="112" t="s">
        <v>3879</v>
      </c>
      <c r="R140" s="732" t="s">
        <v>4199</v>
      </c>
      <c r="S140" s="175"/>
      <c r="T140" s="112" t="s">
        <v>920</v>
      </c>
      <c r="U140" s="112" t="s">
        <v>470</v>
      </c>
      <c r="V140" s="175"/>
      <c r="W140" s="175"/>
      <c r="X140" s="175"/>
      <c r="Y140" s="175"/>
      <c r="Z140" s="175"/>
      <c r="AA140" s="175"/>
      <c r="AB140" s="112" t="s">
        <v>4202</v>
      </c>
      <c r="AC140" s="175"/>
      <c r="AD140" s="175"/>
      <c r="AE140" s="175"/>
      <c r="AF140" s="175"/>
      <c r="AG140" s="175"/>
      <c r="AH140" s="175"/>
      <c r="AI140" s="175"/>
      <c r="AJ140" s="154"/>
      <c r="AK140" s="175"/>
      <c r="AL140" s="175"/>
      <c r="AM140" s="175"/>
      <c r="AN140" s="733"/>
      <c r="AO140" s="175"/>
      <c r="AP140" s="175"/>
      <c r="AQ140" s="154"/>
      <c r="AR140" s="175"/>
      <c r="AS140" s="175"/>
      <c r="AT140" s="175"/>
      <c r="AU140" s="733"/>
      <c r="AV140" s="175"/>
      <c r="AW140" s="154"/>
      <c r="AX140" s="175"/>
      <c r="AY140" s="175" t="s">
        <v>4206</v>
      </c>
      <c r="AZ140" s="175"/>
      <c r="BA140" s="175"/>
      <c r="BB140" s="175"/>
      <c r="BC140" s="175"/>
      <c r="BD140" s="154"/>
      <c r="BE140" s="175"/>
      <c r="BF140" s="175"/>
      <c r="BG140" s="175"/>
      <c r="BH140" s="175"/>
      <c r="BI140" s="175"/>
      <c r="BJ140" s="175"/>
      <c r="BK140" s="154"/>
      <c r="BL140" s="154"/>
      <c r="BM140" s="154"/>
      <c r="BN140" s="154"/>
      <c r="BO140" s="154"/>
      <c r="BP140" s="154"/>
      <c r="BQ140" s="154"/>
      <c r="BR140" s="154"/>
      <c r="BS140" s="154"/>
      <c r="BT140" s="154"/>
      <c r="BU140" s="154"/>
      <c r="BV140" s="154"/>
      <c r="BW140" s="154"/>
      <c r="BX140" s="154"/>
    </row>
    <row r="141" ht="15.75" customHeight="1">
      <c r="A141" s="804" t="s">
        <v>811</v>
      </c>
      <c r="B141" s="808" t="s">
        <v>4207</v>
      </c>
      <c r="C141" s="725" t="s">
        <v>1893</v>
      </c>
      <c r="D141" s="173"/>
      <c r="E141" s="738" t="s">
        <v>4211</v>
      </c>
      <c r="F141" s="738"/>
      <c r="G141" s="738"/>
      <c r="H141" s="175"/>
      <c r="I141" s="729" t="s">
        <v>4212</v>
      </c>
      <c r="J141" s="738"/>
      <c r="K141" s="112" t="s">
        <v>4213</v>
      </c>
      <c r="L141" s="738" t="s">
        <v>4215</v>
      </c>
      <c r="M141" s="813" t="s">
        <v>4216</v>
      </c>
      <c r="N141" s="738"/>
      <c r="O141" s="738"/>
      <c r="P141" s="738" t="str">
        <f>HYPERLINK("https://youtu.be/wzsts4r5VHY","56.24")</f>
        <v>56.24</v>
      </c>
      <c r="Q141" s="112" t="s">
        <v>4218</v>
      </c>
      <c r="R141" s="740"/>
      <c r="S141" s="738"/>
      <c r="T141" s="738"/>
      <c r="U141" s="738"/>
      <c r="V141" s="738" t="s">
        <v>1893</v>
      </c>
      <c r="W141" s="738"/>
      <c r="X141" s="738"/>
      <c r="Y141" s="738"/>
      <c r="Z141" s="738"/>
      <c r="AA141" s="738"/>
      <c r="AB141" s="738"/>
      <c r="AC141" s="738"/>
      <c r="AD141" s="738"/>
      <c r="AE141" s="738"/>
      <c r="AF141" s="738" t="s">
        <v>2236</v>
      </c>
      <c r="AG141" s="738"/>
      <c r="AH141" s="738"/>
      <c r="AI141" s="738"/>
      <c r="AJ141" s="806"/>
      <c r="AK141" s="738"/>
      <c r="AL141" s="738"/>
      <c r="AM141" s="738"/>
      <c r="AN141" s="733"/>
      <c r="AO141" s="738"/>
      <c r="AP141" s="738"/>
      <c r="AQ141" s="806"/>
      <c r="AR141" s="738"/>
      <c r="AS141" s="738"/>
      <c r="AT141" s="738"/>
      <c r="AU141" s="733"/>
      <c r="AV141" s="738"/>
      <c r="AW141" s="806"/>
      <c r="AX141" s="738"/>
      <c r="AY141" s="738"/>
      <c r="AZ141" s="738"/>
      <c r="BA141" s="738"/>
      <c r="BB141" s="738"/>
      <c r="BC141" s="738"/>
      <c r="BD141" s="806"/>
      <c r="BE141" s="738"/>
      <c r="BF141" s="738"/>
      <c r="BG141" s="738"/>
      <c r="BH141" s="738"/>
      <c r="BI141" s="738"/>
      <c r="BJ141" s="738"/>
      <c r="BK141" s="806"/>
      <c r="BL141" s="806"/>
      <c r="BM141" s="806"/>
      <c r="BN141" s="806"/>
      <c r="BO141" s="806"/>
      <c r="BP141" s="806"/>
      <c r="BQ141" s="806"/>
      <c r="BR141" s="806"/>
      <c r="BS141" s="806"/>
      <c r="BT141" s="806"/>
      <c r="BU141" s="806"/>
      <c r="BV141" s="806"/>
      <c r="BW141" s="806"/>
      <c r="BX141" s="806"/>
    </row>
    <row r="142" ht="15.75" customHeight="1">
      <c r="A142" s="811"/>
      <c r="B142" s="812" t="s">
        <v>4224</v>
      </c>
      <c r="C142" s="725" t="s">
        <v>3401</v>
      </c>
      <c r="D142" s="809"/>
      <c r="E142" s="840"/>
      <c r="F142" s="840"/>
      <c r="G142" s="840"/>
      <c r="H142" s="175"/>
      <c r="I142" s="733"/>
      <c r="J142" s="840"/>
      <c r="K142" s="112" t="s">
        <v>4226</v>
      </c>
      <c r="L142" s="840"/>
      <c r="M142" s="154"/>
      <c r="N142" s="840"/>
      <c r="O142" s="840"/>
      <c r="P142" s="840"/>
      <c r="Q142" s="840"/>
      <c r="R142" s="732"/>
      <c r="S142" s="840"/>
      <c r="T142" s="840"/>
      <c r="U142" s="840" t="s">
        <v>3401</v>
      </c>
      <c r="V142" s="840"/>
      <c r="W142" s="840"/>
      <c r="X142" s="840"/>
      <c r="Y142" s="840"/>
      <c r="Z142" s="840"/>
      <c r="AA142" s="840"/>
      <c r="AB142" s="840"/>
      <c r="AC142" s="840"/>
      <c r="AD142" s="840"/>
      <c r="AE142" s="840"/>
      <c r="AF142" s="840"/>
      <c r="AG142" s="840"/>
      <c r="AH142" s="840"/>
      <c r="AI142" s="840"/>
      <c r="AJ142" s="154"/>
      <c r="AK142" s="840"/>
      <c r="AL142" s="840"/>
      <c r="AM142" s="840"/>
      <c r="AN142" s="733"/>
      <c r="AO142" s="840"/>
      <c r="AP142" s="840"/>
      <c r="AQ142" s="154"/>
      <c r="AR142" s="840"/>
      <c r="AS142" s="840"/>
      <c r="AT142" s="840"/>
      <c r="AU142" s="733"/>
      <c r="AV142" s="840"/>
      <c r="AW142" s="154"/>
      <c r="AX142" s="840"/>
      <c r="AY142" s="840"/>
      <c r="AZ142" s="840"/>
      <c r="BA142" s="840"/>
      <c r="BB142" s="840"/>
      <c r="BC142" s="840"/>
      <c r="BD142" s="154"/>
      <c r="BE142" s="840"/>
      <c r="BF142" s="840"/>
      <c r="BG142" s="840"/>
      <c r="BH142" s="840"/>
      <c r="BI142" s="840"/>
      <c r="BJ142" s="840"/>
      <c r="BK142" s="154"/>
      <c r="BL142" s="154"/>
      <c r="BM142" s="154"/>
      <c r="BN142" s="154"/>
      <c r="BO142" s="154"/>
      <c r="BP142" s="154"/>
      <c r="BQ142" s="154"/>
      <c r="BR142" s="154"/>
      <c r="BS142" s="154"/>
      <c r="BT142" s="154"/>
      <c r="BU142" s="154"/>
      <c r="BV142" s="154"/>
      <c r="BW142" s="154"/>
      <c r="BX142" s="154"/>
    </row>
    <row r="143" ht="15.75" customHeight="1">
      <c r="A143" s="814"/>
      <c r="B143" s="816" t="s">
        <v>4231</v>
      </c>
      <c r="C143" s="725" t="s">
        <v>4234</v>
      </c>
      <c r="D143" s="401" t="s">
        <v>2561</v>
      </c>
      <c r="E143" s="144" t="s">
        <v>876</v>
      </c>
      <c r="F143" s="842" t="s">
        <v>3239</v>
      </c>
      <c r="G143" s="728" t="s">
        <v>3239</v>
      </c>
      <c r="H143" s="112" t="s">
        <v>3722</v>
      </c>
      <c r="I143" s="733"/>
      <c r="J143" s="728" t="s">
        <v>756</v>
      </c>
      <c r="K143" s="728"/>
      <c r="L143" s="728"/>
      <c r="M143" s="806"/>
      <c r="N143" s="728" t="s">
        <v>3927</v>
      </c>
      <c r="O143" s="728" t="s">
        <v>4241</v>
      </c>
      <c r="P143" s="728"/>
      <c r="Q143" s="728" t="s">
        <v>4243</v>
      </c>
      <c r="R143" s="732"/>
      <c r="S143" s="728"/>
      <c r="T143" s="728"/>
      <c r="U143" s="728"/>
      <c r="V143" s="728"/>
      <c r="W143" s="728"/>
      <c r="X143" s="728"/>
      <c r="Y143" s="728"/>
      <c r="Z143" s="728"/>
      <c r="AA143" s="728"/>
      <c r="AB143" s="728"/>
      <c r="AC143" s="728"/>
      <c r="AD143" s="728"/>
      <c r="AE143" s="728"/>
      <c r="AF143" s="728"/>
      <c r="AG143" s="728"/>
      <c r="AH143" s="728"/>
      <c r="AI143" s="728"/>
      <c r="AJ143" s="806"/>
      <c r="AK143" s="728"/>
      <c r="AL143" s="728"/>
      <c r="AM143" s="728"/>
      <c r="AN143" s="733"/>
      <c r="AO143" s="728"/>
      <c r="AP143" s="728"/>
      <c r="AQ143" s="806"/>
      <c r="AR143" s="728"/>
      <c r="AS143" s="728"/>
      <c r="AT143" s="728"/>
      <c r="AU143" s="733"/>
      <c r="AV143" s="728"/>
      <c r="AW143" s="806"/>
      <c r="AX143" s="728" t="s">
        <v>4245</v>
      </c>
      <c r="AY143" s="728"/>
      <c r="AZ143" s="728"/>
      <c r="BA143" s="728"/>
      <c r="BB143" s="728"/>
      <c r="BC143" s="728"/>
      <c r="BD143" s="806"/>
      <c r="BE143" s="728"/>
      <c r="BF143" s="728"/>
      <c r="BG143" s="728"/>
      <c r="BH143" s="728"/>
      <c r="BI143" s="728"/>
      <c r="BJ143" s="728"/>
      <c r="BK143" s="806"/>
      <c r="BL143" s="806"/>
      <c r="BM143" s="806"/>
      <c r="BN143" s="806"/>
      <c r="BO143" s="806"/>
      <c r="BP143" s="806"/>
      <c r="BQ143" s="806"/>
      <c r="BR143" s="806"/>
      <c r="BS143" s="806"/>
      <c r="BT143" s="806"/>
      <c r="BU143" s="806"/>
      <c r="BV143" s="806"/>
      <c r="BW143" s="806"/>
      <c r="BX143" s="806"/>
    </row>
    <row r="144" ht="15.75" customHeight="1">
      <c r="A144" s="804" t="s">
        <v>916</v>
      </c>
      <c r="B144" s="808" t="s">
        <v>4248</v>
      </c>
      <c r="C144" s="725" t="s">
        <v>4249</v>
      </c>
      <c r="D144" s="809"/>
      <c r="E144" s="738"/>
      <c r="F144" s="738"/>
      <c r="G144" s="738"/>
      <c r="H144" s="175"/>
      <c r="I144" s="733"/>
      <c r="J144" s="738"/>
      <c r="K144" s="738"/>
      <c r="L144" s="738" t="s">
        <v>4251</v>
      </c>
      <c r="M144" s="154"/>
      <c r="N144" s="738"/>
      <c r="O144" s="738"/>
      <c r="P144" s="738"/>
      <c r="Q144" s="738"/>
      <c r="R144" s="740"/>
      <c r="S144" s="738"/>
      <c r="T144" s="738"/>
      <c r="U144" s="738"/>
      <c r="V144" s="738"/>
      <c r="W144" s="738"/>
      <c r="X144" s="738"/>
      <c r="Y144" s="738"/>
      <c r="Z144" s="738"/>
      <c r="AA144" s="738"/>
      <c r="AB144" s="738"/>
      <c r="AC144" s="738"/>
      <c r="AD144" s="738"/>
      <c r="AE144" s="738"/>
      <c r="AF144" s="738"/>
      <c r="AG144" s="738"/>
      <c r="AH144" s="738"/>
      <c r="AI144" s="738"/>
      <c r="AJ144" s="154"/>
      <c r="AK144" s="738"/>
      <c r="AL144" s="738"/>
      <c r="AM144" s="738"/>
      <c r="AN144" s="733"/>
      <c r="AO144" s="738"/>
      <c r="AP144" s="738"/>
      <c r="AQ144" s="154"/>
      <c r="AR144" s="738"/>
      <c r="AS144" s="738"/>
      <c r="AT144" s="738"/>
      <c r="AU144" s="733"/>
      <c r="AV144" s="738"/>
      <c r="AW144" s="154"/>
      <c r="AX144" s="738"/>
      <c r="AY144" s="738"/>
      <c r="AZ144" s="738"/>
      <c r="BA144" s="738"/>
      <c r="BB144" s="738"/>
      <c r="BC144" s="738"/>
      <c r="BD144" s="154"/>
      <c r="BE144" s="738"/>
      <c r="BF144" s="738"/>
      <c r="BG144" s="738"/>
      <c r="BH144" s="738"/>
      <c r="BI144" s="738"/>
      <c r="BJ144" s="738"/>
      <c r="BK144" s="154"/>
      <c r="BL144" s="154"/>
      <c r="BM144" s="154"/>
      <c r="BN144" s="154"/>
      <c r="BO144" s="154"/>
      <c r="BP144" s="154"/>
      <c r="BQ144" s="154"/>
      <c r="BR144" s="154"/>
      <c r="BS144" s="154"/>
      <c r="BT144" s="154"/>
      <c r="BU144" s="154"/>
      <c r="BV144" s="154"/>
      <c r="BW144" s="154"/>
      <c r="BX144" s="154"/>
    </row>
    <row r="145" ht="15.75" customHeight="1">
      <c r="A145" s="811"/>
      <c r="B145" s="812" t="s">
        <v>4255</v>
      </c>
      <c r="C145" s="725" t="s">
        <v>4256</v>
      </c>
      <c r="D145" s="173"/>
      <c r="F145" s="738"/>
      <c r="G145" s="738"/>
      <c r="H145" s="112" t="s">
        <v>4257</v>
      </c>
      <c r="I145" s="733"/>
      <c r="J145" s="738"/>
      <c r="K145" s="112" t="s">
        <v>4259</v>
      </c>
      <c r="L145" s="738"/>
      <c r="M145" s="806"/>
      <c r="N145" s="738" t="s">
        <v>3928</v>
      </c>
      <c r="O145" s="738"/>
      <c r="P145" s="738"/>
      <c r="Q145" s="112" t="s">
        <v>898</v>
      </c>
      <c r="R145" s="740" t="s">
        <v>3530</v>
      </c>
      <c r="S145" s="738"/>
      <c r="T145" s="738"/>
      <c r="U145" s="738"/>
      <c r="V145" s="738"/>
      <c r="W145" s="738"/>
      <c r="X145" s="738"/>
      <c r="Y145" s="738"/>
      <c r="Z145" s="738"/>
      <c r="AA145" s="738"/>
      <c r="AB145" s="738"/>
      <c r="AC145" s="738"/>
      <c r="AD145" s="738"/>
      <c r="AE145" s="738"/>
      <c r="AF145" s="738"/>
      <c r="AG145" s="738"/>
      <c r="AH145" s="738"/>
      <c r="AI145" s="738"/>
      <c r="AJ145" s="806"/>
      <c r="AK145" s="738"/>
      <c r="AL145" s="738"/>
      <c r="AM145" s="738"/>
      <c r="AN145" s="733"/>
      <c r="AO145" s="738"/>
      <c r="AP145" s="738"/>
      <c r="AQ145" s="806"/>
      <c r="AR145" s="738"/>
      <c r="AS145" s="738"/>
      <c r="AT145" s="738"/>
      <c r="AU145" s="733"/>
      <c r="AV145" s="738"/>
      <c r="AW145" s="806"/>
      <c r="AX145" s="738"/>
      <c r="AY145" s="738"/>
      <c r="AZ145" s="738"/>
      <c r="BA145" s="738"/>
      <c r="BB145" s="738"/>
      <c r="BC145" s="738"/>
      <c r="BD145" s="806"/>
      <c r="BE145" s="738"/>
      <c r="BF145" s="738"/>
      <c r="BG145" s="738"/>
      <c r="BH145" s="738"/>
      <c r="BI145" s="738"/>
      <c r="BJ145" s="738"/>
      <c r="BK145" s="806"/>
      <c r="BL145" s="806"/>
      <c r="BM145" s="806"/>
      <c r="BN145" s="806"/>
      <c r="BO145" s="806"/>
      <c r="BP145" s="806"/>
      <c r="BQ145" s="806"/>
      <c r="BR145" s="806"/>
      <c r="BS145" s="806"/>
      <c r="BT145" s="806"/>
      <c r="BU145" s="806"/>
      <c r="BV145" s="806"/>
      <c r="BW145" s="806"/>
      <c r="BX145" s="806"/>
    </row>
    <row r="146" ht="15.75" customHeight="1">
      <c r="A146" s="814"/>
      <c r="B146" s="816" t="s">
        <v>4265</v>
      </c>
      <c r="C146" s="83" t="s">
        <v>1568</v>
      </c>
      <c r="D146" s="173"/>
      <c r="F146" s="738"/>
      <c r="G146" s="738"/>
      <c r="H146" s="175"/>
      <c r="I146" s="365" t="s">
        <v>4266</v>
      </c>
      <c r="J146" s="738"/>
      <c r="K146" s="175"/>
      <c r="L146" s="738"/>
      <c r="M146" s="806"/>
      <c r="N146" s="738"/>
      <c r="O146" s="738"/>
      <c r="P146" s="738"/>
      <c r="Q146" s="175"/>
      <c r="R146" s="740"/>
      <c r="S146" s="738"/>
      <c r="T146" s="738"/>
      <c r="U146" s="738"/>
      <c r="V146" s="738"/>
      <c r="W146" s="738"/>
      <c r="X146" s="738"/>
      <c r="Y146" s="738"/>
      <c r="Z146" s="738"/>
      <c r="AA146" s="738"/>
      <c r="AB146" s="738"/>
      <c r="AC146" s="738"/>
      <c r="AD146" s="738"/>
      <c r="AE146" s="738"/>
      <c r="AF146" s="738"/>
      <c r="AG146" s="738"/>
      <c r="AH146" s="738"/>
      <c r="AI146" s="738"/>
      <c r="AJ146" s="806"/>
      <c r="AK146" s="738"/>
      <c r="AL146" s="738"/>
      <c r="AM146" s="738"/>
      <c r="AN146" s="733"/>
      <c r="AO146" s="738"/>
      <c r="AP146" s="738"/>
      <c r="AQ146" s="806"/>
      <c r="AR146" s="738"/>
      <c r="AS146" s="738"/>
      <c r="AT146" s="738"/>
      <c r="AU146" s="733"/>
      <c r="AV146" s="738"/>
      <c r="AW146" s="806"/>
      <c r="AX146" s="738"/>
      <c r="AY146" s="738"/>
      <c r="AZ146" s="738"/>
      <c r="BA146" s="738"/>
      <c r="BB146" s="738"/>
      <c r="BC146" s="738"/>
      <c r="BD146" s="806"/>
      <c r="BE146" s="738"/>
      <c r="BF146" s="738"/>
      <c r="BG146" s="738"/>
      <c r="BH146" s="738"/>
      <c r="BI146" s="738"/>
      <c r="BJ146" s="738"/>
      <c r="BK146" s="806"/>
      <c r="BL146" s="806"/>
      <c r="BM146" s="806"/>
      <c r="BN146" s="806"/>
      <c r="BO146" s="806"/>
      <c r="BP146" s="806"/>
      <c r="BQ146" s="806"/>
      <c r="BR146" s="806"/>
      <c r="BS146" s="806"/>
      <c r="BT146" s="806"/>
      <c r="BU146" s="806"/>
      <c r="BV146" s="806"/>
      <c r="BW146" s="806"/>
      <c r="BX146" s="806"/>
    </row>
    <row r="147" ht="15.75" customHeight="1">
      <c r="A147" s="811"/>
      <c r="B147" s="812" t="s">
        <v>4271</v>
      </c>
      <c r="C147" s="252" t="s">
        <v>4272</v>
      </c>
      <c r="D147" s="90" t="s">
        <v>4272</v>
      </c>
      <c r="E147" s="144" t="s">
        <v>1999</v>
      </c>
      <c r="F147" s="738"/>
      <c r="G147" s="738"/>
      <c r="H147" s="175"/>
      <c r="I147" s="365" t="s">
        <v>4275</v>
      </c>
      <c r="J147" s="738"/>
      <c r="K147" s="175"/>
      <c r="L147" s="738"/>
      <c r="M147" s="806"/>
      <c r="N147" s="738"/>
      <c r="O147" s="738"/>
      <c r="P147" s="738"/>
      <c r="Q147" s="175"/>
      <c r="R147" s="740"/>
      <c r="S147" s="738"/>
      <c r="T147" s="738"/>
      <c r="U147" s="738"/>
      <c r="V147" s="738"/>
      <c r="W147" s="738"/>
      <c r="X147" s="738"/>
      <c r="Y147" s="738"/>
      <c r="Z147" s="738"/>
      <c r="AA147" s="738"/>
      <c r="AB147" s="738"/>
      <c r="AC147" s="738"/>
      <c r="AD147" s="738"/>
      <c r="AE147" s="738"/>
      <c r="AF147" s="738"/>
      <c r="AG147" s="738"/>
      <c r="AH147" s="738"/>
      <c r="AI147" s="738"/>
      <c r="AJ147" s="806"/>
      <c r="AK147" s="738"/>
      <c r="AL147" s="738"/>
      <c r="AM147" s="738"/>
      <c r="AN147" s="733"/>
      <c r="AO147" s="738"/>
      <c r="AP147" s="738"/>
      <c r="AQ147" s="806"/>
      <c r="AR147" s="738"/>
      <c r="AS147" s="738"/>
      <c r="AT147" s="738"/>
      <c r="AU147" s="733"/>
      <c r="AV147" s="738"/>
      <c r="AW147" s="806"/>
      <c r="AX147" s="738"/>
      <c r="AY147" s="738"/>
      <c r="AZ147" s="738"/>
      <c r="BA147" s="738"/>
      <c r="BB147" s="738"/>
      <c r="BC147" s="738"/>
      <c r="BD147" s="806"/>
      <c r="BE147" s="738"/>
      <c r="BF147" s="738"/>
      <c r="BG147" s="738"/>
      <c r="BH147" s="738"/>
      <c r="BI147" s="738"/>
      <c r="BJ147" s="738"/>
      <c r="BK147" s="806"/>
      <c r="BL147" s="806"/>
      <c r="BM147" s="806"/>
      <c r="BN147" s="806"/>
      <c r="BO147" s="806"/>
      <c r="BP147" s="806"/>
      <c r="BQ147" s="806"/>
      <c r="BR147" s="806"/>
      <c r="BS147" s="806"/>
      <c r="BT147" s="806"/>
      <c r="BU147" s="806"/>
      <c r="BV147" s="806"/>
      <c r="BW147" s="806"/>
      <c r="BX147" s="806"/>
    </row>
    <row r="148" ht="15.75" customHeight="1">
      <c r="A148" s="804" t="s">
        <v>974</v>
      </c>
      <c r="B148" s="808" t="s">
        <v>4280</v>
      </c>
      <c r="C148" s="725" t="str">
        <f>HYPERLINK("https://youtu.be/KomZysL4CgE","1:10.59")</f>
        <v>1:10.59</v>
      </c>
      <c r="D148" s="809"/>
      <c r="E148" s="738"/>
      <c r="F148" s="738"/>
      <c r="G148" s="738"/>
      <c r="H148" s="175"/>
      <c r="I148" s="733"/>
      <c r="J148" s="738"/>
      <c r="K148" s="738"/>
      <c r="L148" s="738"/>
      <c r="M148" s="154"/>
      <c r="N148" s="738"/>
      <c r="O148" s="738"/>
      <c r="P148" s="738" t="str">
        <f>HYPERLINK("https://youtu.be/KomZysL4CgE","1:10.59")</f>
        <v>1:10.59</v>
      </c>
      <c r="Q148" s="738"/>
      <c r="R148" s="740"/>
      <c r="S148" s="738"/>
      <c r="T148" s="738"/>
      <c r="U148" s="738"/>
      <c r="V148" s="738"/>
      <c r="W148" s="738"/>
      <c r="X148" s="738"/>
      <c r="Y148" s="738"/>
      <c r="Z148" s="738"/>
      <c r="AA148" s="738"/>
      <c r="AB148" s="738"/>
      <c r="AC148" s="738"/>
      <c r="AD148" s="738"/>
      <c r="AE148" s="738"/>
      <c r="AF148" s="738"/>
      <c r="AG148" s="738"/>
      <c r="AH148" s="738"/>
      <c r="AI148" s="738"/>
      <c r="AJ148" s="154"/>
      <c r="AK148" s="738"/>
      <c r="AL148" s="738"/>
      <c r="AM148" s="738"/>
      <c r="AN148" s="733"/>
      <c r="AO148" s="738"/>
      <c r="AP148" s="738"/>
      <c r="AQ148" s="154"/>
      <c r="AR148" s="738"/>
      <c r="AS148" s="738"/>
      <c r="AT148" s="738"/>
      <c r="AU148" s="733"/>
      <c r="AV148" s="738"/>
      <c r="AW148" s="154"/>
      <c r="AX148" s="738"/>
      <c r="AY148" s="738"/>
      <c r="AZ148" s="738"/>
      <c r="BA148" s="738"/>
      <c r="BB148" s="738"/>
      <c r="BC148" s="738"/>
      <c r="BD148" s="154"/>
      <c r="BE148" s="738"/>
      <c r="BF148" s="738"/>
      <c r="BG148" s="738"/>
      <c r="BH148" s="738"/>
      <c r="BI148" s="738"/>
      <c r="BJ148" s="738"/>
      <c r="BK148" s="154"/>
      <c r="BL148" s="154"/>
      <c r="BM148" s="154"/>
      <c r="BN148" s="154"/>
      <c r="BO148" s="154"/>
      <c r="BP148" s="154"/>
      <c r="BQ148" s="154"/>
      <c r="BR148" s="154"/>
      <c r="BS148" s="154"/>
      <c r="BT148" s="154"/>
      <c r="BU148" s="154"/>
      <c r="BV148" s="154"/>
      <c r="BW148" s="154"/>
      <c r="BX148" s="154"/>
    </row>
    <row r="149" ht="15.75" customHeight="1">
      <c r="A149" s="811"/>
      <c r="B149" s="812" t="s">
        <v>4286</v>
      </c>
      <c r="C149" s="725" t="s">
        <v>4287</v>
      </c>
      <c r="D149" s="90" t="s">
        <v>4288</v>
      </c>
      <c r="E149" s="144" t="s">
        <v>4287</v>
      </c>
      <c r="F149" s="738"/>
      <c r="G149" s="738"/>
      <c r="H149" s="112" t="s">
        <v>2534</v>
      </c>
      <c r="I149" s="733"/>
      <c r="J149" s="738"/>
      <c r="K149" s="738"/>
      <c r="L149" s="738"/>
      <c r="M149" s="806"/>
      <c r="N149" s="738"/>
      <c r="O149" s="738"/>
      <c r="P149" s="738"/>
      <c r="Q149" s="738"/>
      <c r="R149" s="740"/>
      <c r="S149" s="738"/>
      <c r="T149" s="738"/>
      <c r="U149" s="738"/>
      <c r="V149" s="738"/>
      <c r="W149" s="738"/>
      <c r="X149" s="738"/>
      <c r="Y149" s="738"/>
      <c r="Z149" s="738"/>
      <c r="AA149" s="738"/>
      <c r="AB149" s="738"/>
      <c r="AC149" s="738"/>
      <c r="AD149" s="738"/>
      <c r="AE149" s="738"/>
      <c r="AF149" s="738"/>
      <c r="AG149" s="738"/>
      <c r="AH149" s="738"/>
      <c r="AI149" s="738"/>
      <c r="AJ149" s="806"/>
      <c r="AK149" s="738"/>
      <c r="AL149" s="738"/>
      <c r="AM149" s="738"/>
      <c r="AN149" s="733"/>
      <c r="AO149" s="738"/>
      <c r="AP149" s="738"/>
      <c r="AQ149" s="806"/>
      <c r="AR149" s="738"/>
      <c r="AS149" s="738"/>
      <c r="AT149" s="738"/>
      <c r="AU149" s="733"/>
      <c r="AV149" s="738"/>
      <c r="AW149" s="806"/>
      <c r="AX149" s="738"/>
      <c r="AY149" s="738"/>
      <c r="AZ149" s="738"/>
      <c r="BA149" s="738"/>
      <c r="BB149" s="738"/>
      <c r="BC149" s="738"/>
      <c r="BD149" s="806"/>
      <c r="BE149" s="738"/>
      <c r="BF149" s="738"/>
      <c r="BG149" s="738"/>
      <c r="BH149" s="738"/>
      <c r="BI149" s="738"/>
      <c r="BJ149" s="738"/>
      <c r="BK149" s="806"/>
      <c r="BL149" s="806"/>
      <c r="BM149" s="806"/>
      <c r="BN149" s="806"/>
      <c r="BO149" s="806"/>
      <c r="BP149" s="806"/>
      <c r="BQ149" s="806"/>
      <c r="BR149" s="806"/>
      <c r="BS149" s="806"/>
      <c r="BT149" s="806"/>
      <c r="BU149" s="806"/>
      <c r="BV149" s="806"/>
      <c r="BW149" s="806"/>
      <c r="BX149" s="806"/>
    </row>
    <row r="150" ht="15.75" customHeight="1">
      <c r="A150" s="821" t="s">
        <v>320</v>
      </c>
      <c r="B150" s="818" t="s">
        <v>4280</v>
      </c>
      <c r="C150" s="725" t="s">
        <v>4296</v>
      </c>
      <c r="D150" s="809"/>
      <c r="E150" s="728" t="s">
        <v>4299</v>
      </c>
      <c r="F150" s="728" t="s">
        <v>4296</v>
      </c>
      <c r="G150" s="728"/>
      <c r="H150" s="112" t="s">
        <v>4300</v>
      </c>
      <c r="I150" s="733"/>
      <c r="J150" s="728"/>
      <c r="K150" s="728"/>
      <c r="L150" s="728" t="s">
        <v>1608</v>
      </c>
      <c r="M150" s="147" t="s">
        <v>4304</v>
      </c>
      <c r="N150" s="728"/>
      <c r="O150" s="728" t="s">
        <v>2488</v>
      </c>
      <c r="P150" s="728" t="s">
        <v>2819</v>
      </c>
      <c r="Q150" s="728"/>
      <c r="R150" s="732"/>
      <c r="S150" s="728"/>
      <c r="T150" s="728"/>
      <c r="U150" s="728"/>
      <c r="V150" s="728"/>
      <c r="W150" s="728"/>
      <c r="X150" s="728"/>
      <c r="Y150" s="728"/>
      <c r="Z150" s="728" t="s">
        <v>4306</v>
      </c>
      <c r="AA150" s="728"/>
      <c r="AB150" s="728"/>
      <c r="AC150" s="728"/>
      <c r="AD150" s="728"/>
      <c r="AE150" s="728"/>
      <c r="AF150" s="728"/>
      <c r="AG150" s="728" t="s">
        <v>865</v>
      </c>
      <c r="AH150" s="728"/>
      <c r="AI150" s="728"/>
      <c r="AJ150" s="154"/>
      <c r="AK150" s="728"/>
      <c r="AL150" s="728"/>
      <c r="AM150" s="728"/>
      <c r="AN150" s="733"/>
      <c r="AO150" s="728"/>
      <c r="AP150" s="728"/>
      <c r="AQ150" s="154"/>
      <c r="AR150" s="728"/>
      <c r="AS150" s="728"/>
      <c r="AT150" s="728"/>
      <c r="AU150" s="733"/>
      <c r="AV150" s="728"/>
      <c r="AW150" s="154"/>
      <c r="AX150" s="728" t="s">
        <v>4309</v>
      </c>
      <c r="AY150" s="728"/>
      <c r="AZ150" s="728"/>
      <c r="BA150" s="728"/>
      <c r="BB150" s="728"/>
      <c r="BC150" s="728"/>
      <c r="BD150" s="154"/>
      <c r="BE150" s="728"/>
      <c r="BF150" s="728"/>
      <c r="BG150" s="728"/>
      <c r="BH150" s="728"/>
      <c r="BI150" s="728"/>
      <c r="BJ150" s="728"/>
      <c r="BK150" s="154"/>
      <c r="BL150" s="154"/>
      <c r="BM150" s="154"/>
      <c r="BN150" s="154"/>
      <c r="BO150" s="154"/>
      <c r="BP150" s="154"/>
      <c r="BQ150" s="154"/>
      <c r="BR150" s="154"/>
      <c r="BS150" s="154"/>
      <c r="BT150" s="154"/>
      <c r="BU150" s="154"/>
      <c r="BV150" s="154"/>
      <c r="BW150" s="154"/>
      <c r="BX150" s="154"/>
    </row>
    <row r="151" ht="15.75" customHeight="1">
      <c r="A151" s="811"/>
      <c r="B151" s="812" t="s">
        <v>4286</v>
      </c>
      <c r="C151" s="725" t="s">
        <v>4311</v>
      </c>
      <c r="D151" s="272" t="s">
        <v>4314</v>
      </c>
      <c r="E151" s="131" t="s">
        <v>2235</v>
      </c>
      <c r="F151" s="728" t="s">
        <v>4315</v>
      </c>
      <c r="G151" s="742" t="s">
        <v>461</v>
      </c>
      <c r="H151" s="112" t="s">
        <v>3958</v>
      </c>
      <c r="I151" s="729" t="s">
        <v>4316</v>
      </c>
      <c r="J151" s="728" t="str">
        <f>HYPERLINK("https://youtu.be/NPrbRwZDn1I","27.54")</f>
        <v>27.54</v>
      </c>
      <c r="K151" s="728" t="s">
        <v>1697</v>
      </c>
      <c r="L151" s="728" t="s">
        <v>3957</v>
      </c>
      <c r="M151" s="823" t="s">
        <v>4319</v>
      </c>
      <c r="N151" s="728"/>
      <c r="O151" s="728" t="s">
        <v>4315</v>
      </c>
      <c r="P151" s="728" t="str">
        <f>HYPERLINK("https://youtu.be/gwRV1gD1ndo","27.79")</f>
        <v>27.79</v>
      </c>
      <c r="Q151" s="728" t="s">
        <v>4323</v>
      </c>
      <c r="R151" s="732" t="s">
        <v>1461</v>
      </c>
      <c r="S151" s="728" t="s">
        <v>1264</v>
      </c>
      <c r="T151" s="728"/>
      <c r="U151" s="728"/>
      <c r="V151" s="112" t="s">
        <v>1212</v>
      </c>
      <c r="W151" s="728"/>
      <c r="X151" s="728" t="s">
        <v>4325</v>
      </c>
      <c r="Y151" s="728"/>
      <c r="Z151" s="728" t="s">
        <v>1408</v>
      </c>
      <c r="AA151" s="728"/>
      <c r="AB151" s="728"/>
      <c r="AC151" s="728"/>
      <c r="AD151" s="728"/>
      <c r="AE151" s="728"/>
      <c r="AF151" s="728"/>
      <c r="AG151" s="728"/>
      <c r="AH151" s="728"/>
      <c r="AI151" s="728"/>
      <c r="AJ151" s="806"/>
      <c r="AK151" s="728" t="s">
        <v>2541</v>
      </c>
      <c r="AL151" s="728"/>
      <c r="AM151" s="728"/>
      <c r="AN151" s="733"/>
      <c r="AO151" s="728"/>
      <c r="AP151" s="728"/>
      <c r="AQ151" s="806"/>
      <c r="AR151" s="728"/>
      <c r="AS151" s="728"/>
      <c r="AT151" s="728"/>
      <c r="AU151" s="733"/>
      <c r="AV151" s="728"/>
      <c r="AW151" s="806"/>
      <c r="AX151" s="728"/>
      <c r="AY151" s="728"/>
      <c r="AZ151" s="728"/>
      <c r="BA151" s="728"/>
      <c r="BB151" s="728"/>
      <c r="BC151" s="728"/>
      <c r="BD151" s="806"/>
      <c r="BE151" s="728"/>
      <c r="BF151" s="728"/>
      <c r="BG151" s="728"/>
      <c r="BH151" s="728"/>
      <c r="BI151" s="728"/>
      <c r="BJ151" s="728"/>
      <c r="BK151" s="806"/>
      <c r="BL151" s="806"/>
      <c r="BM151" s="806"/>
      <c r="BN151" s="806"/>
      <c r="BO151" s="806"/>
      <c r="BP151" s="806"/>
      <c r="BQ151" s="813" t="s">
        <v>507</v>
      </c>
      <c r="BR151" s="806"/>
      <c r="BS151" s="806"/>
      <c r="BT151" s="806"/>
      <c r="BU151" s="806"/>
      <c r="BV151" s="806"/>
      <c r="BW151" s="806"/>
      <c r="BX151" s="806"/>
    </row>
    <row r="152" ht="15.75" customHeight="1">
      <c r="A152" s="821" t="s">
        <v>410</v>
      </c>
      <c r="B152" s="818" t="s">
        <v>146</v>
      </c>
      <c r="C152" s="725" t="s">
        <v>4328</v>
      </c>
      <c r="D152" s="819" t="s">
        <v>4329</v>
      </c>
      <c r="E152" s="840"/>
      <c r="F152" s="840"/>
      <c r="G152" s="840"/>
      <c r="H152" s="112" t="s">
        <v>4331</v>
      </c>
      <c r="I152" s="729" t="s">
        <v>4332</v>
      </c>
      <c r="J152" s="840"/>
      <c r="K152" s="840"/>
      <c r="L152" s="840"/>
      <c r="M152" s="154"/>
      <c r="N152" s="840"/>
      <c r="O152" s="840"/>
      <c r="P152" s="840"/>
      <c r="Q152" s="365" t="s">
        <v>4328</v>
      </c>
      <c r="R152" s="732"/>
      <c r="S152" s="840"/>
      <c r="T152" s="840"/>
      <c r="U152" s="840"/>
      <c r="V152" s="840"/>
      <c r="W152" s="840"/>
      <c r="X152" s="840"/>
      <c r="Y152" s="840"/>
      <c r="Z152" s="840"/>
      <c r="AA152" s="840"/>
      <c r="AB152" s="840"/>
      <c r="AC152" s="840"/>
      <c r="AD152" s="840"/>
      <c r="AE152" s="840"/>
      <c r="AF152" s="840"/>
      <c r="AG152" s="840"/>
      <c r="AH152" s="840"/>
      <c r="AI152" s="840" t="s">
        <v>4325</v>
      </c>
      <c r="AJ152" s="154"/>
      <c r="AK152" s="840"/>
      <c r="AL152" s="840"/>
      <c r="AM152" s="840"/>
      <c r="AN152" s="733"/>
      <c r="AO152" s="840"/>
      <c r="AP152" s="840"/>
      <c r="AQ152" s="154"/>
      <c r="AR152" s="840"/>
      <c r="AS152" s="840"/>
      <c r="AT152" s="840"/>
      <c r="AU152" s="733"/>
      <c r="AV152" s="840"/>
      <c r="AW152" s="154"/>
      <c r="AX152" s="840"/>
      <c r="AY152" s="840"/>
      <c r="AZ152" s="840"/>
      <c r="BA152" s="840"/>
      <c r="BB152" s="840"/>
      <c r="BC152" s="840"/>
      <c r="BD152" s="154"/>
      <c r="BE152" s="840"/>
      <c r="BF152" s="840"/>
      <c r="BG152" s="840"/>
      <c r="BH152" s="840"/>
      <c r="BI152" s="840"/>
      <c r="BJ152" s="840"/>
      <c r="BK152" s="154"/>
      <c r="BL152" s="154"/>
      <c r="BM152" s="154"/>
      <c r="BN152" s="154"/>
      <c r="BO152" s="154"/>
      <c r="BP152" s="154"/>
      <c r="BQ152" s="154"/>
      <c r="BR152" s="154"/>
      <c r="BS152" s="154"/>
      <c r="BT152" s="154"/>
      <c r="BU152" s="154"/>
      <c r="BV152" s="154"/>
      <c r="BW152" s="154"/>
      <c r="BX152" s="154"/>
    </row>
    <row r="153" ht="15.75" customHeight="1">
      <c r="A153" s="821" t="s">
        <v>4335</v>
      </c>
      <c r="B153" s="822" t="s">
        <v>4336</v>
      </c>
      <c r="C153" s="725" t="s">
        <v>4337</v>
      </c>
      <c r="D153" s="173"/>
      <c r="E153" s="728" t="s">
        <v>4340</v>
      </c>
      <c r="F153" s="728" t="s">
        <v>4337</v>
      </c>
      <c r="G153" s="728"/>
      <c r="H153" s="175"/>
      <c r="I153" s="733"/>
      <c r="J153" s="728" t="s">
        <v>4342</v>
      </c>
      <c r="K153" s="728" t="s">
        <v>4343</v>
      </c>
      <c r="L153" s="728"/>
      <c r="M153" s="806"/>
      <c r="N153" s="728" t="s">
        <v>3934</v>
      </c>
      <c r="O153" s="728"/>
      <c r="P153" s="728" t="s">
        <v>3322</v>
      </c>
      <c r="Q153" s="728"/>
      <c r="R153" s="732"/>
      <c r="S153" s="728"/>
      <c r="T153" s="728"/>
      <c r="U153" s="728"/>
      <c r="V153" s="728"/>
      <c r="W153" s="728" t="s">
        <v>3024</v>
      </c>
      <c r="X153" s="728" t="s">
        <v>4345</v>
      </c>
      <c r="Y153" s="728"/>
      <c r="Z153" s="728"/>
      <c r="AA153" s="728"/>
      <c r="AB153" s="728"/>
      <c r="AC153" s="728"/>
      <c r="AD153" s="728"/>
      <c r="AE153" s="728"/>
      <c r="AF153" s="728"/>
      <c r="AG153" s="728"/>
      <c r="AH153" s="728"/>
      <c r="AI153" s="728"/>
      <c r="AJ153" s="806"/>
      <c r="AK153" s="728"/>
      <c r="AL153" s="728" t="s">
        <v>1245</v>
      </c>
      <c r="AM153" s="728"/>
      <c r="AN153" s="733"/>
      <c r="AO153" s="728"/>
      <c r="AP153" s="728"/>
      <c r="AQ153" s="806"/>
      <c r="AR153" s="728"/>
      <c r="AS153" s="728"/>
      <c r="AT153" s="728"/>
      <c r="AU153" s="733"/>
      <c r="AV153" s="728"/>
      <c r="AW153" s="806"/>
      <c r="AX153" s="728"/>
      <c r="AY153" s="728"/>
      <c r="AZ153" s="728"/>
      <c r="BA153" s="728"/>
      <c r="BB153" s="728"/>
      <c r="BC153" s="728"/>
      <c r="BD153" s="806"/>
      <c r="BE153" s="728"/>
      <c r="BF153" s="728"/>
      <c r="BG153" s="728" t="s">
        <v>4349</v>
      </c>
      <c r="BH153" s="728"/>
      <c r="BI153" s="728"/>
      <c r="BJ153" s="728"/>
      <c r="BK153" s="806"/>
      <c r="BL153" s="806"/>
      <c r="BM153" s="806"/>
      <c r="BN153" s="806"/>
      <c r="BO153" s="806"/>
      <c r="BP153" s="806"/>
      <c r="BQ153" s="806"/>
      <c r="BR153" s="806"/>
      <c r="BS153" s="806"/>
      <c r="BT153" s="806"/>
      <c r="BU153" s="806"/>
      <c r="BV153" s="806"/>
      <c r="BW153" s="806"/>
      <c r="BX153" s="806"/>
    </row>
    <row r="154" ht="15.75" customHeight="1">
      <c r="A154" s="811"/>
      <c r="B154" s="812" t="s">
        <v>4351</v>
      </c>
      <c r="C154" s="725" t="s">
        <v>4352</v>
      </c>
      <c r="D154" s="809"/>
      <c r="E154" s="738"/>
      <c r="F154" s="738"/>
      <c r="G154" s="738"/>
      <c r="H154" s="175"/>
      <c r="I154" s="733"/>
      <c r="J154" s="738"/>
      <c r="K154" s="738"/>
      <c r="L154" s="738" t="s">
        <v>4354</v>
      </c>
      <c r="M154" s="154"/>
      <c r="N154" s="738"/>
      <c r="O154" s="738"/>
      <c r="P154" s="738"/>
      <c r="Q154" s="738" t="s">
        <v>4352</v>
      </c>
      <c r="R154" s="740"/>
      <c r="S154" s="738"/>
      <c r="T154" s="738"/>
      <c r="U154" s="738"/>
      <c r="V154" s="738"/>
      <c r="W154" s="738"/>
      <c r="X154" s="738"/>
      <c r="Y154" s="738"/>
      <c r="Z154" s="738"/>
      <c r="AA154" s="738"/>
      <c r="AB154" s="738"/>
      <c r="AC154" s="738"/>
      <c r="AD154" s="738"/>
      <c r="AE154" s="738"/>
      <c r="AF154" s="738"/>
      <c r="AG154" s="738"/>
      <c r="AH154" s="738"/>
      <c r="AI154" s="738"/>
      <c r="AJ154" s="154"/>
      <c r="AK154" s="738"/>
      <c r="AL154" s="738"/>
      <c r="AM154" s="738"/>
      <c r="AN154" s="733"/>
      <c r="AO154" s="738"/>
      <c r="AP154" s="738"/>
      <c r="AQ154" s="154"/>
      <c r="AR154" s="738"/>
      <c r="AS154" s="738"/>
      <c r="AT154" s="738"/>
      <c r="AU154" s="733"/>
      <c r="AV154" s="738"/>
      <c r="AW154" s="154"/>
      <c r="AX154" s="738"/>
      <c r="AY154" s="738"/>
      <c r="AZ154" s="738"/>
      <c r="BA154" s="738"/>
      <c r="BB154" s="738"/>
      <c r="BC154" s="738"/>
      <c r="BD154" s="154"/>
      <c r="BE154" s="738"/>
      <c r="BF154" s="738"/>
      <c r="BG154" s="738"/>
      <c r="BH154" s="738"/>
      <c r="BI154" s="738"/>
      <c r="BJ154" s="738"/>
      <c r="BK154" s="154"/>
      <c r="BL154" s="154"/>
      <c r="BM154" s="154"/>
      <c r="BN154" s="154"/>
      <c r="BO154" s="154"/>
      <c r="BP154" s="154"/>
      <c r="BQ154" s="154"/>
      <c r="BR154" s="154"/>
      <c r="BS154" s="154"/>
      <c r="BT154" s="154"/>
      <c r="BU154" s="154"/>
      <c r="BV154" s="154"/>
      <c r="BW154" s="154"/>
      <c r="BX154" s="154"/>
    </row>
    <row r="155" ht="15.75" customHeight="1">
      <c r="A155" s="814"/>
      <c r="B155" s="816" t="s">
        <v>4357</v>
      </c>
      <c r="C155" s="252" t="s">
        <v>4358</v>
      </c>
      <c r="D155" s="90" t="s">
        <v>4358</v>
      </c>
      <c r="E155" s="398" t="s">
        <v>4359</v>
      </c>
      <c r="F155" s="112" t="s">
        <v>1163</v>
      </c>
      <c r="G155" s="112" t="s">
        <v>4360</v>
      </c>
      <c r="H155" s="175"/>
      <c r="I155" s="733"/>
      <c r="J155" s="112" t="s">
        <v>2057</v>
      </c>
      <c r="K155" s="112" t="s">
        <v>4361</v>
      </c>
      <c r="L155" s="175" t="s">
        <v>4362</v>
      </c>
      <c r="M155" s="806"/>
      <c r="N155" s="175"/>
      <c r="O155" s="175"/>
      <c r="P155" s="175"/>
      <c r="Q155" s="175"/>
      <c r="R155" s="732"/>
      <c r="S155" s="175"/>
      <c r="T155" s="112" t="s">
        <v>2630</v>
      </c>
      <c r="U155" s="175"/>
      <c r="V155" s="175"/>
      <c r="W155" s="175"/>
      <c r="X155" s="175"/>
      <c r="Y155" s="175"/>
      <c r="Z155" s="175"/>
      <c r="AA155" s="175"/>
      <c r="AB155" s="175"/>
      <c r="AC155" s="175"/>
      <c r="AD155" s="175"/>
      <c r="AE155" s="175"/>
      <c r="AF155" s="175"/>
      <c r="AG155" s="175"/>
      <c r="AH155" s="175"/>
      <c r="AI155" s="175"/>
      <c r="AJ155" s="806"/>
      <c r="AK155" s="175"/>
      <c r="AL155" s="175"/>
      <c r="AM155" s="175"/>
      <c r="AN155" s="733"/>
      <c r="AO155" s="175"/>
      <c r="AP155" s="175"/>
      <c r="AQ155" s="806"/>
      <c r="AR155" s="175"/>
      <c r="AS155" s="112" t="str">
        <f>HYPERLINK("https://youtu.be/_0JbK5D6GCQ","1:25.92")</f>
        <v>1:25.92</v>
      </c>
      <c r="AT155" s="175"/>
      <c r="AU155" s="733"/>
      <c r="AV155" s="175"/>
      <c r="AW155" s="806"/>
      <c r="AX155" s="175"/>
      <c r="AY155" s="175"/>
      <c r="AZ155" s="858" t="s">
        <v>4364</v>
      </c>
      <c r="BA155" s="175"/>
      <c r="BB155" s="175"/>
      <c r="BC155" s="175"/>
      <c r="BD155" s="806"/>
      <c r="BE155" s="175"/>
      <c r="BF155" s="175"/>
      <c r="BG155" s="175"/>
      <c r="BH155" s="175"/>
      <c r="BI155" s="175"/>
      <c r="BJ155" s="175"/>
      <c r="BK155" s="806"/>
      <c r="BL155" s="806"/>
      <c r="BM155" s="806"/>
      <c r="BN155" s="806"/>
      <c r="BO155" s="806"/>
      <c r="BP155" s="806"/>
      <c r="BQ155" s="806"/>
      <c r="BR155" s="806"/>
      <c r="BS155" s="806"/>
      <c r="BT155" s="806"/>
      <c r="BU155" s="806"/>
      <c r="BV155" s="806"/>
      <c r="BW155" s="806"/>
      <c r="BX155" s="806"/>
    </row>
    <row r="156" ht="15.75" customHeight="1">
      <c r="A156" s="811"/>
      <c r="B156" s="812" t="s">
        <v>4367</v>
      </c>
      <c r="C156" s="83" t="s">
        <v>4368</v>
      </c>
      <c r="D156" s="809"/>
      <c r="E156" s="131" t="s">
        <v>4369</v>
      </c>
      <c r="F156" s="738"/>
      <c r="G156" s="738"/>
      <c r="H156" s="112" t="s">
        <v>4371</v>
      </c>
      <c r="I156" s="733"/>
      <c r="J156" s="738"/>
      <c r="K156" s="738"/>
      <c r="L156" s="742" t="s">
        <v>247</v>
      </c>
      <c r="M156" s="154"/>
      <c r="N156" s="738"/>
      <c r="O156" s="738" t="s">
        <v>4372</v>
      </c>
      <c r="P156" s="738"/>
      <c r="Q156" s="738" t="s">
        <v>701</v>
      </c>
      <c r="R156" s="740"/>
      <c r="S156" s="738"/>
      <c r="T156" s="738"/>
      <c r="U156" s="738"/>
      <c r="V156" s="112" t="s">
        <v>4368</v>
      </c>
      <c r="W156" s="738"/>
      <c r="X156" s="738"/>
      <c r="Y156" s="738"/>
      <c r="Z156" s="738"/>
      <c r="AA156" s="738"/>
      <c r="AB156" s="738"/>
      <c r="AC156" s="738"/>
      <c r="AD156" s="738"/>
      <c r="AE156" s="738"/>
      <c r="AF156" s="738"/>
      <c r="AG156" s="738"/>
      <c r="AH156" s="738"/>
      <c r="AI156" s="738"/>
      <c r="AJ156" s="154"/>
      <c r="AK156" s="738"/>
      <c r="AL156" s="738"/>
      <c r="AM156" s="738"/>
      <c r="AN156" s="733"/>
      <c r="AO156" s="738"/>
      <c r="AP156" s="738"/>
      <c r="AQ156" s="154"/>
      <c r="AR156" s="738"/>
      <c r="AS156" s="738"/>
      <c r="AT156" s="738"/>
      <c r="AU156" s="733"/>
      <c r="AV156" s="738"/>
      <c r="AW156" s="154"/>
      <c r="AX156" s="738"/>
      <c r="AY156" s="738"/>
      <c r="AZ156" s="738"/>
      <c r="BA156" s="738"/>
      <c r="BB156" s="738"/>
      <c r="BC156" s="738"/>
      <c r="BD156" s="154"/>
      <c r="BE156" s="738"/>
      <c r="BF156" s="738"/>
      <c r="BG156" s="738"/>
      <c r="BH156" s="738"/>
      <c r="BI156" s="738"/>
      <c r="BJ156" s="738"/>
      <c r="BK156" s="154"/>
      <c r="BL156" s="154"/>
      <c r="BM156" s="154"/>
      <c r="BN156" s="154"/>
      <c r="BO156" s="154"/>
      <c r="BP156" s="154"/>
      <c r="BQ156" s="154"/>
      <c r="BR156" s="154"/>
      <c r="BS156" s="154"/>
      <c r="BT156" s="154"/>
      <c r="BU156" s="154"/>
      <c r="BV156" s="154"/>
      <c r="BW156" s="154"/>
      <c r="BX156" s="154"/>
    </row>
    <row r="157" ht="15.75" customHeight="1">
      <c r="A157" s="821" t="s">
        <v>4374</v>
      </c>
      <c r="B157" s="822" t="s">
        <v>4336</v>
      </c>
      <c r="C157" s="725" t="s">
        <v>3239</v>
      </c>
      <c r="D157" s="173"/>
      <c r="E157" s="859" t="s">
        <v>4376</v>
      </c>
      <c r="F157" s="859" t="s">
        <v>4377</v>
      </c>
      <c r="G157" s="859"/>
      <c r="H157" s="175"/>
      <c r="I157" s="733"/>
      <c r="J157" s="859" t="s">
        <v>3239</v>
      </c>
      <c r="K157" s="859"/>
      <c r="L157" s="859"/>
      <c r="M157" s="806"/>
      <c r="N157" s="859"/>
      <c r="O157" s="859"/>
      <c r="P157" s="859"/>
      <c r="Q157" s="859"/>
      <c r="R157" s="732"/>
      <c r="S157" s="859"/>
      <c r="T157" s="859"/>
      <c r="U157" s="859"/>
      <c r="V157" s="859"/>
      <c r="W157" s="859"/>
      <c r="X157" s="859"/>
      <c r="Y157" s="859"/>
      <c r="Z157" s="859"/>
      <c r="AA157" s="859"/>
      <c r="AB157" s="859"/>
      <c r="AC157" s="859"/>
      <c r="AD157" s="859"/>
      <c r="AE157" s="859"/>
      <c r="AF157" s="859"/>
      <c r="AG157" s="859"/>
      <c r="AH157" s="859"/>
      <c r="AI157" s="859"/>
      <c r="AJ157" s="806"/>
      <c r="AK157" s="859"/>
      <c r="AL157" s="859"/>
      <c r="AM157" s="859"/>
      <c r="AN157" s="733"/>
      <c r="AO157" s="859"/>
      <c r="AP157" s="859"/>
      <c r="AQ157" s="806"/>
      <c r="AR157" s="859"/>
      <c r="AS157" s="859"/>
      <c r="AT157" s="859"/>
      <c r="AU157" s="733"/>
      <c r="AV157" s="859"/>
      <c r="AW157" s="806"/>
      <c r="AX157" s="859"/>
      <c r="AY157" s="859"/>
      <c r="AZ157" s="859"/>
      <c r="BA157" s="859"/>
      <c r="BB157" s="859"/>
      <c r="BC157" s="859"/>
      <c r="BD157" s="806"/>
      <c r="BE157" s="859"/>
      <c r="BF157" s="859"/>
      <c r="BG157" s="859"/>
      <c r="BH157" s="859"/>
      <c r="BI157" s="859"/>
      <c r="BJ157" s="859"/>
      <c r="BK157" s="806"/>
      <c r="BL157" s="806"/>
      <c r="BM157" s="806"/>
      <c r="BN157" s="806"/>
      <c r="BO157" s="806"/>
      <c r="BP157" s="806"/>
      <c r="BQ157" s="806"/>
      <c r="BR157" s="806"/>
      <c r="BS157" s="806"/>
      <c r="BT157" s="806"/>
      <c r="BU157" s="806"/>
      <c r="BV157" s="806"/>
      <c r="BW157" s="806"/>
      <c r="BX157" s="806"/>
    </row>
    <row r="158" ht="15.75" customHeight="1">
      <c r="A158" s="811"/>
      <c r="B158" s="812" t="s">
        <v>4381</v>
      </c>
      <c r="C158" s="83" t="s">
        <v>1079</v>
      </c>
      <c r="D158" s="401"/>
      <c r="E158" s="859"/>
      <c r="F158" s="859"/>
      <c r="G158" s="175"/>
      <c r="H158" s="175"/>
      <c r="I158" s="733"/>
      <c r="J158" s="859"/>
      <c r="K158" s="859"/>
      <c r="L158" s="859"/>
      <c r="M158" s="806"/>
      <c r="N158" s="859"/>
      <c r="O158" s="859"/>
      <c r="P158" s="859"/>
      <c r="Q158" s="859"/>
      <c r="R158" s="732"/>
      <c r="S158" s="859"/>
      <c r="T158" s="112" t="s">
        <v>1079</v>
      </c>
      <c r="U158" s="859"/>
      <c r="V158" s="859"/>
      <c r="W158" s="859"/>
      <c r="X158" s="859"/>
      <c r="Y158" s="859"/>
      <c r="Z158" s="859"/>
      <c r="AA158" s="859"/>
      <c r="AB158" s="859"/>
      <c r="AC158" s="859"/>
      <c r="AD158" s="859"/>
      <c r="AE158" s="859"/>
      <c r="AF158" s="859"/>
      <c r="AG158" s="859"/>
      <c r="AH158" s="859"/>
      <c r="AI158" s="859"/>
      <c r="AJ158" s="806"/>
      <c r="AK158" s="859"/>
      <c r="AL158" s="859"/>
      <c r="AM158" s="859"/>
      <c r="AN158" s="733"/>
      <c r="AO158" s="859"/>
      <c r="AP158" s="859"/>
      <c r="AQ158" s="806"/>
      <c r="AR158" s="859"/>
      <c r="AS158" s="859"/>
      <c r="AT158" s="859"/>
      <c r="AU158" s="733"/>
      <c r="AV158" s="859"/>
      <c r="AW158" s="806"/>
      <c r="AX158" s="859"/>
      <c r="AY158" s="859"/>
      <c r="AZ158" s="859"/>
      <c r="BA158" s="859"/>
      <c r="BB158" s="859"/>
      <c r="BC158" s="859"/>
      <c r="BD158" s="806"/>
      <c r="BE158" s="859"/>
      <c r="BF158" s="859"/>
      <c r="BG158" s="859"/>
      <c r="BH158" s="859"/>
      <c r="BI158" s="859"/>
      <c r="BJ158" s="859"/>
      <c r="BK158" s="806"/>
      <c r="BL158" s="806"/>
      <c r="BM158" s="806"/>
      <c r="BN158" s="806"/>
      <c r="BO158" s="806"/>
      <c r="BP158" s="806"/>
      <c r="BQ158" s="806"/>
      <c r="BR158" s="806"/>
      <c r="BS158" s="806"/>
      <c r="BT158" s="806"/>
      <c r="BU158" s="806"/>
      <c r="BV158" s="806"/>
      <c r="BW158" s="806"/>
      <c r="BX158" s="806"/>
    </row>
    <row r="159" ht="15.75" customHeight="1">
      <c r="A159" s="814"/>
      <c r="B159" s="816" t="s">
        <v>4386</v>
      </c>
      <c r="C159" s="860" t="s">
        <v>378</v>
      </c>
      <c r="D159" s="401" t="s">
        <v>378</v>
      </c>
      <c r="E159" s="859" t="s">
        <v>4389</v>
      </c>
      <c r="F159" s="859"/>
      <c r="H159" s="175"/>
      <c r="I159" s="733"/>
      <c r="J159" s="859"/>
      <c r="K159" s="859"/>
      <c r="L159" s="859"/>
      <c r="M159" s="806"/>
      <c r="N159" s="859"/>
      <c r="O159" s="859"/>
      <c r="P159" s="859"/>
      <c r="Q159" s="859"/>
      <c r="R159" s="732"/>
      <c r="S159" s="859"/>
      <c r="U159" s="859"/>
      <c r="V159" s="859"/>
      <c r="W159" s="859"/>
      <c r="X159" s="859"/>
      <c r="Y159" s="859" t="s">
        <v>3997</v>
      </c>
      <c r="Z159" s="859"/>
      <c r="AA159" s="859"/>
      <c r="AB159" s="859"/>
      <c r="AC159" s="859"/>
      <c r="AD159" s="859"/>
      <c r="AE159" s="859"/>
      <c r="AF159" s="859"/>
      <c r="AG159" s="859"/>
      <c r="AH159" s="859"/>
      <c r="AI159" s="859"/>
      <c r="AJ159" s="806"/>
      <c r="AK159" s="859"/>
      <c r="AL159" s="859"/>
      <c r="AM159" s="859"/>
      <c r="AN159" s="733"/>
      <c r="AO159" s="859"/>
      <c r="AP159" s="859"/>
      <c r="AQ159" s="806"/>
      <c r="AR159" s="859"/>
      <c r="AS159" s="859"/>
      <c r="AT159" s="859"/>
      <c r="AU159" s="733"/>
      <c r="AV159" s="859"/>
      <c r="AW159" s="806"/>
      <c r="AX159" s="859"/>
      <c r="AY159" s="859"/>
      <c r="AZ159" s="859"/>
      <c r="BA159" s="859"/>
      <c r="BB159" s="859"/>
      <c r="BC159" s="859"/>
      <c r="BD159" s="806"/>
      <c r="BE159" s="859"/>
      <c r="BF159" s="859"/>
      <c r="BG159" s="859"/>
      <c r="BH159" s="859"/>
      <c r="BI159" s="859"/>
      <c r="BJ159" s="859"/>
      <c r="BK159" s="806"/>
      <c r="BL159" s="806"/>
      <c r="BM159" s="806"/>
      <c r="BN159" s="806"/>
      <c r="BO159" s="806"/>
      <c r="BP159" s="806"/>
      <c r="BQ159" s="806"/>
      <c r="BR159" s="806"/>
      <c r="BS159" s="806"/>
      <c r="BT159" s="806"/>
      <c r="BU159" s="806"/>
      <c r="BV159" s="806"/>
      <c r="BW159" s="806"/>
      <c r="BX159" s="806"/>
    </row>
    <row r="160" ht="15.75" customHeight="1">
      <c r="A160" s="861"/>
      <c r="B160" s="863" t="s">
        <v>4393</v>
      </c>
      <c r="C160" s="83" t="s">
        <v>4394</v>
      </c>
      <c r="D160" s="254" t="s">
        <v>4395</v>
      </c>
      <c r="E160" s="859"/>
      <c r="F160" s="859"/>
      <c r="G160" s="112" t="s">
        <v>4394</v>
      </c>
      <c r="H160" s="175"/>
      <c r="I160" s="733"/>
      <c r="J160" s="859"/>
      <c r="K160" s="859"/>
      <c r="L160" s="859"/>
      <c r="M160" s="806"/>
      <c r="N160" s="859"/>
      <c r="O160" s="859"/>
      <c r="P160" s="859"/>
      <c r="Q160" s="859"/>
      <c r="R160" s="732"/>
      <c r="S160" s="859"/>
      <c r="U160" s="859"/>
      <c r="V160" s="859"/>
      <c r="W160" s="859"/>
      <c r="X160" s="859"/>
      <c r="Y160" s="859"/>
      <c r="Z160" s="859"/>
      <c r="AA160" s="859"/>
      <c r="AB160" s="859"/>
      <c r="AC160" s="859"/>
      <c r="AD160" s="859"/>
      <c r="AE160" s="859"/>
      <c r="AF160" s="859"/>
      <c r="AG160" s="859"/>
      <c r="AH160" s="859"/>
      <c r="AI160" s="859"/>
      <c r="AJ160" s="806"/>
      <c r="AK160" s="859"/>
      <c r="AL160" s="859"/>
      <c r="AM160" s="859"/>
      <c r="AN160" s="733"/>
      <c r="AO160" s="859"/>
      <c r="AP160" s="859"/>
      <c r="AQ160" s="806"/>
      <c r="AR160" s="859"/>
      <c r="AS160" s="859"/>
      <c r="AT160" s="859"/>
      <c r="AU160" s="733"/>
      <c r="AV160" s="859"/>
      <c r="AW160" s="806"/>
      <c r="AX160" s="859"/>
      <c r="AY160" s="859"/>
      <c r="AZ160" s="859"/>
      <c r="BA160" s="859"/>
      <c r="BB160" s="859"/>
      <c r="BC160" s="859"/>
      <c r="BD160" s="806"/>
      <c r="BE160" s="859"/>
      <c r="BF160" s="859"/>
      <c r="BG160" s="859"/>
      <c r="BH160" s="859"/>
      <c r="BI160" s="859"/>
      <c r="BJ160" s="859"/>
      <c r="BK160" s="806"/>
      <c r="BL160" s="806"/>
      <c r="BM160" s="806"/>
      <c r="BN160" s="806"/>
      <c r="BO160" s="806"/>
      <c r="BP160" s="806"/>
      <c r="BQ160" s="806"/>
      <c r="BR160" s="806"/>
      <c r="BS160" s="806"/>
      <c r="BT160" s="806"/>
      <c r="BU160" s="806"/>
      <c r="BV160" s="806"/>
      <c r="BW160" s="806"/>
      <c r="BX160" s="806"/>
    </row>
    <row r="161" ht="15.75" customHeight="1">
      <c r="A161" s="814"/>
      <c r="B161" s="816" t="s">
        <v>4397</v>
      </c>
      <c r="C161" s="725"/>
      <c r="D161" s="809"/>
      <c r="E161" s="859"/>
      <c r="F161" s="859"/>
      <c r="G161" s="859"/>
      <c r="H161" s="175"/>
      <c r="I161" s="733"/>
      <c r="J161" s="859"/>
      <c r="K161" s="859"/>
      <c r="L161" s="859"/>
      <c r="M161" s="154"/>
      <c r="N161" s="859"/>
      <c r="O161" s="859"/>
      <c r="P161" s="859"/>
      <c r="Q161" s="859"/>
      <c r="R161" s="732"/>
      <c r="S161" s="859"/>
      <c r="T161" s="859"/>
      <c r="U161" s="859"/>
      <c r="V161" s="859"/>
      <c r="W161" s="859"/>
      <c r="X161" s="859"/>
      <c r="Y161" s="859"/>
      <c r="Z161" s="859"/>
      <c r="AA161" s="859"/>
      <c r="AB161" s="859"/>
      <c r="AC161" s="859"/>
      <c r="AD161" s="859"/>
      <c r="AE161" s="859"/>
      <c r="AF161" s="859"/>
      <c r="AG161" s="859"/>
      <c r="AH161" s="859"/>
      <c r="AI161" s="859"/>
      <c r="AJ161" s="154"/>
      <c r="AK161" s="859"/>
      <c r="AL161" s="859"/>
      <c r="AM161" s="859"/>
      <c r="AN161" s="733"/>
      <c r="AO161" s="859"/>
      <c r="AP161" s="859"/>
      <c r="AQ161" s="154"/>
      <c r="AR161" s="859"/>
      <c r="AS161" s="859"/>
      <c r="AT161" s="859"/>
      <c r="AU161" s="733"/>
      <c r="AV161" s="859"/>
      <c r="AW161" s="154"/>
      <c r="AX161" s="859"/>
      <c r="AY161" s="859"/>
      <c r="AZ161" s="859"/>
      <c r="BA161" s="859"/>
      <c r="BB161" s="859"/>
      <c r="BC161" s="859"/>
      <c r="BD161" s="154"/>
      <c r="BE161" s="859"/>
      <c r="BF161" s="859"/>
      <c r="BG161" s="859"/>
      <c r="BH161" s="859"/>
      <c r="BI161" s="859"/>
      <c r="BJ161" s="859"/>
      <c r="BK161" s="154"/>
      <c r="BL161" s="154"/>
      <c r="BM161" s="154"/>
      <c r="BN161" s="154"/>
      <c r="BO161" s="154"/>
      <c r="BP161" s="154"/>
      <c r="BQ161" s="154"/>
      <c r="BR161" s="154"/>
      <c r="BS161" s="154"/>
      <c r="BT161" s="154"/>
      <c r="BU161" s="154"/>
      <c r="BV161" s="154"/>
      <c r="BW161" s="154"/>
      <c r="BX161" s="154"/>
    </row>
    <row r="162" ht="15.75" customHeight="1">
      <c r="A162" s="861"/>
      <c r="B162" s="863" t="s">
        <v>4367</v>
      </c>
      <c r="C162" s="83" t="s">
        <v>2490</v>
      </c>
      <c r="D162" s="809"/>
      <c r="E162" s="859"/>
      <c r="F162" s="859"/>
      <c r="G162" s="859" t="s">
        <v>4400</v>
      </c>
      <c r="H162" s="112" t="s">
        <v>2343</v>
      </c>
      <c r="I162" s="733"/>
      <c r="J162" s="859" t="s">
        <v>834</v>
      </c>
      <c r="K162" s="859"/>
      <c r="L162" s="859"/>
      <c r="M162" s="154"/>
      <c r="N162" s="859"/>
      <c r="O162" s="728" t="s">
        <v>4403</v>
      </c>
      <c r="P162" s="859"/>
      <c r="Q162" s="859"/>
      <c r="R162" s="732"/>
      <c r="S162" s="859"/>
      <c r="T162" s="859"/>
      <c r="U162" s="859"/>
      <c r="V162" s="112" t="s">
        <v>4405</v>
      </c>
      <c r="W162" s="859"/>
      <c r="X162" s="859"/>
      <c r="Y162" s="859"/>
      <c r="Z162" s="859"/>
      <c r="AA162" s="859"/>
      <c r="AB162" s="859"/>
      <c r="AC162" s="859"/>
      <c r="AD162" s="859"/>
      <c r="AE162" s="859"/>
      <c r="AF162" s="859"/>
      <c r="AG162" s="859"/>
      <c r="AH162" s="859"/>
      <c r="AI162" s="859"/>
      <c r="AJ162" s="154"/>
      <c r="AK162" s="859"/>
      <c r="AL162" s="859"/>
      <c r="AM162" s="859"/>
      <c r="AN162" s="733"/>
      <c r="AO162" s="859"/>
      <c r="AP162" s="859"/>
      <c r="AQ162" s="154"/>
      <c r="AR162" s="859"/>
      <c r="AS162" s="859"/>
      <c r="AT162" s="859"/>
      <c r="AU162" s="733"/>
      <c r="AV162" s="859"/>
      <c r="AW162" s="154"/>
      <c r="AX162" s="859"/>
      <c r="AY162" s="859"/>
      <c r="AZ162" s="859"/>
      <c r="BA162" s="859"/>
      <c r="BB162" s="859"/>
      <c r="BC162" s="859"/>
      <c r="BD162" s="154"/>
      <c r="BE162" s="859"/>
      <c r="BF162" s="859"/>
      <c r="BG162" s="859"/>
      <c r="BH162" s="859"/>
      <c r="BI162" s="859"/>
      <c r="BJ162" s="859"/>
      <c r="BK162" s="154"/>
      <c r="BL162" s="154"/>
      <c r="BM162" s="154"/>
      <c r="BN162" s="154"/>
      <c r="BO162" s="154"/>
      <c r="BP162" s="154"/>
      <c r="BQ162" s="154"/>
      <c r="BR162" s="154"/>
      <c r="BS162" s="154"/>
      <c r="BT162" s="154"/>
      <c r="BU162" s="154"/>
      <c r="BV162" s="154"/>
      <c r="BW162" s="154"/>
      <c r="BX162" s="154"/>
    </row>
    <row r="163" ht="15.75" customHeight="1">
      <c r="A163" s="821" t="s">
        <v>4407</v>
      </c>
      <c r="B163" s="822" t="s">
        <v>4408</v>
      </c>
      <c r="C163" s="725" t="s">
        <v>4409</v>
      </c>
      <c r="D163" s="173"/>
      <c r="E163" s="859" t="s">
        <v>3461</v>
      </c>
      <c r="F163" s="859"/>
      <c r="G163" s="859"/>
      <c r="H163" s="175"/>
      <c r="I163" s="733"/>
      <c r="J163" s="859"/>
      <c r="K163" s="859"/>
      <c r="L163" s="859"/>
      <c r="M163" s="806"/>
      <c r="N163" s="859"/>
      <c r="O163" s="859"/>
      <c r="P163" s="859"/>
      <c r="Q163" s="859"/>
      <c r="R163" s="732"/>
      <c r="S163" s="859"/>
      <c r="T163" s="859"/>
      <c r="U163" s="859"/>
      <c r="V163" s="859"/>
      <c r="W163" s="859"/>
      <c r="X163" s="859"/>
      <c r="Y163" s="859"/>
      <c r="Z163" s="859"/>
      <c r="AA163" s="859"/>
      <c r="AB163" s="859"/>
      <c r="AC163" s="859"/>
      <c r="AD163" s="859"/>
      <c r="AE163" s="859"/>
      <c r="AF163" s="859"/>
      <c r="AG163" s="859"/>
      <c r="AH163" s="859"/>
      <c r="AI163" s="859"/>
      <c r="AJ163" s="806"/>
      <c r="AK163" s="859"/>
      <c r="AL163" s="859"/>
      <c r="AM163" s="859"/>
      <c r="AN163" s="733"/>
      <c r="AO163" s="859"/>
      <c r="AP163" s="859"/>
      <c r="AQ163" s="806"/>
      <c r="AR163" s="859"/>
      <c r="AS163" s="859"/>
      <c r="AT163" s="859"/>
      <c r="AU163" s="733"/>
      <c r="AV163" s="859"/>
      <c r="AW163" s="806"/>
      <c r="AX163" s="859"/>
      <c r="AY163" s="859"/>
      <c r="AZ163" s="859"/>
      <c r="BA163" s="859"/>
      <c r="BB163" s="859"/>
      <c r="BC163" s="859"/>
      <c r="BD163" s="806"/>
      <c r="BE163" s="859"/>
      <c r="BF163" s="859"/>
      <c r="BG163" s="859"/>
      <c r="BH163" s="859"/>
      <c r="BI163" s="859"/>
      <c r="BJ163" s="859"/>
      <c r="BK163" s="806"/>
      <c r="BL163" s="806"/>
      <c r="BM163" s="806"/>
      <c r="BN163" s="806"/>
      <c r="BO163" s="806"/>
      <c r="BP163" s="806"/>
      <c r="BQ163" s="806"/>
      <c r="BR163" s="806"/>
      <c r="BS163" s="806"/>
      <c r="BT163" s="806"/>
      <c r="BU163" s="806"/>
      <c r="BV163" s="806"/>
      <c r="BW163" s="806"/>
      <c r="BX163" s="806"/>
    </row>
    <row r="164" ht="15.75" customHeight="1">
      <c r="A164" s="811"/>
      <c r="B164" s="812" t="s">
        <v>4412</v>
      </c>
      <c r="C164" s="725"/>
      <c r="D164" s="809"/>
      <c r="E164" s="859"/>
      <c r="F164" s="859"/>
      <c r="G164" s="859"/>
      <c r="H164" s="175"/>
      <c r="I164" s="733"/>
      <c r="J164" s="859"/>
      <c r="K164" s="859"/>
      <c r="L164" s="859"/>
      <c r="M164" s="154"/>
      <c r="N164" s="859"/>
      <c r="O164" s="859"/>
      <c r="P164" s="859"/>
      <c r="Q164" s="859"/>
      <c r="R164" s="732"/>
      <c r="S164" s="859"/>
      <c r="T164" s="859"/>
      <c r="U164" s="859"/>
      <c r="V164" s="859"/>
      <c r="W164" s="859"/>
      <c r="X164" s="859"/>
      <c r="Y164" s="859"/>
      <c r="Z164" s="859"/>
      <c r="AA164" s="859"/>
      <c r="AB164" s="859"/>
      <c r="AC164" s="859"/>
      <c r="AD164" s="859"/>
      <c r="AE164" s="859"/>
      <c r="AF164" s="859"/>
      <c r="AG164" s="859"/>
      <c r="AH164" s="859"/>
      <c r="AI164" s="859"/>
      <c r="AJ164" s="154"/>
      <c r="AK164" s="859"/>
      <c r="AL164" s="859"/>
      <c r="AM164" s="859"/>
      <c r="AN164" s="733"/>
      <c r="AO164" s="859"/>
      <c r="AP164" s="859"/>
      <c r="AQ164" s="154"/>
      <c r="AR164" s="859"/>
      <c r="AS164" s="859"/>
      <c r="AT164" s="859"/>
      <c r="AU164" s="733"/>
      <c r="AV164" s="859"/>
      <c r="AW164" s="154"/>
      <c r="AX164" s="859"/>
      <c r="AY164" s="859"/>
      <c r="AZ164" s="859"/>
      <c r="BA164" s="859"/>
      <c r="BB164" s="859"/>
      <c r="BC164" s="859"/>
      <c r="BD164" s="154"/>
      <c r="BE164" s="859"/>
      <c r="BF164" s="859"/>
      <c r="BG164" s="859"/>
      <c r="BH164" s="859"/>
      <c r="BI164" s="859"/>
      <c r="BJ164" s="859"/>
      <c r="BK164" s="154"/>
      <c r="BL164" s="154"/>
      <c r="BM164" s="154"/>
      <c r="BN164" s="154"/>
      <c r="BO164" s="154"/>
      <c r="BP164" s="154"/>
      <c r="BQ164" s="154"/>
      <c r="BR164" s="154"/>
      <c r="BS164" s="154"/>
      <c r="BT164" s="154"/>
      <c r="BU164" s="154"/>
      <c r="BV164" s="154"/>
      <c r="BW164" s="154"/>
      <c r="BX164" s="154"/>
    </row>
    <row r="165" ht="15.75" customHeight="1">
      <c r="A165" s="821" t="s">
        <v>4415</v>
      </c>
      <c r="B165" s="822" t="s">
        <v>4416</v>
      </c>
      <c r="C165" s="83" t="s">
        <v>4417</v>
      </c>
      <c r="D165" s="254" t="s">
        <v>4419</v>
      </c>
      <c r="E165" s="859"/>
      <c r="F165" s="859"/>
      <c r="G165" s="728" t="s">
        <v>4421</v>
      </c>
      <c r="H165" s="112" t="s">
        <v>4423</v>
      </c>
      <c r="I165" s="733"/>
      <c r="J165" s="859" t="s">
        <v>4424</v>
      </c>
      <c r="K165" s="859"/>
      <c r="L165" s="859"/>
      <c r="M165" s="806"/>
      <c r="N165" s="859"/>
      <c r="O165" s="728" t="s">
        <v>4425</v>
      </c>
      <c r="P165" s="859"/>
      <c r="Q165" s="859"/>
      <c r="R165" s="732"/>
      <c r="S165" s="859"/>
      <c r="T165" s="112" t="s">
        <v>4426</v>
      </c>
      <c r="U165" s="859"/>
      <c r="V165" s="112" t="s">
        <v>4417</v>
      </c>
      <c r="W165" s="859"/>
      <c r="X165" s="859"/>
      <c r="Y165" s="859"/>
      <c r="Z165" s="859"/>
      <c r="AA165" s="859"/>
      <c r="AB165" s="859"/>
      <c r="AC165" s="859"/>
      <c r="AD165" s="859"/>
      <c r="AE165" s="859"/>
      <c r="AF165" s="859"/>
      <c r="AG165" s="859"/>
      <c r="AH165" s="859"/>
      <c r="AI165" s="859"/>
      <c r="AJ165" s="806"/>
      <c r="AK165" s="859"/>
      <c r="AL165" s="859"/>
      <c r="AM165" s="859"/>
      <c r="AN165" s="733"/>
      <c r="AO165" s="859"/>
      <c r="AP165" s="859"/>
      <c r="AQ165" s="806"/>
      <c r="AR165" s="859"/>
      <c r="AS165" s="859"/>
      <c r="AT165" s="859"/>
      <c r="AU165" s="733"/>
      <c r="AV165" s="859"/>
      <c r="AW165" s="806"/>
      <c r="AX165" s="859"/>
      <c r="AY165" s="859"/>
      <c r="AZ165" s="859"/>
      <c r="BA165" s="859"/>
      <c r="BB165" s="859"/>
      <c r="BC165" s="859"/>
      <c r="BD165" s="806"/>
      <c r="BE165" s="859"/>
      <c r="BF165" s="859"/>
      <c r="BG165" s="859"/>
      <c r="BH165" s="859"/>
      <c r="BI165" s="859"/>
      <c r="BJ165" s="859"/>
      <c r="BK165" s="806"/>
      <c r="BL165" s="806"/>
      <c r="BM165" s="806"/>
      <c r="BN165" s="806"/>
      <c r="BO165" s="806"/>
      <c r="BP165" s="806"/>
      <c r="BQ165" s="806"/>
      <c r="BR165" s="806"/>
      <c r="BS165" s="806"/>
      <c r="BT165" s="806"/>
      <c r="BU165" s="806"/>
      <c r="BV165" s="806"/>
      <c r="BW165" s="806"/>
      <c r="BX165" s="806"/>
    </row>
    <row r="166" ht="15.75" customHeight="1">
      <c r="A166" s="811"/>
      <c r="B166" s="812" t="s">
        <v>4432</v>
      </c>
      <c r="C166" s="725" t="s">
        <v>4433</v>
      </c>
      <c r="D166" s="819" t="s">
        <v>4434</v>
      </c>
      <c r="E166" s="859"/>
      <c r="F166" s="859"/>
      <c r="G166" s="728" t="s">
        <v>4435</v>
      </c>
      <c r="H166" s="175"/>
      <c r="I166" s="733"/>
      <c r="J166" s="859"/>
      <c r="K166" s="859"/>
      <c r="L166" s="859"/>
      <c r="M166" s="154"/>
      <c r="N166" s="859"/>
      <c r="O166" s="859"/>
      <c r="P166" s="859"/>
      <c r="Q166" s="859"/>
      <c r="R166" s="732"/>
      <c r="S166" s="859"/>
      <c r="T166" s="859"/>
      <c r="U166" s="859"/>
      <c r="V166" s="859"/>
      <c r="W166" s="859"/>
      <c r="X166" s="859"/>
      <c r="Y166" s="859"/>
      <c r="Z166" s="859"/>
      <c r="AA166" s="859"/>
      <c r="AB166" s="859"/>
      <c r="AC166" s="859"/>
      <c r="AD166" s="859"/>
      <c r="AE166" s="859"/>
      <c r="AF166" s="859"/>
      <c r="AG166" s="859"/>
      <c r="AH166" s="859"/>
      <c r="AI166" s="859"/>
      <c r="AJ166" s="154"/>
      <c r="AK166" s="859"/>
      <c r="AL166" s="859"/>
      <c r="AM166" s="859"/>
      <c r="AN166" s="733"/>
      <c r="AO166" s="859"/>
      <c r="AP166" s="859"/>
      <c r="AQ166" s="154"/>
      <c r="AR166" s="859"/>
      <c r="AS166" s="859"/>
      <c r="AT166" s="859"/>
      <c r="AU166" s="733"/>
      <c r="AV166" s="859"/>
      <c r="AW166" s="154"/>
      <c r="AX166" s="859"/>
      <c r="AY166" s="859"/>
      <c r="AZ166" s="859"/>
      <c r="BA166" s="859"/>
      <c r="BB166" s="859"/>
      <c r="BC166" s="859"/>
      <c r="BD166" s="154"/>
      <c r="BE166" s="859"/>
      <c r="BF166" s="859"/>
      <c r="BG166" s="859"/>
      <c r="BH166" s="859"/>
      <c r="BI166" s="859"/>
      <c r="BJ166" s="859"/>
      <c r="BK166" s="154"/>
      <c r="BL166" s="154"/>
      <c r="BM166" s="154"/>
      <c r="BN166" s="154"/>
      <c r="BO166" s="154"/>
      <c r="BP166" s="154"/>
      <c r="BQ166" s="154"/>
      <c r="BR166" s="154"/>
      <c r="BS166" s="154"/>
      <c r="BT166" s="154"/>
      <c r="BU166" s="154"/>
      <c r="BV166" s="154"/>
      <c r="BW166" s="154"/>
      <c r="BX166" s="154"/>
    </row>
    <row r="167" ht="15.75" customHeight="1">
      <c r="A167" s="814"/>
      <c r="B167" s="816" t="s">
        <v>4438</v>
      </c>
      <c r="C167" s="725" t="s">
        <v>4439</v>
      </c>
      <c r="D167" s="254" t="s">
        <v>4441</v>
      </c>
      <c r="E167" s="859"/>
      <c r="F167" s="859"/>
      <c r="G167" s="728" t="s">
        <v>4439</v>
      </c>
      <c r="H167" s="175"/>
      <c r="I167" s="733"/>
      <c r="J167" s="859" t="s">
        <v>447</v>
      </c>
      <c r="K167" s="859"/>
      <c r="L167" s="859"/>
      <c r="M167" s="806"/>
      <c r="N167" s="859"/>
      <c r="O167" s="859"/>
      <c r="P167" s="859"/>
      <c r="Q167" s="859"/>
      <c r="R167" s="732"/>
      <c r="S167" s="859"/>
      <c r="T167" s="859"/>
      <c r="U167" s="859"/>
      <c r="V167" s="859"/>
      <c r="W167" s="859"/>
      <c r="X167" s="859"/>
      <c r="Y167" s="859"/>
      <c r="Z167" s="859"/>
      <c r="AA167" s="859" t="s">
        <v>4020</v>
      </c>
      <c r="AB167" s="859"/>
      <c r="AC167" s="859"/>
      <c r="AD167" s="859"/>
      <c r="AE167" s="859"/>
      <c r="AF167" s="859"/>
      <c r="AG167" s="859"/>
      <c r="AH167" s="859"/>
      <c r="AI167" s="859"/>
      <c r="AJ167" s="806"/>
      <c r="AK167" s="859"/>
      <c r="AL167" s="859"/>
      <c r="AM167" s="859"/>
      <c r="AN167" s="733"/>
      <c r="AO167" s="859"/>
      <c r="AP167" s="859"/>
      <c r="AQ167" s="806"/>
      <c r="AR167" s="859"/>
      <c r="AS167" s="859"/>
      <c r="AT167" s="859"/>
      <c r="AU167" s="733"/>
      <c r="AV167" s="859"/>
      <c r="AW167" s="806"/>
      <c r="AX167" s="859"/>
      <c r="AY167" s="859"/>
      <c r="AZ167" s="859"/>
      <c r="BA167" s="859"/>
      <c r="BB167" s="859"/>
      <c r="BC167" s="859"/>
      <c r="BD167" s="806"/>
      <c r="BE167" s="859"/>
      <c r="BF167" s="859"/>
      <c r="BG167" s="859"/>
      <c r="BH167" s="859"/>
      <c r="BI167" s="859"/>
      <c r="BJ167" s="859"/>
      <c r="BK167" s="806"/>
      <c r="BL167" s="806"/>
      <c r="BM167" s="806"/>
      <c r="BN167" s="806"/>
      <c r="BO167" s="806"/>
      <c r="BP167" s="806"/>
      <c r="BQ167" s="806"/>
      <c r="BR167" s="806"/>
      <c r="BS167" s="806"/>
      <c r="BT167" s="806"/>
      <c r="BU167" s="806"/>
      <c r="BV167" s="806"/>
      <c r="BW167" s="806"/>
      <c r="BX167" s="806"/>
    </row>
    <row r="168" ht="15.75" customHeight="1">
      <c r="A168" s="811"/>
      <c r="B168" s="812" t="s">
        <v>4444</v>
      </c>
      <c r="C168" s="725" t="s">
        <v>3111</v>
      </c>
      <c r="D168" s="819" t="s">
        <v>4445</v>
      </c>
      <c r="E168" s="859"/>
      <c r="F168" s="859"/>
      <c r="G168" s="728" t="s">
        <v>3111</v>
      </c>
      <c r="H168" s="175"/>
      <c r="I168" s="728"/>
      <c r="J168" s="859"/>
      <c r="K168" s="859"/>
      <c r="L168" s="859"/>
      <c r="M168" s="154"/>
      <c r="N168" s="859"/>
      <c r="O168" s="728" t="s">
        <v>4446</v>
      </c>
      <c r="P168" s="859"/>
      <c r="Q168" s="859"/>
      <c r="R168" s="732"/>
      <c r="S168" s="859"/>
      <c r="T168" s="859"/>
      <c r="U168" s="859"/>
      <c r="V168" s="859"/>
      <c r="W168" s="859"/>
      <c r="X168" s="859"/>
      <c r="Y168" s="859" t="s">
        <v>4447</v>
      </c>
      <c r="Z168" s="859"/>
      <c r="AA168" s="859"/>
      <c r="AB168" s="859"/>
      <c r="AC168" s="859"/>
      <c r="AD168" s="859"/>
      <c r="AE168" s="859"/>
      <c r="AF168" s="859"/>
      <c r="AG168" s="859"/>
      <c r="AH168" s="859"/>
      <c r="AI168" s="859"/>
      <c r="AJ168" s="154"/>
      <c r="AK168" s="859"/>
      <c r="AL168" s="859"/>
      <c r="AM168" s="859"/>
      <c r="AN168" s="728"/>
      <c r="AO168" s="859"/>
      <c r="AP168" s="859"/>
      <c r="AQ168" s="154"/>
      <c r="AR168" s="859"/>
      <c r="AS168" s="859"/>
      <c r="AT168" s="859"/>
      <c r="AU168" s="728"/>
      <c r="AV168" s="859"/>
      <c r="AW168" s="154"/>
      <c r="AX168" s="859"/>
      <c r="AY168" s="859"/>
      <c r="AZ168" s="859"/>
      <c r="BA168" s="859"/>
      <c r="BB168" s="859"/>
      <c r="BC168" s="859"/>
      <c r="BD168" s="154"/>
      <c r="BE168" s="859"/>
      <c r="BF168" s="859"/>
      <c r="BG168" s="859"/>
      <c r="BH168" s="859"/>
      <c r="BI168" s="859"/>
      <c r="BJ168" s="859"/>
      <c r="BK168" s="154"/>
      <c r="BL168" s="154"/>
      <c r="BM168" s="154"/>
      <c r="BN168" s="154"/>
      <c r="BO168" s="154"/>
      <c r="BP168" s="154"/>
      <c r="BQ168" s="154"/>
      <c r="BR168" s="154"/>
      <c r="BS168" s="154"/>
      <c r="BT168" s="154"/>
      <c r="BU168" s="154"/>
      <c r="BV168" s="154"/>
      <c r="BW168" s="154"/>
      <c r="BX168" s="154"/>
    </row>
    <row r="169" ht="15.75" customHeight="1">
      <c r="A169" s="804" t="s">
        <v>1423</v>
      </c>
      <c r="B169" s="865" t="s">
        <v>4450</v>
      </c>
      <c r="C169" s="725" t="s">
        <v>4451</v>
      </c>
      <c r="D169" s="819" t="s">
        <v>4453</v>
      </c>
      <c r="E169" s="738" t="s">
        <v>4451</v>
      </c>
      <c r="F169" s="738"/>
      <c r="G169" s="728" t="s">
        <v>4451</v>
      </c>
      <c r="H169" s="112" t="s">
        <v>4455</v>
      </c>
      <c r="I169" s="729" t="s">
        <v>4456</v>
      </c>
      <c r="J169" s="738"/>
      <c r="K169" s="738"/>
      <c r="L169" s="738" t="s">
        <v>4457</v>
      </c>
      <c r="M169" s="147" t="s">
        <v>4459</v>
      </c>
      <c r="N169" s="738"/>
      <c r="O169" s="738"/>
      <c r="P169" s="738"/>
      <c r="Q169" s="738" t="s">
        <v>4451</v>
      </c>
      <c r="R169" s="740" t="s">
        <v>4453</v>
      </c>
      <c r="S169" s="738"/>
      <c r="T169" s="738"/>
      <c r="U169" s="738" t="s">
        <v>4451</v>
      </c>
      <c r="V169" s="738" t="s">
        <v>4451</v>
      </c>
      <c r="W169" s="738"/>
      <c r="X169" s="738"/>
      <c r="Y169" s="738"/>
      <c r="Z169" s="738"/>
      <c r="AA169" s="738"/>
      <c r="AB169" s="738"/>
      <c r="AC169" s="112" t="s">
        <v>4461</v>
      </c>
      <c r="AD169" s="738"/>
      <c r="AE169" s="738"/>
      <c r="AF169" s="738"/>
      <c r="AG169" s="738" t="s">
        <v>4451</v>
      </c>
      <c r="AH169" s="738"/>
      <c r="AI169" s="738"/>
      <c r="AJ169" s="154"/>
      <c r="AK169" s="738"/>
      <c r="AL169" s="738"/>
      <c r="AM169" s="738"/>
      <c r="AN169" s="733"/>
      <c r="AO169" s="738"/>
      <c r="AP169" s="738"/>
      <c r="AQ169" s="154"/>
      <c r="AR169" s="738" t="s">
        <v>4464</v>
      </c>
      <c r="AS169" s="738"/>
      <c r="AT169" s="738"/>
      <c r="AU169" s="733"/>
      <c r="AV169" s="738"/>
      <c r="AW169" s="154"/>
      <c r="AX169" s="738"/>
      <c r="AY169" s="738"/>
      <c r="AZ169" s="738"/>
      <c r="BA169" s="738"/>
      <c r="BB169" s="738"/>
      <c r="BC169" s="738"/>
      <c r="BD169" s="154"/>
      <c r="BE169" s="738"/>
      <c r="BF169" s="738"/>
      <c r="BG169" s="738"/>
      <c r="BH169" s="738"/>
      <c r="BI169" s="738"/>
      <c r="BJ169" s="738"/>
      <c r="BK169" s="154"/>
      <c r="BL169" s="154"/>
      <c r="BM169" s="154"/>
      <c r="BN169" s="154"/>
      <c r="BO169" s="154"/>
      <c r="BP169" s="154"/>
      <c r="BQ169" s="154"/>
      <c r="BR169" s="154"/>
      <c r="BS169" s="154"/>
      <c r="BT169" s="154"/>
      <c r="BU169" s="154"/>
      <c r="BV169" s="154"/>
      <c r="BW169" s="154"/>
      <c r="BX169" s="154"/>
    </row>
    <row r="170" ht="15.75" customHeight="1">
      <c r="A170" s="811"/>
      <c r="B170" s="812" t="s">
        <v>4466</v>
      </c>
      <c r="C170" s="725" t="s">
        <v>4467</v>
      </c>
      <c r="D170" s="254" t="s">
        <v>4469</v>
      </c>
      <c r="E170" s="144" t="s">
        <v>4471</v>
      </c>
      <c r="F170" s="728" t="s">
        <v>4473</v>
      </c>
      <c r="G170" s="728" t="s">
        <v>4475</v>
      </c>
      <c r="H170" s="175"/>
      <c r="I170" s="733"/>
      <c r="J170" s="728"/>
      <c r="K170" s="728" t="s">
        <v>1728</v>
      </c>
      <c r="L170" s="728" t="s">
        <v>4478</v>
      </c>
      <c r="M170" s="806"/>
      <c r="N170" s="728"/>
      <c r="O170" s="728"/>
      <c r="P170" s="728"/>
      <c r="Q170" s="728" t="s">
        <v>3740</v>
      </c>
      <c r="R170" s="732" t="s">
        <v>3380</v>
      </c>
      <c r="S170" s="728"/>
      <c r="T170" s="112" t="s">
        <v>2770</v>
      </c>
      <c r="U170" s="728"/>
      <c r="V170" s="728"/>
      <c r="W170" s="728"/>
      <c r="X170" s="728"/>
      <c r="Y170" s="728"/>
      <c r="Z170" s="728"/>
      <c r="AA170" s="728"/>
      <c r="AB170" s="728"/>
      <c r="AC170" s="728"/>
      <c r="AD170" s="728"/>
      <c r="AE170" s="728"/>
      <c r="AF170" s="728"/>
      <c r="AG170" s="728"/>
      <c r="AH170" s="728"/>
      <c r="AI170" s="728"/>
      <c r="AJ170" s="806"/>
      <c r="AK170" s="728"/>
      <c r="AL170" s="728"/>
      <c r="AM170" s="728"/>
      <c r="AN170" s="733"/>
      <c r="AO170" s="728"/>
      <c r="AP170" s="728"/>
      <c r="AQ170" s="806"/>
      <c r="AR170" s="728"/>
      <c r="AS170" s="728"/>
      <c r="AT170" s="728"/>
      <c r="AU170" s="733"/>
      <c r="AV170" s="728"/>
      <c r="AW170" s="806"/>
      <c r="AX170" s="728"/>
      <c r="AY170" s="728"/>
      <c r="AZ170" s="728"/>
      <c r="BA170" s="728"/>
      <c r="BB170" s="728"/>
      <c r="BC170" s="728"/>
      <c r="BD170" s="806"/>
      <c r="BE170" s="728"/>
      <c r="BF170" s="728"/>
      <c r="BG170" s="728"/>
      <c r="BH170" s="728"/>
      <c r="BI170" s="728"/>
      <c r="BJ170" s="728"/>
      <c r="BK170" s="806"/>
      <c r="BL170" s="806"/>
      <c r="BM170" s="806"/>
      <c r="BN170" s="806"/>
      <c r="BO170" s="806"/>
      <c r="BP170" s="806"/>
      <c r="BQ170" s="806"/>
      <c r="BR170" s="806"/>
      <c r="BS170" s="806"/>
      <c r="BT170" s="806"/>
      <c r="BU170" s="806"/>
      <c r="BV170" s="806"/>
      <c r="BW170" s="806"/>
      <c r="BX170" s="806"/>
    </row>
    <row r="171" ht="15.75" customHeight="1">
      <c r="A171" s="804" t="s">
        <v>1494</v>
      </c>
      <c r="B171" s="865" t="s">
        <v>4483</v>
      </c>
      <c r="C171" s="725" t="s">
        <v>2552</v>
      </c>
      <c r="D171" s="867" t="s">
        <v>4484</v>
      </c>
      <c r="E171" s="131" t="s">
        <v>4330</v>
      </c>
      <c r="F171" s="738"/>
      <c r="G171" s="738"/>
      <c r="H171" s="112" t="s">
        <v>4486</v>
      </c>
      <c r="I171" s="729" t="s">
        <v>4487</v>
      </c>
      <c r="J171" s="738"/>
      <c r="K171" s="738" t="s">
        <v>2552</v>
      </c>
      <c r="L171" s="738"/>
      <c r="M171" s="154"/>
      <c r="N171" s="738" t="s">
        <v>511</v>
      </c>
      <c r="O171" s="738"/>
      <c r="P171" s="738"/>
      <c r="Q171" s="738"/>
      <c r="R171" s="740"/>
      <c r="S171" s="738"/>
      <c r="T171" s="738"/>
      <c r="U171" s="738"/>
      <c r="V171" s="738"/>
      <c r="W171" s="738"/>
      <c r="X171" s="738"/>
      <c r="Y171" s="738"/>
      <c r="Z171" s="738"/>
      <c r="AA171" s="738"/>
      <c r="AB171" s="738"/>
      <c r="AC171" s="738"/>
      <c r="AD171" s="738"/>
      <c r="AE171" s="738"/>
      <c r="AF171" s="738"/>
      <c r="AG171" s="738"/>
      <c r="AH171" s="738"/>
      <c r="AI171" s="738"/>
      <c r="AJ171" s="154"/>
      <c r="AK171" s="738"/>
      <c r="AL171" s="738"/>
      <c r="AM171" s="738"/>
      <c r="AN171" s="733"/>
      <c r="AO171" s="738"/>
      <c r="AP171" s="738"/>
      <c r="AQ171" s="154"/>
      <c r="AR171" s="738"/>
      <c r="AS171" s="738"/>
      <c r="AT171" s="738"/>
      <c r="AU171" s="733"/>
      <c r="AV171" s="738"/>
      <c r="AW171" s="154"/>
      <c r="AX171" s="738"/>
      <c r="AY171" s="738"/>
      <c r="AZ171" s="738"/>
      <c r="BA171" s="738"/>
      <c r="BB171" s="738"/>
      <c r="BC171" s="738"/>
      <c r="BD171" s="154"/>
      <c r="BE171" s="738"/>
      <c r="BF171" s="738"/>
      <c r="BG171" s="738"/>
      <c r="BH171" s="738"/>
      <c r="BI171" s="738"/>
      <c r="BJ171" s="738"/>
      <c r="BK171" s="154"/>
      <c r="BL171" s="154"/>
      <c r="BM171" s="154"/>
      <c r="BN171" s="154"/>
      <c r="BO171" s="154"/>
      <c r="BP171" s="154"/>
      <c r="BQ171" s="154"/>
      <c r="BR171" s="154"/>
      <c r="BS171" s="154"/>
      <c r="BT171" s="154"/>
      <c r="BU171" s="154"/>
      <c r="BV171" s="154"/>
      <c r="BW171" s="154"/>
      <c r="BX171" s="154"/>
    </row>
    <row r="172" ht="15.75" customHeight="1">
      <c r="A172" s="821" t="s">
        <v>410</v>
      </c>
      <c r="B172" s="822" t="s">
        <v>146</v>
      </c>
      <c r="C172" s="725" t="s">
        <v>4491</v>
      </c>
      <c r="D172" s="90" t="s">
        <v>2324</v>
      </c>
      <c r="E172" s="738"/>
      <c r="F172" s="738"/>
      <c r="G172" s="738"/>
      <c r="H172" s="112" t="s">
        <v>2750</v>
      </c>
      <c r="I172" s="729" t="s">
        <v>4494</v>
      </c>
      <c r="J172" s="738"/>
      <c r="K172" s="738"/>
      <c r="L172" s="738"/>
      <c r="M172" s="806"/>
      <c r="N172" s="738"/>
      <c r="O172" s="738"/>
      <c r="P172" s="738"/>
      <c r="Q172" s="738"/>
      <c r="R172" s="740"/>
      <c r="S172" s="738"/>
      <c r="T172" s="175"/>
      <c r="U172" s="738"/>
      <c r="V172" s="738"/>
      <c r="W172" s="738"/>
      <c r="X172" s="738"/>
      <c r="Y172" s="738"/>
      <c r="Z172" s="738"/>
      <c r="AA172" s="738"/>
      <c r="AB172" s="738"/>
      <c r="AC172" s="738"/>
      <c r="AD172" s="738"/>
      <c r="AE172" s="738"/>
      <c r="AF172" s="738"/>
      <c r="AG172" s="738"/>
      <c r="AH172" s="738"/>
      <c r="AI172" s="738"/>
      <c r="AJ172" s="806"/>
      <c r="AK172" s="738"/>
      <c r="AL172" s="738"/>
      <c r="AM172" s="738"/>
      <c r="AN172" s="733"/>
      <c r="AO172" s="738"/>
      <c r="AP172" s="738"/>
      <c r="AQ172" s="806"/>
      <c r="AR172" s="738"/>
      <c r="AS172" s="738"/>
      <c r="AT172" s="738"/>
      <c r="AU172" s="733"/>
      <c r="AV172" s="738"/>
      <c r="AW172" s="806"/>
      <c r="AX172" s="738"/>
      <c r="AY172" s="738"/>
      <c r="AZ172" s="738"/>
      <c r="BA172" s="738"/>
      <c r="BB172" s="738"/>
      <c r="BC172" s="738"/>
      <c r="BD172" s="806"/>
      <c r="BE172" s="738"/>
      <c r="BF172" s="738"/>
      <c r="BG172" s="738"/>
      <c r="BH172" s="738"/>
      <c r="BI172" s="738"/>
      <c r="BJ172" s="738"/>
      <c r="BK172" s="806"/>
      <c r="BL172" s="806"/>
      <c r="BM172" s="806"/>
      <c r="BN172" s="806"/>
      <c r="BO172" s="806"/>
      <c r="BP172" s="806"/>
      <c r="BQ172" s="806"/>
      <c r="BR172" s="806"/>
      <c r="BS172" s="806"/>
      <c r="BT172" s="806"/>
      <c r="BU172" s="806"/>
      <c r="BV172" s="806"/>
      <c r="BW172" s="806"/>
      <c r="BX172" s="806"/>
    </row>
    <row r="173" ht="15.75" customHeight="1">
      <c r="A173" s="804" t="s">
        <v>4496</v>
      </c>
      <c r="B173" s="865" t="s">
        <v>4497</v>
      </c>
      <c r="C173" s="725" t="s">
        <v>4498</v>
      </c>
      <c r="D173" s="254" t="s">
        <v>4499</v>
      </c>
      <c r="E173" s="738" t="s">
        <v>3376</v>
      </c>
      <c r="F173" s="738"/>
      <c r="G173" s="738"/>
      <c r="H173" s="175"/>
      <c r="I173" s="733"/>
      <c r="J173" s="738"/>
      <c r="K173" s="738"/>
      <c r="L173" s="738" t="s">
        <v>4500</v>
      </c>
      <c r="M173" s="806"/>
      <c r="N173" s="738"/>
      <c r="O173" s="738"/>
      <c r="P173" s="738" t="str">
        <f>HYPERLINK("https://youtu.be/tXG5xCfHZ2E","35.72")</f>
        <v>35.72</v>
      </c>
      <c r="Q173" s="738"/>
      <c r="R173" s="740"/>
      <c r="S173" s="738"/>
      <c r="T173" s="738"/>
      <c r="U173" s="738"/>
      <c r="V173" s="738"/>
      <c r="W173" s="738"/>
      <c r="X173" s="738"/>
      <c r="Y173" s="738"/>
      <c r="Z173" s="738"/>
      <c r="AA173" s="738"/>
      <c r="AB173" s="738"/>
      <c r="AC173" s="738"/>
      <c r="AD173" s="738"/>
      <c r="AE173" s="738"/>
      <c r="AF173" s="738"/>
      <c r="AG173" s="738"/>
      <c r="AH173" s="738"/>
      <c r="AI173" s="738"/>
      <c r="AJ173" s="806"/>
      <c r="AK173" s="738"/>
      <c r="AL173" s="738"/>
      <c r="AM173" s="738"/>
      <c r="AN173" s="733"/>
      <c r="AO173" s="738"/>
      <c r="AP173" s="738"/>
      <c r="AQ173" s="806"/>
      <c r="AR173" s="738"/>
      <c r="AS173" s="738"/>
      <c r="AT173" s="738"/>
      <c r="AU173" s="733"/>
      <c r="AV173" s="738"/>
      <c r="AW173" s="806"/>
      <c r="AX173" s="738"/>
      <c r="AY173" s="738"/>
      <c r="AZ173" s="738"/>
      <c r="BA173" s="738"/>
      <c r="BB173" s="738"/>
      <c r="BC173" s="738"/>
      <c r="BD173" s="806"/>
      <c r="BE173" s="738"/>
      <c r="BF173" s="738"/>
      <c r="BG173" s="738"/>
      <c r="BH173" s="738"/>
      <c r="BI173" s="738"/>
      <c r="BJ173" s="738"/>
      <c r="BK173" s="806"/>
      <c r="BL173" s="806"/>
      <c r="BM173" s="806"/>
      <c r="BN173" s="806"/>
      <c r="BO173" s="806"/>
      <c r="BP173" s="806"/>
      <c r="BQ173" s="806"/>
      <c r="BR173" s="806"/>
      <c r="BS173" s="806"/>
      <c r="BT173" s="806"/>
      <c r="BU173" s="806"/>
      <c r="BV173" s="806"/>
      <c r="BW173" s="806"/>
      <c r="BX173" s="806"/>
    </row>
    <row r="174" ht="15.75" customHeight="1">
      <c r="A174" s="811"/>
      <c r="B174" s="812" t="s">
        <v>4504</v>
      </c>
      <c r="C174" s="725" t="s">
        <v>3938</v>
      </c>
      <c r="D174" s="90" t="s">
        <v>1023</v>
      </c>
      <c r="E174" s="131" t="s">
        <v>3938</v>
      </c>
      <c r="F174" s="738"/>
      <c r="G174" s="738"/>
      <c r="H174" s="175"/>
      <c r="I174" s="365" t="s">
        <v>891</v>
      </c>
      <c r="J174" s="738"/>
      <c r="K174" s="738"/>
      <c r="L174" s="738"/>
      <c r="M174" s="154"/>
      <c r="N174" s="112" t="s">
        <v>3938</v>
      </c>
      <c r="O174" s="738"/>
      <c r="P174" s="738"/>
      <c r="Q174" s="738"/>
      <c r="R174" s="740"/>
      <c r="S174" s="738"/>
      <c r="T174" s="738"/>
      <c r="U174" s="738"/>
      <c r="V174" s="738"/>
      <c r="W174" s="738"/>
      <c r="X174" s="738"/>
      <c r="Y174" s="738"/>
      <c r="Z174" s="738"/>
      <c r="AA174" s="738"/>
      <c r="AB174" s="738"/>
      <c r="AC174" s="738"/>
      <c r="AD174" s="738"/>
      <c r="AE174" s="738"/>
      <c r="AF174" s="738"/>
      <c r="AG174" s="738"/>
      <c r="AH174" s="738"/>
      <c r="AI174" s="738"/>
      <c r="AJ174" s="154"/>
      <c r="AK174" s="738"/>
      <c r="AL174" s="738"/>
      <c r="AM174" s="738"/>
      <c r="AN174" s="733"/>
      <c r="AO174" s="738"/>
      <c r="AP174" s="738"/>
      <c r="AQ174" s="154"/>
      <c r="AR174" s="738"/>
      <c r="AS174" s="738"/>
      <c r="AT174" s="738"/>
      <c r="AU174" s="733"/>
      <c r="AV174" s="738"/>
      <c r="AW174" s="154"/>
      <c r="AX174" s="738"/>
      <c r="AY174" s="738"/>
      <c r="AZ174" s="738"/>
      <c r="BA174" s="738"/>
      <c r="BB174" s="738"/>
      <c r="BC174" s="738"/>
      <c r="BD174" s="154"/>
      <c r="BE174" s="738"/>
      <c r="BF174" s="738"/>
      <c r="BG174" s="738"/>
      <c r="BH174" s="738"/>
      <c r="BI174" s="738"/>
      <c r="BJ174" s="738"/>
      <c r="BK174" s="154"/>
      <c r="BL174" s="154"/>
      <c r="BM174" s="154"/>
      <c r="BN174" s="154"/>
      <c r="BO174" s="154"/>
      <c r="BP174" s="154"/>
      <c r="BQ174" s="154"/>
      <c r="BR174" s="154"/>
      <c r="BS174" s="154"/>
      <c r="BT174" s="154"/>
      <c r="BU174" s="154"/>
      <c r="BV174" s="154"/>
      <c r="BW174" s="154"/>
      <c r="BX174" s="154"/>
    </row>
    <row r="175" ht="15.75" customHeight="1">
      <c r="A175" s="821" t="s">
        <v>1544</v>
      </c>
      <c r="B175" s="822" t="s">
        <v>4497</v>
      </c>
      <c r="C175" s="252" t="s">
        <v>4507</v>
      </c>
      <c r="D175" s="254" t="s">
        <v>4507</v>
      </c>
      <c r="E175" s="738"/>
      <c r="F175" s="738"/>
      <c r="G175" s="738"/>
      <c r="H175" s="175"/>
      <c r="I175" s="733"/>
      <c r="J175" s="738"/>
      <c r="K175" s="738"/>
      <c r="L175" s="738"/>
      <c r="M175" s="806"/>
      <c r="N175" s="738"/>
      <c r="O175" s="738"/>
      <c r="P175" s="738"/>
      <c r="Q175" s="738"/>
      <c r="R175" s="740"/>
      <c r="S175" s="738"/>
      <c r="T175" s="738"/>
      <c r="U175" s="738"/>
      <c r="V175" s="738"/>
      <c r="W175" s="738"/>
      <c r="X175" s="738"/>
      <c r="Y175" s="738"/>
      <c r="Z175" s="738"/>
      <c r="AA175" s="738"/>
      <c r="AB175" s="738"/>
      <c r="AC175" s="738"/>
      <c r="AD175" s="738"/>
      <c r="AE175" s="738"/>
      <c r="AF175" s="738"/>
      <c r="AG175" s="738"/>
      <c r="AH175" s="738"/>
      <c r="AI175" s="738"/>
      <c r="AJ175" s="806"/>
      <c r="AK175" s="738"/>
      <c r="AL175" s="738"/>
      <c r="AM175" s="738"/>
      <c r="AN175" s="733"/>
      <c r="AO175" s="738"/>
      <c r="AP175" s="738"/>
      <c r="AQ175" s="806"/>
      <c r="AR175" s="738"/>
      <c r="AS175" s="738"/>
      <c r="AT175" s="738"/>
      <c r="AU175" s="733"/>
      <c r="AV175" s="738"/>
      <c r="AW175" s="806"/>
      <c r="AX175" s="738"/>
      <c r="AY175" s="738"/>
      <c r="AZ175" s="738"/>
      <c r="BA175" s="738"/>
      <c r="BB175" s="738"/>
      <c r="BC175" s="738"/>
      <c r="BD175" s="806"/>
      <c r="BE175" s="738"/>
      <c r="BF175" s="738"/>
      <c r="BG175" s="738"/>
      <c r="BH175" s="738"/>
      <c r="BI175" s="738"/>
      <c r="BJ175" s="738"/>
      <c r="BK175" s="806"/>
      <c r="BL175" s="806"/>
      <c r="BM175" s="806"/>
      <c r="BN175" s="806"/>
      <c r="BO175" s="806"/>
      <c r="BP175" s="806"/>
      <c r="BQ175" s="806"/>
      <c r="BR175" s="806"/>
      <c r="BS175" s="806"/>
      <c r="BT175" s="806"/>
      <c r="BU175" s="806"/>
      <c r="BV175" s="806"/>
      <c r="BW175" s="806"/>
      <c r="BX175" s="806"/>
    </row>
    <row r="176" ht="15.75" customHeight="1">
      <c r="A176" s="811"/>
      <c r="B176" s="812" t="s">
        <v>4504</v>
      </c>
      <c r="C176" s="870" t="s">
        <v>4508</v>
      </c>
      <c r="D176" s="819" t="s">
        <v>2163</v>
      </c>
      <c r="E176" s="648" t="s">
        <v>4129</v>
      </c>
      <c r="F176" s="738"/>
      <c r="G176" s="871"/>
      <c r="H176" s="175"/>
      <c r="I176" s="729" t="s">
        <v>4129</v>
      </c>
      <c r="J176" s="738"/>
      <c r="K176" s="738"/>
      <c r="L176" s="738"/>
      <c r="M176" s="154"/>
      <c r="N176" s="175"/>
      <c r="O176" s="738"/>
      <c r="P176" s="738"/>
      <c r="Q176" s="738"/>
      <c r="R176" s="740"/>
      <c r="S176" s="738"/>
      <c r="T176" s="738"/>
      <c r="U176" s="738"/>
      <c r="V176" s="738"/>
      <c r="W176" s="738"/>
      <c r="X176" s="738"/>
      <c r="Y176" s="738"/>
      <c r="Z176" s="738"/>
      <c r="AA176" s="738"/>
      <c r="AB176" s="738"/>
      <c r="AC176" s="738"/>
      <c r="AD176" s="738"/>
      <c r="AE176" s="738"/>
      <c r="AF176" s="738"/>
      <c r="AG176" s="738"/>
      <c r="AH176" s="738"/>
      <c r="AI176" s="738"/>
      <c r="AJ176" s="154"/>
      <c r="AK176" s="738"/>
      <c r="AL176" s="738"/>
      <c r="AM176" s="738"/>
      <c r="AN176" s="733"/>
      <c r="AO176" s="738"/>
      <c r="AP176" s="738"/>
      <c r="AQ176" s="154"/>
      <c r="AR176" s="738"/>
      <c r="AS176" s="738"/>
      <c r="AT176" s="738"/>
      <c r="AU176" s="733"/>
      <c r="AV176" s="738"/>
      <c r="AW176" s="154"/>
      <c r="AX176" s="738"/>
      <c r="AY176" s="738"/>
      <c r="AZ176" s="738"/>
      <c r="BA176" s="738"/>
      <c r="BB176" s="738"/>
      <c r="BC176" s="738"/>
      <c r="BD176" s="154"/>
      <c r="BE176" s="738"/>
      <c r="BF176" s="738"/>
      <c r="BG176" s="738"/>
      <c r="BH176" s="738"/>
      <c r="BI176" s="738"/>
      <c r="BJ176" s="738"/>
      <c r="BK176" s="154"/>
      <c r="BL176" s="154"/>
      <c r="BM176" s="154"/>
      <c r="BN176" s="154"/>
      <c r="BO176" s="154"/>
      <c r="BP176" s="154"/>
      <c r="BQ176" s="154"/>
      <c r="BR176" s="154"/>
      <c r="BS176" s="154"/>
      <c r="BT176" s="154"/>
      <c r="BU176" s="154"/>
      <c r="BV176" s="154"/>
      <c r="BW176" s="154"/>
      <c r="BX176" s="154"/>
    </row>
    <row r="177" ht="15.75" customHeight="1">
      <c r="A177" s="804" t="s">
        <v>1563</v>
      </c>
      <c r="B177" s="865" t="s">
        <v>146</v>
      </c>
      <c r="C177" s="725" t="s">
        <v>4510</v>
      </c>
      <c r="D177" s="90" t="s">
        <v>4511</v>
      </c>
      <c r="E177" s="107" t="s">
        <v>3554</v>
      </c>
      <c r="F177" s="728" t="s">
        <v>4512</v>
      </c>
      <c r="G177" s="728"/>
      <c r="H177" s="175"/>
      <c r="I177" s="729" t="s">
        <v>4513</v>
      </c>
      <c r="J177" s="728"/>
      <c r="K177" s="728"/>
      <c r="L177" s="728" t="s">
        <v>4514</v>
      </c>
      <c r="M177" s="806"/>
      <c r="N177" s="728"/>
      <c r="O177" s="728"/>
      <c r="P177" s="728"/>
      <c r="Q177" s="728"/>
      <c r="R177" s="732"/>
      <c r="S177" s="728"/>
      <c r="T177" s="112" t="s">
        <v>4515</v>
      </c>
      <c r="U177" s="728"/>
      <c r="V177" s="728"/>
      <c r="W177" s="728"/>
      <c r="X177" s="728"/>
      <c r="Y177" s="728"/>
      <c r="Z177" s="728"/>
      <c r="AA177" s="728"/>
      <c r="AB177" s="728" t="s">
        <v>4510</v>
      </c>
      <c r="AC177" s="728"/>
      <c r="AD177" s="728"/>
      <c r="AE177" s="728"/>
      <c r="AF177" s="728"/>
      <c r="AG177" s="728"/>
      <c r="AH177" s="728"/>
      <c r="AI177" s="728"/>
      <c r="AJ177" s="806"/>
      <c r="AK177" s="728"/>
      <c r="AL177" s="728"/>
      <c r="AM177" s="728"/>
      <c r="AN177" s="733"/>
      <c r="AO177" s="728"/>
      <c r="AP177" s="728"/>
      <c r="AQ177" s="806"/>
      <c r="AR177" s="728"/>
      <c r="AS177" s="728"/>
      <c r="AT177" s="728"/>
      <c r="AU177" s="733"/>
      <c r="AV177" s="728"/>
      <c r="AW177" s="806"/>
      <c r="AX177" s="728"/>
      <c r="AY177" s="728"/>
      <c r="AZ177" s="728"/>
      <c r="BA177" s="728"/>
      <c r="BB177" s="728"/>
      <c r="BC177" s="728"/>
      <c r="BD177" s="806"/>
      <c r="BE177" s="728"/>
      <c r="BF177" s="728"/>
      <c r="BG177" s="728"/>
      <c r="BH177" s="728"/>
      <c r="BI177" s="728"/>
      <c r="BJ177" s="728"/>
      <c r="BK177" s="806"/>
      <c r="BL177" s="806"/>
      <c r="BM177" s="806"/>
      <c r="BN177" s="806"/>
      <c r="BO177" s="806"/>
      <c r="BP177" s="806"/>
      <c r="BQ177" s="806"/>
      <c r="BR177" s="806"/>
      <c r="BS177" s="806"/>
      <c r="BT177" s="806"/>
      <c r="BU177" s="806"/>
      <c r="BV177" s="806"/>
      <c r="BW177" s="806"/>
      <c r="BX177" s="806"/>
    </row>
    <row r="178" ht="15.75" customHeight="1">
      <c r="A178" s="821" t="s">
        <v>1544</v>
      </c>
      <c r="B178" s="818" t="s">
        <v>146</v>
      </c>
      <c r="C178" s="252" t="s">
        <v>1761</v>
      </c>
      <c r="D178" s="254" t="s">
        <v>1761</v>
      </c>
      <c r="E178" s="498" t="s">
        <v>4517</v>
      </c>
      <c r="F178" s="728"/>
      <c r="G178" s="728"/>
      <c r="H178" s="175"/>
      <c r="I178" s="729" t="s">
        <v>1500</v>
      </c>
      <c r="J178" s="728"/>
      <c r="K178" s="728"/>
      <c r="L178" s="728"/>
      <c r="M178" s="806"/>
      <c r="N178" s="728"/>
      <c r="O178" s="728"/>
      <c r="P178" s="728"/>
      <c r="Q178" s="728"/>
      <c r="R178" s="732"/>
      <c r="S178" s="728"/>
      <c r="T178" s="112" t="s">
        <v>4519</v>
      </c>
      <c r="U178" s="728"/>
      <c r="V178" s="728"/>
      <c r="W178" s="728"/>
      <c r="X178" s="728"/>
      <c r="Y178" s="728"/>
      <c r="Z178" s="728"/>
      <c r="AA178" s="728"/>
      <c r="AB178" s="728"/>
      <c r="AC178" s="728"/>
      <c r="AD178" s="728"/>
      <c r="AE178" s="728"/>
      <c r="AF178" s="728"/>
      <c r="AG178" s="728"/>
      <c r="AH178" s="728"/>
      <c r="AI178" s="728"/>
      <c r="AJ178" s="806"/>
      <c r="AK178" s="728"/>
      <c r="AL178" s="728"/>
      <c r="AM178" s="112" t="s">
        <v>4520</v>
      </c>
      <c r="AN178" s="733"/>
      <c r="AO178" s="728"/>
      <c r="AP178" s="728"/>
      <c r="AQ178" s="806"/>
      <c r="AR178" s="728"/>
      <c r="AS178" s="728"/>
      <c r="AT178" s="728"/>
      <c r="AU178" s="733"/>
      <c r="AV178" s="728"/>
      <c r="AW178" s="806"/>
      <c r="AX178" s="728"/>
      <c r="AY178" s="728"/>
      <c r="AZ178" s="728"/>
      <c r="BA178" s="728"/>
      <c r="BB178" s="728"/>
      <c r="BC178" s="728"/>
      <c r="BD178" s="806"/>
      <c r="BE178" s="728"/>
      <c r="BF178" s="728"/>
      <c r="BG178" s="728"/>
      <c r="BH178" s="728"/>
      <c r="BI178" s="728"/>
      <c r="BJ178" s="728"/>
      <c r="BK178" s="806"/>
      <c r="BL178" s="806"/>
      <c r="BM178" s="806"/>
      <c r="BN178" s="806"/>
      <c r="BO178" s="806"/>
      <c r="BP178" s="806"/>
      <c r="BQ178" s="806"/>
      <c r="BR178" s="806"/>
      <c r="BS178" s="806"/>
      <c r="BT178" s="806"/>
      <c r="BU178" s="806"/>
      <c r="BV178" s="806"/>
      <c r="BW178" s="806"/>
      <c r="BX178" s="806"/>
    </row>
    <row r="179" ht="15.75" customHeight="1">
      <c r="A179" s="804" t="s">
        <v>253</v>
      </c>
      <c r="B179" s="808" t="s">
        <v>146</v>
      </c>
      <c r="C179" s="725" t="s">
        <v>4521</v>
      </c>
      <c r="D179" s="867" t="s">
        <v>4522</v>
      </c>
      <c r="E179" s="131" t="s">
        <v>3252</v>
      </c>
      <c r="F179" s="738"/>
      <c r="G179" s="738"/>
      <c r="H179" s="112" t="s">
        <v>4524</v>
      </c>
      <c r="I179" s="729" t="s">
        <v>4527</v>
      </c>
      <c r="J179" s="738" t="s">
        <v>4521</v>
      </c>
      <c r="K179" s="738"/>
      <c r="L179" s="738"/>
      <c r="M179" s="154"/>
      <c r="N179" s="738" t="s">
        <v>3943</v>
      </c>
      <c r="O179" s="738"/>
      <c r="P179" s="738"/>
      <c r="Q179" s="738"/>
      <c r="R179" s="740"/>
      <c r="S179" s="738"/>
      <c r="T179" s="738"/>
      <c r="U179" s="738"/>
      <c r="V179" s="738"/>
      <c r="W179" s="738"/>
      <c r="X179" s="738"/>
      <c r="Y179" s="738"/>
      <c r="Z179" s="738"/>
      <c r="AA179" s="738"/>
      <c r="AB179" s="738"/>
      <c r="AC179" s="738"/>
      <c r="AD179" s="738"/>
      <c r="AE179" s="738"/>
      <c r="AF179" s="738"/>
      <c r="AG179" s="738"/>
      <c r="AH179" s="738"/>
      <c r="AI179" s="738"/>
      <c r="AJ179" s="154"/>
      <c r="AK179" s="738"/>
      <c r="AL179" s="738"/>
      <c r="AM179" s="738"/>
      <c r="AN179" s="733"/>
      <c r="AO179" s="738"/>
      <c r="AP179" s="738"/>
      <c r="AQ179" s="154"/>
      <c r="AR179" s="738"/>
      <c r="AS179" s="738"/>
      <c r="AT179" s="738"/>
      <c r="AU179" s="733"/>
      <c r="AV179" s="738"/>
      <c r="AW179" s="154"/>
      <c r="AX179" s="738"/>
      <c r="AY179" s="738"/>
      <c r="AZ179" s="738"/>
      <c r="BA179" s="738"/>
      <c r="BB179" s="738"/>
      <c r="BC179" s="738"/>
      <c r="BD179" s="154"/>
      <c r="BE179" s="738"/>
      <c r="BF179" s="738"/>
      <c r="BG179" s="738"/>
      <c r="BH179" s="738"/>
      <c r="BI179" s="738"/>
      <c r="BJ179" s="738"/>
      <c r="BK179" s="154"/>
      <c r="BL179" s="154"/>
      <c r="BM179" s="154"/>
      <c r="BN179" s="154"/>
      <c r="BO179" s="154"/>
      <c r="BP179" s="154"/>
      <c r="BQ179" s="154"/>
      <c r="BR179" s="154"/>
      <c r="BS179" s="154"/>
      <c r="BT179" s="154"/>
      <c r="BU179" s="154"/>
      <c r="BV179" s="154"/>
      <c r="BW179" s="154"/>
      <c r="BX179" s="154"/>
    </row>
    <row r="180">
      <c r="A180" s="874" t="s">
        <v>108</v>
      </c>
      <c r="D180" s="875"/>
      <c r="E180" s="876"/>
      <c r="F180" s="876"/>
      <c r="G180" s="876"/>
      <c r="H180" s="877"/>
      <c r="I180" s="876"/>
      <c r="J180" s="876"/>
      <c r="K180" s="876"/>
      <c r="L180" s="876"/>
      <c r="M180" s="878"/>
      <c r="N180" s="876"/>
      <c r="O180" s="876"/>
      <c r="P180" s="876"/>
      <c r="Q180" s="876"/>
      <c r="R180" s="879"/>
      <c r="S180" s="876"/>
      <c r="T180" s="876"/>
      <c r="U180" s="876"/>
      <c r="V180" s="876"/>
      <c r="W180" s="876"/>
      <c r="X180" s="876"/>
      <c r="Y180" s="876"/>
      <c r="Z180" s="876"/>
      <c r="AA180" s="876"/>
      <c r="AB180" s="876"/>
      <c r="AC180" s="876"/>
      <c r="AD180" s="876"/>
      <c r="AE180" s="876"/>
      <c r="AF180" s="876"/>
      <c r="AG180" s="876"/>
      <c r="AH180" s="876"/>
      <c r="AI180" s="876"/>
      <c r="AJ180" s="878"/>
      <c r="AK180" s="876"/>
      <c r="AL180" s="876"/>
      <c r="AM180" s="876"/>
      <c r="AN180" s="876"/>
      <c r="AO180" s="876"/>
      <c r="AP180" s="876"/>
      <c r="AQ180" s="878"/>
      <c r="AR180" s="876"/>
      <c r="AS180" s="876"/>
      <c r="AT180" s="876"/>
      <c r="AU180" s="876"/>
      <c r="AV180" s="876"/>
      <c r="AW180" s="878"/>
      <c r="AX180" s="876"/>
      <c r="AY180" s="876"/>
      <c r="AZ180" s="876"/>
      <c r="BA180" s="876"/>
      <c r="BB180" s="876"/>
      <c r="BC180" s="876"/>
      <c r="BD180" s="878"/>
      <c r="BE180" s="876"/>
      <c r="BF180" s="876"/>
      <c r="BG180" s="876"/>
      <c r="BH180" s="876"/>
      <c r="BI180" s="876"/>
      <c r="BJ180" s="876"/>
      <c r="BK180" s="878"/>
      <c r="BL180" s="878"/>
      <c r="BM180" s="878"/>
      <c r="BN180" s="878"/>
      <c r="BO180" s="878"/>
      <c r="BP180" s="878"/>
      <c r="BQ180" s="878"/>
      <c r="BR180" s="878"/>
      <c r="BS180" s="878"/>
      <c r="BT180" s="878"/>
      <c r="BU180" s="878"/>
      <c r="BV180" s="878"/>
      <c r="BW180" s="878"/>
      <c r="BX180" s="878"/>
    </row>
    <row r="181" ht="15.75" customHeight="1">
      <c r="A181" s="880" t="s">
        <v>4528</v>
      </c>
      <c r="B181" s="882" t="s">
        <v>4530</v>
      </c>
      <c r="C181" s="725" t="s">
        <v>4531</v>
      </c>
      <c r="D181" s="254" t="s">
        <v>4533</v>
      </c>
      <c r="E181" s="117" t="s">
        <v>4534</v>
      </c>
      <c r="F181" s="144" t="s">
        <v>4535</v>
      </c>
      <c r="G181" s="117" t="s">
        <v>4535</v>
      </c>
      <c r="H181" s="112" t="s">
        <v>4536</v>
      </c>
      <c r="I181" s="525"/>
      <c r="J181" s="144"/>
      <c r="K181" s="144" t="s">
        <v>4537</v>
      </c>
      <c r="L181" s="144" t="s">
        <v>4539</v>
      </c>
      <c r="M181" s="883"/>
      <c r="N181" s="144" t="s">
        <v>4540</v>
      </c>
      <c r="O181" s="144" t="s">
        <v>4540</v>
      </c>
      <c r="P181" s="144"/>
      <c r="Q181" s="144"/>
      <c r="R181" s="113" t="s">
        <v>4535</v>
      </c>
      <c r="S181" s="144"/>
      <c r="T181" s="144"/>
      <c r="U181" s="144" t="s">
        <v>4541</v>
      </c>
      <c r="V181" s="144" t="s">
        <v>4542</v>
      </c>
      <c r="W181" s="144"/>
      <c r="X181" s="144"/>
      <c r="Y181" s="144"/>
      <c r="Z181" s="144"/>
      <c r="AA181" s="144"/>
      <c r="AB181" s="144"/>
      <c r="AC181" s="144"/>
      <c r="AD181" s="144" t="s">
        <v>4421</v>
      </c>
      <c r="AE181" s="144" t="s">
        <v>4536</v>
      </c>
      <c r="AF181" s="144"/>
      <c r="AG181" s="144"/>
      <c r="AH181" s="144" t="s">
        <v>4531</v>
      </c>
      <c r="AI181" s="144"/>
      <c r="AJ181" s="884" t="s">
        <v>4541</v>
      </c>
      <c r="AK181" s="144"/>
      <c r="AL181" s="144"/>
      <c r="AM181" s="144"/>
      <c r="AN181" s="525"/>
      <c r="AO181" s="144"/>
      <c r="AP181" s="144" t="s">
        <v>4539</v>
      </c>
      <c r="AQ181" s="883"/>
      <c r="AR181" s="144"/>
      <c r="AS181" s="144"/>
      <c r="AT181" s="144"/>
      <c r="AU181" s="525"/>
      <c r="AV181" s="144"/>
      <c r="AW181" s="883"/>
      <c r="AX181" s="144"/>
      <c r="AY181" s="144"/>
      <c r="AZ181" s="144"/>
      <c r="BA181" s="144"/>
      <c r="BB181" s="144"/>
      <c r="BC181" s="144"/>
      <c r="BD181" s="883"/>
      <c r="BE181" s="144"/>
      <c r="BF181" s="144"/>
      <c r="BG181" s="144"/>
      <c r="BH181" s="144"/>
      <c r="BI181" s="144"/>
      <c r="BJ181" s="144"/>
      <c r="BK181" s="883"/>
      <c r="BL181" s="883"/>
      <c r="BM181" s="883"/>
      <c r="BN181" s="883"/>
      <c r="BO181" s="883"/>
      <c r="BP181" s="883"/>
      <c r="BQ181" s="883"/>
      <c r="BR181" s="883"/>
      <c r="BS181" s="883"/>
      <c r="BT181" s="883"/>
      <c r="BU181" s="883"/>
      <c r="BV181" s="883"/>
      <c r="BW181" s="883"/>
      <c r="BX181" s="883"/>
    </row>
    <row r="182" ht="15.75" customHeight="1">
      <c r="A182" s="885"/>
      <c r="B182" s="886" t="s">
        <v>4544</v>
      </c>
      <c r="C182" s="725" t="s">
        <v>4545</v>
      </c>
      <c r="D182" s="887"/>
      <c r="E182" s="144"/>
      <c r="F182" s="144" t="s">
        <v>4537</v>
      </c>
      <c r="G182" s="144" t="s">
        <v>4545</v>
      </c>
      <c r="H182" s="175"/>
      <c r="I182" s="525"/>
      <c r="J182" s="144"/>
      <c r="K182" s="144"/>
      <c r="L182" s="144"/>
      <c r="M182" s="154"/>
      <c r="N182" s="144"/>
      <c r="O182" s="144"/>
      <c r="P182" s="144"/>
      <c r="Q182" s="144"/>
      <c r="R182" s="113" t="s">
        <v>4546</v>
      </c>
      <c r="S182" s="144"/>
      <c r="T182" s="144"/>
      <c r="U182" s="144"/>
      <c r="V182" s="144"/>
      <c r="W182" s="144" t="s">
        <v>4537</v>
      </c>
      <c r="X182" s="144"/>
      <c r="Y182" s="144"/>
      <c r="Z182" s="144"/>
      <c r="AA182" s="144"/>
      <c r="AB182" s="144" t="s">
        <v>4535</v>
      </c>
      <c r="AC182" s="144"/>
      <c r="AD182" s="144"/>
      <c r="AE182" s="144"/>
      <c r="AF182" s="144"/>
      <c r="AG182" s="144"/>
      <c r="AH182" s="144"/>
      <c r="AI182" s="144"/>
      <c r="AJ182" s="154"/>
      <c r="AK182" s="144"/>
      <c r="AL182" s="144"/>
      <c r="AM182" s="144"/>
      <c r="AN182" s="525"/>
      <c r="AO182" s="144"/>
      <c r="AP182" s="144"/>
      <c r="AQ182" s="154"/>
      <c r="AR182" s="144"/>
      <c r="AS182" s="144"/>
      <c r="AT182" s="144"/>
      <c r="AU182" s="525"/>
      <c r="AV182" s="144"/>
      <c r="AW182" s="154"/>
      <c r="AX182" s="144"/>
      <c r="AY182" s="144"/>
      <c r="AZ182" s="144"/>
      <c r="BA182" s="144"/>
      <c r="BB182" s="144"/>
      <c r="BC182" s="144"/>
      <c r="BD182" s="154"/>
      <c r="BE182" s="144"/>
      <c r="BF182" s="144"/>
      <c r="BG182" s="144"/>
      <c r="BH182" s="144"/>
      <c r="BI182" s="144"/>
      <c r="BJ182" s="144"/>
      <c r="BK182" s="154"/>
      <c r="BL182" s="154"/>
      <c r="BM182" s="154"/>
      <c r="BN182" s="154"/>
      <c r="BO182" s="154"/>
      <c r="BP182" s="154"/>
      <c r="BQ182" s="154"/>
      <c r="BR182" s="154"/>
      <c r="BS182" s="154"/>
      <c r="BT182" s="154"/>
      <c r="BU182" s="154"/>
      <c r="BV182" s="154"/>
      <c r="BW182" s="154"/>
      <c r="BX182" s="154"/>
    </row>
    <row r="183" ht="15.75" customHeight="1">
      <c r="A183" s="880" t="s">
        <v>4548</v>
      </c>
      <c r="B183" s="882" t="s">
        <v>146</v>
      </c>
      <c r="C183" s="725" t="s">
        <v>4549</v>
      </c>
      <c r="D183" s="254" t="s">
        <v>4550</v>
      </c>
      <c r="E183" s="117" t="s">
        <v>4551</v>
      </c>
      <c r="F183" s="144" t="s">
        <v>4552</v>
      </c>
      <c r="G183" s="144" t="s">
        <v>4550</v>
      </c>
      <c r="H183" s="112" t="s">
        <v>4553</v>
      </c>
      <c r="I183" s="525"/>
      <c r="J183" s="144"/>
      <c r="K183" s="144"/>
      <c r="L183" s="144"/>
      <c r="M183" s="883"/>
      <c r="N183" s="144" t="s">
        <v>4554</v>
      </c>
      <c r="O183" s="144"/>
      <c r="P183" s="144"/>
      <c r="Q183" s="144"/>
      <c r="R183" s="113"/>
      <c r="S183" s="144"/>
      <c r="T183" s="144"/>
      <c r="U183" s="144"/>
      <c r="V183" s="144" t="s">
        <v>4555</v>
      </c>
      <c r="W183" s="144" t="s">
        <v>4556</v>
      </c>
      <c r="X183" s="144"/>
      <c r="Y183" s="144"/>
      <c r="Z183" s="144"/>
      <c r="AA183" s="144"/>
      <c r="AB183" s="144"/>
      <c r="AC183" s="144"/>
      <c r="AD183" s="144" t="s">
        <v>4549</v>
      </c>
      <c r="AE183" s="144"/>
      <c r="AF183" s="144"/>
      <c r="AG183" s="144"/>
      <c r="AH183" s="144"/>
      <c r="AI183" s="144"/>
      <c r="AJ183" s="884" t="s">
        <v>4557</v>
      </c>
      <c r="AK183" s="144"/>
      <c r="AL183" s="144"/>
      <c r="AM183" s="144"/>
      <c r="AN183" s="525"/>
      <c r="AO183" s="144"/>
      <c r="AP183" s="144"/>
      <c r="AQ183" s="883"/>
      <c r="AR183" s="144"/>
      <c r="AS183" s="144"/>
      <c r="AT183" s="144"/>
      <c r="AU183" s="525"/>
      <c r="AV183" s="144"/>
      <c r="AW183" s="883"/>
      <c r="AX183" s="144"/>
      <c r="AY183" s="144"/>
      <c r="AZ183" s="144"/>
      <c r="BA183" s="144"/>
      <c r="BB183" s="144"/>
      <c r="BC183" s="144"/>
      <c r="BD183" s="883"/>
      <c r="BE183" s="144"/>
      <c r="BF183" s="144"/>
      <c r="BG183" s="144"/>
      <c r="BH183" s="144"/>
      <c r="BI183" s="144"/>
      <c r="BJ183" s="144"/>
      <c r="BK183" s="883"/>
      <c r="BL183" s="883"/>
      <c r="BM183" s="883"/>
      <c r="BN183" s="883"/>
      <c r="BO183" s="883"/>
      <c r="BP183" s="883"/>
      <c r="BQ183" s="883"/>
      <c r="BR183" s="883"/>
      <c r="BS183" s="883"/>
      <c r="BT183" s="883"/>
      <c r="BU183" s="883"/>
      <c r="BV183" s="883"/>
      <c r="BW183" s="883"/>
      <c r="BX183" s="883"/>
    </row>
    <row r="184" ht="15.75" customHeight="1">
      <c r="A184" s="888" t="s">
        <v>320</v>
      </c>
      <c r="B184" s="889" t="s">
        <v>146</v>
      </c>
      <c r="C184" s="725" t="s">
        <v>4558</v>
      </c>
      <c r="D184" s="890" t="s">
        <v>4559</v>
      </c>
      <c r="E184" s="594"/>
      <c r="F184" s="594" t="s">
        <v>610</v>
      </c>
      <c r="G184" s="144" t="s">
        <v>4558</v>
      </c>
      <c r="H184" s="175"/>
      <c r="I184" s="525"/>
      <c r="J184" s="594"/>
      <c r="K184" s="594"/>
      <c r="L184" s="594"/>
      <c r="M184" s="154"/>
      <c r="N184" s="594"/>
      <c r="O184" s="594"/>
      <c r="P184" s="594"/>
      <c r="Q184" s="594"/>
      <c r="R184" s="174"/>
      <c r="S184" s="594"/>
      <c r="T184" s="594"/>
      <c r="U184" s="594"/>
      <c r="V184" s="594"/>
      <c r="W184" s="594"/>
      <c r="X184" s="594"/>
      <c r="Y184" s="594"/>
      <c r="Z184" s="594"/>
      <c r="AA184" s="594"/>
      <c r="AB184" s="594"/>
      <c r="AC184" s="594"/>
      <c r="AD184" s="594"/>
      <c r="AE184" s="594"/>
      <c r="AF184" s="594"/>
      <c r="AG184" s="594"/>
      <c r="AH184" s="594"/>
      <c r="AI184" s="594"/>
      <c r="AJ184" s="147" t="s">
        <v>4561</v>
      </c>
      <c r="AK184" s="594"/>
      <c r="AL184" s="594"/>
      <c r="AM184" s="594"/>
      <c r="AN184" s="525"/>
      <c r="AO184" s="594"/>
      <c r="AP184" s="594"/>
      <c r="AQ184" s="154"/>
      <c r="AR184" s="594"/>
      <c r="AS184" s="594"/>
      <c r="AT184" s="594"/>
      <c r="AU184" s="525"/>
      <c r="AV184" s="594"/>
      <c r="AW184" s="154"/>
      <c r="AX184" s="594"/>
      <c r="AY184" s="594"/>
      <c r="AZ184" s="594"/>
      <c r="BA184" s="594"/>
      <c r="BB184" s="594"/>
      <c r="BC184" s="594"/>
      <c r="BD184" s="154"/>
      <c r="BE184" s="594"/>
      <c r="BF184" s="594"/>
      <c r="BG184" s="594"/>
      <c r="BH184" s="594"/>
      <c r="BI184" s="594"/>
      <c r="BJ184" s="594"/>
      <c r="BK184" s="154"/>
      <c r="BL184" s="154"/>
      <c r="BM184" s="154"/>
      <c r="BN184" s="154"/>
      <c r="BO184" s="154"/>
      <c r="BP184" s="154"/>
      <c r="BQ184" s="154"/>
      <c r="BR184" s="154"/>
      <c r="BS184" s="154"/>
      <c r="BT184" s="154"/>
      <c r="BU184" s="154"/>
      <c r="BV184" s="154"/>
      <c r="BW184" s="154"/>
      <c r="BX184" s="154"/>
    </row>
    <row r="185" ht="15.75" customHeight="1">
      <c r="A185" s="880" t="s">
        <v>227</v>
      </c>
      <c r="B185" s="891" t="s">
        <v>4563</v>
      </c>
      <c r="C185" s="725" t="s">
        <v>4564</v>
      </c>
      <c r="D185" s="173"/>
      <c r="E185" s="892"/>
      <c r="F185" s="892"/>
      <c r="G185" s="892"/>
      <c r="H185" s="175"/>
      <c r="I185" s="525"/>
      <c r="J185" s="892"/>
      <c r="K185" s="892" t="s">
        <v>4564</v>
      </c>
      <c r="L185" s="892"/>
      <c r="M185" s="883"/>
      <c r="N185" s="892"/>
      <c r="O185" s="892"/>
      <c r="P185" s="892"/>
      <c r="Q185" s="892"/>
      <c r="R185" s="299"/>
      <c r="S185" s="892"/>
      <c r="T185" s="892"/>
      <c r="U185" s="892"/>
      <c r="V185" s="892"/>
      <c r="W185" s="892"/>
      <c r="X185" s="892"/>
      <c r="Y185" s="892"/>
      <c r="Z185" s="892"/>
      <c r="AA185" s="892"/>
      <c r="AB185" s="892"/>
      <c r="AC185" s="892"/>
      <c r="AD185" s="892"/>
      <c r="AE185" s="892"/>
      <c r="AF185" s="892"/>
      <c r="AG185" s="892"/>
      <c r="AH185" s="892"/>
      <c r="AI185" s="892"/>
      <c r="AJ185" s="883"/>
      <c r="AK185" s="892"/>
      <c r="AL185" s="892"/>
      <c r="AM185" s="892"/>
      <c r="AN185" s="525"/>
      <c r="AO185" s="892"/>
      <c r="AP185" s="892"/>
      <c r="AQ185" s="883"/>
      <c r="AR185" s="892"/>
      <c r="AS185" s="892"/>
      <c r="AT185" s="892"/>
      <c r="AU185" s="525"/>
      <c r="AV185" s="892"/>
      <c r="AW185" s="883"/>
      <c r="AX185" s="892"/>
      <c r="AY185" s="892"/>
      <c r="AZ185" s="892"/>
      <c r="BA185" s="892"/>
      <c r="BB185" s="892"/>
      <c r="BC185" s="892"/>
      <c r="BD185" s="883"/>
      <c r="BE185" s="892"/>
      <c r="BF185" s="892"/>
      <c r="BG185" s="892"/>
      <c r="BH185" s="892"/>
      <c r="BI185" s="892"/>
      <c r="BJ185" s="892"/>
      <c r="BK185" s="883"/>
      <c r="BL185" s="883"/>
      <c r="BM185" s="883"/>
      <c r="BN185" s="883"/>
      <c r="BO185" s="883"/>
      <c r="BP185" s="883"/>
      <c r="BQ185" s="883"/>
      <c r="BR185" s="883"/>
      <c r="BS185" s="883"/>
      <c r="BT185" s="883"/>
      <c r="BU185" s="883"/>
      <c r="BV185" s="883"/>
      <c r="BW185" s="883"/>
      <c r="BX185" s="883"/>
    </row>
    <row r="186" ht="15.75" customHeight="1">
      <c r="A186" s="885"/>
      <c r="B186" s="886" t="s">
        <v>4566</v>
      </c>
      <c r="C186" s="725" t="s">
        <v>4567</v>
      </c>
      <c r="D186" s="272" t="s">
        <v>190</v>
      </c>
      <c r="E186" s="144" t="s">
        <v>4568</v>
      </c>
      <c r="F186" s="144" t="s">
        <v>4567</v>
      </c>
      <c r="G186" s="144" t="s">
        <v>3491</v>
      </c>
      <c r="H186" s="112" t="s">
        <v>219</v>
      </c>
      <c r="I186" s="543" t="s">
        <v>4570</v>
      </c>
      <c r="J186" s="144"/>
      <c r="K186" s="144" t="s">
        <v>2169</v>
      </c>
      <c r="L186" s="144" t="s">
        <v>1079</v>
      </c>
      <c r="M186" s="154"/>
      <c r="N186" s="144"/>
      <c r="O186" s="144"/>
      <c r="P186" s="144" t="s">
        <v>471</v>
      </c>
      <c r="Q186" s="144" t="s">
        <v>4572</v>
      </c>
      <c r="R186" s="113"/>
      <c r="S186" s="144"/>
      <c r="T186" s="144"/>
      <c r="U186" s="144"/>
      <c r="V186" s="144" t="s">
        <v>2735</v>
      </c>
      <c r="W186" s="144"/>
      <c r="X186" s="144"/>
      <c r="Y186" s="144"/>
      <c r="Z186" s="144"/>
      <c r="AA186" s="144"/>
      <c r="AB186" s="144"/>
      <c r="AC186" s="144"/>
      <c r="AD186" s="144"/>
      <c r="AE186" s="144"/>
      <c r="AF186" s="144"/>
      <c r="AG186" s="144"/>
      <c r="AH186" s="144"/>
      <c r="AI186" s="144"/>
      <c r="AJ186" s="154"/>
      <c r="AK186" s="144"/>
      <c r="AL186" s="144"/>
      <c r="AM186" s="144"/>
      <c r="AN186" s="525"/>
      <c r="AO186" s="144"/>
      <c r="AP186" s="144"/>
      <c r="AQ186" s="147" t="s">
        <v>4567</v>
      </c>
      <c r="AR186" s="144"/>
      <c r="AS186" s="144"/>
      <c r="AT186" s="144"/>
      <c r="AU186" s="525"/>
      <c r="AV186" s="144"/>
      <c r="AW186" s="154"/>
      <c r="AX186" s="144"/>
      <c r="AY186" s="144"/>
      <c r="AZ186" s="144"/>
      <c r="BA186" s="144"/>
      <c r="BB186" s="144"/>
      <c r="BC186" s="144"/>
      <c r="BD186" s="154"/>
      <c r="BE186" s="144"/>
      <c r="BF186" s="144"/>
      <c r="BG186" s="144"/>
      <c r="BH186" s="144"/>
      <c r="BI186" s="144"/>
      <c r="BJ186" s="144"/>
      <c r="BK186" s="154"/>
      <c r="BL186" s="154"/>
      <c r="BM186" s="154"/>
      <c r="BN186" s="154"/>
      <c r="BO186" s="154"/>
      <c r="BP186" s="154"/>
      <c r="BQ186" s="154"/>
      <c r="BR186" s="154"/>
      <c r="BS186" s="154"/>
      <c r="BT186" s="154"/>
      <c r="BU186" s="154"/>
      <c r="BV186" s="154"/>
      <c r="BW186" s="154"/>
      <c r="BX186" s="154"/>
    </row>
    <row r="187" ht="15.75" customHeight="1">
      <c r="A187" s="888" t="s">
        <v>320</v>
      </c>
      <c r="B187" s="894" t="s">
        <v>4573</v>
      </c>
      <c r="C187" s="725" t="s">
        <v>4574</v>
      </c>
      <c r="D187" s="173"/>
      <c r="E187" s="398"/>
      <c r="F187" s="398"/>
      <c r="G187" s="398"/>
      <c r="H187" s="175"/>
      <c r="I187" s="525"/>
      <c r="J187" s="398"/>
      <c r="K187" s="398" t="s">
        <v>3988</v>
      </c>
      <c r="L187" s="398"/>
      <c r="M187" s="884" t="s">
        <v>362</v>
      </c>
      <c r="N187" s="398"/>
      <c r="O187" s="398"/>
      <c r="P187" s="398"/>
      <c r="Q187" s="398"/>
      <c r="R187" s="113"/>
      <c r="S187" s="398"/>
      <c r="T187" s="398"/>
      <c r="U187" s="398"/>
      <c r="V187" s="398"/>
      <c r="W187" s="398"/>
      <c r="X187" s="398"/>
      <c r="Y187" s="398"/>
      <c r="Z187" s="398" t="s">
        <v>4575</v>
      </c>
      <c r="AA187" s="398"/>
      <c r="AB187" s="398"/>
      <c r="AC187" s="398"/>
      <c r="AD187" s="398"/>
      <c r="AE187" s="398"/>
      <c r="AF187" s="398"/>
      <c r="AG187" s="398"/>
      <c r="AH187" s="398"/>
      <c r="AI187" s="398"/>
      <c r="AJ187" s="883"/>
      <c r="AK187" s="398"/>
      <c r="AL187" s="398"/>
      <c r="AM187" s="398"/>
      <c r="AN187" s="525"/>
      <c r="AO187" s="398"/>
      <c r="AP187" s="398"/>
      <c r="AQ187" s="883"/>
      <c r="AR187" s="398"/>
      <c r="AS187" s="398"/>
      <c r="AT187" s="398"/>
      <c r="AU187" s="525"/>
      <c r="AV187" s="398"/>
      <c r="AW187" s="883"/>
      <c r="AX187" s="398"/>
      <c r="AY187" s="398"/>
      <c r="AZ187" s="398"/>
      <c r="BA187" s="398"/>
      <c r="BB187" s="398"/>
      <c r="BC187" s="398"/>
      <c r="BD187" s="883"/>
      <c r="BE187" s="398"/>
      <c r="BF187" s="398"/>
      <c r="BG187" s="398"/>
      <c r="BH187" s="398"/>
      <c r="BI187" s="398"/>
      <c r="BJ187" s="398"/>
      <c r="BK187" s="883"/>
      <c r="BL187" s="883"/>
      <c r="BM187" s="883"/>
      <c r="BN187" s="883"/>
      <c r="BO187" s="883"/>
      <c r="BP187" s="883"/>
      <c r="BQ187" s="883"/>
      <c r="BR187" s="883"/>
      <c r="BS187" s="883"/>
      <c r="BT187" s="883"/>
      <c r="BU187" s="883"/>
      <c r="BV187" s="883"/>
      <c r="BW187" s="883"/>
      <c r="BX187" s="883"/>
    </row>
    <row r="188" ht="15.75" customHeight="1">
      <c r="A188" s="885"/>
      <c r="B188" s="886" t="s">
        <v>4576</v>
      </c>
      <c r="C188" s="725" t="s">
        <v>4577</v>
      </c>
      <c r="D188" s="272" t="s">
        <v>4578</v>
      </c>
      <c r="E188" s="144" t="s">
        <v>4579</v>
      </c>
      <c r="F188" s="144" t="s">
        <v>4577</v>
      </c>
      <c r="G188" s="144" t="s">
        <v>4580</v>
      </c>
      <c r="H188" s="112" t="s">
        <v>1019</v>
      </c>
      <c r="I188" s="543" t="s">
        <v>4581</v>
      </c>
      <c r="J188" s="144" t="s">
        <v>490</v>
      </c>
      <c r="K188" s="144" t="s">
        <v>4582</v>
      </c>
      <c r="L188" s="144" t="s">
        <v>3628</v>
      </c>
      <c r="M188" s="147" t="s">
        <v>4583</v>
      </c>
      <c r="N188" s="144" t="s">
        <v>3948</v>
      </c>
      <c r="O188" s="144" t="s">
        <v>4584</v>
      </c>
      <c r="P188" s="144" t="s">
        <v>4585</v>
      </c>
      <c r="Q188" s="144" t="s">
        <v>4586</v>
      </c>
      <c r="R188" s="113" t="s">
        <v>4585</v>
      </c>
      <c r="S188" s="144"/>
      <c r="T188" s="144"/>
      <c r="U188" s="144"/>
      <c r="V188" s="144"/>
      <c r="W188" s="144"/>
      <c r="X188" s="144" t="s">
        <v>4587</v>
      </c>
      <c r="Y188" s="144"/>
      <c r="Z188" s="144"/>
      <c r="AA188" s="144"/>
      <c r="AB188" s="144"/>
      <c r="AC188" s="144"/>
      <c r="AD188" s="144"/>
      <c r="AE188" s="144"/>
      <c r="AF188" s="144"/>
      <c r="AG188" s="144"/>
      <c r="AH188" s="144"/>
      <c r="AI188" s="144"/>
      <c r="AJ188" s="154"/>
      <c r="AK188" s="144"/>
      <c r="AL188" s="144"/>
      <c r="AM188" s="144"/>
      <c r="AN188" s="525"/>
      <c r="AO188" s="144"/>
      <c r="AP188" s="144"/>
      <c r="AQ188" s="154"/>
      <c r="AR188" s="144"/>
      <c r="AS188" s="144"/>
      <c r="AT188" s="144"/>
      <c r="AU188" s="525"/>
      <c r="AV188" s="144"/>
      <c r="AW188" s="154"/>
      <c r="AX188" s="144"/>
      <c r="AY188" s="144"/>
      <c r="AZ188" s="144"/>
      <c r="BA188" s="144"/>
      <c r="BB188" s="144"/>
      <c r="BC188" s="144"/>
      <c r="BD188" s="154"/>
      <c r="BE188" s="144"/>
      <c r="BF188" s="144"/>
      <c r="BG188" s="144"/>
      <c r="BH188" s="144"/>
      <c r="BI188" s="144"/>
      <c r="BJ188" s="144"/>
      <c r="BK188" s="154"/>
      <c r="BL188" s="154"/>
      <c r="BM188" s="154"/>
      <c r="BN188" s="154"/>
      <c r="BO188" s="154"/>
      <c r="BP188" s="154"/>
      <c r="BQ188" s="154"/>
      <c r="BR188" s="154"/>
      <c r="BS188" s="154"/>
      <c r="BT188" s="154"/>
      <c r="BU188" s="154"/>
      <c r="BV188" s="154"/>
      <c r="BW188" s="154"/>
      <c r="BX188" s="154"/>
    </row>
    <row r="189" ht="15.75" customHeight="1">
      <c r="A189" s="896"/>
      <c r="B189" s="897" t="s">
        <v>4588</v>
      </c>
      <c r="C189" s="725" t="s">
        <v>4589</v>
      </c>
      <c r="D189" s="173"/>
      <c r="E189" s="144"/>
      <c r="F189" s="144" t="s">
        <v>4589</v>
      </c>
      <c r="G189" s="144"/>
      <c r="H189" s="175"/>
      <c r="I189" s="525"/>
      <c r="J189" s="144" t="s">
        <v>4591</v>
      </c>
      <c r="K189" s="144"/>
      <c r="L189" s="144"/>
      <c r="M189" s="883"/>
      <c r="N189" s="144"/>
      <c r="O189" s="144" t="s">
        <v>4262</v>
      </c>
      <c r="P189" s="144" t="s">
        <v>3989</v>
      </c>
      <c r="Q189" s="144" t="s">
        <v>4262</v>
      </c>
      <c r="R189" s="113"/>
      <c r="S189" s="144"/>
      <c r="T189" s="144"/>
      <c r="U189" s="144"/>
      <c r="V189" s="144"/>
      <c r="W189" s="144"/>
      <c r="X189" s="144"/>
      <c r="Y189" s="144"/>
      <c r="Z189" s="144"/>
      <c r="AA189" s="144"/>
      <c r="AB189" s="144"/>
      <c r="AC189" s="144"/>
      <c r="AD189" s="144"/>
      <c r="AE189" s="144"/>
      <c r="AF189" s="144"/>
      <c r="AG189" s="144"/>
      <c r="AH189" s="144"/>
      <c r="AI189" s="144"/>
      <c r="AJ189" s="883"/>
      <c r="AK189" s="144"/>
      <c r="AL189" s="144"/>
      <c r="AM189" s="144"/>
      <c r="AN189" s="525"/>
      <c r="AO189" s="144"/>
      <c r="AP189" s="144"/>
      <c r="AQ189" s="883"/>
      <c r="AR189" s="144"/>
      <c r="AS189" s="144"/>
      <c r="AT189" s="144"/>
      <c r="AU189" s="525"/>
      <c r="AV189" s="144"/>
      <c r="AW189" s="883"/>
      <c r="AX189" s="144"/>
      <c r="AY189" s="144"/>
      <c r="AZ189" s="144"/>
      <c r="BA189" s="144"/>
      <c r="BB189" s="144"/>
      <c r="BC189" s="144"/>
      <c r="BD189" s="883"/>
      <c r="BE189" s="144"/>
      <c r="BF189" s="144"/>
      <c r="BG189" s="144"/>
      <c r="BH189" s="144"/>
      <c r="BI189" s="144"/>
      <c r="BJ189" s="144"/>
      <c r="BK189" s="883"/>
      <c r="BL189" s="883"/>
      <c r="BM189" s="883"/>
      <c r="BN189" s="883"/>
      <c r="BO189" s="883"/>
      <c r="BP189" s="883"/>
      <c r="BQ189" s="883"/>
      <c r="BR189" s="883"/>
      <c r="BS189" s="883"/>
      <c r="BT189" s="883"/>
      <c r="BU189" s="883"/>
      <c r="BV189" s="883"/>
      <c r="BW189" s="883"/>
      <c r="BX189" s="883"/>
    </row>
    <row r="190" ht="15.75" customHeight="1">
      <c r="A190" s="888" t="s">
        <v>4595</v>
      </c>
      <c r="B190" s="894" t="s">
        <v>2222</v>
      </c>
      <c r="C190" s="725" t="s">
        <v>4596</v>
      </c>
      <c r="D190" s="890" t="s">
        <v>4598</v>
      </c>
      <c r="E190" s="892"/>
      <c r="F190" s="892"/>
      <c r="G190" s="892"/>
      <c r="H190" s="175"/>
      <c r="I190" s="543" t="s">
        <v>4600</v>
      </c>
      <c r="J190" s="892"/>
      <c r="K190" s="892"/>
      <c r="L190" s="892"/>
      <c r="M190" s="154"/>
      <c r="N190" s="892" t="s">
        <v>4601</v>
      </c>
      <c r="O190" s="892"/>
      <c r="P190" s="892"/>
      <c r="Q190" s="892"/>
      <c r="R190" s="299"/>
      <c r="S190" s="892"/>
      <c r="T190" s="892"/>
      <c r="U190" s="892"/>
      <c r="V190" s="892"/>
      <c r="W190" s="892"/>
      <c r="X190" s="892"/>
      <c r="Y190" s="892"/>
      <c r="Z190" s="892"/>
      <c r="AA190" s="892"/>
      <c r="AB190" s="892"/>
      <c r="AC190" s="892" t="s">
        <v>4600</v>
      </c>
      <c r="AD190" s="892"/>
      <c r="AE190" s="892"/>
      <c r="AF190" s="892"/>
      <c r="AG190" s="892"/>
      <c r="AH190" s="892"/>
      <c r="AI190" s="892"/>
      <c r="AJ190" s="147" t="s">
        <v>4602</v>
      </c>
      <c r="AK190" s="892"/>
      <c r="AL190" s="892"/>
      <c r="AM190" s="892"/>
      <c r="AN190" s="525"/>
      <c r="AO190" s="892"/>
      <c r="AP190" s="892"/>
      <c r="AQ190" s="154"/>
      <c r="AR190" s="892"/>
      <c r="AS190" s="892"/>
      <c r="AT190" s="892"/>
      <c r="AU190" s="525"/>
      <c r="AV190" s="892"/>
      <c r="AW190" s="154"/>
      <c r="AX190" s="892"/>
      <c r="AY190" s="892"/>
      <c r="AZ190" s="892"/>
      <c r="BA190" s="892"/>
      <c r="BB190" s="892"/>
      <c r="BC190" s="892"/>
      <c r="BD190" s="154"/>
      <c r="BE190" s="892"/>
      <c r="BF190" s="892"/>
      <c r="BG190" s="892"/>
      <c r="BH190" s="892"/>
      <c r="BI190" s="892"/>
      <c r="BJ190" s="892"/>
      <c r="BK190" s="154"/>
      <c r="BL190" s="154"/>
      <c r="BM190" s="154"/>
      <c r="BN190" s="154"/>
      <c r="BO190" s="154"/>
      <c r="BP190" s="154"/>
      <c r="BQ190" s="154"/>
      <c r="BR190" s="154"/>
      <c r="BS190" s="154"/>
      <c r="BT190" s="154"/>
      <c r="BU190" s="154"/>
      <c r="BV190" s="154"/>
      <c r="BW190" s="154"/>
      <c r="BX190" s="154"/>
    </row>
    <row r="191" ht="15.75" customHeight="1">
      <c r="A191" s="885"/>
      <c r="B191" s="886" t="s">
        <v>4604</v>
      </c>
      <c r="C191" s="898" t="s">
        <v>3325</v>
      </c>
      <c r="D191" s="173"/>
      <c r="E191" s="899" t="s">
        <v>516</v>
      </c>
      <c r="F191" s="144" t="s">
        <v>4606</v>
      </c>
      <c r="G191" s="144"/>
      <c r="H191" s="112" t="s">
        <v>516</v>
      </c>
      <c r="I191" s="543"/>
      <c r="J191" s="144"/>
      <c r="K191" s="144"/>
      <c r="L191" s="109" t="s">
        <v>4600</v>
      </c>
      <c r="M191" s="883"/>
      <c r="N191" s="144"/>
      <c r="O191" s="144"/>
      <c r="P191" s="144"/>
      <c r="Q191" s="144"/>
      <c r="R191" s="113"/>
      <c r="S191" s="144"/>
      <c r="T191" s="144"/>
      <c r="U191" s="144"/>
      <c r="V191" s="144" t="s">
        <v>4609</v>
      </c>
      <c r="W191" s="144"/>
      <c r="X191" s="144"/>
      <c r="Y191" s="144"/>
      <c r="Z191" s="144"/>
      <c r="AA191" s="144" t="s">
        <v>287</v>
      </c>
      <c r="AB191" s="144" t="s">
        <v>4142</v>
      </c>
      <c r="AC191" s="144"/>
      <c r="AD191" s="144"/>
      <c r="AE191" s="144"/>
      <c r="AF191" s="144"/>
      <c r="AG191" s="144"/>
      <c r="AH191" s="144"/>
      <c r="AI191" s="144"/>
      <c r="AJ191" s="883"/>
      <c r="AK191" s="144"/>
      <c r="AL191" s="144"/>
      <c r="AM191" s="144"/>
      <c r="AN191" s="525"/>
      <c r="AO191" s="144"/>
      <c r="AP191" s="144"/>
      <c r="AQ191" s="884" t="s">
        <v>3325</v>
      </c>
      <c r="AR191" s="144"/>
      <c r="AS191" s="144"/>
      <c r="AT191" s="144"/>
      <c r="AU191" s="525"/>
      <c r="AV191" s="144"/>
      <c r="AW191" s="883"/>
      <c r="AX191" s="144"/>
      <c r="AY191" s="144"/>
      <c r="AZ191" s="144"/>
      <c r="BA191" s="144"/>
      <c r="BB191" s="144"/>
      <c r="BC191" s="144"/>
      <c r="BD191" s="883"/>
      <c r="BE191" s="144"/>
      <c r="BF191" s="144"/>
      <c r="BG191" s="144"/>
      <c r="BH191" s="144"/>
      <c r="BI191" s="144"/>
      <c r="BJ191" s="144"/>
      <c r="BK191" s="883"/>
      <c r="BL191" s="900"/>
      <c r="BM191" s="883"/>
      <c r="BN191" s="883"/>
      <c r="BO191" s="883"/>
      <c r="BP191" s="883"/>
      <c r="BQ191" s="883"/>
      <c r="BR191" s="883"/>
      <c r="BS191" s="883"/>
      <c r="BT191" s="883"/>
      <c r="BU191" s="883"/>
      <c r="BV191" s="883"/>
      <c r="BW191" s="883"/>
      <c r="BX191" s="883"/>
    </row>
    <row r="192" ht="15.75" customHeight="1">
      <c r="A192" s="888" t="s">
        <v>4611</v>
      </c>
      <c r="B192" s="894" t="s">
        <v>2222</v>
      </c>
      <c r="C192" s="725" t="s">
        <v>4612</v>
      </c>
      <c r="D192" s="901" t="s">
        <v>4613</v>
      </c>
      <c r="E192" s="892"/>
      <c r="F192" s="892"/>
      <c r="G192" s="892" t="s">
        <v>4612</v>
      </c>
      <c r="H192" s="175"/>
      <c r="I192" s="543" t="s">
        <v>4614</v>
      </c>
      <c r="J192" s="892"/>
      <c r="K192" s="892" t="s">
        <v>4615</v>
      </c>
      <c r="L192" s="892"/>
      <c r="M192" s="154"/>
      <c r="N192" s="892"/>
      <c r="O192" s="892"/>
      <c r="P192" s="892"/>
      <c r="Q192" s="892"/>
      <c r="R192" s="299"/>
      <c r="S192" s="892"/>
      <c r="T192" s="892"/>
      <c r="U192" s="892"/>
      <c r="V192" s="892"/>
      <c r="W192" s="892"/>
      <c r="X192" s="892"/>
      <c r="Y192" s="892"/>
      <c r="Z192" s="892" t="s">
        <v>4617</v>
      </c>
      <c r="AA192" s="892"/>
      <c r="AB192" s="892"/>
      <c r="AC192" s="892"/>
      <c r="AD192" s="892"/>
      <c r="AE192" s="892"/>
      <c r="AF192" s="892"/>
      <c r="AG192" s="892"/>
      <c r="AH192" s="892"/>
      <c r="AI192" s="892"/>
      <c r="AJ192" s="147" t="s">
        <v>4618</v>
      </c>
      <c r="AK192" s="892"/>
      <c r="AL192" s="892"/>
      <c r="AM192" s="892"/>
      <c r="AN192" s="525"/>
      <c r="AO192" s="892"/>
      <c r="AP192" s="892"/>
      <c r="AQ192" s="154"/>
      <c r="AR192" s="892"/>
      <c r="AS192" s="892"/>
      <c r="AT192" s="892"/>
      <c r="AU192" s="525"/>
      <c r="AV192" s="892"/>
      <c r="AW192" s="154"/>
      <c r="AX192" s="892"/>
      <c r="AY192" s="892"/>
      <c r="AZ192" s="892"/>
      <c r="BA192" s="892"/>
      <c r="BB192" s="892"/>
      <c r="BC192" s="892"/>
      <c r="BD192" s="154"/>
      <c r="BE192" s="892"/>
      <c r="BF192" s="892"/>
      <c r="BG192" s="892"/>
      <c r="BH192" s="892"/>
      <c r="BI192" s="892"/>
      <c r="BJ192" s="892"/>
      <c r="BK192" s="154"/>
      <c r="BL192" s="154"/>
      <c r="BM192" s="154"/>
      <c r="BN192" s="154"/>
      <c r="BO192" s="154"/>
      <c r="BP192" s="154"/>
      <c r="BQ192" s="154"/>
      <c r="BR192" s="154"/>
      <c r="BS192" s="154"/>
      <c r="BT192" s="154"/>
      <c r="BU192" s="154"/>
      <c r="BV192" s="154"/>
      <c r="BW192" s="154"/>
      <c r="BX192" s="154"/>
    </row>
    <row r="193" ht="15.75" customHeight="1">
      <c r="A193" s="902"/>
      <c r="B193" s="903" t="s">
        <v>4604</v>
      </c>
      <c r="C193" s="725" t="s">
        <v>4621</v>
      </c>
      <c r="D193" s="173"/>
      <c r="E193" s="117" t="s">
        <v>4622</v>
      </c>
      <c r="F193" s="109" t="s">
        <v>4621</v>
      </c>
      <c r="G193" s="117" t="s">
        <v>4621</v>
      </c>
      <c r="H193" s="175"/>
      <c r="I193" s="585"/>
      <c r="J193" s="117"/>
      <c r="K193" s="117"/>
      <c r="L193" s="117"/>
      <c r="M193" s="883"/>
      <c r="N193" s="117"/>
      <c r="O193" s="117"/>
      <c r="P193" s="117"/>
      <c r="Q193" s="117"/>
      <c r="R193" s="113"/>
      <c r="S193" s="117"/>
      <c r="T193" s="117"/>
      <c r="U193" s="117"/>
      <c r="V193" s="117"/>
      <c r="W193" s="117"/>
      <c r="X193" s="117"/>
      <c r="Y193" s="117"/>
      <c r="Z193" s="117"/>
      <c r="AA193" s="109" t="s">
        <v>4621</v>
      </c>
      <c r="AB193" s="117"/>
      <c r="AC193" s="117"/>
      <c r="AD193" s="117"/>
      <c r="AE193" s="117"/>
      <c r="AF193" s="117"/>
      <c r="AG193" s="117"/>
      <c r="AH193" s="117"/>
      <c r="AI193" s="117" t="s">
        <v>4624</v>
      </c>
      <c r="AJ193" s="883"/>
      <c r="AK193" s="117"/>
      <c r="AL193" s="117"/>
      <c r="AM193" s="117"/>
      <c r="AN193" s="585"/>
      <c r="AO193" s="117"/>
      <c r="AP193" s="117"/>
      <c r="AQ193" s="883"/>
      <c r="AR193" s="117"/>
      <c r="AS193" s="117"/>
      <c r="AT193" s="117"/>
      <c r="AU193" s="585"/>
      <c r="AV193" s="117"/>
      <c r="AW193" s="883"/>
      <c r="AX193" s="117"/>
      <c r="AY193" s="117"/>
      <c r="AZ193" s="117"/>
      <c r="BA193" s="117"/>
      <c r="BB193" s="117"/>
      <c r="BC193" s="117"/>
      <c r="BD193" s="883"/>
      <c r="BE193" s="117"/>
      <c r="BF193" s="117"/>
      <c r="BG193" s="117"/>
      <c r="BH193" s="117"/>
      <c r="BI193" s="117"/>
      <c r="BJ193" s="117"/>
      <c r="BK193" s="883"/>
      <c r="BL193" s="883"/>
      <c r="BM193" s="883"/>
      <c r="BN193" s="883"/>
      <c r="BO193" s="883"/>
      <c r="BP193" s="883"/>
      <c r="BQ193" s="883"/>
      <c r="BR193" s="883"/>
      <c r="BS193" s="883"/>
      <c r="BT193" s="883"/>
      <c r="BU193" s="883"/>
      <c r="BV193" s="883"/>
      <c r="BW193" s="883"/>
      <c r="BX193" s="883"/>
    </row>
    <row r="194" ht="15.75" customHeight="1">
      <c r="A194" s="904"/>
      <c r="B194" s="905" t="s">
        <v>4626</v>
      </c>
      <c r="C194" s="172" t="s">
        <v>4627</v>
      </c>
      <c r="D194" s="173"/>
      <c r="E194" s="117"/>
      <c r="F194" s="117"/>
      <c r="G194" s="109" t="s">
        <v>4627</v>
      </c>
      <c r="H194" s="175"/>
      <c r="I194" s="585"/>
      <c r="J194" s="117"/>
      <c r="K194" s="117"/>
      <c r="L194" s="117"/>
      <c r="M194" s="883"/>
      <c r="N194" s="117"/>
      <c r="O194" s="117"/>
      <c r="P194" s="117"/>
      <c r="Q194" s="117"/>
      <c r="R194" s="113"/>
      <c r="S194" s="117"/>
      <c r="T194" s="117"/>
      <c r="U194" s="117"/>
      <c r="V194" s="117"/>
      <c r="W194" s="117"/>
      <c r="X194" s="117"/>
      <c r="Y194" s="117"/>
      <c r="Z194" s="117"/>
      <c r="AA194" s="117"/>
      <c r="AB194" s="117"/>
      <c r="AC194" s="117"/>
      <c r="AD194" s="117"/>
      <c r="AE194" s="117"/>
      <c r="AF194" s="117"/>
      <c r="AG194" s="117"/>
      <c r="AH194" s="117"/>
      <c r="AI194" s="117"/>
      <c r="AJ194" s="883"/>
      <c r="AK194" s="117"/>
      <c r="AL194" s="117"/>
      <c r="AM194" s="117"/>
      <c r="AN194" s="585"/>
      <c r="AO194" s="117"/>
      <c r="AP194" s="117"/>
      <c r="AQ194" s="883"/>
      <c r="AR194" s="117"/>
      <c r="AS194" s="117"/>
      <c r="AT194" s="117"/>
      <c r="AU194" s="585"/>
      <c r="AV194" s="117"/>
      <c r="AW194" s="883"/>
      <c r="AX194" s="117"/>
      <c r="AY194" s="117"/>
      <c r="AZ194" s="117"/>
      <c r="BA194" s="117"/>
      <c r="BB194" s="117"/>
      <c r="BC194" s="117"/>
      <c r="BD194" s="883"/>
      <c r="BE194" s="117"/>
      <c r="BF194" s="117"/>
      <c r="BG194" s="117"/>
      <c r="BH194" s="117"/>
      <c r="BI194" s="117"/>
      <c r="BJ194" s="117"/>
      <c r="BK194" s="883"/>
      <c r="BL194" s="883"/>
      <c r="BM194" s="883"/>
      <c r="BN194" s="883"/>
      <c r="BO194" s="883"/>
      <c r="BP194" s="883"/>
      <c r="BQ194" s="883"/>
      <c r="BR194" s="883"/>
      <c r="BS194" s="883"/>
      <c r="BT194" s="883"/>
      <c r="BU194" s="883"/>
      <c r="BV194" s="883"/>
      <c r="BW194" s="883"/>
      <c r="BX194" s="883"/>
    </row>
    <row r="195" ht="15.75" customHeight="1">
      <c r="A195" s="880" t="s">
        <v>576</v>
      </c>
      <c r="B195" s="891" t="s">
        <v>4630</v>
      </c>
      <c r="C195" s="83" t="s">
        <v>4631</v>
      </c>
      <c r="D195" s="887"/>
      <c r="E195" s="892"/>
      <c r="F195" s="892"/>
      <c r="G195" s="892"/>
      <c r="H195" s="112" t="s">
        <v>4632</v>
      </c>
      <c r="I195" s="525"/>
      <c r="J195" s="892"/>
      <c r="K195" s="892"/>
      <c r="L195" s="892"/>
      <c r="M195" s="883"/>
      <c r="N195" s="892"/>
      <c r="O195" s="892"/>
      <c r="P195" s="892" t="s">
        <v>4634</v>
      </c>
      <c r="Q195" s="892"/>
      <c r="R195" s="299"/>
      <c r="S195" s="892"/>
      <c r="T195" s="109" t="s">
        <v>2388</v>
      </c>
      <c r="U195" s="892"/>
      <c r="V195" s="892"/>
      <c r="W195" s="892"/>
      <c r="X195" s="892" t="s">
        <v>724</v>
      </c>
      <c r="Y195" s="892"/>
      <c r="Z195" s="892"/>
      <c r="AA195" s="892"/>
      <c r="AB195" s="892"/>
      <c r="AC195" s="892"/>
      <c r="AD195" s="892"/>
      <c r="AE195" s="892"/>
      <c r="AF195" s="892"/>
      <c r="AG195" s="892"/>
      <c r="AH195" s="892"/>
      <c r="AI195" s="892"/>
      <c r="AJ195" s="883"/>
      <c r="AK195" s="892"/>
      <c r="AL195" s="892"/>
      <c r="AM195" s="892"/>
      <c r="AN195" s="525"/>
      <c r="AO195" s="892"/>
      <c r="AP195" s="892"/>
      <c r="AQ195" s="883"/>
      <c r="AR195" s="892"/>
      <c r="AS195" s="892"/>
      <c r="AT195" s="892"/>
      <c r="AU195" s="525"/>
      <c r="AV195" s="892"/>
      <c r="AW195" s="883"/>
      <c r="AX195" s="892"/>
      <c r="AY195" s="892"/>
      <c r="AZ195" s="892"/>
      <c r="BA195" s="892"/>
      <c r="BB195" s="892"/>
      <c r="BC195" s="892"/>
      <c r="BD195" s="883"/>
      <c r="BE195" s="892"/>
      <c r="BF195" s="892"/>
      <c r="BG195" s="892"/>
      <c r="BH195" s="892"/>
      <c r="BI195" s="892"/>
      <c r="BJ195" s="892"/>
      <c r="BK195" s="883"/>
      <c r="BL195" s="883"/>
      <c r="BM195" s="883"/>
      <c r="BN195" s="883"/>
      <c r="BO195" s="883"/>
      <c r="BP195" s="883"/>
      <c r="BQ195" s="883"/>
      <c r="BR195" s="883"/>
      <c r="BS195" s="883"/>
      <c r="BT195" s="883"/>
      <c r="BU195" s="883"/>
      <c r="BV195" s="883"/>
      <c r="BW195" s="883"/>
      <c r="BX195" s="883"/>
    </row>
    <row r="196" ht="15.75" customHeight="1">
      <c r="A196" s="885"/>
      <c r="B196" s="886" t="s">
        <v>4637</v>
      </c>
      <c r="C196" s="725" t="s">
        <v>3449</v>
      </c>
      <c r="D196" s="254" t="s">
        <v>4638</v>
      </c>
      <c r="E196" s="892" t="s">
        <v>4640</v>
      </c>
      <c r="F196" s="892"/>
      <c r="G196" s="892"/>
      <c r="H196" s="175"/>
      <c r="I196" s="543" t="s">
        <v>4641</v>
      </c>
      <c r="J196" s="892" t="s">
        <v>1181</v>
      </c>
      <c r="K196" s="892"/>
      <c r="L196" s="892" t="s">
        <v>4642</v>
      </c>
      <c r="M196" s="154"/>
      <c r="N196" s="892"/>
      <c r="O196" s="892"/>
      <c r="P196" s="892" t="s">
        <v>4643</v>
      </c>
      <c r="Q196" s="892"/>
      <c r="R196" s="299"/>
      <c r="S196" s="892"/>
      <c r="T196" s="892"/>
      <c r="U196" s="892"/>
      <c r="V196" s="892"/>
      <c r="W196" s="892"/>
      <c r="X196" s="892"/>
      <c r="Y196" s="892"/>
      <c r="Z196" s="892"/>
      <c r="AA196" s="892"/>
      <c r="AB196" s="892"/>
      <c r="AC196" s="892"/>
      <c r="AD196" s="892"/>
      <c r="AE196" s="892"/>
      <c r="AF196" s="892"/>
      <c r="AG196" s="892"/>
      <c r="AH196" s="892"/>
      <c r="AI196" s="892" t="s">
        <v>4644</v>
      </c>
      <c r="AJ196" s="154"/>
      <c r="AK196" s="892"/>
      <c r="AL196" s="892"/>
      <c r="AM196" s="892"/>
      <c r="AN196" s="525"/>
      <c r="AO196" s="892"/>
      <c r="AP196" s="892"/>
      <c r="AQ196" s="154"/>
      <c r="AR196" s="892"/>
      <c r="AS196" s="892"/>
      <c r="AT196" s="892"/>
      <c r="AU196" s="525"/>
      <c r="AV196" s="892"/>
      <c r="AW196" s="154"/>
      <c r="AX196" s="892"/>
      <c r="AY196" s="892"/>
      <c r="AZ196" s="892"/>
      <c r="BA196" s="892"/>
      <c r="BB196" s="892" t="s">
        <v>185</v>
      </c>
      <c r="BC196" s="892"/>
      <c r="BD196" s="154"/>
      <c r="BE196" s="892"/>
      <c r="BF196" s="892"/>
      <c r="BG196" s="892"/>
      <c r="BH196" s="892"/>
      <c r="BI196" s="892"/>
      <c r="BJ196" s="892"/>
      <c r="BK196" s="154"/>
      <c r="BL196" s="154"/>
      <c r="BM196" s="154"/>
      <c r="BN196" s="154"/>
      <c r="BO196" s="154"/>
      <c r="BP196" s="154"/>
      <c r="BQ196" s="154"/>
      <c r="BR196" s="154"/>
      <c r="BS196" s="154"/>
      <c r="BT196" s="154"/>
      <c r="BU196" s="154"/>
      <c r="BV196" s="154"/>
      <c r="BW196" s="154"/>
      <c r="BX196" s="154"/>
    </row>
    <row r="197" ht="15.75" customHeight="1">
      <c r="A197" s="896"/>
      <c r="B197" s="897" t="s">
        <v>4645</v>
      </c>
      <c r="C197" s="172" t="s">
        <v>3647</v>
      </c>
      <c r="D197" s="272" t="s">
        <v>4646</v>
      </c>
      <c r="E197" s="144" t="s">
        <v>4647</v>
      </c>
      <c r="F197" s="892"/>
      <c r="G197" s="117"/>
      <c r="H197" s="112" t="s">
        <v>2306</v>
      </c>
      <c r="I197" s="525"/>
      <c r="J197" s="892"/>
      <c r="K197" s="892" t="s">
        <v>4649</v>
      </c>
      <c r="L197" s="892"/>
      <c r="M197" s="883"/>
      <c r="N197" s="892" t="s">
        <v>3950</v>
      </c>
      <c r="O197" s="892"/>
      <c r="P197" s="892"/>
      <c r="Q197" s="892" t="s">
        <v>4263</v>
      </c>
      <c r="R197" s="299"/>
      <c r="S197" s="892" t="s">
        <v>4651</v>
      </c>
      <c r="T197" s="109" t="s">
        <v>2156</v>
      </c>
      <c r="U197" s="892"/>
      <c r="V197" s="892"/>
      <c r="W197" s="892"/>
      <c r="X197" s="892" t="s">
        <v>2055</v>
      </c>
      <c r="Y197" s="892"/>
      <c r="Z197" s="892"/>
      <c r="AA197" s="892"/>
      <c r="AB197" s="892" t="s">
        <v>4653</v>
      </c>
      <c r="AC197" s="892"/>
      <c r="AD197" s="892"/>
      <c r="AE197" s="892"/>
      <c r="AF197" s="892"/>
      <c r="AG197" s="892"/>
      <c r="AH197" s="892"/>
      <c r="AI197" s="892"/>
      <c r="AJ197" s="883"/>
      <c r="AK197" s="892"/>
      <c r="AL197" s="892"/>
      <c r="AM197" s="892"/>
      <c r="AN197" s="525"/>
      <c r="AO197" s="892"/>
      <c r="AP197" s="892"/>
      <c r="AQ197" s="883"/>
      <c r="AR197" s="892"/>
      <c r="AS197" s="892"/>
      <c r="AT197" s="892"/>
      <c r="AU197" s="525"/>
      <c r="AV197" s="892"/>
      <c r="AW197" s="883"/>
      <c r="AX197" s="892"/>
      <c r="AY197" s="892"/>
      <c r="AZ197" s="109" t="s">
        <v>3647</v>
      </c>
      <c r="BA197" s="892"/>
      <c r="BB197" s="892"/>
      <c r="BC197" s="892"/>
      <c r="BD197" s="883"/>
      <c r="BE197" s="892"/>
      <c r="BF197" s="892"/>
      <c r="BG197" s="892"/>
      <c r="BH197" s="892"/>
      <c r="BI197" s="892"/>
      <c r="BJ197" s="892"/>
      <c r="BK197" s="883"/>
      <c r="BL197" s="883"/>
      <c r="BM197" s="883"/>
      <c r="BN197" s="883"/>
      <c r="BO197" s="883"/>
      <c r="BP197" s="883"/>
      <c r="BQ197" s="883"/>
      <c r="BR197" s="883"/>
      <c r="BS197" s="883"/>
      <c r="BT197" s="883"/>
      <c r="BU197" s="883"/>
      <c r="BV197" s="883"/>
      <c r="BW197" s="883"/>
      <c r="BX197" s="883"/>
    </row>
    <row r="198" ht="15.75" customHeight="1">
      <c r="A198" s="888" t="s">
        <v>320</v>
      </c>
      <c r="B198" s="894" t="s">
        <v>4655</v>
      </c>
      <c r="C198" s="725"/>
      <c r="D198" s="173"/>
      <c r="E198" s="892"/>
      <c r="F198" s="892"/>
      <c r="G198" s="892"/>
      <c r="H198" s="175"/>
      <c r="I198" s="525"/>
      <c r="J198" s="892"/>
      <c r="K198" s="892"/>
      <c r="L198" s="892"/>
      <c r="M198" s="154"/>
      <c r="N198" s="892"/>
      <c r="O198" s="892"/>
      <c r="P198" s="892"/>
      <c r="Q198" s="892"/>
      <c r="R198" s="299"/>
      <c r="S198" s="892"/>
      <c r="T198" s="892"/>
      <c r="U198" s="892"/>
      <c r="V198" s="892"/>
      <c r="W198" s="892"/>
      <c r="X198" s="892"/>
      <c r="Y198" s="892"/>
      <c r="Z198" s="892"/>
      <c r="AA198" s="892"/>
      <c r="AB198" s="892"/>
      <c r="AC198" s="892"/>
      <c r="AD198" s="892"/>
      <c r="AE198" s="892"/>
      <c r="AF198" s="892"/>
      <c r="AG198" s="892"/>
      <c r="AH198" s="892"/>
      <c r="AI198" s="892"/>
      <c r="AJ198" s="154"/>
      <c r="AK198" s="892"/>
      <c r="AL198" s="892"/>
      <c r="AM198" s="892"/>
      <c r="AN198" s="525"/>
      <c r="AO198" s="892"/>
      <c r="AP198" s="892"/>
      <c r="AQ198" s="154"/>
      <c r="AR198" s="892"/>
      <c r="AS198" s="892"/>
      <c r="AT198" s="892"/>
      <c r="AU198" s="525"/>
      <c r="AV198" s="892"/>
      <c r="AW198" s="154"/>
      <c r="AX198" s="892"/>
      <c r="AY198" s="892"/>
      <c r="AZ198" s="892"/>
      <c r="BA198" s="892"/>
      <c r="BB198" s="892"/>
      <c r="BC198" s="892"/>
      <c r="BD198" s="154"/>
      <c r="BE198" s="892"/>
      <c r="BF198" s="892"/>
      <c r="BG198" s="892"/>
      <c r="BH198" s="892"/>
      <c r="BI198" s="892"/>
      <c r="BJ198" s="892"/>
      <c r="BK198" s="154"/>
      <c r="BL198" s="154"/>
      <c r="BM198" s="154"/>
      <c r="BN198" s="154"/>
      <c r="BO198" s="154"/>
      <c r="BP198" s="154"/>
      <c r="BQ198" s="154"/>
      <c r="BR198" s="154"/>
      <c r="BS198" s="154"/>
      <c r="BT198" s="154"/>
      <c r="BU198" s="154"/>
      <c r="BV198" s="154"/>
      <c r="BW198" s="154"/>
      <c r="BX198" s="154"/>
    </row>
    <row r="199" ht="15.75" customHeight="1">
      <c r="A199" s="885"/>
      <c r="B199" s="886" t="s">
        <v>4658</v>
      </c>
      <c r="C199" s="725" t="s">
        <v>4441</v>
      </c>
      <c r="D199" s="887"/>
      <c r="E199" s="892"/>
      <c r="F199" s="892"/>
      <c r="G199" s="892"/>
      <c r="H199" s="175"/>
      <c r="I199" s="525"/>
      <c r="J199" s="892"/>
      <c r="K199" s="892"/>
      <c r="L199" s="892"/>
      <c r="M199" s="883"/>
      <c r="N199" s="892"/>
      <c r="O199" s="892"/>
      <c r="P199" s="892"/>
      <c r="Q199" s="892"/>
      <c r="R199" s="299"/>
      <c r="S199" s="892"/>
      <c r="T199" s="892"/>
      <c r="U199" s="892"/>
      <c r="V199" s="892"/>
      <c r="W199" s="892"/>
      <c r="X199" s="892"/>
      <c r="Y199" s="892"/>
      <c r="Z199" s="892"/>
      <c r="AA199" s="892"/>
      <c r="AB199" s="892"/>
      <c r="AC199" s="892"/>
      <c r="AD199" s="892"/>
      <c r="AE199" s="892"/>
      <c r="AF199" s="892"/>
      <c r="AG199" s="892"/>
      <c r="AH199" s="892"/>
      <c r="AI199" s="892"/>
      <c r="AJ199" s="883"/>
      <c r="AK199" s="892"/>
      <c r="AL199" s="892"/>
      <c r="AM199" s="892"/>
      <c r="AN199" s="525"/>
      <c r="AO199" s="892"/>
      <c r="AP199" s="892"/>
      <c r="AQ199" s="883"/>
      <c r="AR199" s="892"/>
      <c r="AS199" s="892"/>
      <c r="AT199" s="892"/>
      <c r="AU199" s="525"/>
      <c r="AV199" s="892"/>
      <c r="AW199" s="883"/>
      <c r="AX199" s="892"/>
      <c r="AY199" s="892"/>
      <c r="AZ199" s="892"/>
      <c r="BA199" s="892"/>
      <c r="BB199" s="892"/>
      <c r="BC199" s="892"/>
      <c r="BD199" s="883"/>
      <c r="BE199" s="892"/>
      <c r="BF199" s="892"/>
      <c r="BG199" s="892"/>
      <c r="BH199" s="892"/>
      <c r="BI199" s="892"/>
      <c r="BJ199" s="892"/>
      <c r="BK199" s="883"/>
      <c r="BL199" s="883"/>
      <c r="BM199" s="883"/>
      <c r="BN199" s="883"/>
      <c r="BO199" s="883"/>
      <c r="BP199" s="883"/>
      <c r="BQ199" s="883"/>
      <c r="BR199" s="883"/>
      <c r="BS199" s="883"/>
      <c r="BT199" s="883"/>
      <c r="BU199" s="883"/>
      <c r="BV199" s="883"/>
      <c r="BW199" s="883"/>
      <c r="BX199" s="883"/>
    </row>
    <row r="200" ht="15.75" customHeight="1">
      <c r="A200" s="896"/>
      <c r="B200" s="897" t="s">
        <v>4661</v>
      </c>
      <c r="C200" s="725" t="s">
        <v>4662</v>
      </c>
      <c r="D200" s="401" t="s">
        <v>4664</v>
      </c>
      <c r="E200" s="892" t="s">
        <v>4666</v>
      </c>
      <c r="F200" s="892"/>
      <c r="G200" s="892"/>
      <c r="H200" s="175"/>
      <c r="I200" s="543" t="s">
        <v>4667</v>
      </c>
      <c r="J200" s="892"/>
      <c r="K200" s="892"/>
      <c r="L200" s="892"/>
      <c r="M200" s="154"/>
      <c r="N200" s="892"/>
      <c r="O200" s="892"/>
      <c r="P200" s="892"/>
      <c r="Q200" s="892"/>
      <c r="R200" s="299"/>
      <c r="S200" s="892"/>
      <c r="T200" s="892"/>
      <c r="U200" s="892"/>
      <c r="V200" s="892"/>
      <c r="W200" s="892"/>
      <c r="X200" s="892"/>
      <c r="Y200" s="892"/>
      <c r="Z200" s="892" t="s">
        <v>4666</v>
      </c>
      <c r="AA200" s="892"/>
      <c r="AB200" s="892"/>
      <c r="AC200" s="892"/>
      <c r="AD200" s="892"/>
      <c r="AE200" s="892" t="s">
        <v>2852</v>
      </c>
      <c r="AF200" s="892"/>
      <c r="AG200" s="892"/>
      <c r="AH200" s="892"/>
      <c r="AI200" s="892"/>
      <c r="AJ200" s="154"/>
      <c r="AK200" s="892"/>
      <c r="AL200" s="892"/>
      <c r="AM200" s="892"/>
      <c r="AN200" s="525"/>
      <c r="AO200" s="892"/>
      <c r="AP200" s="892"/>
      <c r="AQ200" s="154"/>
      <c r="AR200" s="892"/>
      <c r="AS200" s="892"/>
      <c r="AT200" s="892"/>
      <c r="AU200" s="525"/>
      <c r="AV200" s="892"/>
      <c r="AW200" s="154"/>
      <c r="AX200" s="892"/>
      <c r="AY200" s="892"/>
      <c r="AZ200" s="892"/>
      <c r="BA200" s="892"/>
      <c r="BB200" s="892"/>
      <c r="BC200" s="892"/>
      <c r="BD200" s="154"/>
      <c r="BE200" s="892"/>
      <c r="BF200" s="892"/>
      <c r="BG200" s="892"/>
      <c r="BH200" s="892"/>
      <c r="BI200" s="892"/>
      <c r="BJ200" s="892"/>
      <c r="BK200" s="154"/>
      <c r="BL200" s="154"/>
      <c r="BM200" s="154"/>
      <c r="BN200" s="154"/>
      <c r="BO200" s="154"/>
      <c r="BP200" s="154"/>
      <c r="BQ200" s="157" t="s">
        <v>1728</v>
      </c>
      <c r="BR200" s="154"/>
      <c r="BS200" s="154"/>
      <c r="BT200" s="154"/>
      <c r="BU200" s="154"/>
      <c r="BV200" s="154"/>
      <c r="BW200" s="154"/>
      <c r="BX200" s="154"/>
    </row>
    <row r="201" ht="15.75" customHeight="1">
      <c r="A201" s="885"/>
      <c r="B201" s="886" t="s">
        <v>4670</v>
      </c>
      <c r="C201" s="725" t="s">
        <v>4541</v>
      </c>
      <c r="D201" s="890" t="s">
        <v>4671</v>
      </c>
      <c r="E201" s="489" t="s">
        <v>4673</v>
      </c>
      <c r="F201" s="892"/>
      <c r="G201" s="892" t="s">
        <v>4674</v>
      </c>
      <c r="H201" s="175"/>
      <c r="I201" s="525"/>
      <c r="J201" s="892"/>
      <c r="K201" s="892"/>
      <c r="L201" s="892"/>
      <c r="M201" s="883"/>
      <c r="N201" s="892"/>
      <c r="O201" s="892"/>
      <c r="P201" s="892"/>
      <c r="Q201" s="892"/>
      <c r="R201" s="299"/>
      <c r="S201" s="892"/>
      <c r="T201" s="892"/>
      <c r="U201" s="892"/>
      <c r="V201" s="892"/>
      <c r="W201" s="892" t="s">
        <v>4541</v>
      </c>
      <c r="X201" s="892"/>
      <c r="Y201" s="892"/>
      <c r="Z201" s="892"/>
      <c r="AA201" s="892"/>
      <c r="AB201" s="892" t="s">
        <v>2750</v>
      </c>
      <c r="AC201" s="892"/>
      <c r="AD201" s="728" t="s">
        <v>4541</v>
      </c>
      <c r="AE201" s="892"/>
      <c r="AF201" s="892" t="s">
        <v>4675</v>
      </c>
      <c r="AG201" s="892"/>
      <c r="AH201" s="892"/>
      <c r="AI201" s="892"/>
      <c r="AJ201" s="884" t="s">
        <v>4662</v>
      </c>
      <c r="AK201" s="892"/>
      <c r="AL201" s="892"/>
      <c r="AM201" s="892"/>
      <c r="AN201" s="525"/>
      <c r="AO201" s="892"/>
      <c r="AP201" s="892"/>
      <c r="AQ201" s="883"/>
      <c r="AR201" s="892"/>
      <c r="AS201" s="892"/>
      <c r="AT201" s="892"/>
      <c r="AU201" s="525"/>
      <c r="AV201" s="892"/>
      <c r="AW201" s="883"/>
      <c r="AX201" s="892"/>
      <c r="AY201" s="892"/>
      <c r="AZ201" s="892"/>
      <c r="BA201" s="892"/>
      <c r="BB201" s="892"/>
      <c r="BC201" s="892"/>
      <c r="BD201" s="883"/>
      <c r="BE201" s="892"/>
      <c r="BF201" s="892"/>
      <c r="BG201" s="892"/>
      <c r="BH201" s="892"/>
      <c r="BI201" s="892"/>
      <c r="BJ201" s="892"/>
      <c r="BK201" s="883"/>
      <c r="BL201" s="883"/>
      <c r="BM201" s="883"/>
      <c r="BN201" s="883"/>
      <c r="BO201" s="883"/>
      <c r="BP201" s="883"/>
      <c r="BQ201" s="883"/>
      <c r="BR201" s="883"/>
      <c r="BS201" s="883"/>
      <c r="BT201" s="883"/>
      <c r="BU201" s="883"/>
      <c r="BV201" s="883"/>
      <c r="BW201" s="883"/>
      <c r="BX201" s="883"/>
    </row>
    <row r="202" ht="15.75" customHeight="1">
      <c r="A202" s="880" t="s">
        <v>2376</v>
      </c>
      <c r="B202" s="907" t="s">
        <v>4678</v>
      </c>
      <c r="C202" s="725" t="s">
        <v>4679</v>
      </c>
      <c r="D202" s="173"/>
      <c r="E202" s="892"/>
      <c r="F202" s="892"/>
      <c r="G202" s="892"/>
      <c r="H202" s="112" t="s">
        <v>4680</v>
      </c>
      <c r="I202" s="525"/>
      <c r="J202" s="892"/>
      <c r="K202" s="892"/>
      <c r="L202" s="892"/>
      <c r="M202" s="154"/>
      <c r="N202" s="892"/>
      <c r="O202" s="892"/>
      <c r="P202" s="892"/>
      <c r="Q202" s="892"/>
      <c r="R202" s="299"/>
      <c r="S202" s="892"/>
      <c r="T202" s="892"/>
      <c r="U202" s="892"/>
      <c r="V202" s="892"/>
      <c r="W202" s="892"/>
      <c r="X202" s="892"/>
      <c r="Y202" s="892"/>
      <c r="Z202" s="892"/>
      <c r="AA202" s="892"/>
      <c r="AB202" s="892"/>
      <c r="AC202" s="892"/>
      <c r="AD202" s="892"/>
      <c r="AE202" s="892"/>
      <c r="AF202" s="892"/>
      <c r="AG202" s="892"/>
      <c r="AH202" s="892"/>
      <c r="AI202" s="892"/>
      <c r="AJ202" s="154"/>
      <c r="AK202" s="892"/>
      <c r="AL202" s="892"/>
      <c r="AM202" s="892"/>
      <c r="AN202" s="525"/>
      <c r="AO202" s="892"/>
      <c r="AP202" s="892"/>
      <c r="AQ202" s="154"/>
      <c r="AR202" s="892"/>
      <c r="AS202" s="892"/>
      <c r="AT202" s="892"/>
      <c r="AU202" s="525"/>
      <c r="AV202" s="892"/>
      <c r="AW202" s="154"/>
      <c r="AX202" s="892"/>
      <c r="AY202" s="892"/>
      <c r="AZ202" s="892"/>
      <c r="BA202" s="892"/>
      <c r="BB202" s="892"/>
      <c r="BC202" s="892"/>
      <c r="BD202" s="154"/>
      <c r="BE202" s="892"/>
      <c r="BF202" s="892"/>
      <c r="BG202" s="892"/>
      <c r="BH202" s="892"/>
      <c r="BI202" s="892"/>
      <c r="BJ202" s="892"/>
      <c r="BK202" s="154"/>
      <c r="BL202" s="154"/>
      <c r="BM202" s="154"/>
      <c r="BN202" s="154"/>
      <c r="BO202" s="154"/>
      <c r="BP202" s="154"/>
      <c r="BQ202" s="154"/>
      <c r="BR202" s="154"/>
      <c r="BS202" s="154"/>
      <c r="BT202" s="154"/>
      <c r="BU202" s="154"/>
      <c r="BV202" s="154"/>
      <c r="BW202" s="154"/>
      <c r="BX202" s="154"/>
    </row>
    <row r="203" ht="15.75" customHeight="1">
      <c r="A203" s="885"/>
      <c r="B203" s="886" t="s">
        <v>4682</v>
      </c>
      <c r="C203" s="725" t="s">
        <v>4683</v>
      </c>
      <c r="D203" s="901" t="s">
        <v>1303</v>
      </c>
      <c r="E203" s="892" t="s">
        <v>1830</v>
      </c>
      <c r="F203" s="892"/>
      <c r="G203" s="892"/>
      <c r="H203" s="112" t="s">
        <v>4685</v>
      </c>
      <c r="I203" s="525"/>
      <c r="J203" s="892"/>
      <c r="K203" s="892"/>
      <c r="L203" s="892" t="s">
        <v>4686</v>
      </c>
      <c r="M203" s="909"/>
      <c r="N203" s="892" t="s">
        <v>4687</v>
      </c>
      <c r="O203" s="892"/>
      <c r="P203" s="892" t="s">
        <v>4688</v>
      </c>
      <c r="Q203" s="892"/>
      <c r="R203" s="299"/>
      <c r="S203" s="892"/>
      <c r="T203" s="892"/>
      <c r="U203" s="892"/>
      <c r="V203" s="892"/>
      <c r="W203" s="892" t="s">
        <v>4689</v>
      </c>
      <c r="X203" s="892" t="s">
        <v>4690</v>
      </c>
      <c r="Y203" s="892"/>
      <c r="Z203" s="892"/>
      <c r="AA203" s="892"/>
      <c r="AB203" s="892"/>
      <c r="AC203" s="892"/>
      <c r="AD203" s="892"/>
      <c r="AE203" s="892"/>
      <c r="AF203" s="892"/>
      <c r="AG203" s="892"/>
      <c r="AH203" s="892"/>
      <c r="AI203" s="892"/>
      <c r="AJ203" s="883"/>
      <c r="AK203" s="892"/>
      <c r="AL203" s="892"/>
      <c r="AM203" s="892"/>
      <c r="AN203" s="525"/>
      <c r="AO203" s="892"/>
      <c r="AP203" s="892"/>
      <c r="AQ203" s="883"/>
      <c r="AR203" s="892"/>
      <c r="AS203" s="892"/>
      <c r="AT203" s="892"/>
      <c r="AU203" s="525"/>
      <c r="AV203" s="892"/>
      <c r="AW203" s="883"/>
      <c r="AX203" s="892"/>
      <c r="AY203" s="892"/>
      <c r="AZ203" s="892"/>
      <c r="BA203" s="892"/>
      <c r="BB203" s="892"/>
      <c r="BC203" s="892"/>
      <c r="BD203" s="883"/>
      <c r="BE203" s="892"/>
      <c r="BF203" s="892"/>
      <c r="BG203" s="892"/>
      <c r="BH203" s="892"/>
      <c r="BI203" s="892"/>
      <c r="BJ203" s="892"/>
      <c r="BK203" s="883"/>
      <c r="BL203" s="883"/>
      <c r="BM203" s="883"/>
      <c r="BN203" s="883"/>
      <c r="BO203" s="883"/>
      <c r="BP203" s="883"/>
      <c r="BQ203" s="883"/>
      <c r="BR203" s="883"/>
      <c r="BS203" s="883"/>
      <c r="BT203" s="883"/>
      <c r="BU203" s="883"/>
      <c r="BV203" s="883"/>
      <c r="BW203" s="883"/>
      <c r="BX203" s="883"/>
    </row>
    <row r="204" ht="15.75" customHeight="1">
      <c r="A204" s="896"/>
      <c r="B204" s="897" t="s">
        <v>4692</v>
      </c>
      <c r="C204" s="725" t="s">
        <v>488</v>
      </c>
      <c r="D204" s="173"/>
      <c r="E204" s="892"/>
      <c r="F204" s="892"/>
      <c r="G204" s="892"/>
      <c r="H204" s="175"/>
      <c r="I204" s="525"/>
      <c r="J204" s="892" t="s">
        <v>488</v>
      </c>
      <c r="K204" s="892"/>
      <c r="L204" s="892"/>
      <c r="M204" s="154"/>
      <c r="N204" s="892"/>
      <c r="O204" s="892"/>
      <c r="P204" s="892"/>
      <c r="Q204" s="892"/>
      <c r="R204" s="299"/>
      <c r="S204" s="892"/>
      <c r="T204" s="892"/>
      <c r="U204" s="892"/>
      <c r="V204" s="892"/>
      <c r="W204" s="892"/>
      <c r="X204" s="892"/>
      <c r="Y204" s="892"/>
      <c r="Z204" s="892"/>
      <c r="AA204" s="892"/>
      <c r="AB204" s="892"/>
      <c r="AC204" s="892"/>
      <c r="AD204" s="892"/>
      <c r="AE204" s="892"/>
      <c r="AF204" s="892"/>
      <c r="AG204" s="892"/>
      <c r="AH204" s="892"/>
      <c r="AI204" s="892"/>
      <c r="AJ204" s="154"/>
      <c r="AK204" s="892"/>
      <c r="AL204" s="892"/>
      <c r="AM204" s="892"/>
      <c r="AN204" s="525"/>
      <c r="AO204" s="892"/>
      <c r="AP204" s="892"/>
      <c r="AQ204" s="154"/>
      <c r="AR204" s="892"/>
      <c r="AS204" s="892"/>
      <c r="AT204" s="892"/>
      <c r="AU204" s="525"/>
      <c r="AV204" s="892"/>
      <c r="AW204" s="154"/>
      <c r="AX204" s="892"/>
      <c r="AY204" s="892"/>
      <c r="AZ204" s="892"/>
      <c r="BA204" s="892"/>
      <c r="BB204" s="892"/>
      <c r="BC204" s="892"/>
      <c r="BD204" s="154"/>
      <c r="BE204" s="892"/>
      <c r="BF204" s="892"/>
      <c r="BG204" s="892"/>
      <c r="BH204" s="892"/>
      <c r="BI204" s="892"/>
      <c r="BJ204" s="892"/>
      <c r="BK204" s="154"/>
      <c r="BL204" s="154"/>
      <c r="BM204" s="154"/>
      <c r="BN204" s="154"/>
      <c r="BO204" s="154"/>
      <c r="BP204" s="154"/>
      <c r="BQ204" s="154"/>
      <c r="BR204" s="154"/>
      <c r="BS204" s="154"/>
      <c r="BT204" s="154"/>
      <c r="BU204" s="154"/>
      <c r="BV204" s="154"/>
      <c r="BW204" s="154"/>
      <c r="BX204" s="154"/>
    </row>
    <row r="205" ht="15.75" customHeight="1">
      <c r="A205" s="885"/>
      <c r="B205" s="886" t="s">
        <v>4694</v>
      </c>
      <c r="C205" s="725" t="s">
        <v>392</v>
      </c>
      <c r="D205" s="890" t="s">
        <v>4696</v>
      </c>
      <c r="E205" s="117" t="s">
        <v>4698</v>
      </c>
      <c r="F205" s="109" t="s">
        <v>392</v>
      </c>
      <c r="G205" s="117"/>
      <c r="H205" s="175"/>
      <c r="I205" s="543" t="s">
        <v>4699</v>
      </c>
      <c r="J205" s="117"/>
      <c r="K205" s="109" t="s">
        <v>4687</v>
      </c>
      <c r="L205" s="117"/>
      <c r="M205" s="883"/>
      <c r="N205" s="117"/>
      <c r="O205" s="117"/>
      <c r="P205" s="117"/>
      <c r="Q205" s="117"/>
      <c r="R205" s="113"/>
      <c r="S205" s="117"/>
      <c r="T205" s="117"/>
      <c r="U205" s="117"/>
      <c r="V205" s="117"/>
      <c r="W205" s="117"/>
      <c r="X205" s="117"/>
      <c r="Y205" s="117"/>
      <c r="Z205" s="117"/>
      <c r="AA205" s="117"/>
      <c r="AB205" s="117"/>
      <c r="AC205" s="117"/>
      <c r="AD205" s="117"/>
      <c r="AE205" s="117"/>
      <c r="AF205" s="117"/>
      <c r="AG205" s="117"/>
      <c r="AH205" s="117"/>
      <c r="AI205" s="117"/>
      <c r="AJ205" s="883"/>
      <c r="AK205" s="117"/>
      <c r="AL205" s="117"/>
      <c r="AM205" s="117"/>
      <c r="AN205" s="525"/>
      <c r="AO205" s="117"/>
      <c r="AP205" s="117"/>
      <c r="AQ205" s="883"/>
      <c r="AR205" s="117"/>
      <c r="AS205" s="117"/>
      <c r="AT205" s="117"/>
      <c r="AU205" s="525"/>
      <c r="AV205" s="117"/>
      <c r="AW205" s="883"/>
      <c r="AX205" s="117"/>
      <c r="AY205" s="117"/>
      <c r="AZ205" s="117"/>
      <c r="BA205" s="117"/>
      <c r="BB205" s="117"/>
      <c r="BC205" s="117"/>
      <c r="BD205" s="883"/>
      <c r="BE205" s="117"/>
      <c r="BF205" s="117"/>
      <c r="BG205" s="117"/>
      <c r="BH205" s="117"/>
      <c r="BI205" s="117"/>
      <c r="BJ205" s="117"/>
      <c r="BK205" s="883"/>
      <c r="BL205" s="883"/>
      <c r="BM205" s="883"/>
      <c r="BN205" s="883"/>
      <c r="BO205" s="883"/>
      <c r="BP205" s="883"/>
      <c r="BQ205" s="883"/>
      <c r="BR205" s="883"/>
      <c r="BS205" s="883"/>
      <c r="BT205" s="883"/>
      <c r="BU205" s="883"/>
      <c r="BV205" s="883"/>
      <c r="BW205" s="883"/>
      <c r="BX205" s="883"/>
    </row>
    <row r="206" ht="15.75" customHeight="1">
      <c r="A206" s="896"/>
      <c r="B206" s="897" t="s">
        <v>4703</v>
      </c>
      <c r="C206" s="725" t="s">
        <v>3951</v>
      </c>
      <c r="D206" s="272" t="s">
        <v>2109</v>
      </c>
      <c r="E206" s="144" t="s">
        <v>4705</v>
      </c>
      <c r="F206" s="489"/>
      <c r="G206" s="728" t="s">
        <v>4706</v>
      </c>
      <c r="H206" s="112" t="s">
        <v>432</v>
      </c>
      <c r="I206" s="525"/>
      <c r="J206" s="489"/>
      <c r="K206" s="489"/>
      <c r="L206" s="489"/>
      <c r="M206" s="154"/>
      <c r="N206" s="728" t="s">
        <v>3951</v>
      </c>
      <c r="O206" s="489" t="s">
        <v>3261</v>
      </c>
      <c r="P206" s="489"/>
      <c r="Q206" s="489"/>
      <c r="R206" s="290"/>
      <c r="S206" s="489"/>
      <c r="T206" s="489"/>
      <c r="U206" s="489"/>
      <c r="V206" s="489"/>
      <c r="W206" s="489"/>
      <c r="X206" s="489"/>
      <c r="Y206" s="489"/>
      <c r="Z206" s="489"/>
      <c r="AA206" s="489"/>
      <c r="AB206" s="489"/>
      <c r="AC206" s="489"/>
      <c r="AD206" s="489"/>
      <c r="AE206" s="489"/>
      <c r="AF206" s="489"/>
      <c r="AG206" s="489"/>
      <c r="AH206" s="489"/>
      <c r="AI206" s="489"/>
      <c r="AJ206" s="154"/>
      <c r="AK206" s="489"/>
      <c r="AL206" s="489"/>
      <c r="AM206" s="489"/>
      <c r="AN206" s="525"/>
      <c r="AO206" s="489"/>
      <c r="AP206" s="489"/>
      <c r="AQ206" s="154"/>
      <c r="AR206" s="489"/>
      <c r="AS206" s="489"/>
      <c r="AT206" s="489"/>
      <c r="AU206" s="525"/>
      <c r="AV206" s="489"/>
      <c r="AW206" s="154"/>
      <c r="AX206" s="489"/>
      <c r="AY206" s="489"/>
      <c r="AZ206" s="489"/>
      <c r="BA206" s="489"/>
      <c r="BB206" s="489"/>
      <c r="BC206" s="489"/>
      <c r="BD206" s="154"/>
      <c r="BE206" s="489"/>
      <c r="BF206" s="489"/>
      <c r="BG206" s="489"/>
      <c r="BH206" s="489"/>
      <c r="BI206" s="489"/>
      <c r="BJ206" s="489"/>
      <c r="BK206" s="154"/>
      <c r="BL206" s="154"/>
      <c r="BM206" s="154"/>
      <c r="BN206" s="154"/>
      <c r="BO206" s="154"/>
      <c r="BP206" s="154"/>
      <c r="BQ206" s="154"/>
      <c r="BR206" s="154"/>
      <c r="BS206" s="154"/>
      <c r="BT206" s="154"/>
      <c r="BU206" s="154"/>
      <c r="BV206" s="154"/>
      <c r="BW206" s="154"/>
      <c r="BX206" s="154"/>
    </row>
    <row r="207" ht="15.75" customHeight="1">
      <c r="A207" s="888" t="s">
        <v>320</v>
      </c>
      <c r="B207" s="894" t="s">
        <v>4678</v>
      </c>
      <c r="C207" s="725" t="s">
        <v>4708</v>
      </c>
      <c r="D207" s="887"/>
      <c r="E207" s="489"/>
      <c r="F207" s="489"/>
      <c r="G207" s="489"/>
      <c r="H207" s="175"/>
      <c r="I207" s="525"/>
      <c r="J207" s="489"/>
      <c r="K207" s="489" t="s">
        <v>828</v>
      </c>
      <c r="L207" s="489"/>
      <c r="M207" s="883"/>
      <c r="N207" s="489"/>
      <c r="O207" s="489"/>
      <c r="P207" s="489"/>
      <c r="Q207" s="489"/>
      <c r="R207" s="290"/>
      <c r="S207" s="489"/>
      <c r="T207" s="489"/>
      <c r="U207" s="489"/>
      <c r="V207" s="489"/>
      <c r="W207" s="489"/>
      <c r="X207" s="489"/>
      <c r="Y207" s="489"/>
      <c r="Z207" s="728" t="s">
        <v>3571</v>
      </c>
      <c r="AA207" s="489"/>
      <c r="AB207" s="489"/>
      <c r="AC207" s="489"/>
      <c r="AD207" s="489"/>
      <c r="AE207" s="728" t="s">
        <v>4710</v>
      </c>
      <c r="AF207" s="489"/>
      <c r="AG207" s="489"/>
      <c r="AH207" s="489"/>
      <c r="AI207" s="489"/>
      <c r="AJ207" s="883"/>
      <c r="AK207" s="489"/>
      <c r="AL207" s="489"/>
      <c r="AM207" s="489"/>
      <c r="AN207" s="525"/>
      <c r="AO207" s="489"/>
      <c r="AP207" s="489"/>
      <c r="AQ207" s="883"/>
      <c r="AR207" s="489"/>
      <c r="AS207" s="489"/>
      <c r="AT207" s="489"/>
      <c r="AU207" s="525"/>
      <c r="AV207" s="489"/>
      <c r="AW207" s="883"/>
      <c r="AX207" s="489"/>
      <c r="AY207" s="489"/>
      <c r="AZ207" s="489"/>
      <c r="BA207" s="489"/>
      <c r="BB207" s="489"/>
      <c r="BC207" s="489"/>
      <c r="BD207" s="883"/>
      <c r="BE207" s="489"/>
      <c r="BF207" s="489"/>
      <c r="BG207" s="489"/>
      <c r="BH207" s="489"/>
      <c r="BI207" s="489" t="s">
        <v>4712</v>
      </c>
      <c r="BJ207" s="489"/>
      <c r="BK207" s="883"/>
      <c r="BL207" s="883"/>
      <c r="BM207" s="883"/>
      <c r="BN207" s="883"/>
      <c r="BO207" s="883"/>
      <c r="BP207" s="883"/>
      <c r="BQ207" s="883"/>
      <c r="BR207" s="883"/>
      <c r="BS207" s="883"/>
      <c r="BT207" s="883"/>
      <c r="BU207" s="883"/>
      <c r="BV207" s="883"/>
      <c r="BW207" s="883"/>
      <c r="BX207" s="883"/>
    </row>
    <row r="208" ht="15.75" customHeight="1">
      <c r="A208" s="885"/>
      <c r="B208" s="886" t="s">
        <v>4682</v>
      </c>
      <c r="C208" s="725" t="s">
        <v>4714</v>
      </c>
      <c r="D208" s="901" t="s">
        <v>4715</v>
      </c>
      <c r="E208" s="489" t="s">
        <v>998</v>
      </c>
      <c r="F208" s="489" t="s">
        <v>4717</v>
      </c>
      <c r="G208" s="489"/>
      <c r="H208" s="112" t="s">
        <v>4718</v>
      </c>
      <c r="I208" s="525"/>
      <c r="J208" s="489" t="s">
        <v>4720</v>
      </c>
      <c r="K208" s="489"/>
      <c r="L208" s="489"/>
      <c r="M208" s="147" t="s">
        <v>4721</v>
      </c>
      <c r="N208" s="489" t="s">
        <v>4717</v>
      </c>
      <c r="O208" s="489"/>
      <c r="P208" s="489" t="s">
        <v>4723</v>
      </c>
      <c r="Q208" s="489"/>
      <c r="R208" s="290" t="s">
        <v>4724</v>
      </c>
      <c r="S208" s="489"/>
      <c r="T208" s="489"/>
      <c r="U208" s="398" t="s">
        <v>4725</v>
      </c>
      <c r="V208" s="489"/>
      <c r="W208" s="489"/>
      <c r="X208" s="489" t="s">
        <v>4726</v>
      </c>
      <c r="Y208" s="489"/>
      <c r="Z208" s="489" t="s">
        <v>4728</v>
      </c>
      <c r="AA208" s="489"/>
      <c r="AB208" s="489"/>
      <c r="AC208" s="489"/>
      <c r="AD208" s="489"/>
      <c r="AE208" s="489"/>
      <c r="AF208" s="489"/>
      <c r="AG208" s="489"/>
      <c r="AH208" s="489"/>
      <c r="AI208" s="489"/>
      <c r="AJ208" s="154"/>
      <c r="AK208" s="489"/>
      <c r="AL208" s="489"/>
      <c r="AM208" s="489"/>
      <c r="AN208" s="525"/>
      <c r="AO208" s="489"/>
      <c r="AP208" s="489"/>
      <c r="AQ208" s="154"/>
      <c r="AR208" s="489"/>
      <c r="AS208" s="489"/>
      <c r="AT208" s="489"/>
      <c r="AU208" s="525"/>
      <c r="AV208" s="489"/>
      <c r="AW208" s="154"/>
      <c r="AX208" s="489"/>
      <c r="AY208" s="489"/>
      <c r="AZ208" s="489"/>
      <c r="BA208" s="489"/>
      <c r="BB208" s="489"/>
      <c r="BC208" s="489"/>
      <c r="BD208" s="154"/>
      <c r="BE208" s="489"/>
      <c r="BF208" s="489"/>
      <c r="BG208" s="489"/>
      <c r="BH208" s="489"/>
      <c r="BI208" s="489"/>
      <c r="BJ208" s="489"/>
      <c r="BK208" s="154"/>
      <c r="BL208" s="154"/>
      <c r="BM208" s="154"/>
      <c r="BN208" s="154"/>
      <c r="BO208" s="154"/>
      <c r="BP208" s="154"/>
      <c r="BQ208" s="154"/>
      <c r="BR208" s="154"/>
      <c r="BS208" s="154"/>
      <c r="BT208" s="154"/>
      <c r="BU208" s="154"/>
      <c r="BV208" s="154"/>
      <c r="BW208" s="154"/>
      <c r="BX208" s="154"/>
    </row>
    <row r="209" ht="15.75" customHeight="1">
      <c r="A209" s="896"/>
      <c r="B209" s="897" t="s">
        <v>4692</v>
      </c>
      <c r="C209" s="725" t="s">
        <v>4729</v>
      </c>
      <c r="D209" s="901"/>
      <c r="E209" s="892"/>
      <c r="F209" s="892"/>
      <c r="G209" s="892"/>
      <c r="H209" s="175"/>
      <c r="I209" s="525"/>
      <c r="J209" s="892" t="str">
        <f>HYPERLINK("https://youtu.be/hsc9lXHQpts","23.75")</f>
        <v>23.75</v>
      </c>
      <c r="K209" s="892"/>
      <c r="L209" s="892"/>
      <c r="M209" s="883"/>
      <c r="N209" s="892"/>
      <c r="O209" s="892"/>
      <c r="P209" s="892"/>
      <c r="Q209" s="892"/>
      <c r="R209" s="299"/>
      <c r="S209" s="892"/>
      <c r="T209" s="892"/>
      <c r="U209" s="892"/>
      <c r="V209" s="892"/>
      <c r="W209" s="892"/>
      <c r="X209" s="892"/>
      <c r="Y209" s="892"/>
      <c r="Z209" s="892" t="s">
        <v>4732</v>
      </c>
      <c r="AA209" s="892"/>
      <c r="AB209" s="892"/>
      <c r="AC209" s="892"/>
      <c r="AD209" s="892"/>
      <c r="AE209" s="892" t="s">
        <v>1811</v>
      </c>
      <c r="AF209" s="892"/>
      <c r="AG209" s="892"/>
      <c r="AH209" s="892"/>
      <c r="AI209" s="892"/>
      <c r="AJ209" s="883"/>
      <c r="AK209" s="892"/>
      <c r="AL209" s="892"/>
      <c r="AM209" s="892"/>
      <c r="AN209" s="525"/>
      <c r="AO209" s="892"/>
      <c r="AP209" s="892"/>
      <c r="AQ209" s="883"/>
      <c r="AR209" s="892"/>
      <c r="AS209" s="892"/>
      <c r="AT209" s="892"/>
      <c r="AU209" s="525"/>
      <c r="AV209" s="892"/>
      <c r="AW209" s="883"/>
      <c r="AX209" s="892"/>
      <c r="AY209" s="892"/>
      <c r="AZ209" s="892"/>
      <c r="BA209" s="892"/>
      <c r="BB209" s="892"/>
      <c r="BC209" s="892"/>
      <c r="BD209" s="883"/>
      <c r="BE209" s="892"/>
      <c r="BF209" s="892"/>
      <c r="BG209" s="892"/>
      <c r="BH209" s="892"/>
      <c r="BI209" s="892"/>
      <c r="BJ209" s="892"/>
      <c r="BK209" s="883"/>
      <c r="BL209" s="883"/>
      <c r="BM209" s="883"/>
      <c r="BN209" s="883"/>
      <c r="BO209" s="883"/>
      <c r="BP209" s="883"/>
      <c r="BQ209" s="883"/>
      <c r="BR209" s="883"/>
      <c r="BS209" s="883"/>
      <c r="BT209" s="883"/>
      <c r="BU209" s="883"/>
      <c r="BV209" s="883"/>
      <c r="BW209" s="883"/>
      <c r="BX209" s="883"/>
    </row>
    <row r="210" ht="15.75" customHeight="1">
      <c r="A210" s="885"/>
      <c r="B210" s="886" t="s">
        <v>4694</v>
      </c>
      <c r="C210" s="725" t="s">
        <v>4734</v>
      </c>
      <c r="D210" s="254" t="s">
        <v>4736</v>
      </c>
      <c r="E210" s="144" t="s">
        <v>1811</v>
      </c>
      <c r="F210" s="144" t="s">
        <v>4734</v>
      </c>
      <c r="G210" s="144"/>
      <c r="H210" s="175"/>
      <c r="I210" s="543" t="s">
        <v>4738</v>
      </c>
      <c r="J210" s="144" t="s">
        <v>4739</v>
      </c>
      <c r="K210" s="144" t="s">
        <v>4740</v>
      </c>
      <c r="L210" s="144" t="s">
        <v>4742</v>
      </c>
      <c r="M210" s="154"/>
      <c r="N210" s="144"/>
      <c r="O210" s="144" t="s">
        <v>4744</v>
      </c>
      <c r="P210" s="144" t="s">
        <v>4745</v>
      </c>
      <c r="Q210" s="144" t="s">
        <v>4746</v>
      </c>
      <c r="R210" s="109" t="s">
        <v>4747</v>
      </c>
      <c r="S210" s="144"/>
      <c r="T210" s="144"/>
      <c r="U210" s="109" t="s">
        <v>4748</v>
      </c>
      <c r="V210" s="144"/>
      <c r="W210" s="144"/>
      <c r="X210" s="144"/>
      <c r="Y210" s="144" t="s">
        <v>4749</v>
      </c>
      <c r="Z210" s="144" t="s">
        <v>4750</v>
      </c>
      <c r="AA210" s="144"/>
      <c r="AB210" s="144"/>
      <c r="AC210" s="144"/>
      <c r="AD210" s="144"/>
      <c r="AE210" s="144"/>
      <c r="AF210" s="144"/>
      <c r="AG210" s="144"/>
      <c r="AH210" s="144"/>
      <c r="AI210" s="144"/>
      <c r="AJ210" s="154"/>
      <c r="AK210" s="144"/>
      <c r="AL210" s="144"/>
      <c r="AM210" s="144"/>
      <c r="AN210" s="525"/>
      <c r="AO210" s="144" t="s">
        <v>4746</v>
      </c>
      <c r="AP210" s="144"/>
      <c r="AQ210" s="154"/>
      <c r="AR210" s="144"/>
      <c r="AS210" s="144"/>
      <c r="AT210" s="144"/>
      <c r="AU210" s="525"/>
      <c r="AV210" s="144"/>
      <c r="AW210" s="154"/>
      <c r="AX210" s="144"/>
      <c r="AY210" s="144"/>
      <c r="AZ210" s="144"/>
      <c r="BA210" s="144"/>
      <c r="BB210" s="144"/>
      <c r="BC210" s="144"/>
      <c r="BD210" s="154"/>
      <c r="BE210" s="144"/>
      <c r="BF210" s="144"/>
      <c r="BG210" s="144"/>
      <c r="BH210" s="144"/>
      <c r="BI210" s="144"/>
      <c r="BJ210" s="144"/>
      <c r="BK210" s="154"/>
      <c r="BL210" s="154"/>
      <c r="BM210" s="154"/>
      <c r="BN210" s="154"/>
      <c r="BO210" s="154"/>
      <c r="BP210" s="154"/>
      <c r="BQ210" s="154"/>
      <c r="BR210" s="154"/>
      <c r="BS210" s="154"/>
      <c r="BT210" s="154"/>
      <c r="BU210" s="154"/>
      <c r="BV210" s="154"/>
      <c r="BW210" s="154"/>
      <c r="BX210" s="154"/>
    </row>
    <row r="211" ht="15.75" customHeight="1">
      <c r="A211" s="910"/>
      <c r="B211" s="911" t="s">
        <v>4703</v>
      </c>
      <c r="C211" s="725" t="s">
        <v>3485</v>
      </c>
      <c r="D211" s="272" t="s">
        <v>4752</v>
      </c>
      <c r="E211" s="144" t="s">
        <v>4753</v>
      </c>
      <c r="F211" s="117"/>
      <c r="G211" s="109" t="s">
        <v>3485</v>
      </c>
      <c r="H211" s="175"/>
      <c r="I211" s="543" t="s">
        <v>1667</v>
      </c>
      <c r="J211" s="117"/>
      <c r="K211" s="117"/>
      <c r="L211" s="117"/>
      <c r="M211" s="883"/>
      <c r="N211" s="117"/>
      <c r="O211" s="117"/>
      <c r="P211" s="117"/>
      <c r="Q211" s="117"/>
      <c r="R211" s="113"/>
      <c r="S211" s="117"/>
      <c r="T211" s="117"/>
      <c r="U211" s="117"/>
      <c r="V211" s="117"/>
      <c r="W211" s="109" t="s">
        <v>1667</v>
      </c>
      <c r="X211" s="117"/>
      <c r="Y211" s="117"/>
      <c r="Z211" s="117"/>
      <c r="AA211" s="117"/>
      <c r="AB211" s="109" t="s">
        <v>3485</v>
      </c>
      <c r="AC211" s="117"/>
      <c r="AD211" s="117" t="s">
        <v>3485</v>
      </c>
      <c r="AE211" s="117"/>
      <c r="AF211" s="117"/>
      <c r="AG211" s="117"/>
      <c r="AH211" s="117"/>
      <c r="AI211" s="117"/>
      <c r="AJ211" s="883"/>
      <c r="AK211" s="117"/>
      <c r="AL211" s="117"/>
      <c r="AM211" s="117"/>
      <c r="AN211" s="525"/>
      <c r="AO211" s="117"/>
      <c r="AP211" s="117"/>
      <c r="AQ211" s="883"/>
      <c r="AR211" s="117"/>
      <c r="AS211" s="117"/>
      <c r="AT211" s="117"/>
      <c r="AU211" s="525"/>
      <c r="AV211" s="117"/>
      <c r="AW211" s="883"/>
      <c r="AX211" s="117"/>
      <c r="AY211" s="117"/>
      <c r="AZ211" s="117"/>
      <c r="BA211" s="117"/>
      <c r="BB211" s="117"/>
      <c r="BC211" s="117"/>
      <c r="BD211" s="883"/>
      <c r="BE211" s="117"/>
      <c r="BF211" s="117"/>
      <c r="BG211" s="117"/>
      <c r="BH211" s="117"/>
      <c r="BI211" s="117"/>
      <c r="BJ211" s="117"/>
      <c r="BK211" s="883"/>
      <c r="BL211" s="883"/>
      <c r="BM211" s="883"/>
      <c r="BN211" s="883"/>
      <c r="BO211" s="883"/>
      <c r="BP211" s="883"/>
      <c r="BQ211" s="883"/>
      <c r="BR211" s="883"/>
      <c r="BS211" s="883"/>
      <c r="BT211" s="883"/>
      <c r="BU211" s="883"/>
      <c r="BV211" s="883"/>
      <c r="BW211" s="883"/>
      <c r="BX211" s="883"/>
    </row>
    <row r="212" ht="15.75" customHeight="1">
      <c r="A212" s="888" t="s">
        <v>410</v>
      </c>
      <c r="B212" s="894" t="s">
        <v>146</v>
      </c>
      <c r="C212" s="725" t="s">
        <v>3799</v>
      </c>
      <c r="D212" s="254" t="s">
        <v>4236</v>
      </c>
      <c r="E212" s="117" t="s">
        <v>4757</v>
      </c>
      <c r="F212" s="109" t="s">
        <v>1157</v>
      </c>
      <c r="G212" s="117" t="s">
        <v>4758</v>
      </c>
      <c r="H212" s="112" t="s">
        <v>4759</v>
      </c>
      <c r="I212" s="525"/>
      <c r="J212" s="117"/>
      <c r="K212" s="117"/>
      <c r="L212" s="117"/>
      <c r="M212" s="154"/>
      <c r="N212" s="117" t="s">
        <v>4761</v>
      </c>
      <c r="O212" s="117"/>
      <c r="P212" s="117"/>
      <c r="Q212" s="117"/>
      <c r="R212" s="113"/>
      <c r="S212" s="117"/>
      <c r="T212" s="117"/>
      <c r="U212" s="117"/>
      <c r="V212" s="117"/>
      <c r="W212" s="117"/>
      <c r="X212" s="117"/>
      <c r="Y212" s="117" t="s">
        <v>4762</v>
      </c>
      <c r="Z212" s="117"/>
      <c r="AA212" s="117"/>
      <c r="AB212" s="109" t="s">
        <v>4762</v>
      </c>
      <c r="AC212" s="117"/>
      <c r="AD212" s="109" t="s">
        <v>3799</v>
      </c>
      <c r="AE212" s="117"/>
      <c r="AF212" s="117"/>
      <c r="AG212" s="117"/>
      <c r="AH212" s="117"/>
      <c r="AI212" s="117"/>
      <c r="AJ212" s="147" t="s">
        <v>4763</v>
      </c>
      <c r="AK212" s="117"/>
      <c r="AL212" s="117"/>
      <c r="AM212" s="117"/>
      <c r="AN212" s="525"/>
      <c r="AO212" s="117"/>
      <c r="AP212" s="117"/>
      <c r="AQ212" s="154"/>
      <c r="AR212" s="117"/>
      <c r="AS212" s="117"/>
      <c r="AT212" s="117"/>
      <c r="AU212" s="525"/>
      <c r="AV212" s="117"/>
      <c r="AW212" s="154"/>
      <c r="AX212" s="117"/>
      <c r="AY212" s="117"/>
      <c r="AZ212" s="117"/>
      <c r="BA212" s="117"/>
      <c r="BB212" s="117"/>
      <c r="BC212" s="117"/>
      <c r="BD212" s="154"/>
      <c r="BE212" s="117"/>
      <c r="BF212" s="117"/>
      <c r="BG212" s="117"/>
      <c r="BH212" s="117"/>
      <c r="BI212" s="117"/>
      <c r="BJ212" s="117"/>
      <c r="BK212" s="154"/>
      <c r="BL212" s="154"/>
      <c r="BM212" s="154"/>
      <c r="BN212" s="154"/>
      <c r="BO212" s="154"/>
      <c r="BP212" s="154"/>
      <c r="BQ212" s="154"/>
      <c r="BR212" s="154"/>
      <c r="BS212" s="154"/>
      <c r="BT212" s="154"/>
      <c r="BU212" s="154"/>
      <c r="BV212" s="154"/>
      <c r="BW212" s="154"/>
      <c r="BX212" s="154"/>
    </row>
    <row r="213" ht="15.75" customHeight="1">
      <c r="A213" s="888" t="s">
        <v>4765</v>
      </c>
      <c r="B213" s="894" t="s">
        <v>146</v>
      </c>
      <c r="C213" s="725" t="s">
        <v>4766</v>
      </c>
      <c r="D213" s="890" t="s">
        <v>4768</v>
      </c>
      <c r="E213" s="117"/>
      <c r="F213" s="109" t="s">
        <v>4766</v>
      </c>
      <c r="G213" s="117" t="s">
        <v>4770</v>
      </c>
      <c r="H213" s="175"/>
      <c r="I213" s="585"/>
      <c r="J213" s="117"/>
      <c r="K213" s="117" t="s">
        <v>4771</v>
      </c>
      <c r="L213" s="117"/>
      <c r="M213" s="883"/>
      <c r="N213" s="117"/>
      <c r="O213" s="117"/>
      <c r="P213" s="117"/>
      <c r="Q213" s="109" t="s">
        <v>4766</v>
      </c>
      <c r="R213" s="113"/>
      <c r="S213" s="117"/>
      <c r="T213" s="117"/>
      <c r="U213" s="117"/>
      <c r="V213" s="117"/>
      <c r="W213" s="117"/>
      <c r="X213" s="117"/>
      <c r="Y213" s="117"/>
      <c r="Z213" s="117"/>
      <c r="AA213" s="117"/>
      <c r="AB213" s="117"/>
      <c r="AC213" s="117"/>
      <c r="AD213" s="117"/>
      <c r="AE213" s="117"/>
      <c r="AF213" s="117"/>
      <c r="AG213" s="117"/>
      <c r="AH213" s="117"/>
      <c r="AI213" s="117"/>
      <c r="AJ213" s="884" t="s">
        <v>4773</v>
      </c>
      <c r="AK213" s="117"/>
      <c r="AL213" s="117"/>
      <c r="AM213" s="117"/>
      <c r="AN213" s="585"/>
      <c r="AO213" s="117"/>
      <c r="AP213" s="117"/>
      <c r="AQ213" s="883"/>
      <c r="AR213" s="117"/>
      <c r="AS213" s="117"/>
      <c r="AT213" s="117"/>
      <c r="AU213" s="585"/>
      <c r="AV213" s="117"/>
      <c r="AW213" s="883"/>
      <c r="AX213" s="117"/>
      <c r="AY213" s="117"/>
      <c r="AZ213" s="117"/>
      <c r="BA213" s="117"/>
      <c r="BB213" s="117"/>
      <c r="BC213" s="117"/>
      <c r="BD213" s="883"/>
      <c r="BE213" s="117"/>
      <c r="BF213" s="117"/>
      <c r="BG213" s="117"/>
      <c r="BH213" s="117"/>
      <c r="BI213" s="117"/>
      <c r="BJ213" s="117"/>
      <c r="BK213" s="883"/>
      <c r="BL213" s="883"/>
      <c r="BM213" s="883"/>
      <c r="BN213" s="883"/>
      <c r="BO213" s="883"/>
      <c r="BP213" s="883"/>
      <c r="BQ213" s="883"/>
      <c r="BR213" s="883"/>
      <c r="BS213" s="883"/>
      <c r="BT213" s="883"/>
      <c r="BU213" s="883"/>
      <c r="BV213" s="883"/>
      <c r="BW213" s="883"/>
      <c r="BX213" s="883"/>
    </row>
    <row r="214" ht="15.75" customHeight="1">
      <c r="A214" s="880" t="s">
        <v>3774</v>
      </c>
      <c r="B214" s="891" t="s">
        <v>4775</v>
      </c>
      <c r="C214" s="252" t="s">
        <v>2199</v>
      </c>
      <c r="D214" s="90" t="s">
        <v>2199</v>
      </c>
      <c r="E214" s="144" t="s">
        <v>4776</v>
      </c>
      <c r="F214" s="144" t="s">
        <v>4777</v>
      </c>
      <c r="G214" s="144" t="s">
        <v>4114</v>
      </c>
      <c r="H214" s="112" t="s">
        <v>4592</v>
      </c>
      <c r="I214" s="543" t="s">
        <v>4778</v>
      </c>
      <c r="J214" s="144"/>
      <c r="K214" s="144"/>
      <c r="L214" s="144"/>
      <c r="M214" s="883"/>
      <c r="N214" s="144"/>
      <c r="O214" s="144"/>
      <c r="P214" s="144"/>
      <c r="Q214" s="144"/>
      <c r="R214" s="113"/>
      <c r="S214" s="144"/>
      <c r="T214" s="144"/>
      <c r="U214" s="144"/>
      <c r="V214" s="144"/>
      <c r="W214" s="144"/>
      <c r="X214" s="144"/>
      <c r="Y214" s="144"/>
      <c r="Z214" s="144"/>
      <c r="AA214" s="144"/>
      <c r="AB214" s="144"/>
      <c r="AC214" s="144"/>
      <c r="AD214" s="144"/>
      <c r="AE214" s="144"/>
      <c r="AF214" s="144"/>
      <c r="AG214" s="144"/>
      <c r="AH214" s="144"/>
      <c r="AI214" s="144"/>
      <c r="AJ214" s="883"/>
      <c r="AK214" s="144"/>
      <c r="AL214" s="144"/>
      <c r="AM214" s="144"/>
      <c r="AN214" s="525"/>
      <c r="AO214" s="144"/>
      <c r="AP214" s="144"/>
      <c r="AQ214" s="883"/>
      <c r="AR214" s="144"/>
      <c r="AS214" s="144"/>
      <c r="AT214" s="144"/>
      <c r="AU214" s="525"/>
      <c r="AV214" s="144"/>
      <c r="AW214" s="883"/>
      <c r="AX214" s="144"/>
      <c r="AY214" s="144"/>
      <c r="AZ214" s="144"/>
      <c r="BA214" s="144"/>
      <c r="BB214" s="144"/>
      <c r="BC214" s="144"/>
      <c r="BD214" s="883"/>
      <c r="BE214" s="144"/>
      <c r="BF214" s="144"/>
      <c r="BG214" s="144"/>
      <c r="BH214" s="144"/>
      <c r="BI214" s="144"/>
      <c r="BJ214" s="144"/>
      <c r="BK214" s="883"/>
      <c r="BL214" s="883"/>
      <c r="BM214" s="883"/>
      <c r="BN214" s="883"/>
      <c r="BO214" s="883"/>
      <c r="BP214" s="883"/>
      <c r="BQ214" s="883"/>
      <c r="BR214" s="883"/>
      <c r="BS214" s="883"/>
      <c r="BT214" s="883"/>
      <c r="BU214" s="883"/>
      <c r="BV214" s="883"/>
      <c r="BW214" s="883"/>
      <c r="BX214" s="883"/>
    </row>
    <row r="215" ht="15.75" customHeight="1">
      <c r="A215" s="888" t="s">
        <v>410</v>
      </c>
      <c r="B215" s="894" t="s">
        <v>146</v>
      </c>
      <c r="C215" s="172" t="s">
        <v>4782</v>
      </c>
      <c r="D215" s="254" t="s">
        <v>4783</v>
      </c>
      <c r="E215" s="144" t="s">
        <v>4784</v>
      </c>
      <c r="F215" s="144" t="s">
        <v>4785</v>
      </c>
      <c r="G215" s="109" t="s">
        <v>4782</v>
      </c>
      <c r="H215" s="112" t="s">
        <v>4017</v>
      </c>
      <c r="I215" s="543" t="s">
        <v>4787</v>
      </c>
      <c r="J215" s="144"/>
      <c r="K215" s="144"/>
      <c r="L215" s="144"/>
      <c r="M215" s="154"/>
      <c r="N215" s="144" t="s">
        <v>941</v>
      </c>
      <c r="O215" s="144"/>
      <c r="P215" s="144"/>
      <c r="Q215" s="144"/>
      <c r="R215" s="113"/>
      <c r="S215" s="144"/>
      <c r="T215" s="144"/>
      <c r="U215" s="144"/>
      <c r="V215" s="144" t="s">
        <v>4789</v>
      </c>
      <c r="W215" s="144"/>
      <c r="X215" s="144"/>
      <c r="Y215" s="144" t="s">
        <v>4790</v>
      </c>
      <c r="Z215" s="144"/>
      <c r="AA215" s="144"/>
      <c r="AB215" s="144"/>
      <c r="AC215" s="144"/>
      <c r="AD215" s="144"/>
      <c r="AE215" s="144"/>
      <c r="AF215" s="144"/>
      <c r="AG215" s="144" t="s">
        <v>3484</v>
      </c>
      <c r="AH215" s="144"/>
      <c r="AI215" s="144"/>
      <c r="AJ215" s="154"/>
      <c r="AK215" s="144"/>
      <c r="AL215" s="144"/>
      <c r="AM215" s="144"/>
      <c r="AN215" s="525"/>
      <c r="AO215" s="144"/>
      <c r="AP215" s="144"/>
      <c r="AQ215" s="154"/>
      <c r="AR215" s="144"/>
      <c r="AS215" s="144"/>
      <c r="AT215" s="144"/>
      <c r="AU215" s="525"/>
      <c r="AV215" s="144"/>
      <c r="AW215" s="154"/>
      <c r="AX215" s="144"/>
      <c r="AY215" s="144"/>
      <c r="AZ215" s="144"/>
      <c r="BA215" s="144"/>
      <c r="BB215" s="144"/>
      <c r="BC215" s="144"/>
      <c r="BD215" s="154"/>
      <c r="BE215" s="144"/>
      <c r="BF215" s="144"/>
      <c r="BG215" s="144"/>
      <c r="BH215" s="144"/>
      <c r="BI215" s="144"/>
      <c r="BJ215" s="144"/>
      <c r="BK215" s="154"/>
      <c r="BL215" s="154"/>
      <c r="BM215" s="154"/>
      <c r="BN215" s="154"/>
      <c r="BO215" s="154"/>
      <c r="BP215" s="154"/>
      <c r="BQ215" s="154"/>
      <c r="BR215" s="154"/>
      <c r="BS215" s="154"/>
      <c r="BT215" s="154"/>
      <c r="BU215" s="154"/>
      <c r="BV215" s="154"/>
      <c r="BW215" s="154"/>
      <c r="BX215" s="154"/>
    </row>
    <row r="216" ht="15.75" customHeight="1">
      <c r="A216" s="880" t="s">
        <v>974</v>
      </c>
      <c r="B216" s="891" t="s">
        <v>4791</v>
      </c>
      <c r="C216" s="914" t="s">
        <v>1316</v>
      </c>
      <c r="D216" s="890" t="s">
        <v>4793</v>
      </c>
      <c r="E216" s="892"/>
      <c r="F216" s="892"/>
      <c r="G216" s="174" t="s">
        <v>4794</v>
      </c>
      <c r="H216" s="175"/>
      <c r="I216" s="543" t="s">
        <v>4795</v>
      </c>
      <c r="J216" s="892"/>
      <c r="K216" s="892"/>
      <c r="L216" s="892"/>
      <c r="M216" s="883"/>
      <c r="N216" s="892"/>
      <c r="O216" s="892"/>
      <c r="P216" s="892"/>
      <c r="Q216" s="892"/>
      <c r="R216" s="299"/>
      <c r="S216" s="892"/>
      <c r="T216" s="892"/>
      <c r="U216" s="892"/>
      <c r="V216" s="892"/>
      <c r="W216" s="892"/>
      <c r="X216" s="892"/>
      <c r="Y216" s="892"/>
      <c r="Z216" s="892"/>
      <c r="AA216" s="892"/>
      <c r="AB216" s="892"/>
      <c r="AC216" s="892"/>
      <c r="AD216" s="892"/>
      <c r="AE216" s="892"/>
      <c r="AF216" s="892"/>
      <c r="AG216" s="892"/>
      <c r="AH216" s="892"/>
      <c r="AI216" s="892"/>
      <c r="AJ216" s="883"/>
      <c r="AK216" s="892"/>
      <c r="AL216" s="892"/>
      <c r="AM216" s="892"/>
      <c r="AN216" s="525"/>
      <c r="AO216" s="892"/>
      <c r="AP216" s="892"/>
      <c r="AQ216" s="883"/>
      <c r="AR216" s="892"/>
      <c r="AS216" s="892"/>
      <c r="AT216" s="892"/>
      <c r="AU216" s="525"/>
      <c r="AV216" s="892"/>
      <c r="AW216" s="883"/>
      <c r="AX216" s="892"/>
      <c r="AY216" s="892"/>
      <c r="AZ216" s="892"/>
      <c r="BA216" s="892"/>
      <c r="BB216" s="892"/>
      <c r="BC216" s="892"/>
      <c r="BD216" s="883"/>
      <c r="BE216" s="892"/>
      <c r="BF216" s="892"/>
      <c r="BG216" s="892"/>
      <c r="BH216" s="892"/>
      <c r="BI216" s="892"/>
      <c r="BJ216" s="892"/>
      <c r="BK216" s="883"/>
      <c r="BL216" s="883"/>
      <c r="BM216" s="883"/>
      <c r="BN216" s="883"/>
      <c r="BO216" s="883"/>
      <c r="BP216" s="883"/>
      <c r="BQ216" s="883"/>
      <c r="BR216" s="883"/>
      <c r="BS216" s="883"/>
      <c r="BT216" s="883"/>
      <c r="BU216" s="883"/>
      <c r="BV216" s="883"/>
      <c r="BW216" s="883"/>
      <c r="BX216" s="883"/>
    </row>
    <row r="217" ht="15.75" customHeight="1">
      <c r="A217" s="885"/>
      <c r="B217" s="915" t="s">
        <v>4798</v>
      </c>
      <c r="C217" s="725" t="s">
        <v>1759</v>
      </c>
      <c r="D217" s="173"/>
      <c r="E217" s="892"/>
      <c r="F217" s="892"/>
      <c r="G217" s="892" t="s">
        <v>1759</v>
      </c>
      <c r="H217" s="175"/>
      <c r="I217" s="525"/>
      <c r="J217" s="892"/>
      <c r="K217" s="892"/>
      <c r="L217" s="892"/>
      <c r="M217" s="883"/>
      <c r="N217" s="892"/>
      <c r="O217" s="892"/>
      <c r="P217" s="892"/>
      <c r="Q217" s="892"/>
      <c r="R217" s="299"/>
      <c r="S217" s="892"/>
      <c r="T217" s="892"/>
      <c r="U217" s="892"/>
      <c r="V217" s="892"/>
      <c r="W217" s="892"/>
      <c r="X217" s="892"/>
      <c r="Y217" s="892"/>
      <c r="Z217" s="892"/>
      <c r="AA217" s="892"/>
      <c r="AB217" s="892"/>
      <c r="AC217" s="892"/>
      <c r="AD217" s="892"/>
      <c r="AE217" s="892"/>
      <c r="AF217" s="892"/>
      <c r="AG217" s="892"/>
      <c r="AH217" s="892"/>
      <c r="AI217" s="892"/>
      <c r="AJ217" s="883"/>
      <c r="AK217" s="892"/>
      <c r="AL217" s="892"/>
      <c r="AM217" s="892"/>
      <c r="AN217" s="525"/>
      <c r="AO217" s="892"/>
      <c r="AP217" s="892"/>
      <c r="AQ217" s="883"/>
      <c r="AR217" s="892"/>
      <c r="AS217" s="892"/>
      <c r="AT217" s="892"/>
      <c r="AU217" s="525"/>
      <c r="AV217" s="892"/>
      <c r="AW217" s="883"/>
      <c r="AX217" s="892"/>
      <c r="AY217" s="892"/>
      <c r="AZ217" s="892"/>
      <c r="BA217" s="892"/>
      <c r="BB217" s="892"/>
      <c r="BC217" s="892"/>
      <c r="BD217" s="883"/>
      <c r="BE217" s="892"/>
      <c r="BF217" s="892"/>
      <c r="BG217" s="892"/>
      <c r="BH217" s="892"/>
      <c r="BI217" s="892"/>
      <c r="BJ217" s="892"/>
      <c r="BK217" s="883"/>
      <c r="BL217" s="883"/>
      <c r="BM217" s="883"/>
      <c r="BN217" s="883"/>
      <c r="BO217" s="883"/>
      <c r="BP217" s="883"/>
      <c r="BQ217" s="909" t="s">
        <v>4802</v>
      </c>
      <c r="BR217" s="883"/>
      <c r="BS217" s="883"/>
      <c r="BT217" s="883"/>
      <c r="BU217" s="883"/>
      <c r="BV217" s="883"/>
      <c r="BW217" s="883"/>
      <c r="BX217" s="883"/>
    </row>
    <row r="218" ht="15.75" customHeight="1">
      <c r="A218" s="880" t="s">
        <v>1423</v>
      </c>
      <c r="B218" s="891" t="s">
        <v>4803</v>
      </c>
      <c r="C218" s="725" t="s">
        <v>4804</v>
      </c>
      <c r="D218" s="890" t="s">
        <v>3784</v>
      </c>
      <c r="E218" s="892" t="s">
        <v>948</v>
      </c>
      <c r="F218" s="892"/>
      <c r="G218" s="892"/>
      <c r="H218" s="112" t="s">
        <v>4805</v>
      </c>
      <c r="I218" s="543" t="s">
        <v>4807</v>
      </c>
      <c r="J218" s="892"/>
      <c r="K218" s="892"/>
      <c r="L218" s="892" t="s">
        <v>4176</v>
      </c>
      <c r="M218" s="884" t="s">
        <v>4808</v>
      </c>
      <c r="N218" s="892"/>
      <c r="O218" s="892"/>
      <c r="P218" s="892" t="s">
        <v>4810</v>
      </c>
      <c r="Q218" s="728" t="s">
        <v>347</v>
      </c>
      <c r="R218" s="299" t="s">
        <v>4811</v>
      </c>
      <c r="S218" s="892"/>
      <c r="T218" s="892"/>
      <c r="U218" s="892" t="s">
        <v>3784</v>
      </c>
      <c r="V218" s="892" t="s">
        <v>4811</v>
      </c>
      <c r="W218" s="892"/>
      <c r="X218" s="892"/>
      <c r="Y218" s="892"/>
      <c r="Z218" s="892"/>
      <c r="AA218" s="892"/>
      <c r="AB218" s="892"/>
      <c r="AC218" s="892"/>
      <c r="AD218" s="892"/>
      <c r="AE218" s="892"/>
      <c r="AF218" s="892"/>
      <c r="AG218" s="892"/>
      <c r="AH218" s="892"/>
      <c r="AI218" s="892"/>
      <c r="AJ218" s="883"/>
      <c r="AK218" s="892"/>
      <c r="AL218" s="892"/>
      <c r="AM218" s="892"/>
      <c r="AN218" s="525"/>
      <c r="AO218" s="892"/>
      <c r="AP218" s="892"/>
      <c r="AQ218" s="883"/>
      <c r="AR218" s="892"/>
      <c r="AS218" s="892"/>
      <c r="AT218" s="892"/>
      <c r="AU218" s="525"/>
      <c r="AV218" s="892"/>
      <c r="AW218" s="883"/>
      <c r="AX218" s="892"/>
      <c r="AY218" s="892"/>
      <c r="AZ218" s="892"/>
      <c r="BA218" s="892"/>
      <c r="BB218" s="892"/>
      <c r="BC218" s="892"/>
      <c r="BD218" s="883"/>
      <c r="BE218" s="892"/>
      <c r="BF218" s="892"/>
      <c r="BG218" s="892"/>
      <c r="BH218" s="892"/>
      <c r="BI218" s="892"/>
      <c r="BJ218" s="892"/>
      <c r="BK218" s="883"/>
      <c r="BL218" s="883"/>
      <c r="BM218" s="883"/>
      <c r="BN218" s="883"/>
      <c r="BO218" s="883"/>
      <c r="BP218" s="883"/>
      <c r="BQ218" s="883"/>
      <c r="BR218" s="883"/>
      <c r="BS218" s="883"/>
      <c r="BT218" s="883"/>
      <c r="BU218" s="883"/>
      <c r="BV218" s="883"/>
      <c r="BW218" s="883"/>
      <c r="BX218" s="883"/>
    </row>
    <row r="219" ht="15.75" customHeight="1">
      <c r="A219" s="885"/>
      <c r="B219" s="886" t="s">
        <v>4813</v>
      </c>
      <c r="C219" s="725" t="s">
        <v>1199</v>
      </c>
      <c r="D219" s="90" t="s">
        <v>4815</v>
      </c>
      <c r="E219" s="144" t="s">
        <v>4653</v>
      </c>
      <c r="F219" s="892"/>
      <c r="G219" s="892"/>
      <c r="H219" s="112" t="s">
        <v>4594</v>
      </c>
      <c r="I219" s="525"/>
      <c r="J219" s="892"/>
      <c r="K219" s="892"/>
      <c r="L219" s="892"/>
      <c r="M219" s="154"/>
      <c r="N219" s="728" t="s">
        <v>786</v>
      </c>
      <c r="O219" s="728" t="s">
        <v>3301</v>
      </c>
      <c r="P219" s="892"/>
      <c r="Q219" s="728" t="s">
        <v>4819</v>
      </c>
      <c r="R219" s="299" t="s">
        <v>4820</v>
      </c>
      <c r="S219" s="892"/>
      <c r="T219" s="892"/>
      <c r="U219" s="892" t="s">
        <v>4822</v>
      </c>
      <c r="V219" s="892"/>
      <c r="W219" s="892" t="s">
        <v>789</v>
      </c>
      <c r="X219" s="892"/>
      <c r="Y219" s="892"/>
      <c r="Z219" s="892"/>
      <c r="AA219" s="892"/>
      <c r="AB219" s="892"/>
      <c r="AC219" s="892"/>
      <c r="AD219" s="892"/>
      <c r="AE219" s="892"/>
      <c r="AF219" s="892"/>
      <c r="AG219" s="892"/>
      <c r="AH219" s="892"/>
      <c r="AI219" s="892"/>
      <c r="AJ219" s="154"/>
      <c r="AK219" s="892"/>
      <c r="AL219" s="892"/>
      <c r="AM219" s="892"/>
      <c r="AN219" s="525"/>
      <c r="AO219" s="892"/>
      <c r="AP219" s="892"/>
      <c r="AQ219" s="154"/>
      <c r="AR219" s="892"/>
      <c r="AS219" s="892"/>
      <c r="AT219" s="892"/>
      <c r="AU219" s="525"/>
      <c r="AV219" s="892"/>
      <c r="AW219" s="154"/>
      <c r="AX219" s="892"/>
      <c r="AY219" s="892"/>
      <c r="AZ219" s="892"/>
      <c r="BA219" s="892"/>
      <c r="BB219" s="892"/>
      <c r="BC219" s="892"/>
      <c r="BD219" s="154"/>
      <c r="BE219" s="892"/>
      <c r="BF219" s="892"/>
      <c r="BG219" s="892"/>
      <c r="BH219" s="892"/>
      <c r="BI219" s="892"/>
      <c r="BJ219" s="892"/>
      <c r="BK219" s="154"/>
      <c r="BL219" s="154"/>
      <c r="BM219" s="154"/>
      <c r="BN219" s="154"/>
      <c r="BO219" s="154"/>
      <c r="BP219" s="154"/>
      <c r="BQ219" s="154"/>
      <c r="BR219" s="154"/>
      <c r="BS219" s="154"/>
      <c r="BT219" s="154"/>
      <c r="BU219" s="154"/>
      <c r="BV219" s="154"/>
      <c r="BW219" s="154"/>
      <c r="BX219" s="154"/>
    </row>
    <row r="220" ht="15.75" customHeight="1">
      <c r="A220" s="880" t="s">
        <v>1494</v>
      </c>
      <c r="B220" s="891" t="s">
        <v>4825</v>
      </c>
      <c r="C220" s="725" t="s">
        <v>4826</v>
      </c>
      <c r="D220" s="90" t="s">
        <v>4831</v>
      </c>
      <c r="E220" s="506" t="s">
        <v>4832</v>
      </c>
      <c r="F220" s="892"/>
      <c r="G220" s="489" t="s">
        <v>4834</v>
      </c>
      <c r="H220" s="175"/>
      <c r="I220" s="543" t="s">
        <v>4836</v>
      </c>
      <c r="J220" s="892" t="s">
        <v>4826</v>
      </c>
      <c r="K220" s="892" t="s">
        <v>4838</v>
      </c>
      <c r="L220" s="892" t="s">
        <v>4840</v>
      </c>
      <c r="M220" s="883"/>
      <c r="N220" s="892"/>
      <c r="O220" s="892"/>
      <c r="P220" s="892"/>
      <c r="Q220" s="892"/>
      <c r="R220" s="299"/>
      <c r="S220" s="892"/>
      <c r="T220" s="892"/>
      <c r="U220" s="892"/>
      <c r="V220" s="892"/>
      <c r="W220" s="892"/>
      <c r="X220" s="892"/>
      <c r="Y220" s="892"/>
      <c r="Z220" s="892"/>
      <c r="AA220" s="892"/>
      <c r="AB220" s="892"/>
      <c r="AC220" s="892"/>
      <c r="AD220" s="892"/>
      <c r="AE220" s="892"/>
      <c r="AF220" s="892"/>
      <c r="AG220" s="892"/>
      <c r="AH220" s="892"/>
      <c r="AI220" s="892"/>
      <c r="AJ220" s="883"/>
      <c r="AK220" s="892"/>
      <c r="AL220" s="892"/>
      <c r="AM220" s="892"/>
      <c r="AN220" s="525"/>
      <c r="AO220" s="892"/>
      <c r="AP220" s="892"/>
      <c r="AQ220" s="883"/>
      <c r="AR220" s="892"/>
      <c r="AS220" s="892"/>
      <c r="AT220" s="892"/>
      <c r="AU220" s="525"/>
      <c r="AV220" s="892"/>
      <c r="AW220" s="883"/>
      <c r="AX220" s="892"/>
      <c r="AY220" s="892"/>
      <c r="AZ220" s="892"/>
      <c r="BA220" s="892"/>
      <c r="BB220" s="892"/>
      <c r="BC220" s="892"/>
      <c r="BD220" s="883"/>
      <c r="BE220" s="892"/>
      <c r="BF220" s="892"/>
      <c r="BG220" s="892"/>
      <c r="BH220" s="892"/>
      <c r="BI220" s="892"/>
      <c r="BJ220" s="489" t="s">
        <v>4842</v>
      </c>
      <c r="BK220" s="883"/>
      <c r="BL220" s="883"/>
      <c r="BM220" s="883"/>
      <c r="BN220" s="883"/>
      <c r="BO220" s="883"/>
      <c r="BP220" s="883"/>
      <c r="BQ220" s="883"/>
      <c r="BR220" s="883"/>
      <c r="BS220" s="883"/>
      <c r="BT220" s="883"/>
      <c r="BU220" s="883"/>
      <c r="BV220" s="883"/>
      <c r="BW220" s="883"/>
      <c r="BX220" s="883"/>
    </row>
    <row r="221" ht="15.75" customHeight="1">
      <c r="A221" s="880" t="s">
        <v>4496</v>
      </c>
      <c r="B221" s="891" t="s">
        <v>146</v>
      </c>
      <c r="C221" s="725" t="str">
        <f>HYPERLINK("https://www.youtube.com/watch?v=_HQgQjbTLjM","1:11.32")</f>
        <v>1:11.32</v>
      </c>
      <c r="D221" s="90" t="s">
        <v>4844</v>
      </c>
      <c r="E221" s="131" t="s">
        <v>4846</v>
      </c>
      <c r="F221" s="892"/>
      <c r="G221" s="489" t="s">
        <v>4848</v>
      </c>
      <c r="H221" s="112" t="s">
        <v>4599</v>
      </c>
      <c r="I221" s="543" t="s">
        <v>4849</v>
      </c>
      <c r="J221" s="892" t="s">
        <v>4850</v>
      </c>
      <c r="K221" s="892" t="s">
        <v>4849</v>
      </c>
      <c r="L221" s="892" t="s">
        <v>4851</v>
      </c>
      <c r="M221" s="154"/>
      <c r="N221" s="892" t="s">
        <v>3963</v>
      </c>
      <c r="O221" s="892" t="s">
        <v>3670</v>
      </c>
      <c r="P221" s="892"/>
      <c r="Q221" s="892"/>
      <c r="R221" s="299"/>
      <c r="S221" s="892"/>
      <c r="T221" s="892"/>
      <c r="U221" s="892"/>
      <c r="V221" s="892"/>
      <c r="W221" s="892"/>
      <c r="X221" s="892"/>
      <c r="Y221" s="892"/>
      <c r="Z221" s="892"/>
      <c r="AA221" s="892"/>
      <c r="AB221" s="892"/>
      <c r="AC221" s="892"/>
      <c r="AD221" s="892"/>
      <c r="AE221" s="892"/>
      <c r="AF221" s="892"/>
      <c r="AG221" s="892"/>
      <c r="AH221" s="892"/>
      <c r="AI221" s="892"/>
      <c r="AJ221" s="154"/>
      <c r="AK221" s="892"/>
      <c r="AL221" s="892"/>
      <c r="AM221" s="892"/>
      <c r="AN221" s="525"/>
      <c r="AO221" s="892"/>
      <c r="AP221" s="892"/>
      <c r="AQ221" s="154"/>
      <c r="AR221" s="892"/>
      <c r="AS221" s="892"/>
      <c r="AT221" s="892"/>
      <c r="AU221" s="525"/>
      <c r="AV221" s="892"/>
      <c r="AW221" s="154"/>
      <c r="AX221" s="892"/>
      <c r="AY221" s="892"/>
      <c r="AZ221" s="892"/>
      <c r="BA221" s="892"/>
      <c r="BB221" s="892"/>
      <c r="BC221" s="892"/>
      <c r="BD221" s="154"/>
      <c r="BE221" s="892"/>
      <c r="BF221" s="892"/>
      <c r="BG221" s="892"/>
      <c r="BH221" s="892"/>
      <c r="BI221" s="892"/>
      <c r="BJ221" s="892"/>
      <c r="BK221" s="154"/>
      <c r="BL221" s="154"/>
      <c r="BM221" s="154"/>
      <c r="BN221" s="154"/>
      <c r="BO221" s="154"/>
      <c r="BP221" s="154"/>
      <c r="BQ221" s="154"/>
      <c r="BR221" s="154"/>
      <c r="BS221" s="154"/>
      <c r="BT221" s="154"/>
      <c r="BU221" s="154"/>
      <c r="BV221" s="154"/>
      <c r="BW221" s="154"/>
      <c r="BX221" s="154"/>
    </row>
    <row r="222" ht="15.75" customHeight="1">
      <c r="A222" s="888" t="s">
        <v>1544</v>
      </c>
      <c r="B222" s="894" t="s">
        <v>146</v>
      </c>
      <c r="C222" s="172" t="s">
        <v>4855</v>
      </c>
      <c r="D222" s="90" t="s">
        <v>698</v>
      </c>
      <c r="E222" s="109" t="s">
        <v>4856</v>
      </c>
      <c r="F222" s="892"/>
      <c r="G222" s="489" t="s">
        <v>4858</v>
      </c>
      <c r="H222" s="175"/>
      <c r="I222" s="543" t="s">
        <v>4859</v>
      </c>
      <c r="J222" s="892"/>
      <c r="K222" s="892" t="s">
        <v>971</v>
      </c>
      <c r="L222" s="892"/>
      <c r="M222" s="883"/>
      <c r="N222" s="892"/>
      <c r="O222" s="892"/>
      <c r="P222" s="892"/>
      <c r="Q222" s="892"/>
      <c r="R222" s="299"/>
      <c r="S222" s="892"/>
      <c r="T222" s="892"/>
      <c r="U222" s="892"/>
      <c r="V222" s="892"/>
      <c r="W222" s="892"/>
      <c r="X222" s="892"/>
      <c r="Y222" s="892"/>
      <c r="Z222" s="892"/>
      <c r="AA222" s="892"/>
      <c r="AB222" s="892"/>
      <c r="AC222" s="892"/>
      <c r="AD222" s="892"/>
      <c r="AE222" s="892"/>
      <c r="AF222" s="892"/>
      <c r="AG222" s="892"/>
      <c r="AH222" s="892"/>
      <c r="AI222" s="892"/>
      <c r="AJ222" s="883"/>
      <c r="AK222" s="892"/>
      <c r="AL222" s="892"/>
      <c r="AM222" s="892"/>
      <c r="AN222" s="525"/>
      <c r="AO222" s="892"/>
      <c r="AP222" s="892"/>
      <c r="AQ222" s="883"/>
      <c r="AR222" s="892"/>
      <c r="AS222" s="892"/>
      <c r="AT222" s="892"/>
      <c r="AU222" s="525"/>
      <c r="AV222" s="892"/>
      <c r="AW222" s="883"/>
      <c r="AX222" s="892"/>
      <c r="AY222" s="892"/>
      <c r="AZ222" s="892"/>
      <c r="BA222" s="892"/>
      <c r="BB222" s="892"/>
      <c r="BC222" s="892"/>
      <c r="BD222" s="883"/>
      <c r="BE222" s="892"/>
      <c r="BF222" s="892"/>
      <c r="BG222" s="892"/>
      <c r="BH222" s="892"/>
      <c r="BI222" s="892"/>
      <c r="BJ222" s="892"/>
      <c r="BK222" s="883"/>
      <c r="BL222" s="883"/>
      <c r="BM222" s="883"/>
      <c r="BN222" s="883"/>
      <c r="BO222" s="883"/>
      <c r="BP222" s="883"/>
      <c r="BQ222" s="883"/>
      <c r="BR222" s="883"/>
      <c r="BS222" s="883"/>
      <c r="BT222" s="883"/>
      <c r="BU222" s="883"/>
      <c r="BV222" s="883"/>
      <c r="BW222" s="883"/>
      <c r="BX222" s="883"/>
    </row>
    <row r="223" ht="15.75" customHeight="1">
      <c r="A223" s="888" t="s">
        <v>4861</v>
      </c>
      <c r="B223" s="894" t="s">
        <v>4862</v>
      </c>
      <c r="C223" s="725" t="s">
        <v>249</v>
      </c>
      <c r="D223" s="550"/>
      <c r="E223" s="892"/>
      <c r="F223" s="892"/>
      <c r="G223" s="892"/>
      <c r="H223" s="175"/>
      <c r="I223" s="525"/>
      <c r="J223" s="892"/>
      <c r="K223" s="892" t="s">
        <v>249</v>
      </c>
      <c r="L223" s="892"/>
      <c r="M223" s="154"/>
      <c r="N223" s="892"/>
      <c r="O223" s="892"/>
      <c r="P223" s="892"/>
      <c r="Q223" s="892"/>
      <c r="R223" s="299"/>
      <c r="S223" s="892"/>
      <c r="T223" s="892"/>
      <c r="U223" s="892"/>
      <c r="V223" s="892"/>
      <c r="W223" s="892"/>
      <c r="X223" s="892"/>
      <c r="Y223" s="892"/>
      <c r="Z223" s="892"/>
      <c r="AA223" s="892"/>
      <c r="AB223" s="892"/>
      <c r="AC223" s="892"/>
      <c r="AD223" s="892"/>
      <c r="AE223" s="892"/>
      <c r="AF223" s="892"/>
      <c r="AG223" s="892"/>
      <c r="AH223" s="892"/>
      <c r="AI223" s="892"/>
      <c r="AJ223" s="154"/>
      <c r="AK223" s="892"/>
      <c r="AL223" s="892"/>
      <c r="AM223" s="892"/>
      <c r="AN223" s="525"/>
      <c r="AO223" s="892"/>
      <c r="AP223" s="892"/>
      <c r="AQ223" s="154"/>
      <c r="AR223" s="892"/>
      <c r="AS223" s="892"/>
      <c r="AT223" s="892"/>
      <c r="AU223" s="525"/>
      <c r="AV223" s="892"/>
      <c r="AW223" s="154"/>
      <c r="AX223" s="892"/>
      <c r="AY223" s="892"/>
      <c r="AZ223" s="892"/>
      <c r="BA223" s="892"/>
      <c r="BB223" s="892"/>
      <c r="BC223" s="892"/>
      <c r="BD223" s="154"/>
      <c r="BE223" s="892"/>
      <c r="BF223" s="892"/>
      <c r="BG223" s="892"/>
      <c r="BH223" s="892"/>
      <c r="BI223" s="892"/>
      <c r="BJ223" s="892"/>
      <c r="BK223" s="154"/>
      <c r="BL223" s="154"/>
      <c r="BM223" s="154"/>
      <c r="BN223" s="154"/>
      <c r="BO223" s="154"/>
      <c r="BP223" s="154"/>
      <c r="BQ223" s="154"/>
      <c r="BR223" s="154"/>
      <c r="BS223" s="154"/>
      <c r="BT223" s="154"/>
      <c r="BU223" s="154"/>
      <c r="BV223" s="154"/>
      <c r="BW223" s="154"/>
      <c r="BX223" s="154"/>
    </row>
    <row r="224" ht="15.75" customHeight="1">
      <c r="A224" s="902"/>
      <c r="B224" s="903" t="s">
        <v>4866</v>
      </c>
      <c r="C224" s="172" t="s">
        <v>4867</v>
      </c>
      <c r="D224" s="90" t="s">
        <v>4870</v>
      </c>
      <c r="E224" s="892"/>
      <c r="F224" s="892"/>
      <c r="G224" s="109" t="s">
        <v>4867</v>
      </c>
      <c r="H224" s="175"/>
      <c r="I224" s="543" t="s">
        <v>4871</v>
      </c>
      <c r="J224" s="892"/>
      <c r="K224" s="892" t="s">
        <v>4872</v>
      </c>
      <c r="L224" s="892"/>
      <c r="M224" s="883"/>
      <c r="N224" s="892"/>
      <c r="O224" s="892"/>
      <c r="P224" s="892"/>
      <c r="Q224" s="892"/>
      <c r="R224" s="299"/>
      <c r="S224" s="892"/>
      <c r="T224" s="892"/>
      <c r="U224" s="892"/>
      <c r="V224" s="892"/>
      <c r="W224" s="892"/>
      <c r="X224" s="892"/>
      <c r="Y224" s="892"/>
      <c r="Z224" s="892"/>
      <c r="AA224" s="892"/>
      <c r="AB224" s="892"/>
      <c r="AC224" s="892"/>
      <c r="AD224" s="892"/>
      <c r="AE224" s="892"/>
      <c r="AF224" s="892"/>
      <c r="AG224" s="892"/>
      <c r="AH224" s="892"/>
      <c r="AI224" s="892"/>
      <c r="AJ224" s="883"/>
      <c r="AK224" s="892"/>
      <c r="AL224" s="892"/>
      <c r="AM224" s="892"/>
      <c r="AN224" s="525"/>
      <c r="AO224" s="892"/>
      <c r="AP224" s="892"/>
      <c r="AQ224" s="883"/>
      <c r="AR224" s="892"/>
      <c r="AS224" s="892"/>
      <c r="AT224" s="892"/>
      <c r="AU224" s="525"/>
      <c r="AV224" s="892"/>
      <c r="AW224" s="883"/>
      <c r="AX224" s="892"/>
      <c r="AY224" s="892"/>
      <c r="AZ224" s="892"/>
      <c r="BA224" s="892"/>
      <c r="BB224" s="892"/>
      <c r="BC224" s="892"/>
      <c r="BD224" s="883"/>
      <c r="BE224" s="892"/>
      <c r="BF224" s="892"/>
      <c r="BG224" s="892"/>
      <c r="BH224" s="892"/>
      <c r="BI224" s="892"/>
      <c r="BJ224" s="892"/>
      <c r="BK224" s="883"/>
      <c r="BL224" s="883"/>
      <c r="BM224" s="883"/>
      <c r="BN224" s="883"/>
      <c r="BO224" s="883"/>
      <c r="BP224" s="883"/>
      <c r="BQ224" s="883"/>
      <c r="BR224" s="883"/>
      <c r="BS224" s="883"/>
      <c r="BT224" s="883"/>
      <c r="BU224" s="883"/>
      <c r="BV224" s="883"/>
      <c r="BW224" s="883"/>
      <c r="BX224" s="883"/>
    </row>
    <row r="225" ht="15.75" customHeight="1">
      <c r="A225" s="880" t="s">
        <v>3428</v>
      </c>
      <c r="B225" s="891" t="s">
        <v>146</v>
      </c>
      <c r="C225" s="172" t="s">
        <v>502</v>
      </c>
      <c r="D225" s="90" t="s">
        <v>4118</v>
      </c>
      <c r="E225" s="144" t="s">
        <v>463</v>
      </c>
      <c r="F225" s="144" t="s">
        <v>925</v>
      </c>
      <c r="G225" s="109" t="s">
        <v>502</v>
      </c>
      <c r="H225" s="175"/>
      <c r="I225" s="100" t="s">
        <v>1999</v>
      </c>
      <c r="J225" s="144"/>
      <c r="K225" s="144" t="s">
        <v>2046</v>
      </c>
      <c r="L225" s="144" t="s">
        <v>3990</v>
      </c>
      <c r="M225" s="154"/>
      <c r="N225" s="144" t="s">
        <v>4841</v>
      </c>
      <c r="O225" s="144"/>
      <c r="P225" s="144" t="str">
        <f>HYPERLINK("https://youtu.be/YAmVWTPAJZs","42.49")</f>
        <v>42.49</v>
      </c>
      <c r="Q225" s="144"/>
      <c r="R225" s="113"/>
      <c r="S225" s="144"/>
      <c r="T225" s="144"/>
      <c r="U225" s="144"/>
      <c r="V225" s="144"/>
      <c r="W225" s="144"/>
      <c r="X225" s="144"/>
      <c r="Y225" s="144"/>
      <c r="Z225" s="144"/>
      <c r="AA225" s="144"/>
      <c r="AB225" s="144"/>
      <c r="AC225" s="144"/>
      <c r="AD225" s="144"/>
      <c r="AE225" s="144"/>
      <c r="AF225" s="144"/>
      <c r="AG225" s="144"/>
      <c r="AH225" s="144"/>
      <c r="AI225" s="144"/>
      <c r="AJ225" s="154"/>
      <c r="AK225" s="144"/>
      <c r="AL225" s="144"/>
      <c r="AM225" s="109" t="s">
        <v>617</v>
      </c>
      <c r="AN225" s="525"/>
      <c r="AO225" s="144"/>
      <c r="AP225" s="144" t="s">
        <v>4324</v>
      </c>
      <c r="AQ225" s="154"/>
      <c r="AR225" s="144"/>
      <c r="AS225" s="144"/>
      <c r="AT225" s="144"/>
      <c r="AU225" s="525"/>
      <c r="AV225" s="144"/>
      <c r="AW225" s="154"/>
      <c r="AX225" s="144"/>
      <c r="AY225" s="144"/>
      <c r="AZ225" s="144"/>
      <c r="BA225" s="144"/>
      <c r="BB225" s="144"/>
      <c r="BC225" s="144"/>
      <c r="BD225" s="154"/>
      <c r="BE225" s="144"/>
      <c r="BF225" s="144"/>
      <c r="BG225" s="144"/>
      <c r="BH225" s="144"/>
      <c r="BI225" s="144"/>
      <c r="BJ225" s="144"/>
      <c r="BK225" s="154"/>
      <c r="BL225" s="154"/>
      <c r="BM225" s="154"/>
      <c r="BN225" s="154"/>
      <c r="BO225" s="154"/>
      <c r="BP225" s="154"/>
      <c r="BQ225" s="154"/>
      <c r="BR225" s="154"/>
      <c r="BS225" s="154"/>
      <c r="BT225" s="154"/>
      <c r="BU225" s="154"/>
      <c r="BV225" s="154"/>
      <c r="BW225" s="154"/>
      <c r="BX225" s="154"/>
    </row>
    <row r="226" ht="15.75" customHeight="1">
      <c r="A226" s="888" t="s">
        <v>1544</v>
      </c>
      <c r="B226" s="894" t="s">
        <v>146</v>
      </c>
      <c r="C226" s="172" t="s">
        <v>4878</v>
      </c>
      <c r="D226" s="90" t="s">
        <v>1217</v>
      </c>
      <c r="E226" s="174" t="s">
        <v>4879</v>
      </c>
      <c r="F226" s="144"/>
      <c r="G226" s="109" t="s">
        <v>4878</v>
      </c>
      <c r="H226" s="175"/>
      <c r="I226" s="489" t="s">
        <v>4880</v>
      </c>
      <c r="J226" s="144"/>
      <c r="K226" s="144"/>
      <c r="L226" s="144"/>
      <c r="M226" s="154"/>
      <c r="N226" s="144"/>
      <c r="O226" s="144"/>
      <c r="P226" s="144"/>
      <c r="Q226" s="144"/>
      <c r="R226" s="113"/>
      <c r="S226" s="144"/>
      <c r="T226" s="144"/>
      <c r="U226" s="144"/>
      <c r="V226" s="144"/>
      <c r="W226" s="144"/>
      <c r="X226" s="144"/>
      <c r="Y226" s="144"/>
      <c r="Z226" s="144"/>
      <c r="AA226" s="144"/>
      <c r="AB226" s="144"/>
      <c r="AC226" s="144"/>
      <c r="AD226" s="144"/>
      <c r="AE226" s="144"/>
      <c r="AF226" s="144"/>
      <c r="AG226" s="144"/>
      <c r="AH226" s="144"/>
      <c r="AI226" s="144"/>
      <c r="AJ226" s="154"/>
      <c r="AK226" s="144"/>
      <c r="AL226" s="144"/>
      <c r="AM226" s="109" t="s">
        <v>4881</v>
      </c>
      <c r="AN226" s="525"/>
      <c r="AO226" s="144"/>
      <c r="AP226" s="144"/>
      <c r="AQ226" s="154"/>
      <c r="AR226" s="144"/>
      <c r="AS226" s="144"/>
      <c r="AT226" s="144"/>
      <c r="AU226" s="525"/>
      <c r="AV226" s="144"/>
      <c r="AW226" s="924"/>
      <c r="AX226" s="144"/>
      <c r="AY226" s="144"/>
      <c r="AZ226" s="144"/>
      <c r="BA226" s="144"/>
      <c r="BB226" s="144"/>
      <c r="BC226" s="144"/>
      <c r="BD226" s="154"/>
      <c r="BE226" s="144"/>
      <c r="BF226" s="144"/>
      <c r="BG226" s="144"/>
      <c r="BH226" s="144"/>
      <c r="BI226" s="144"/>
      <c r="BJ226" s="144"/>
      <c r="BK226" s="154"/>
      <c r="BL226" s="154"/>
      <c r="BM226" s="154"/>
      <c r="BN226" s="154"/>
      <c r="BO226" s="154"/>
      <c r="BP226" s="154"/>
      <c r="BQ226" s="154"/>
      <c r="BR226" s="154"/>
      <c r="BS226" s="154"/>
      <c r="BT226" s="154"/>
      <c r="BU226" s="154"/>
      <c r="BV226" s="154"/>
      <c r="BW226" s="154"/>
      <c r="BX226" s="154"/>
    </row>
    <row r="227" ht="15.75" customHeight="1">
      <c r="A227" s="880" t="s">
        <v>253</v>
      </c>
      <c r="B227" s="891" t="s">
        <v>4885</v>
      </c>
      <c r="C227" s="725" t="s">
        <v>495</v>
      </c>
      <c r="D227" s="90" t="s">
        <v>4886</v>
      </c>
      <c r="E227" s="131" t="s">
        <v>4888</v>
      </c>
      <c r="F227" s="892"/>
      <c r="G227" s="892"/>
      <c r="H227" s="112" t="s">
        <v>4603</v>
      </c>
      <c r="I227" s="924" t="s">
        <v>4889</v>
      </c>
      <c r="J227" s="892" t="s">
        <v>495</v>
      </c>
      <c r="K227" s="892"/>
      <c r="L227" s="892"/>
      <c r="M227" s="154"/>
      <c r="N227" s="728" t="s">
        <v>505</v>
      </c>
      <c r="O227" s="892"/>
      <c r="P227" s="892"/>
      <c r="Q227" s="892"/>
      <c r="R227" s="299"/>
      <c r="S227" s="892"/>
      <c r="T227" s="892"/>
      <c r="U227" s="892"/>
      <c r="V227" s="892"/>
      <c r="W227" s="892"/>
      <c r="X227" s="892"/>
      <c r="Y227" s="892"/>
      <c r="Z227" s="892"/>
      <c r="AA227" s="892"/>
      <c r="AB227" s="892"/>
      <c r="AC227" s="892"/>
      <c r="AD227" s="892"/>
      <c r="AE227" s="892"/>
      <c r="AF227" s="892"/>
      <c r="AG227" s="892"/>
      <c r="AH227" s="892"/>
      <c r="AI227" s="892"/>
      <c r="AJ227" s="154"/>
      <c r="AK227" s="892"/>
      <c r="AL227" s="892"/>
      <c r="AM227" s="892"/>
      <c r="AN227" s="525"/>
      <c r="AO227" s="892"/>
      <c r="AP227" s="892"/>
      <c r="AQ227" s="154"/>
      <c r="AR227" s="892"/>
      <c r="AS227" s="728" t="str">
        <f>HYPERLINK("https://youtu.be/fYWiIA5i7cs","2:29.99")</f>
        <v>2:29.99</v>
      </c>
      <c r="AT227" s="892"/>
      <c r="AU227" s="525"/>
      <c r="AV227" s="892"/>
      <c r="AW227" s="154"/>
      <c r="AX227" s="892"/>
      <c r="AY227" s="892"/>
      <c r="AZ227" s="892"/>
      <c r="BA227" s="892"/>
      <c r="BB227" s="892"/>
      <c r="BC227" s="892"/>
      <c r="BD227" s="154"/>
      <c r="BE227" s="892"/>
      <c r="BF227" s="892"/>
      <c r="BG227" s="892"/>
      <c r="BH227" s="892"/>
      <c r="BI227" s="892"/>
      <c r="BJ227" s="892"/>
      <c r="BK227" s="154"/>
      <c r="BL227" s="154"/>
      <c r="BM227" s="154"/>
      <c r="BN227" s="154"/>
      <c r="BO227" s="154"/>
      <c r="BP227" s="154"/>
      <c r="BQ227" s="154"/>
      <c r="BR227" s="154"/>
      <c r="BS227" s="154"/>
      <c r="BT227" s="154"/>
      <c r="BU227" s="154"/>
      <c r="BV227" s="154"/>
      <c r="BW227" s="154"/>
      <c r="BX227" s="154"/>
    </row>
    <row r="228">
      <c r="A228" s="925" t="s">
        <v>130</v>
      </c>
      <c r="D228" s="926"/>
      <c r="E228" s="927"/>
      <c r="F228" s="927"/>
      <c r="G228" s="927"/>
      <c r="H228" s="928"/>
      <c r="I228" s="927"/>
      <c r="J228" s="927"/>
      <c r="K228" s="927"/>
      <c r="L228" s="927"/>
      <c r="M228" s="929"/>
      <c r="N228" s="927"/>
      <c r="O228" s="927"/>
      <c r="P228" s="927"/>
      <c r="Q228" s="927"/>
      <c r="R228" s="930"/>
      <c r="S228" s="927"/>
      <c r="T228" s="927"/>
      <c r="U228" s="927"/>
      <c r="V228" s="927"/>
      <c r="W228" s="927"/>
      <c r="X228" s="927"/>
      <c r="Y228" s="927"/>
      <c r="Z228" s="927"/>
      <c r="AA228" s="927"/>
      <c r="AB228" s="927"/>
      <c r="AC228" s="927"/>
      <c r="AD228" s="927"/>
      <c r="AE228" s="927"/>
      <c r="AF228" s="927"/>
      <c r="AG228" s="927"/>
      <c r="AH228" s="927"/>
      <c r="AI228" s="927"/>
      <c r="AJ228" s="929"/>
      <c r="AK228" s="927"/>
      <c r="AL228" s="927"/>
      <c r="AM228" s="927"/>
      <c r="AN228" s="927"/>
      <c r="AO228" s="927"/>
      <c r="AP228" s="927"/>
      <c r="AQ228" s="929"/>
      <c r="AR228" s="927"/>
      <c r="AS228" s="927"/>
      <c r="AT228" s="927"/>
      <c r="AU228" s="927"/>
      <c r="AV228" s="927"/>
      <c r="AW228" s="929"/>
      <c r="AX228" s="927"/>
      <c r="AY228" s="927"/>
      <c r="AZ228" s="927"/>
      <c r="BA228" s="927"/>
      <c r="BB228" s="927"/>
      <c r="BC228" s="927"/>
      <c r="BD228" s="929"/>
      <c r="BE228" s="927"/>
      <c r="BF228" s="927"/>
      <c r="BG228" s="927"/>
      <c r="BH228" s="927"/>
      <c r="BI228" s="927"/>
      <c r="BJ228" s="927"/>
      <c r="BK228" s="929"/>
      <c r="BL228" s="929"/>
      <c r="BM228" s="929"/>
      <c r="BN228" s="929"/>
      <c r="BO228" s="929"/>
      <c r="BP228" s="929"/>
      <c r="BQ228" s="929"/>
      <c r="BR228" s="929"/>
      <c r="BS228" s="929"/>
      <c r="BT228" s="929"/>
      <c r="BU228" s="929"/>
      <c r="BV228" s="929"/>
      <c r="BW228" s="929"/>
      <c r="BX228" s="929"/>
    </row>
    <row r="229" ht="15.75" customHeight="1">
      <c r="A229" s="931" t="s">
        <v>143</v>
      </c>
      <c r="B229" s="932" t="s">
        <v>146</v>
      </c>
      <c r="C229" s="725" t="s">
        <v>3683</v>
      </c>
      <c r="D229" s="90" t="s">
        <v>4896</v>
      </c>
      <c r="E229" s="144" t="s">
        <v>4897</v>
      </c>
      <c r="F229" s="738"/>
      <c r="G229" s="728" t="s">
        <v>4122</v>
      </c>
      <c r="H229" s="112" t="s">
        <v>2517</v>
      </c>
      <c r="I229" s="729" t="s">
        <v>4899</v>
      </c>
      <c r="J229" s="738" t="s">
        <v>4900</v>
      </c>
      <c r="K229" s="728" t="s">
        <v>4901</v>
      </c>
      <c r="L229" s="728" t="s">
        <v>4903</v>
      </c>
      <c r="M229" s="933" t="s">
        <v>4905</v>
      </c>
      <c r="N229" s="728" t="s">
        <v>2919</v>
      </c>
      <c r="O229" s="728" t="s">
        <v>711</v>
      </c>
      <c r="P229" s="738" t="s">
        <v>2945</v>
      </c>
      <c r="Q229" s="728" t="s">
        <v>4388</v>
      </c>
      <c r="R229" s="740" t="s">
        <v>1079</v>
      </c>
      <c r="S229" s="738"/>
      <c r="T229" s="738"/>
      <c r="U229" s="738"/>
      <c r="V229" s="738"/>
      <c r="W229" s="738"/>
      <c r="X229" s="738" t="s">
        <v>2828</v>
      </c>
      <c r="Y229" s="738"/>
      <c r="Z229" s="738"/>
      <c r="AA229" s="738"/>
      <c r="AB229" s="728" t="s">
        <v>756</v>
      </c>
      <c r="AC229" s="738"/>
      <c r="AD229" s="738"/>
      <c r="AE229" s="738"/>
      <c r="AF229" s="738"/>
      <c r="AG229" s="738"/>
      <c r="AH229" s="738"/>
      <c r="AI229" s="738"/>
      <c r="AJ229" s="935"/>
      <c r="AK229" s="738"/>
      <c r="AL229" s="738"/>
      <c r="AM229" s="738"/>
      <c r="AN229" s="733"/>
      <c r="AO229" s="738"/>
      <c r="AP229" s="738"/>
      <c r="AQ229" s="935"/>
      <c r="AR229" s="738"/>
      <c r="AS229" s="738"/>
      <c r="AT229" s="738"/>
      <c r="AU229" s="733"/>
      <c r="AV229" s="738"/>
      <c r="AW229" s="935"/>
      <c r="AX229" s="738"/>
      <c r="AY229" s="738"/>
      <c r="AZ229" s="738"/>
      <c r="BA229" s="738"/>
      <c r="BB229" s="738"/>
      <c r="BC229" s="738"/>
      <c r="BD229" s="935"/>
      <c r="BE229" s="738"/>
      <c r="BF229" s="738"/>
      <c r="BG229" s="738"/>
      <c r="BH229" s="738"/>
      <c r="BI229" s="738"/>
      <c r="BJ229" s="738"/>
      <c r="BK229" s="935"/>
      <c r="BL229" s="935"/>
      <c r="BM229" s="935"/>
      <c r="BN229" s="935"/>
      <c r="BO229" s="935"/>
      <c r="BP229" s="935"/>
      <c r="BQ229" s="933" t="s">
        <v>4911</v>
      </c>
      <c r="BR229" s="935"/>
      <c r="BS229" s="935"/>
      <c r="BT229" s="935"/>
      <c r="BU229" s="935"/>
      <c r="BV229" s="935"/>
      <c r="BW229" s="935"/>
      <c r="BX229" s="935"/>
    </row>
    <row r="230" ht="15.75" customHeight="1">
      <c r="A230" s="931" t="s">
        <v>3616</v>
      </c>
      <c r="B230" s="932" t="s">
        <v>4912</v>
      </c>
      <c r="C230" s="936" t="s">
        <v>4913</v>
      </c>
      <c r="M230" s="147" t="s">
        <v>4914</v>
      </c>
      <c r="BQ230" s="154"/>
      <c r="BR230" s="154"/>
      <c r="BS230" s="154"/>
      <c r="BT230" s="154"/>
      <c r="BU230" s="154"/>
      <c r="BV230" s="154"/>
      <c r="BW230" s="154"/>
      <c r="BX230" s="154"/>
    </row>
    <row r="231" ht="15.75" customHeight="1">
      <c r="A231" s="938"/>
      <c r="B231" s="939" t="s">
        <v>4918</v>
      </c>
      <c r="C231" s="725" t="s">
        <v>928</v>
      </c>
      <c r="D231" s="90" t="s">
        <v>3957</v>
      </c>
      <c r="E231" s="144" t="s">
        <v>4920</v>
      </c>
      <c r="F231" s="728" t="s">
        <v>928</v>
      </c>
      <c r="G231" s="728" t="s">
        <v>704</v>
      </c>
      <c r="H231" s="112" t="s">
        <v>4934</v>
      </c>
      <c r="I231" s="729" t="s">
        <v>4939</v>
      </c>
      <c r="J231" s="728" t="s">
        <v>4920</v>
      </c>
      <c r="K231" s="728" t="s">
        <v>4325</v>
      </c>
      <c r="L231" s="728" t="s">
        <v>704</v>
      </c>
      <c r="M231" s="624"/>
      <c r="N231" s="728" t="s">
        <v>3968</v>
      </c>
      <c r="O231" s="728" t="s">
        <v>543</v>
      </c>
      <c r="P231" s="728" t="s">
        <v>1148</v>
      </c>
      <c r="Q231" s="728" t="s">
        <v>4970</v>
      </c>
      <c r="R231" s="732" t="s">
        <v>4978</v>
      </c>
      <c r="S231" s="728" t="s">
        <v>2244</v>
      </c>
      <c r="T231" s="728"/>
      <c r="U231" s="728"/>
      <c r="V231" s="728"/>
      <c r="W231" s="728"/>
      <c r="X231" s="728" t="s">
        <v>2488</v>
      </c>
      <c r="Y231" s="728"/>
      <c r="Z231" s="728"/>
      <c r="AA231" s="728"/>
      <c r="AB231" s="728"/>
      <c r="AC231" s="728"/>
      <c r="AD231" s="728"/>
      <c r="AE231" s="728"/>
      <c r="AF231" s="728"/>
      <c r="AG231" s="728"/>
      <c r="AH231" s="728"/>
      <c r="AI231" s="728"/>
      <c r="AJ231" s="154"/>
      <c r="AK231" s="728"/>
      <c r="AL231" s="728"/>
      <c r="AM231" s="728"/>
      <c r="AN231" s="733"/>
      <c r="AO231" s="728"/>
      <c r="AP231" s="728"/>
      <c r="AQ231" s="154"/>
      <c r="AR231" s="728"/>
      <c r="AS231" s="728"/>
      <c r="AT231" s="728"/>
      <c r="AU231" s="733"/>
      <c r="AV231" s="728"/>
      <c r="AW231" s="154"/>
      <c r="AX231" s="728"/>
      <c r="AY231" s="728"/>
      <c r="AZ231" s="728"/>
      <c r="BA231" s="728"/>
      <c r="BB231" s="728"/>
      <c r="BC231" s="728"/>
      <c r="BD231" s="154"/>
      <c r="BE231" s="728"/>
      <c r="BF231" s="728"/>
      <c r="BG231" s="728"/>
      <c r="BH231" s="728"/>
      <c r="BI231" s="728"/>
      <c r="BJ231" s="728"/>
      <c r="BK231" s="154"/>
      <c r="BL231" s="154"/>
      <c r="BM231" s="154"/>
      <c r="BN231" s="154"/>
      <c r="BO231" s="154"/>
      <c r="BP231" s="154"/>
      <c r="BQ231" s="975" t="s">
        <v>391</v>
      </c>
      <c r="BR231" s="935"/>
      <c r="BS231" s="935"/>
      <c r="BT231" s="935"/>
      <c r="BU231" s="935"/>
      <c r="BV231" s="935"/>
      <c r="BW231" s="935"/>
      <c r="BX231" s="935"/>
    </row>
    <row r="232" ht="15.75" customHeight="1">
      <c r="A232" s="931" t="s">
        <v>576</v>
      </c>
      <c r="B232" s="932" t="s">
        <v>146</v>
      </c>
      <c r="C232" s="725" t="str">
        <f>HYPERLINK("https://www.youtube.com/watch?v=aWzlUqH0LaM","41.87")</f>
        <v>41.87</v>
      </c>
      <c r="D232" s="173"/>
      <c r="E232" s="742"/>
      <c r="F232" s="738"/>
      <c r="G232" s="728" t="s">
        <v>925</v>
      </c>
      <c r="H232" s="112" t="s">
        <v>5020</v>
      </c>
      <c r="I232" s="733"/>
      <c r="J232" s="728" t="s">
        <v>5025</v>
      </c>
      <c r="K232" s="738"/>
      <c r="L232" s="728" t="s">
        <v>5035</v>
      </c>
      <c r="M232" s="975" t="s">
        <v>1303</v>
      </c>
      <c r="N232" s="728" t="s">
        <v>5055</v>
      </c>
      <c r="O232" s="728" t="str">
        <f>HYPERLINK("https://www.youtube.com/watch?v=aWzlUqH0LaM","41.87")</f>
        <v>41.87</v>
      </c>
      <c r="P232" s="738" t="s">
        <v>5077</v>
      </c>
      <c r="Q232" s="728" t="s">
        <v>5080</v>
      </c>
      <c r="R232" s="740" t="s">
        <v>897</v>
      </c>
      <c r="S232" s="738"/>
      <c r="T232" s="738"/>
      <c r="U232" s="738"/>
      <c r="V232" s="738"/>
      <c r="W232" s="738"/>
      <c r="X232" s="738" t="s">
        <v>5084</v>
      </c>
      <c r="Y232" s="738"/>
      <c r="Z232" s="738"/>
      <c r="AA232" s="738"/>
      <c r="AB232" s="738"/>
      <c r="AC232" s="738"/>
      <c r="AD232" s="738"/>
      <c r="AE232" s="738"/>
      <c r="AF232" s="738"/>
      <c r="AG232" s="738"/>
      <c r="AH232" s="738"/>
      <c r="AI232" s="738"/>
      <c r="AJ232" s="935"/>
      <c r="AK232" s="738"/>
      <c r="AL232" s="738"/>
      <c r="AM232" s="738"/>
      <c r="AN232" s="733"/>
      <c r="AO232" s="738"/>
      <c r="AP232" s="738"/>
      <c r="AQ232" s="935"/>
      <c r="AR232" s="738"/>
      <c r="AS232" s="738"/>
      <c r="AT232" s="738"/>
      <c r="AU232" s="733"/>
      <c r="AV232" s="738"/>
      <c r="AW232" s="935"/>
      <c r="AX232" s="738"/>
      <c r="AY232" s="738"/>
      <c r="AZ232" s="738"/>
      <c r="BA232" s="738"/>
      <c r="BB232" s="738"/>
      <c r="BC232" s="738"/>
      <c r="BD232" s="935"/>
      <c r="BE232" s="738"/>
      <c r="BF232" s="738"/>
      <c r="BG232" s="738"/>
      <c r="BH232" s="738"/>
      <c r="BI232" s="738"/>
      <c r="BJ232" s="738"/>
      <c r="BK232" s="935"/>
      <c r="BL232" s="935"/>
      <c r="BM232" s="935"/>
      <c r="BN232" s="935"/>
      <c r="BO232" s="935"/>
      <c r="BP232" s="935"/>
      <c r="BQ232" s="935"/>
      <c r="BR232" s="935"/>
      <c r="BS232" s="935"/>
      <c r="BT232" s="935"/>
      <c r="BU232" s="935"/>
      <c r="BV232" s="935"/>
      <c r="BW232" s="935"/>
      <c r="BX232" s="935"/>
    </row>
    <row r="233" ht="15.75" customHeight="1">
      <c r="A233" s="931" t="s">
        <v>2376</v>
      </c>
      <c r="B233" s="932" t="s">
        <v>5087</v>
      </c>
      <c r="C233" s="83" t="s">
        <v>5088</v>
      </c>
      <c r="D233" s="1018"/>
      <c r="E233" s="738" t="s">
        <v>3721</v>
      </c>
      <c r="F233" s="738"/>
      <c r="G233" s="738"/>
      <c r="H233" s="112" t="s">
        <v>5090</v>
      </c>
      <c r="I233" s="733"/>
      <c r="J233" s="738"/>
      <c r="K233" s="738"/>
      <c r="L233" s="738"/>
      <c r="M233" s="157" t="s">
        <v>5091</v>
      </c>
      <c r="N233" s="738"/>
      <c r="O233" s="738"/>
      <c r="P233" s="738"/>
      <c r="Q233" s="738"/>
      <c r="R233" s="740"/>
      <c r="S233" s="738"/>
      <c r="T233" s="365" t="s">
        <v>5088</v>
      </c>
      <c r="U233" s="738"/>
      <c r="V233" s="738"/>
      <c r="W233" s="738"/>
      <c r="X233" s="738"/>
      <c r="Y233" s="738"/>
      <c r="Z233" s="738"/>
      <c r="AA233" s="738"/>
      <c r="AB233" s="738"/>
      <c r="AC233" s="738"/>
      <c r="AD233" s="738"/>
      <c r="AE233" s="738"/>
      <c r="AF233" s="738"/>
      <c r="AG233" s="738"/>
      <c r="AH233" s="738"/>
      <c r="AI233" s="738"/>
      <c r="AJ233" s="154"/>
      <c r="AK233" s="738"/>
      <c r="AL233" s="738"/>
      <c r="AM233" s="738"/>
      <c r="AN233" s="733"/>
      <c r="AO233" s="738"/>
      <c r="AP233" s="738"/>
      <c r="AQ233" s="154"/>
      <c r="AR233" s="738"/>
      <c r="AS233" s="738"/>
      <c r="AT233" s="738"/>
      <c r="AU233" s="733"/>
      <c r="AV233" s="738"/>
      <c r="AW233" s="154"/>
      <c r="AX233" s="738"/>
      <c r="AY233" s="738"/>
      <c r="AZ233" s="738"/>
      <c r="BA233" s="738"/>
      <c r="BB233" s="738"/>
      <c r="BC233" s="738"/>
      <c r="BD233" s="154"/>
      <c r="BE233" s="738"/>
      <c r="BF233" s="738"/>
      <c r="BG233" s="738"/>
      <c r="BH233" s="738"/>
      <c r="BI233" s="738"/>
      <c r="BJ233" s="738"/>
      <c r="BK233" s="154"/>
      <c r="BL233" s="154"/>
      <c r="BM233" s="154"/>
      <c r="BN233" s="154"/>
      <c r="BO233" s="154"/>
      <c r="BP233" s="154"/>
      <c r="BQ233" s="154"/>
      <c r="BR233" s="154"/>
      <c r="BS233" s="154"/>
      <c r="BT233" s="154"/>
      <c r="BU233" s="154"/>
      <c r="BV233" s="154"/>
      <c r="BW233" s="154"/>
      <c r="BX233" s="154"/>
    </row>
    <row r="234" ht="15.75" customHeight="1">
      <c r="A234" s="938"/>
      <c r="B234" s="939" t="s">
        <v>5092</v>
      </c>
      <c r="C234" s="725" t="s">
        <v>1700</v>
      </c>
      <c r="D234" s="401" t="s">
        <v>5094</v>
      </c>
      <c r="E234" s="144" t="s">
        <v>5096</v>
      </c>
      <c r="F234" s="738"/>
      <c r="G234" s="738" t="s">
        <v>5099</v>
      </c>
      <c r="H234" s="112" t="s">
        <v>4608</v>
      </c>
      <c r="I234" s="729" t="s">
        <v>5100</v>
      </c>
      <c r="J234" s="738"/>
      <c r="K234" s="728" t="s">
        <v>5101</v>
      </c>
      <c r="L234" s="738"/>
      <c r="M234" s="935"/>
      <c r="N234" s="738" t="s">
        <v>3977</v>
      </c>
      <c r="O234" s="728" t="s">
        <v>3332</v>
      </c>
      <c r="P234" s="738"/>
      <c r="Q234" s="738"/>
      <c r="R234" s="740" t="s">
        <v>5102</v>
      </c>
      <c r="S234" s="738"/>
      <c r="T234" s="738"/>
      <c r="U234" s="738"/>
      <c r="V234" s="738"/>
      <c r="W234" s="728" t="s">
        <v>1700</v>
      </c>
      <c r="X234" s="738" t="s">
        <v>5103</v>
      </c>
      <c r="Y234" s="738"/>
      <c r="Z234" s="738"/>
      <c r="AA234" s="738"/>
      <c r="AB234" s="738"/>
      <c r="AC234" s="738"/>
      <c r="AD234" s="738" t="s">
        <v>5104</v>
      </c>
      <c r="AE234" s="738" t="s">
        <v>5105</v>
      </c>
      <c r="AF234" s="738"/>
      <c r="AG234" s="738"/>
      <c r="AH234" s="738"/>
      <c r="AI234" s="738"/>
      <c r="AJ234" s="935"/>
      <c r="AK234" s="738"/>
      <c r="AL234" s="738"/>
      <c r="AM234" s="738"/>
      <c r="AN234" s="733"/>
      <c r="AO234" s="738"/>
      <c r="AP234" s="738"/>
      <c r="AQ234" s="935"/>
      <c r="AR234" s="738"/>
      <c r="AS234" s="738"/>
      <c r="AT234" s="738"/>
      <c r="AU234" s="733"/>
      <c r="AV234" s="738"/>
      <c r="AW234" s="935"/>
      <c r="AX234" s="738"/>
      <c r="AY234" s="738"/>
      <c r="AZ234" s="738"/>
      <c r="BA234" s="738"/>
      <c r="BB234" s="738"/>
      <c r="BC234" s="738"/>
      <c r="BD234" s="935"/>
      <c r="BE234" s="738"/>
      <c r="BF234" s="738"/>
      <c r="BG234" s="738"/>
      <c r="BH234" s="738"/>
      <c r="BI234" s="738"/>
      <c r="BJ234" s="738"/>
      <c r="BK234" s="935"/>
      <c r="BL234" s="935"/>
      <c r="BM234" s="935"/>
      <c r="BN234" s="935"/>
      <c r="BO234" s="935"/>
      <c r="BP234" s="935"/>
      <c r="BQ234" s="935"/>
      <c r="BR234" s="935"/>
      <c r="BS234" s="935"/>
      <c r="BT234" s="935"/>
      <c r="BU234" s="935"/>
      <c r="BV234" s="935"/>
      <c r="BW234" s="935"/>
      <c r="BX234" s="935"/>
    </row>
    <row r="235" ht="15.75" customHeight="1">
      <c r="A235" s="1022"/>
      <c r="B235" s="1023" t="s">
        <v>5106</v>
      </c>
      <c r="C235" s="725" t="s">
        <v>5107</v>
      </c>
      <c r="D235" s="1018"/>
      <c r="E235" s="738"/>
      <c r="F235" s="738"/>
      <c r="G235" s="738"/>
      <c r="H235" s="175"/>
      <c r="I235" s="733"/>
      <c r="J235" s="738"/>
      <c r="K235" s="738"/>
      <c r="L235" s="738"/>
      <c r="M235" s="154"/>
      <c r="N235" s="738"/>
      <c r="O235" s="738"/>
      <c r="P235" s="738"/>
      <c r="Q235" s="738"/>
      <c r="R235" s="740"/>
      <c r="S235" s="738"/>
      <c r="T235" s="738"/>
      <c r="U235" s="738"/>
      <c r="V235" s="738"/>
      <c r="W235" s="738"/>
      <c r="X235" s="738"/>
      <c r="Y235" s="738"/>
      <c r="Z235" s="738"/>
      <c r="AA235" s="738"/>
      <c r="AB235" s="738"/>
      <c r="AC235" s="738"/>
      <c r="AD235" s="728" t="s">
        <v>5107</v>
      </c>
      <c r="AE235" s="738"/>
      <c r="AF235" s="738"/>
      <c r="AG235" s="738"/>
      <c r="AH235" s="738"/>
      <c r="AI235" s="738"/>
      <c r="AJ235" s="154"/>
      <c r="AK235" s="738"/>
      <c r="AL235" s="738"/>
      <c r="AM235" s="738"/>
      <c r="AN235" s="733"/>
      <c r="AO235" s="738"/>
      <c r="AP235" s="738"/>
      <c r="AQ235" s="154"/>
      <c r="AR235" s="738"/>
      <c r="AS235" s="728" t="s">
        <v>5111</v>
      </c>
      <c r="AT235" s="738"/>
      <c r="AU235" s="733"/>
      <c r="AV235" s="738"/>
      <c r="AW235" s="154"/>
      <c r="AX235" s="738"/>
      <c r="AY235" s="738"/>
      <c r="AZ235" s="738"/>
      <c r="BA235" s="738"/>
      <c r="BB235" s="738"/>
      <c r="BC235" s="738"/>
      <c r="BD235" s="154"/>
      <c r="BE235" s="738"/>
      <c r="BF235" s="738"/>
      <c r="BG235" s="738"/>
      <c r="BH235" s="738"/>
      <c r="BI235" s="738"/>
      <c r="BJ235" s="738"/>
      <c r="BK235" s="154"/>
      <c r="BL235" s="154"/>
      <c r="BM235" s="154"/>
      <c r="BN235" s="154"/>
      <c r="BO235" s="154"/>
      <c r="BP235" s="154"/>
      <c r="BQ235" s="154"/>
      <c r="BR235" s="154"/>
      <c r="BS235" s="154"/>
      <c r="BT235" s="154"/>
      <c r="BU235" s="154"/>
      <c r="BV235" s="154"/>
      <c r="BW235" s="154"/>
      <c r="BX235" s="154"/>
    </row>
    <row r="236" ht="15.75" customHeight="1">
      <c r="A236" s="938"/>
      <c r="B236" s="1027" t="s">
        <v>5113</v>
      </c>
      <c r="C236" s="725" t="s">
        <v>2553</v>
      </c>
      <c r="D236" s="272" t="s">
        <v>5115</v>
      </c>
      <c r="E236" s="742"/>
      <c r="F236" s="738"/>
      <c r="G236" s="728" t="s">
        <v>5119</v>
      </c>
      <c r="H236" s="175"/>
      <c r="I236" s="733"/>
      <c r="J236" s="738"/>
      <c r="K236" s="738"/>
      <c r="L236" s="738"/>
      <c r="M236" s="935"/>
      <c r="N236" s="738"/>
      <c r="O236" s="738"/>
      <c r="P236" s="738"/>
      <c r="Q236" s="738"/>
      <c r="R236" s="740"/>
      <c r="S236" s="738"/>
      <c r="T236" s="738"/>
      <c r="U236" s="738"/>
      <c r="V236" s="738"/>
      <c r="W236" s="738"/>
      <c r="X236" s="738"/>
      <c r="Y236" s="738"/>
      <c r="Z236" s="738"/>
      <c r="AA236" s="738"/>
      <c r="AB236" s="738"/>
      <c r="AC236" s="738"/>
      <c r="AD236" s="728" t="s">
        <v>5122</v>
      </c>
      <c r="AE236" s="738"/>
      <c r="AF236" s="738"/>
      <c r="AG236" s="738"/>
      <c r="AH236" s="738"/>
      <c r="AI236" s="738"/>
      <c r="AJ236" s="935"/>
      <c r="AK236" s="738"/>
      <c r="AL236" s="738"/>
      <c r="AM236" s="738"/>
      <c r="AN236" s="733"/>
      <c r="AO236" s="738"/>
      <c r="AP236" s="738"/>
      <c r="AQ236" s="935"/>
      <c r="AR236" s="738"/>
      <c r="AS236" s="738"/>
      <c r="AT236" s="738"/>
      <c r="AU236" s="733"/>
      <c r="AV236" s="738"/>
      <c r="AW236" s="935"/>
      <c r="AX236" s="738"/>
      <c r="AY236" s="738"/>
      <c r="AZ236" s="738"/>
      <c r="BA236" s="738"/>
      <c r="BB236" s="738"/>
      <c r="BC236" s="738"/>
      <c r="BD236" s="935"/>
      <c r="BE236" s="738"/>
      <c r="BF236" s="738"/>
      <c r="BG236" s="738"/>
      <c r="BH236" s="738"/>
      <c r="BI236" s="738"/>
      <c r="BJ236" s="738"/>
      <c r="BK236" s="935"/>
      <c r="BL236" s="935"/>
      <c r="BM236" s="935"/>
      <c r="BN236" s="935"/>
      <c r="BO236" s="935"/>
      <c r="BP236" s="935"/>
      <c r="BQ236" s="935"/>
      <c r="BR236" s="935"/>
      <c r="BS236" s="935"/>
      <c r="BT236" s="935"/>
      <c r="BU236" s="935"/>
      <c r="BV236" s="935"/>
      <c r="BW236" s="935"/>
      <c r="BX236" s="935"/>
    </row>
    <row r="237" ht="15.75" customHeight="1">
      <c r="A237" s="1031" t="s">
        <v>320</v>
      </c>
      <c r="B237" s="1032" t="s">
        <v>5087</v>
      </c>
      <c r="C237" s="225" t="s">
        <v>5129</v>
      </c>
      <c r="D237" s="1018"/>
      <c r="E237" s="1033"/>
      <c r="F237" s="1033"/>
      <c r="G237" s="1033"/>
      <c r="H237" s="175"/>
      <c r="I237" s="733"/>
      <c r="J237" s="1033"/>
      <c r="K237" s="1033"/>
      <c r="L237" s="1033"/>
      <c r="M237" s="147" t="s">
        <v>5129</v>
      </c>
      <c r="N237" s="1033"/>
      <c r="O237" s="1033"/>
      <c r="P237" s="1033"/>
      <c r="Q237" s="1033"/>
      <c r="R237" s="1034"/>
      <c r="S237" s="1033"/>
      <c r="T237" s="1033"/>
      <c r="U237" s="1033"/>
      <c r="V237" s="1033"/>
      <c r="W237" s="1033"/>
      <c r="X237" s="1033"/>
      <c r="Y237" s="1033"/>
      <c r="Z237" s="1033"/>
      <c r="AA237" s="1033"/>
      <c r="AB237" s="1033"/>
      <c r="AC237" s="1033"/>
      <c r="AD237" s="1033"/>
      <c r="AE237" s="1033"/>
      <c r="AF237" s="1033"/>
      <c r="AG237" s="1033"/>
      <c r="AH237" s="1033"/>
      <c r="AI237" s="1033"/>
      <c r="AJ237" s="154"/>
      <c r="AK237" s="1033"/>
      <c r="AL237" s="1033"/>
      <c r="AM237" s="1033"/>
      <c r="AN237" s="733"/>
      <c r="AO237" s="1033"/>
      <c r="AP237" s="1033"/>
      <c r="AQ237" s="154"/>
      <c r="AR237" s="1033"/>
      <c r="AS237" s="1033"/>
      <c r="AT237" s="1033"/>
      <c r="AU237" s="733"/>
      <c r="AV237" s="1033"/>
      <c r="AW237" s="154"/>
      <c r="AX237" s="1033"/>
      <c r="AY237" s="1033"/>
      <c r="AZ237" s="1033"/>
      <c r="BA237" s="1033"/>
      <c r="BB237" s="1033"/>
      <c r="BC237" s="1033"/>
      <c r="BD237" s="154"/>
      <c r="BE237" s="1033"/>
      <c r="BF237" s="1033"/>
      <c r="BG237" s="1033"/>
      <c r="BH237" s="1033"/>
      <c r="BI237" s="1033"/>
      <c r="BJ237" s="1033"/>
      <c r="BK237" s="154"/>
      <c r="BL237" s="154"/>
      <c r="BM237" s="154"/>
      <c r="BN237" s="154"/>
      <c r="BO237" s="154"/>
      <c r="BP237" s="154"/>
      <c r="BQ237" s="154"/>
      <c r="BR237" s="154"/>
      <c r="BS237" s="154"/>
      <c r="BT237" s="154"/>
      <c r="BU237" s="154"/>
      <c r="BV237" s="154"/>
      <c r="BW237" s="154"/>
      <c r="BX237" s="154"/>
    </row>
    <row r="238" ht="15.75" customHeight="1">
      <c r="A238" s="938"/>
      <c r="B238" s="939" t="s">
        <v>5092</v>
      </c>
      <c r="C238" s="1037" t="s">
        <v>5136</v>
      </c>
      <c r="D238" s="173"/>
      <c r="E238" s="1038" t="s">
        <v>5136</v>
      </c>
      <c r="F238" s="1033"/>
      <c r="G238" s="1033"/>
      <c r="H238" s="175"/>
      <c r="I238" s="733"/>
      <c r="J238" s="1033"/>
      <c r="K238" s="1033"/>
      <c r="L238" s="1033"/>
      <c r="M238" s="154"/>
      <c r="N238" s="1033"/>
      <c r="O238" s="1033"/>
      <c r="P238" s="1033"/>
      <c r="Q238" s="1033"/>
      <c r="R238" s="1034"/>
      <c r="S238" s="1033"/>
      <c r="T238" s="1033"/>
      <c r="U238" s="1033"/>
      <c r="V238" s="1033"/>
      <c r="W238" s="1033"/>
      <c r="X238" s="1033"/>
      <c r="Y238" s="1033"/>
      <c r="Z238" s="1033"/>
      <c r="AA238" s="1033"/>
      <c r="AB238" s="1033"/>
      <c r="AC238" s="1033"/>
      <c r="AD238" s="1033"/>
      <c r="AE238" s="1033"/>
      <c r="AF238" s="1033"/>
      <c r="AG238" s="1033"/>
      <c r="AH238" s="1033"/>
      <c r="AI238" s="1033"/>
      <c r="AJ238" s="154"/>
      <c r="AK238" s="1033"/>
      <c r="AL238" s="1033"/>
      <c r="AM238" s="1033"/>
      <c r="AN238" s="733"/>
      <c r="AO238" s="1033"/>
      <c r="AP238" s="1033"/>
      <c r="AQ238" s="154"/>
      <c r="AR238" s="1033"/>
      <c r="AS238" s="1033"/>
      <c r="AT238" s="1033"/>
      <c r="AU238" s="733"/>
      <c r="AV238" s="1033"/>
      <c r="AW238" s="154"/>
      <c r="AX238" s="1033"/>
      <c r="AY238" s="1033"/>
      <c r="AZ238" s="1033"/>
      <c r="BA238" s="1033"/>
      <c r="BB238" s="1033"/>
      <c r="BC238" s="1033"/>
      <c r="BD238" s="154"/>
      <c r="BE238" s="1033"/>
      <c r="BF238" s="1033"/>
      <c r="BG238" s="1033"/>
      <c r="BH238" s="1033"/>
      <c r="BI238" s="1033"/>
      <c r="BJ238" s="1033"/>
      <c r="BK238" s="154"/>
      <c r="BL238" s="154"/>
      <c r="BM238" s="154"/>
      <c r="BN238" s="154"/>
      <c r="BO238" s="154"/>
      <c r="BP238" s="154"/>
      <c r="BQ238" s="154"/>
      <c r="BR238" s="154"/>
      <c r="BS238" s="154"/>
      <c r="BT238" s="154"/>
      <c r="BU238" s="154"/>
      <c r="BV238" s="154"/>
      <c r="BW238" s="154"/>
      <c r="BX238" s="154"/>
    </row>
    <row r="239" ht="15.75" customHeight="1">
      <c r="A239" s="1022"/>
      <c r="B239" s="1023" t="s">
        <v>5106</v>
      </c>
      <c r="C239" s="725"/>
      <c r="D239" s="1018"/>
      <c r="E239" s="1033"/>
      <c r="F239" s="1033"/>
      <c r="G239" s="1033"/>
      <c r="H239" s="175"/>
      <c r="I239" s="733"/>
      <c r="J239" s="1033"/>
      <c r="K239" s="1033"/>
      <c r="L239" s="1033"/>
      <c r="M239" s="154"/>
      <c r="N239" s="1033"/>
      <c r="O239" s="1033"/>
      <c r="P239" s="1033"/>
      <c r="Q239" s="1033"/>
      <c r="R239" s="1034"/>
      <c r="S239" s="1033"/>
      <c r="T239" s="1033"/>
      <c r="U239" s="1033"/>
      <c r="V239" s="1033"/>
      <c r="W239" s="1033"/>
      <c r="X239" s="1033"/>
      <c r="Y239" s="1033"/>
      <c r="Z239" s="1033"/>
      <c r="AA239" s="1033"/>
      <c r="AB239" s="1033"/>
      <c r="AC239" s="1033"/>
      <c r="AD239" s="1033"/>
      <c r="AE239" s="1033"/>
      <c r="AF239" s="1033"/>
      <c r="AG239" s="1033"/>
      <c r="AH239" s="1033"/>
      <c r="AI239" s="1033"/>
      <c r="AJ239" s="154"/>
      <c r="AK239" s="1033"/>
      <c r="AL239" s="1033"/>
      <c r="AM239" s="1033"/>
      <c r="AN239" s="733"/>
      <c r="AO239" s="1033"/>
      <c r="AP239" s="1033"/>
      <c r="AQ239" s="154"/>
      <c r="AR239" s="1033"/>
      <c r="AS239" s="1033"/>
      <c r="AT239" s="1033"/>
      <c r="AU239" s="733"/>
      <c r="AV239" s="1033"/>
      <c r="AW239" s="154"/>
      <c r="AX239" s="1033"/>
      <c r="AY239" s="1033"/>
      <c r="AZ239" s="1033"/>
      <c r="BA239" s="1033"/>
      <c r="BB239" s="1033"/>
      <c r="BC239" s="1033"/>
      <c r="BD239" s="154"/>
      <c r="BE239" s="1033"/>
      <c r="BF239" s="1033"/>
      <c r="BG239" s="1033"/>
      <c r="BH239" s="1033"/>
      <c r="BI239" s="1033"/>
      <c r="BJ239" s="1033"/>
      <c r="BK239" s="154"/>
      <c r="BL239" s="154"/>
      <c r="BM239" s="154"/>
      <c r="BN239" s="154"/>
      <c r="BO239" s="154"/>
      <c r="BP239" s="154"/>
      <c r="BQ239" s="154"/>
      <c r="BR239" s="154"/>
      <c r="BS239" s="154"/>
      <c r="BT239" s="154"/>
      <c r="BU239" s="154"/>
      <c r="BV239" s="154"/>
      <c r="BW239" s="154"/>
      <c r="BX239" s="154"/>
    </row>
    <row r="240" ht="15.75" customHeight="1">
      <c r="A240" s="938"/>
      <c r="B240" s="1027" t="s">
        <v>5113</v>
      </c>
      <c r="C240" s="83" t="s">
        <v>3200</v>
      </c>
      <c r="D240" s="254" t="s">
        <v>5143</v>
      </c>
      <c r="E240" s="1033"/>
      <c r="F240" s="1033"/>
      <c r="G240" s="365" t="s">
        <v>3200</v>
      </c>
      <c r="H240" s="175"/>
      <c r="I240" s="733"/>
      <c r="J240" s="1033"/>
      <c r="K240" s="1033"/>
      <c r="L240" s="1033"/>
      <c r="M240" s="154"/>
      <c r="N240" s="1033"/>
      <c r="O240" s="1033"/>
      <c r="P240" s="1033"/>
      <c r="Q240" s="1033"/>
      <c r="R240" s="1034"/>
      <c r="S240" s="1033"/>
      <c r="T240" s="1033"/>
      <c r="U240" s="1033"/>
      <c r="V240" s="1033"/>
      <c r="W240" s="1033"/>
      <c r="X240" s="1033"/>
      <c r="Y240" s="1033"/>
      <c r="Z240" s="1033"/>
      <c r="AA240" s="1033"/>
      <c r="AB240" s="1033"/>
      <c r="AC240" s="1033"/>
      <c r="AD240" s="1033"/>
      <c r="AE240" s="1033"/>
      <c r="AF240" s="1033"/>
      <c r="AG240" s="1033"/>
      <c r="AH240" s="1033"/>
      <c r="AI240" s="1033"/>
      <c r="AJ240" s="154"/>
      <c r="AK240" s="1033"/>
      <c r="AL240" s="1033"/>
      <c r="AM240" s="1033"/>
      <c r="AN240" s="733"/>
      <c r="AO240" s="1033"/>
      <c r="AP240" s="1033"/>
      <c r="AQ240" s="154"/>
      <c r="AR240" s="1033"/>
      <c r="AS240" s="1033"/>
      <c r="AT240" s="1033"/>
      <c r="AU240" s="733"/>
      <c r="AV240" s="1033"/>
      <c r="AW240" s="154"/>
      <c r="AX240" s="1033"/>
      <c r="AY240" s="1033"/>
      <c r="AZ240" s="1033"/>
      <c r="BA240" s="1033"/>
      <c r="BB240" s="1033"/>
      <c r="BC240" s="1033"/>
      <c r="BD240" s="154"/>
      <c r="BE240" s="1033"/>
      <c r="BF240" s="1033"/>
      <c r="BG240" s="1033"/>
      <c r="BH240" s="1033"/>
      <c r="BI240" s="1033"/>
      <c r="BJ240" s="1033"/>
      <c r="BK240" s="154"/>
      <c r="BL240" s="154"/>
      <c r="BM240" s="154"/>
      <c r="BN240" s="154"/>
      <c r="BO240" s="154"/>
      <c r="BP240" s="154"/>
      <c r="BQ240" s="154"/>
      <c r="BR240" s="154"/>
      <c r="BS240" s="154"/>
      <c r="BT240" s="154"/>
      <c r="BU240" s="154"/>
      <c r="BV240" s="154"/>
      <c r="BW240" s="154"/>
      <c r="BX240" s="154"/>
    </row>
    <row r="241" ht="15.75" customHeight="1">
      <c r="A241" s="1031" t="s">
        <v>410</v>
      </c>
      <c r="B241" s="1032" t="s">
        <v>5149</v>
      </c>
      <c r="C241" s="725" t="s">
        <v>5150</v>
      </c>
      <c r="D241" s="1044" t="s">
        <v>5152</v>
      </c>
      <c r="E241" s="1046">
        <v>13.23</v>
      </c>
      <c r="F241" s="1033"/>
      <c r="G241" s="1033"/>
      <c r="H241" s="112" t="s">
        <v>5155</v>
      </c>
      <c r="I241" s="1050" t="s">
        <v>5158</v>
      </c>
      <c r="J241" s="1033"/>
      <c r="K241" s="1053" t="s">
        <v>4461</v>
      </c>
      <c r="L241" s="1033"/>
      <c r="M241" s="935"/>
      <c r="N241" s="1033"/>
      <c r="O241" s="1033"/>
      <c r="P241" s="1033"/>
      <c r="Q241" s="1033"/>
      <c r="R241" s="1034"/>
      <c r="S241" s="1033"/>
      <c r="T241" s="1033"/>
      <c r="U241" s="1053" t="s">
        <v>4423</v>
      </c>
      <c r="V241" s="1033"/>
      <c r="W241" s="1033"/>
      <c r="X241" s="1033"/>
      <c r="Y241" s="1053" t="s">
        <v>4451</v>
      </c>
      <c r="Z241" s="1033"/>
      <c r="AA241" s="1033"/>
      <c r="AB241" s="1033"/>
      <c r="AC241" s="1033"/>
      <c r="AD241" s="1053" t="s">
        <v>5150</v>
      </c>
      <c r="AE241" s="1033"/>
      <c r="AF241" s="1033"/>
      <c r="AG241" s="1033"/>
      <c r="AH241" s="1033"/>
      <c r="AI241" s="1033"/>
      <c r="AJ241" s="975" t="s">
        <v>4453</v>
      </c>
      <c r="AK241" s="1033"/>
      <c r="AL241" s="1033"/>
      <c r="AM241" s="1033"/>
      <c r="AN241" s="733"/>
      <c r="AO241" s="1033"/>
      <c r="AP241" s="1033" t="s">
        <v>4456</v>
      </c>
      <c r="AQ241" s="935"/>
      <c r="AR241" s="1033"/>
      <c r="AS241" s="1033"/>
      <c r="AT241" s="1033"/>
      <c r="AU241" s="733"/>
      <c r="AV241" s="1033"/>
      <c r="AW241" s="935"/>
      <c r="AX241" s="1033"/>
      <c r="AY241" s="1033"/>
      <c r="AZ241" s="1033"/>
      <c r="BA241" s="1033"/>
      <c r="BB241" s="1033"/>
      <c r="BC241" s="1033"/>
      <c r="BD241" s="935"/>
      <c r="BE241" s="1033"/>
      <c r="BF241" s="1033"/>
      <c r="BG241" s="1033"/>
      <c r="BH241" s="1033"/>
      <c r="BI241" s="1033"/>
      <c r="BJ241" s="1033"/>
      <c r="BK241" s="935"/>
      <c r="BL241" s="935"/>
      <c r="BM241" s="935"/>
      <c r="BN241" s="935"/>
      <c r="BO241" s="935"/>
      <c r="BP241" s="935"/>
      <c r="BQ241" s="935"/>
      <c r="BR241" s="935"/>
      <c r="BS241" s="935"/>
      <c r="BT241" s="935"/>
      <c r="BU241" s="935"/>
      <c r="BV241" s="935"/>
      <c r="BW241" s="935"/>
      <c r="BX241" s="935"/>
    </row>
    <row r="242" ht="15.75" customHeight="1">
      <c r="A242" s="938"/>
      <c r="B242" s="1027" t="s">
        <v>5166</v>
      </c>
      <c r="C242" s="725" t="s">
        <v>1643</v>
      </c>
      <c r="D242" s="254" t="s">
        <v>4876</v>
      </c>
      <c r="E242" s="728"/>
      <c r="F242" s="728" t="s">
        <v>3380</v>
      </c>
      <c r="G242" s="728" t="s">
        <v>1643</v>
      </c>
      <c r="H242" s="112" t="s">
        <v>5169</v>
      </c>
      <c r="I242" s="733"/>
      <c r="J242" s="728"/>
      <c r="K242" s="728"/>
      <c r="L242" s="728"/>
      <c r="M242" s="154"/>
      <c r="N242" s="728" t="s">
        <v>5150</v>
      </c>
      <c r="O242" s="728"/>
      <c r="P242" s="728"/>
      <c r="Q242" s="728"/>
      <c r="R242" s="732"/>
      <c r="S242" s="728"/>
      <c r="T242" s="728"/>
      <c r="U242" s="728"/>
      <c r="V242" s="728" t="s">
        <v>5172</v>
      </c>
      <c r="W242" s="728"/>
      <c r="X242" s="728"/>
      <c r="Y242" s="728"/>
      <c r="Z242" s="728"/>
      <c r="AA242" s="728" t="s">
        <v>4423</v>
      </c>
      <c r="AB242" s="728"/>
      <c r="AC242" s="728"/>
      <c r="AD242" s="728" t="s">
        <v>1643</v>
      </c>
      <c r="AE242" s="728"/>
      <c r="AF242" s="728"/>
      <c r="AG242" s="728"/>
      <c r="AH242" s="728"/>
      <c r="AI242" s="728"/>
      <c r="AJ242" s="154"/>
      <c r="AK242" s="728"/>
      <c r="AL242" s="728"/>
      <c r="AM242" s="728"/>
      <c r="AN242" s="733"/>
      <c r="AO242" s="728"/>
      <c r="AP242" s="728"/>
      <c r="AQ242" s="154"/>
      <c r="AR242" s="728"/>
      <c r="AS242" s="728"/>
      <c r="AT242" s="728"/>
      <c r="AU242" s="733"/>
      <c r="AV242" s="728"/>
      <c r="AW242" s="154"/>
      <c r="AX242" s="728"/>
      <c r="AY242" s="728"/>
      <c r="AZ242" s="728"/>
      <c r="BA242" s="728"/>
      <c r="BB242" s="728"/>
      <c r="BC242" s="728"/>
      <c r="BD242" s="154"/>
      <c r="BE242" s="728"/>
      <c r="BF242" s="728"/>
      <c r="BG242" s="728"/>
      <c r="BH242" s="728"/>
      <c r="BI242" s="728"/>
      <c r="BJ242" s="728"/>
      <c r="BK242" s="154"/>
      <c r="BL242" s="154"/>
      <c r="BM242" s="154"/>
      <c r="BN242" s="154"/>
      <c r="BO242" s="154"/>
      <c r="BP242" s="154"/>
      <c r="BQ242" s="154"/>
      <c r="BR242" s="154"/>
      <c r="BS242" s="154"/>
      <c r="BT242" s="154"/>
      <c r="BU242" s="154"/>
      <c r="BV242" s="154"/>
      <c r="BW242" s="154"/>
      <c r="BX242" s="154"/>
    </row>
    <row r="243" ht="15.75" customHeight="1">
      <c r="A243" s="931" t="s">
        <v>3774</v>
      </c>
      <c r="B243" s="932" t="s">
        <v>146</v>
      </c>
      <c r="C243" s="1067" t="s">
        <v>4009</v>
      </c>
      <c r="D243" s="1044" t="s">
        <v>4009</v>
      </c>
      <c r="E243" s="738"/>
      <c r="F243" s="738"/>
      <c r="G243" s="738"/>
      <c r="H243" s="175"/>
      <c r="I243" s="729" t="s">
        <v>5181</v>
      </c>
      <c r="J243" s="738"/>
      <c r="K243" s="738"/>
      <c r="L243" s="738"/>
      <c r="M243" s="935"/>
      <c r="N243" s="738"/>
      <c r="O243" s="738"/>
      <c r="P243" s="738"/>
      <c r="Q243" s="738"/>
      <c r="R243" s="740"/>
      <c r="S243" s="738"/>
      <c r="T243" s="738"/>
      <c r="U243" s="738"/>
      <c r="V243" s="738"/>
      <c r="W243" s="738"/>
      <c r="X243" s="738"/>
      <c r="Y243" s="738"/>
      <c r="Z243" s="738"/>
      <c r="AA243" s="738"/>
      <c r="AB243" s="738"/>
      <c r="AC243" s="738"/>
      <c r="AD243" s="738"/>
      <c r="AE243" s="738"/>
      <c r="AF243" s="738"/>
      <c r="AG243" s="738"/>
      <c r="AH243" s="738"/>
      <c r="AI243" s="738"/>
      <c r="AJ243" s="935"/>
      <c r="AK243" s="738"/>
      <c r="AL243" s="738"/>
      <c r="AM243" s="738"/>
      <c r="AN243" s="733"/>
      <c r="AO243" s="738"/>
      <c r="AP243" s="738"/>
      <c r="AQ243" s="975" t="s">
        <v>5184</v>
      </c>
      <c r="AR243" s="738"/>
      <c r="AS243" s="738"/>
      <c r="AT243" s="738"/>
      <c r="AU243" s="733"/>
      <c r="AV243" s="738"/>
      <c r="AW243" s="935"/>
      <c r="AX243" s="738"/>
      <c r="AY243" s="738"/>
      <c r="AZ243" s="738"/>
      <c r="BA243" s="738"/>
      <c r="BB243" s="738"/>
      <c r="BC243" s="738"/>
      <c r="BD243" s="935"/>
      <c r="BE243" s="738"/>
      <c r="BF243" s="738"/>
      <c r="BG243" s="738"/>
      <c r="BH243" s="738"/>
      <c r="BI243" s="738"/>
      <c r="BJ243" s="738"/>
      <c r="BK243" s="935"/>
      <c r="BL243" s="935"/>
      <c r="BM243" s="935"/>
      <c r="BN243" s="935"/>
      <c r="BO243" s="935"/>
      <c r="BP243" s="935"/>
      <c r="BQ243" s="935"/>
      <c r="BR243" s="935"/>
      <c r="BS243" s="935"/>
      <c r="BT243" s="935"/>
      <c r="BU243" s="935"/>
      <c r="BV243" s="935"/>
      <c r="BW243" s="935"/>
      <c r="BX243" s="935"/>
    </row>
    <row r="244" ht="15.75" customHeight="1">
      <c r="A244" s="1069" t="s">
        <v>5187</v>
      </c>
      <c r="B244" s="1070" t="s">
        <v>146</v>
      </c>
      <c r="C244" s="252" t="s">
        <v>5188</v>
      </c>
      <c r="D244" s="254" t="s">
        <v>5191</v>
      </c>
      <c r="E244" s="112" t="s">
        <v>5192</v>
      </c>
      <c r="F244" s="738"/>
      <c r="G244" s="742" t="s">
        <v>1439</v>
      </c>
      <c r="H244" s="175"/>
      <c r="I244" s="733"/>
      <c r="J244" s="738"/>
      <c r="K244" s="738"/>
      <c r="L244" s="738"/>
      <c r="M244" s="154"/>
      <c r="N244" s="738"/>
      <c r="O244" s="738"/>
      <c r="P244" s="738"/>
      <c r="Q244" s="738"/>
      <c r="R244" s="740"/>
      <c r="S244" s="738"/>
      <c r="T244" s="738"/>
      <c r="U244" s="738"/>
      <c r="V244" s="738"/>
      <c r="W244" s="738"/>
      <c r="X244" s="738"/>
      <c r="Y244" s="738"/>
      <c r="Z244" s="738"/>
      <c r="AA244" s="738"/>
      <c r="AB244" s="738"/>
      <c r="AC244" s="738"/>
      <c r="AD244" s="738"/>
      <c r="AE244" s="738"/>
      <c r="AF244" s="738"/>
      <c r="AG244" s="738"/>
      <c r="AH244" s="738"/>
      <c r="AI244" s="738"/>
      <c r="AJ244" s="154"/>
      <c r="AK244" s="738"/>
      <c r="AL244" s="738"/>
      <c r="AM244" s="738"/>
      <c r="AN244" s="733"/>
      <c r="AO244" s="738"/>
      <c r="AP244" s="738"/>
      <c r="AQ244" s="154"/>
      <c r="AR244" s="738"/>
      <c r="AS244" s="738"/>
      <c r="AT244" s="738"/>
      <c r="AU244" s="733"/>
      <c r="AV244" s="738"/>
      <c r="AW244" s="154"/>
      <c r="AX244" s="738"/>
      <c r="AY244" s="738"/>
      <c r="AZ244" s="738"/>
      <c r="BA244" s="738"/>
      <c r="BB244" s="738"/>
      <c r="BC244" s="738"/>
      <c r="BD244" s="154"/>
      <c r="BE244" s="738"/>
      <c r="BF244" s="738"/>
      <c r="BG244" s="738"/>
      <c r="BH244" s="738"/>
      <c r="BI244" s="738"/>
      <c r="BJ244" s="738"/>
      <c r="BK244" s="154"/>
      <c r="BL244" s="154"/>
      <c r="BM244" s="154"/>
      <c r="BN244" s="154"/>
      <c r="BO244" s="154"/>
      <c r="BP244" s="154"/>
      <c r="BQ244" s="154"/>
      <c r="BR244" s="154"/>
      <c r="BS244" s="154"/>
      <c r="BT244" s="154"/>
      <c r="BU244" s="154"/>
      <c r="BV244" s="154"/>
      <c r="BW244" s="154"/>
      <c r="BX244" s="154"/>
    </row>
    <row r="245" ht="15.75" customHeight="1">
      <c r="A245" s="931" t="s">
        <v>974</v>
      </c>
      <c r="B245" s="932" t="s">
        <v>5198</v>
      </c>
      <c r="C245" s="725" t="s">
        <v>5199</v>
      </c>
      <c r="D245" s="1018"/>
      <c r="E245" s="738" t="s">
        <v>5200</v>
      </c>
      <c r="F245" s="738"/>
      <c r="G245" s="738"/>
      <c r="H245" s="175"/>
      <c r="I245" s="733"/>
      <c r="J245" s="738"/>
      <c r="K245" s="738"/>
      <c r="L245" s="728" t="s">
        <v>5201</v>
      </c>
      <c r="M245" s="154"/>
      <c r="N245" s="738"/>
      <c r="O245" s="738"/>
      <c r="P245" s="738"/>
      <c r="Q245" s="738"/>
      <c r="R245" s="740"/>
      <c r="S245" s="738"/>
      <c r="T245" s="738"/>
      <c r="U245" s="738"/>
      <c r="V245" s="728" t="s">
        <v>5203</v>
      </c>
      <c r="W245" s="738"/>
      <c r="X245" s="738"/>
      <c r="Y245" s="738"/>
      <c r="Z245" s="738"/>
      <c r="AA245" s="738"/>
      <c r="AB245" s="738"/>
      <c r="AC245" s="738"/>
      <c r="AD245" s="738"/>
      <c r="AE245" s="738"/>
      <c r="AF245" s="738"/>
      <c r="AG245" s="738"/>
      <c r="AH245" s="738"/>
      <c r="AI245" s="738"/>
      <c r="AJ245" s="154"/>
      <c r="AK245" s="738"/>
      <c r="AL245" s="738"/>
      <c r="AM245" s="738"/>
      <c r="AN245" s="733"/>
      <c r="AO245" s="738"/>
      <c r="AP245" s="738"/>
      <c r="AQ245" s="154"/>
      <c r="AR245" s="738"/>
      <c r="AS245" s="738"/>
      <c r="AT245" s="738"/>
      <c r="AU245" s="733"/>
      <c r="AV245" s="738"/>
      <c r="AW245" s="154"/>
      <c r="AX245" s="738"/>
      <c r="AY245" s="738"/>
      <c r="AZ245" s="738"/>
      <c r="BA245" s="738"/>
      <c r="BB245" s="738"/>
      <c r="BC245" s="738"/>
      <c r="BD245" s="154"/>
      <c r="BE245" s="738"/>
      <c r="BF245" s="738"/>
      <c r="BG245" s="738"/>
      <c r="BH245" s="738"/>
      <c r="BI245" s="738"/>
      <c r="BJ245" s="738"/>
      <c r="BK245" s="154"/>
      <c r="BL245" s="154"/>
      <c r="BM245" s="154"/>
      <c r="BN245" s="154"/>
      <c r="BO245" s="154"/>
      <c r="BP245" s="154"/>
      <c r="BQ245" s="154"/>
      <c r="BR245" s="154"/>
      <c r="BS245" s="154"/>
      <c r="BT245" s="154"/>
      <c r="BU245" s="154"/>
      <c r="BV245" s="154"/>
      <c r="BW245" s="154"/>
      <c r="BX245" s="154"/>
    </row>
    <row r="246" ht="15.75" customHeight="1">
      <c r="A246" s="1076"/>
      <c r="B246" s="939" t="s">
        <v>5205</v>
      </c>
      <c r="C246" s="1078" t="s">
        <v>5206</v>
      </c>
      <c r="D246" s="272" t="s">
        <v>5206</v>
      </c>
      <c r="E246" s="144" t="s">
        <v>1787</v>
      </c>
      <c r="F246" s="738"/>
      <c r="G246" s="738"/>
      <c r="H246" s="112" t="s">
        <v>4610</v>
      </c>
      <c r="I246" s="365" t="s">
        <v>5210</v>
      </c>
      <c r="J246" s="738" t="s">
        <v>1099</v>
      </c>
      <c r="K246" s="728" t="s">
        <v>5212</v>
      </c>
      <c r="L246" s="728" t="s">
        <v>1746</v>
      </c>
      <c r="M246" s="935"/>
      <c r="N246" s="738"/>
      <c r="O246" s="738"/>
      <c r="P246" s="738" t="s">
        <v>3015</v>
      </c>
      <c r="Q246" s="728" t="s">
        <v>4610</v>
      </c>
      <c r="R246" s="740" t="s">
        <v>5230</v>
      </c>
      <c r="S246" s="738" t="s">
        <v>1787</v>
      </c>
      <c r="T246" s="738"/>
      <c r="U246" s="112" t="s">
        <v>4687</v>
      </c>
      <c r="V246" s="112" t="s">
        <v>1745</v>
      </c>
      <c r="W246" s="728" t="s">
        <v>5246</v>
      </c>
      <c r="X246" s="738" t="s">
        <v>5248</v>
      </c>
      <c r="Y246" s="738"/>
      <c r="Z246" s="738"/>
      <c r="AA246" s="738"/>
      <c r="AB246" s="738"/>
      <c r="AC246" s="738"/>
      <c r="AD246" s="738"/>
      <c r="AE246" s="738"/>
      <c r="AF246" s="738"/>
      <c r="AG246" s="738"/>
      <c r="AH246" s="738"/>
      <c r="AI246" s="738" t="s">
        <v>5249</v>
      </c>
      <c r="AJ246" s="975" t="s">
        <v>5250</v>
      </c>
      <c r="AK246" s="738"/>
      <c r="AL246" s="738"/>
      <c r="AM246" s="738"/>
      <c r="AN246" s="733"/>
      <c r="AO246" s="738"/>
      <c r="AP246" s="738"/>
      <c r="AQ246" s="935"/>
      <c r="AR246" s="738"/>
      <c r="AS246" s="738"/>
      <c r="AT246" s="738"/>
      <c r="AU246" s="733"/>
      <c r="AV246" s="738"/>
      <c r="AW246" s="935"/>
      <c r="AX246" s="738"/>
      <c r="AY246" s="738"/>
      <c r="AZ246" s="738"/>
      <c r="BA246" s="738"/>
      <c r="BB246" s="738"/>
      <c r="BC246" s="738"/>
      <c r="BD246" s="935"/>
      <c r="BE246" s="738"/>
      <c r="BF246" s="738"/>
      <c r="BG246" s="738"/>
      <c r="BH246" s="738"/>
      <c r="BI246" s="738"/>
      <c r="BJ246" s="738"/>
      <c r="BK246" s="935"/>
      <c r="BL246" s="935"/>
      <c r="BM246" s="935"/>
      <c r="BN246" s="935"/>
      <c r="BO246" s="935"/>
      <c r="BP246" s="935"/>
      <c r="BQ246" s="935"/>
      <c r="BR246" s="935"/>
      <c r="BS246" s="935"/>
      <c r="BT246" s="935"/>
      <c r="BU246" s="935"/>
      <c r="BV246" s="935"/>
      <c r="BW246" s="935"/>
      <c r="BX246" s="935"/>
    </row>
    <row r="247" ht="15.75" customHeight="1">
      <c r="A247" s="1022"/>
      <c r="B247" s="1023" t="s">
        <v>5257</v>
      </c>
      <c r="C247" s="252" t="s">
        <v>190</v>
      </c>
      <c r="D247" s="90" t="s">
        <v>190</v>
      </c>
      <c r="E247" s="728"/>
      <c r="F247" s="728" t="s">
        <v>1224</v>
      </c>
      <c r="G247" s="742" t="s">
        <v>5261</v>
      </c>
      <c r="H247" s="175"/>
      <c r="I247" s="733"/>
      <c r="J247" s="728"/>
      <c r="K247" s="728"/>
      <c r="L247" s="728"/>
      <c r="M247" s="154"/>
      <c r="N247" s="728" t="s">
        <v>513</v>
      </c>
      <c r="O247" s="728" t="str">
        <f>HYPERLINK("https://youtu.be/gxCMrXIu1MU","52.20")</f>
        <v>52.20</v>
      </c>
      <c r="P247" s="728"/>
      <c r="Q247" s="728"/>
      <c r="R247" s="732"/>
      <c r="S247" s="728"/>
      <c r="T247" s="728"/>
      <c r="U247" s="728"/>
      <c r="V247" s="728"/>
      <c r="W247" s="728"/>
      <c r="X247" s="728"/>
      <c r="Y247" s="728"/>
      <c r="Z247" s="728"/>
      <c r="AA247" s="728"/>
      <c r="AB247" s="728"/>
      <c r="AC247" s="728"/>
      <c r="AD247" s="728"/>
      <c r="AE247" s="728"/>
      <c r="AF247" s="728"/>
      <c r="AG247" s="728"/>
      <c r="AH247" s="728"/>
      <c r="AI247" s="728"/>
      <c r="AJ247" s="154"/>
      <c r="AK247" s="728"/>
      <c r="AL247" s="728"/>
      <c r="AM247" s="728"/>
      <c r="AN247" s="733"/>
      <c r="AO247" s="728"/>
      <c r="AP247" s="728"/>
      <c r="AQ247" s="154"/>
      <c r="AR247" s="728"/>
      <c r="AS247" s="728"/>
      <c r="AT247" s="728"/>
      <c r="AU247" s="733"/>
      <c r="AV247" s="728"/>
      <c r="AW247" s="154"/>
      <c r="AX247" s="728"/>
      <c r="AY247" s="728"/>
      <c r="AZ247" s="365" t="s">
        <v>5271</v>
      </c>
      <c r="BA247" s="728"/>
      <c r="BB247" s="728"/>
      <c r="BC247" s="728"/>
      <c r="BD247" s="154"/>
      <c r="BE247" s="728"/>
      <c r="BF247" s="728"/>
      <c r="BG247" s="728"/>
      <c r="BH247" s="728"/>
      <c r="BI247" s="728"/>
      <c r="BJ247" s="728"/>
      <c r="BK247" s="154"/>
      <c r="BL247" s="154"/>
      <c r="BM247" s="154"/>
      <c r="BN247" s="154"/>
      <c r="BO247" s="154"/>
      <c r="BP247" s="154"/>
      <c r="BQ247" s="154"/>
      <c r="BR247" s="154"/>
      <c r="BS247" s="154"/>
      <c r="BT247" s="154"/>
      <c r="BU247" s="154"/>
      <c r="BV247" s="154"/>
      <c r="BW247" s="154"/>
      <c r="BX247" s="154"/>
    </row>
    <row r="248" ht="15.75" customHeight="1">
      <c r="A248" s="1031" t="s">
        <v>320</v>
      </c>
      <c r="B248" s="1097" t="s">
        <v>5274</v>
      </c>
      <c r="C248" s="725" t="s">
        <v>5278</v>
      </c>
      <c r="D248" s="173"/>
      <c r="E248" s="738" t="s">
        <v>1184</v>
      </c>
      <c r="F248" s="738"/>
      <c r="G248" s="738"/>
      <c r="H248" s="175"/>
      <c r="I248" s="733"/>
      <c r="J248" s="738"/>
      <c r="K248" s="738"/>
      <c r="L248" s="112" t="s">
        <v>5282</v>
      </c>
      <c r="M248" s="975" t="s">
        <v>5285</v>
      </c>
      <c r="N248" s="738"/>
      <c r="O248" s="738"/>
      <c r="P248" s="738"/>
      <c r="Q248" s="738"/>
      <c r="R248" s="740"/>
      <c r="S248" s="738"/>
      <c r="T248" s="738"/>
      <c r="U248" s="738"/>
      <c r="V248" s="738"/>
      <c r="W248" s="738"/>
      <c r="X248" s="738"/>
      <c r="Y248" s="738"/>
      <c r="Z248" s="738"/>
      <c r="AA248" s="738"/>
      <c r="AB248" s="738"/>
      <c r="AC248" s="738"/>
      <c r="AD248" s="738"/>
      <c r="AE248" s="738"/>
      <c r="AF248" s="738"/>
      <c r="AG248" s="738"/>
      <c r="AH248" s="738"/>
      <c r="AI248" s="738"/>
      <c r="AJ248" s="935"/>
      <c r="AK248" s="738"/>
      <c r="AL248" s="738"/>
      <c r="AM248" s="738"/>
      <c r="AN248" s="733"/>
      <c r="AO248" s="738"/>
      <c r="AP248" s="738"/>
      <c r="AQ248" s="935"/>
      <c r="AR248" s="738"/>
      <c r="AS248" s="738"/>
      <c r="AT248" s="738"/>
      <c r="AU248" s="733"/>
      <c r="AV248" s="738"/>
      <c r="AW248" s="935"/>
      <c r="AX248" s="738"/>
      <c r="AY248" s="738"/>
      <c r="AZ248" s="738"/>
      <c r="BA248" s="738"/>
      <c r="BB248" s="738"/>
      <c r="BC248" s="738"/>
      <c r="BD248" s="935"/>
      <c r="BE248" s="738"/>
      <c r="BF248" s="738"/>
      <c r="BG248" s="738"/>
      <c r="BH248" s="738"/>
      <c r="BI248" s="738"/>
      <c r="BJ248" s="738"/>
      <c r="BK248" s="935"/>
      <c r="BL248" s="935"/>
      <c r="BM248" s="935"/>
      <c r="BN248" s="935"/>
      <c r="BO248" s="935"/>
      <c r="BP248" s="935"/>
      <c r="BQ248" s="935"/>
      <c r="BR248" s="935"/>
      <c r="BS248" s="935"/>
      <c r="BT248" s="935"/>
      <c r="BU248" s="935"/>
      <c r="BV248" s="935"/>
      <c r="BW248" s="935"/>
      <c r="BX248" s="935"/>
    </row>
    <row r="249" ht="15.75" customHeight="1">
      <c r="A249" s="1076"/>
      <c r="B249" s="939" t="s">
        <v>5292</v>
      </c>
      <c r="C249" s="225" t="s">
        <v>3841</v>
      </c>
      <c r="D249" s="1044" t="s">
        <v>5295</v>
      </c>
      <c r="E249" s="728"/>
      <c r="F249" s="728" t="s">
        <v>5297</v>
      </c>
      <c r="G249" s="728"/>
      <c r="H249" s="175"/>
      <c r="I249" s="733"/>
      <c r="J249" s="728"/>
      <c r="K249" s="728"/>
      <c r="L249" s="728"/>
      <c r="M249" s="1101" t="s">
        <v>5304</v>
      </c>
      <c r="N249" s="728"/>
      <c r="O249" s="728"/>
      <c r="P249" s="728"/>
      <c r="Q249" s="728"/>
      <c r="R249" s="732"/>
      <c r="S249" s="728"/>
      <c r="T249" s="728"/>
      <c r="U249" s="728" t="s">
        <v>5305</v>
      </c>
      <c r="V249" s="728"/>
      <c r="W249" s="728"/>
      <c r="X249" s="728"/>
      <c r="Y249" s="728"/>
      <c r="Z249" s="728" t="s">
        <v>5282</v>
      </c>
      <c r="AA249" s="728"/>
      <c r="AB249" s="728"/>
      <c r="AC249" s="728"/>
      <c r="AD249" s="728"/>
      <c r="AE249" s="728"/>
      <c r="AF249" s="728"/>
      <c r="AG249" s="728"/>
      <c r="AH249" s="728"/>
      <c r="AI249" s="728"/>
      <c r="AJ249" s="154"/>
      <c r="AK249" s="728"/>
      <c r="AL249" s="728"/>
      <c r="AM249" s="728"/>
      <c r="AN249" s="733"/>
      <c r="AO249" s="728"/>
      <c r="AP249" s="728"/>
      <c r="AQ249" s="154"/>
      <c r="AR249" s="728"/>
      <c r="AS249" s="728"/>
      <c r="AT249" s="728"/>
      <c r="AU249" s="733"/>
      <c r="AV249" s="728"/>
      <c r="AW249" s="154"/>
      <c r="AX249" s="728"/>
      <c r="AY249" s="728"/>
      <c r="AZ249" s="728"/>
      <c r="BA249" s="728"/>
      <c r="BB249" s="728"/>
      <c r="BC249" s="728"/>
      <c r="BD249" s="147" t="s">
        <v>3841</v>
      </c>
      <c r="BE249" s="728"/>
      <c r="BF249" s="728"/>
      <c r="BG249" s="728"/>
      <c r="BH249" s="728"/>
      <c r="BI249" s="728"/>
      <c r="BJ249" s="728"/>
      <c r="BK249" s="154"/>
      <c r="BL249" s="154"/>
      <c r="BM249" s="154"/>
      <c r="BN249" s="154"/>
      <c r="BO249" s="154"/>
      <c r="BP249" s="154"/>
      <c r="BQ249" s="154"/>
      <c r="BR249" s="154"/>
      <c r="BS249" s="154"/>
      <c r="BT249" s="154"/>
      <c r="BU249" s="154"/>
      <c r="BV249" s="154"/>
      <c r="BW249" s="154"/>
      <c r="BX249" s="154"/>
    </row>
    <row r="250" ht="15.75" customHeight="1">
      <c r="A250" s="1104"/>
      <c r="B250" s="1023" t="s">
        <v>5311</v>
      </c>
      <c r="C250" s="725" t="s">
        <v>5312</v>
      </c>
      <c r="E250" s="738" t="s">
        <v>5315</v>
      </c>
      <c r="F250" s="738"/>
      <c r="G250" s="738"/>
      <c r="I250" s="729" t="s">
        <v>500</v>
      </c>
      <c r="J250" s="738" t="s">
        <v>5317</v>
      </c>
      <c r="K250" s="738"/>
      <c r="M250" s="935"/>
      <c r="N250" s="738"/>
      <c r="O250" s="738"/>
      <c r="P250" s="738" t="s">
        <v>5320</v>
      </c>
      <c r="Q250" s="738"/>
      <c r="R250" s="740" t="s">
        <v>5322</v>
      </c>
      <c r="S250" s="738"/>
      <c r="T250" s="112" t="s">
        <v>2504</v>
      </c>
      <c r="U250" s="738" t="s">
        <v>5312</v>
      </c>
      <c r="V250" s="738"/>
      <c r="W250" s="738"/>
      <c r="X250" s="738" t="s">
        <v>5326</v>
      </c>
      <c r="Y250" s="738"/>
      <c r="Z250" s="738"/>
      <c r="AA250" s="738"/>
      <c r="AB250" s="738"/>
      <c r="AC250" s="738"/>
      <c r="AD250" s="738"/>
      <c r="AE250" s="738"/>
      <c r="AF250" s="738"/>
      <c r="AI250" s="738" t="s">
        <v>5327</v>
      </c>
      <c r="AJ250" s="935"/>
      <c r="AK250" s="738"/>
      <c r="AL250" s="738"/>
      <c r="AM250" s="738"/>
      <c r="AN250" s="733"/>
      <c r="AO250" s="738"/>
      <c r="AQ250" s="935"/>
      <c r="AR250" s="738"/>
      <c r="AS250" s="112" t="str">
        <f>HYPERLINK("https://youtu.be/7lF7UZKburw","31.51")</f>
        <v>31.51</v>
      </c>
      <c r="AT250" s="738"/>
      <c r="AU250" s="733"/>
      <c r="AV250" s="738"/>
      <c r="AW250" s="935"/>
      <c r="AX250" s="738"/>
      <c r="AY250" s="738"/>
      <c r="AZ250" s="738"/>
      <c r="BA250" s="738"/>
      <c r="BB250" s="738"/>
      <c r="BC250" s="738"/>
      <c r="BD250" s="935"/>
      <c r="BE250" s="738"/>
      <c r="BF250" s="738"/>
      <c r="BG250" s="738"/>
      <c r="BH250" s="738"/>
      <c r="BI250" s="738"/>
      <c r="BJ250" s="738"/>
      <c r="BK250" s="935"/>
      <c r="BL250" s="935"/>
      <c r="BM250" s="935"/>
      <c r="BN250" s="935"/>
      <c r="BO250" s="935"/>
      <c r="BP250" s="935"/>
      <c r="BQ250" s="935"/>
      <c r="BR250" s="935"/>
      <c r="BS250" s="935"/>
      <c r="BT250" s="935"/>
      <c r="BU250" s="935"/>
      <c r="BV250" s="935"/>
      <c r="BW250" s="935"/>
      <c r="BX250" s="935"/>
    </row>
    <row r="251" ht="15.75" customHeight="1">
      <c r="A251" s="1076"/>
      <c r="B251" s="939" t="s">
        <v>5335</v>
      </c>
      <c r="C251" s="83" t="s">
        <v>4309</v>
      </c>
      <c r="D251" s="254" t="s">
        <v>413</v>
      </c>
      <c r="E251" s="654"/>
      <c r="F251" s="738"/>
      <c r="G251" s="728"/>
      <c r="H251" s="112" t="s">
        <v>5349</v>
      </c>
      <c r="I251" s="733"/>
      <c r="J251" s="738"/>
      <c r="K251" s="728"/>
      <c r="L251" s="112" t="s">
        <v>4781</v>
      </c>
      <c r="M251" s="154"/>
      <c r="N251" s="728"/>
      <c r="O251" s="728"/>
      <c r="P251" s="738"/>
      <c r="Q251" s="728"/>
      <c r="R251" s="740"/>
      <c r="S251" s="738"/>
      <c r="T251" s="738"/>
      <c r="U251" s="175"/>
      <c r="V251" s="738"/>
      <c r="W251" s="738"/>
      <c r="X251" s="738"/>
      <c r="Y251" s="738"/>
      <c r="Z251" s="738"/>
      <c r="AA251" s="738"/>
      <c r="AB251" s="738"/>
      <c r="AC251" s="738"/>
      <c r="AD251" s="738"/>
      <c r="AE251" s="738"/>
      <c r="AF251" s="738"/>
      <c r="AG251" s="728" t="s">
        <v>1434</v>
      </c>
      <c r="AH251" s="728" t="s">
        <v>1434</v>
      </c>
      <c r="AI251" s="738"/>
      <c r="AJ251" s="154"/>
      <c r="AK251" s="175"/>
      <c r="AL251" s="738"/>
      <c r="AM251" s="738"/>
      <c r="AN251" s="733"/>
      <c r="AO251" s="738"/>
      <c r="AP251" s="728" t="s">
        <v>5359</v>
      </c>
      <c r="AQ251" s="154"/>
      <c r="AR251" s="738"/>
      <c r="AS251" s="738"/>
      <c r="AT251" s="738"/>
      <c r="AU251" s="733"/>
      <c r="AV251" s="738"/>
      <c r="AW251" s="154"/>
      <c r="AX251" s="738"/>
      <c r="AY251" s="738"/>
      <c r="AZ251" s="738"/>
      <c r="BA251" s="738"/>
      <c r="BB251" s="738"/>
      <c r="BC251" s="738"/>
      <c r="BD251" s="154"/>
      <c r="BE251" s="738"/>
      <c r="BF251" s="738"/>
      <c r="BG251" s="738"/>
      <c r="BH251" s="738"/>
      <c r="BI251" s="738"/>
      <c r="BJ251" s="738"/>
      <c r="BK251" s="154"/>
      <c r="BL251" s="154"/>
      <c r="BM251" s="154"/>
      <c r="BN251" s="154"/>
      <c r="BO251" s="154"/>
      <c r="BP251" s="154"/>
      <c r="BQ251" s="154"/>
      <c r="BR251" s="154"/>
      <c r="BS251" s="154"/>
      <c r="BT251" s="154"/>
      <c r="BU251" s="154"/>
      <c r="BV251" s="154"/>
      <c r="BW251" s="154"/>
      <c r="BX251" s="154"/>
    </row>
    <row r="252" ht="15.75" customHeight="1">
      <c r="A252" s="1104"/>
      <c r="B252" s="1023" t="s">
        <v>5365</v>
      </c>
      <c r="C252" s="725" t="s">
        <v>5366</v>
      </c>
      <c r="D252" s="272" t="s">
        <v>5367</v>
      </c>
      <c r="E252" s="144" t="s">
        <v>2110</v>
      </c>
      <c r="F252" s="738"/>
      <c r="G252" s="728" t="s">
        <v>5371</v>
      </c>
      <c r="H252" s="175"/>
      <c r="I252" s="733"/>
      <c r="J252" s="738"/>
      <c r="K252" s="728" t="s">
        <v>4074</v>
      </c>
      <c r="L252" s="738"/>
      <c r="M252" s="154"/>
      <c r="N252" s="728" t="s">
        <v>3979</v>
      </c>
      <c r="O252" s="728" t="s">
        <v>656</v>
      </c>
      <c r="P252" s="738"/>
      <c r="Q252" s="728" t="s">
        <v>1272</v>
      </c>
      <c r="R252" s="740"/>
      <c r="S252" s="738" t="s">
        <v>5393</v>
      </c>
      <c r="T252" s="738"/>
      <c r="U252" s="112" t="s">
        <v>5396</v>
      </c>
      <c r="V252" s="738"/>
      <c r="W252" s="738"/>
      <c r="X252" s="738"/>
      <c r="Y252" s="738"/>
      <c r="Z252" s="738"/>
      <c r="AA252" s="738"/>
      <c r="AB252" s="738"/>
      <c r="AC252" s="738"/>
      <c r="AD252" s="738"/>
      <c r="AE252" s="738"/>
      <c r="AF252" s="738"/>
      <c r="AG252" s="738"/>
      <c r="AH252" s="738"/>
      <c r="AI252" s="738"/>
      <c r="AJ252" s="154"/>
      <c r="AK252" s="112" t="s">
        <v>5366</v>
      </c>
      <c r="AL252" s="738"/>
      <c r="AM252" s="738"/>
      <c r="AN252" s="733"/>
      <c r="AO252" s="738"/>
      <c r="AP252" s="738"/>
      <c r="AQ252" s="154"/>
      <c r="AR252" s="738"/>
      <c r="AS252" s="738"/>
      <c r="AT252" s="738"/>
      <c r="AU252" s="733"/>
      <c r="AV252" s="738"/>
      <c r="AW252" s="154"/>
      <c r="AX252" s="738"/>
      <c r="AY252" s="738"/>
      <c r="AZ252" s="738"/>
      <c r="BA252" s="738"/>
      <c r="BB252" s="738"/>
      <c r="BC252" s="738"/>
      <c r="BD252" s="154"/>
      <c r="BE252" s="738"/>
      <c r="BF252" s="738"/>
      <c r="BG252" s="738"/>
      <c r="BH252" s="738"/>
      <c r="BI252" s="738"/>
      <c r="BJ252" s="738"/>
      <c r="BK252" s="154"/>
      <c r="BL252" s="154"/>
      <c r="BM252" s="154"/>
      <c r="BN252" s="154"/>
      <c r="BO252" s="154"/>
      <c r="BP252" s="154"/>
      <c r="BQ252" s="154"/>
      <c r="BR252" s="154"/>
      <c r="BS252" s="154"/>
      <c r="BT252" s="154"/>
      <c r="BU252" s="154"/>
      <c r="BV252" s="154"/>
      <c r="BW252" s="154"/>
      <c r="BX252" s="154"/>
    </row>
    <row r="253" ht="15.75" customHeight="1">
      <c r="A253" s="1031" t="s">
        <v>410</v>
      </c>
      <c r="B253" s="1097" t="s">
        <v>5419</v>
      </c>
      <c r="C253" s="725" t="s">
        <v>5421</v>
      </c>
      <c r="D253" s="173"/>
      <c r="E253" s="1122"/>
      <c r="F253" s="728" t="s">
        <v>5428</v>
      </c>
      <c r="G253" s="1122"/>
      <c r="H253" s="175"/>
      <c r="I253" s="733"/>
      <c r="J253" s="1122"/>
      <c r="K253" s="1122"/>
      <c r="L253" s="1122"/>
      <c r="M253" s="975" t="s">
        <v>1039</v>
      </c>
      <c r="N253" s="1122"/>
      <c r="O253" s="1122"/>
      <c r="P253" s="1122"/>
      <c r="Q253" s="1122"/>
      <c r="R253" s="732"/>
      <c r="S253" s="1122"/>
      <c r="T253" s="1122"/>
      <c r="U253" s="1122"/>
      <c r="V253" s="1122"/>
      <c r="W253" s="1122"/>
      <c r="X253" s="1122"/>
      <c r="Y253" s="1122"/>
      <c r="Z253" s="728" t="s">
        <v>3479</v>
      </c>
      <c r="AA253" s="1122"/>
      <c r="AB253" s="1122"/>
      <c r="AC253" s="1122"/>
      <c r="AD253" s="1122"/>
      <c r="AE253" s="1122" t="s">
        <v>5454</v>
      </c>
      <c r="AF253" s="1122"/>
      <c r="AG253" s="1122"/>
      <c r="AH253" s="1122"/>
      <c r="AI253" s="1122"/>
      <c r="AJ253" s="935"/>
      <c r="AK253" s="1122"/>
      <c r="AL253" s="1122"/>
      <c r="AM253" s="1122"/>
      <c r="AN253" s="733"/>
      <c r="AO253" s="1122"/>
      <c r="AP253" s="1122"/>
      <c r="AQ253" s="935"/>
      <c r="AR253" s="1122"/>
      <c r="AS253" s="1122"/>
      <c r="AT253" s="1122"/>
      <c r="AU253" s="733"/>
      <c r="AV253" s="1122"/>
      <c r="AW253" s="935"/>
      <c r="AX253" s="1122"/>
      <c r="AY253" s="1122"/>
      <c r="AZ253" s="1122"/>
      <c r="BA253" s="1122"/>
      <c r="BB253" s="1122"/>
      <c r="BC253" s="1122"/>
      <c r="BD253" s="935"/>
      <c r="BE253" s="1122"/>
      <c r="BF253" s="1122"/>
      <c r="BG253" s="1122"/>
      <c r="BH253" s="1122"/>
      <c r="BI253" s="1122"/>
      <c r="BJ253" s="1122"/>
      <c r="BK253" s="935"/>
      <c r="BL253" s="935"/>
      <c r="BM253" s="935"/>
      <c r="BN253" s="935"/>
      <c r="BO253" s="935"/>
      <c r="BP253" s="935"/>
      <c r="BQ253" s="935"/>
      <c r="BR253" s="935"/>
      <c r="BS253" s="935"/>
      <c r="BT253" s="935"/>
      <c r="BU253" s="935"/>
      <c r="BV253" s="935"/>
      <c r="BW253" s="935"/>
      <c r="BX253" s="935"/>
    </row>
    <row r="254" ht="15.75" customHeight="1">
      <c r="A254" s="938"/>
      <c r="B254" s="939" t="s">
        <v>5457</v>
      </c>
      <c r="C254" s="725" t="s">
        <v>4660</v>
      </c>
      <c r="D254" s="1018"/>
      <c r="E254" s="728" t="s">
        <v>4590</v>
      </c>
      <c r="F254" s="728" t="s">
        <v>4660</v>
      </c>
      <c r="G254" s="112" t="s">
        <v>5463</v>
      </c>
      <c r="H254" s="112" t="s">
        <v>5465</v>
      </c>
      <c r="I254" s="729" t="s">
        <v>5466</v>
      </c>
      <c r="J254" s="728"/>
      <c r="K254" s="728" t="s">
        <v>5469</v>
      </c>
      <c r="L254" s="728" t="s">
        <v>3039</v>
      </c>
      <c r="M254" s="154"/>
      <c r="N254" s="728" t="s">
        <v>1772</v>
      </c>
      <c r="O254" s="728"/>
      <c r="P254" s="728"/>
      <c r="Q254" s="728"/>
      <c r="R254" s="732"/>
      <c r="S254" s="728"/>
      <c r="T254" s="728"/>
      <c r="U254" s="112" t="s">
        <v>3420</v>
      </c>
      <c r="V254" s="728" t="s">
        <v>4657</v>
      </c>
      <c r="W254" s="728"/>
      <c r="X254" s="728"/>
      <c r="Y254" s="728" t="s">
        <v>4785</v>
      </c>
      <c r="Z254" s="728"/>
      <c r="AA254" s="728"/>
      <c r="AB254" s="728"/>
      <c r="AC254" s="728"/>
      <c r="AD254" s="728"/>
      <c r="AE254" s="728"/>
      <c r="AF254" s="728"/>
      <c r="AG254" s="728"/>
      <c r="AH254" s="728" t="s">
        <v>5482</v>
      </c>
      <c r="AI254" s="728"/>
      <c r="AJ254" s="154"/>
      <c r="AK254" s="728"/>
      <c r="AL254" s="728"/>
      <c r="AM254" s="728"/>
      <c r="AN254" s="733"/>
      <c r="AO254" s="728"/>
      <c r="AP254" s="728"/>
      <c r="AQ254" s="154"/>
      <c r="AR254" s="728"/>
      <c r="AS254" s="728"/>
      <c r="AT254" s="728"/>
      <c r="AU254" s="733"/>
      <c r="AV254" s="728"/>
      <c r="AW254" s="154"/>
      <c r="AX254" s="728"/>
      <c r="AY254" s="728"/>
      <c r="AZ254" s="728"/>
      <c r="BA254" s="728"/>
      <c r="BB254" s="728"/>
      <c r="BC254" s="728"/>
      <c r="BD254" s="154"/>
      <c r="BE254" s="728"/>
      <c r="BF254" s="728"/>
      <c r="BG254" s="728"/>
      <c r="BH254" s="728"/>
      <c r="BI254" s="728"/>
      <c r="BJ254" s="728"/>
      <c r="BK254" s="154"/>
      <c r="BL254" s="154"/>
      <c r="BM254" s="154"/>
      <c r="BN254" s="154"/>
      <c r="BO254" s="154"/>
      <c r="BP254" s="154"/>
      <c r="BQ254" s="154"/>
      <c r="BR254" s="154"/>
      <c r="BS254" s="154"/>
      <c r="BT254" s="154"/>
      <c r="BU254" s="154"/>
      <c r="BV254" s="154"/>
      <c r="BW254" s="154"/>
      <c r="BX254" s="154"/>
    </row>
    <row r="255" ht="15.75" customHeight="1">
      <c r="A255" s="1022"/>
      <c r="B255" s="1023" t="s">
        <v>5488</v>
      </c>
      <c r="C255" s="252" t="s">
        <v>3609</v>
      </c>
      <c r="D255" s="254" t="s">
        <v>3609</v>
      </c>
      <c r="E255" s="729" t="s">
        <v>2284</v>
      </c>
      <c r="F255" s="728"/>
      <c r="G255" s="729" t="s">
        <v>5490</v>
      </c>
      <c r="H255" s="175"/>
      <c r="I255" s="733"/>
      <c r="J255" s="728"/>
      <c r="K255" s="728"/>
      <c r="L255" s="728"/>
      <c r="M255" s="935"/>
      <c r="N255" s="728"/>
      <c r="O255" s="728"/>
      <c r="P255" s="728"/>
      <c r="Q255" s="728"/>
      <c r="R255" s="732"/>
      <c r="S255" s="728"/>
      <c r="T255" s="112" t="s">
        <v>5491</v>
      </c>
      <c r="U255" s="728"/>
      <c r="V255" s="728"/>
      <c r="W255" s="728"/>
      <c r="X255" s="728"/>
      <c r="Y255" s="728"/>
      <c r="Z255" s="728"/>
      <c r="AA255" s="728"/>
      <c r="AB255" s="728"/>
      <c r="AC255" s="728"/>
      <c r="AD255" s="728"/>
      <c r="AE255" s="728"/>
      <c r="AF255" s="728"/>
      <c r="AG255" s="728"/>
      <c r="AH255" s="728"/>
      <c r="AI255" s="728"/>
      <c r="AJ255" s="975" t="s">
        <v>5492</v>
      </c>
      <c r="AK255" s="728"/>
      <c r="AL255" s="728"/>
      <c r="AM255" s="728"/>
      <c r="AN255" s="733"/>
      <c r="AO255" s="728"/>
      <c r="AP255" s="728"/>
      <c r="AQ255" s="935"/>
      <c r="AR255" s="728"/>
      <c r="AS255" s="728"/>
      <c r="AT255" s="728"/>
      <c r="AU255" s="733"/>
      <c r="AV255" s="728"/>
      <c r="AW255" s="935"/>
      <c r="AX255" s="728"/>
      <c r="AY255" s="728"/>
      <c r="AZ255" s="728"/>
      <c r="BA255" s="728"/>
      <c r="BB255" s="728"/>
      <c r="BC255" s="728"/>
      <c r="BD255" s="935"/>
      <c r="BE255" s="728"/>
      <c r="BF255" s="728"/>
      <c r="BG255" s="728"/>
      <c r="BH255" s="728"/>
      <c r="BI255" s="728"/>
      <c r="BJ255" s="728"/>
      <c r="BK255" s="935"/>
      <c r="BL255" s="935"/>
      <c r="BM255" s="935"/>
      <c r="BN255" s="935"/>
      <c r="BO255" s="935"/>
      <c r="BP255" s="935"/>
      <c r="BQ255" s="935"/>
      <c r="BR255" s="935"/>
      <c r="BS255" s="935"/>
      <c r="BT255" s="935"/>
      <c r="BU255" s="935"/>
      <c r="BV255" s="935"/>
      <c r="BW255" s="935"/>
      <c r="BX255" s="935"/>
    </row>
    <row r="256" ht="15.75" customHeight="1">
      <c r="A256" s="931" t="s">
        <v>1423</v>
      </c>
      <c r="B256" s="932" t="s">
        <v>4803</v>
      </c>
      <c r="C256" s="725" t="s">
        <v>3827</v>
      </c>
      <c r="D256" s="401" t="s">
        <v>5508</v>
      </c>
      <c r="E256" s="728" t="s">
        <v>4792</v>
      </c>
      <c r="F256" s="728" t="s">
        <v>3833</v>
      </c>
      <c r="G256" s="728" t="s">
        <v>3827</v>
      </c>
      <c r="H256" s="175"/>
      <c r="I256" s="733"/>
      <c r="J256" s="728"/>
      <c r="K256" s="728"/>
      <c r="L256" s="728" t="s">
        <v>2194</v>
      </c>
      <c r="M256" s="975" t="s">
        <v>5548</v>
      </c>
      <c r="N256" s="728"/>
      <c r="O256" s="728"/>
      <c r="P256" s="728" t="s">
        <v>5560</v>
      </c>
      <c r="Q256" s="728" t="s">
        <v>5508</v>
      </c>
      <c r="R256" s="732" t="s">
        <v>5569</v>
      </c>
      <c r="S256" s="728"/>
      <c r="T256" s="728"/>
      <c r="U256" s="728" t="s">
        <v>3827</v>
      </c>
      <c r="V256" s="728"/>
      <c r="W256" s="728"/>
      <c r="X256" s="728" t="s">
        <v>5573</v>
      </c>
      <c r="Y256" s="728"/>
      <c r="Z256" s="728"/>
      <c r="AA256" s="728"/>
      <c r="AB256" s="728"/>
      <c r="AC256" s="728"/>
      <c r="AD256" s="728"/>
      <c r="AE256" s="728"/>
      <c r="AF256" s="728"/>
      <c r="AG256" s="728"/>
      <c r="AH256" s="728"/>
      <c r="AI256" s="728"/>
      <c r="AJ256" s="935"/>
      <c r="AK256" s="728"/>
      <c r="AL256" s="728"/>
      <c r="AM256" s="728"/>
      <c r="AN256" s="733"/>
      <c r="AO256" s="728"/>
      <c r="AP256" s="728"/>
      <c r="AQ256" s="935"/>
      <c r="AR256" s="728" t="s">
        <v>3845</v>
      </c>
      <c r="AS256" s="728"/>
      <c r="AT256" s="728"/>
      <c r="AU256" s="733"/>
      <c r="AV256" s="728"/>
      <c r="AW256" s="935"/>
      <c r="AX256" s="728"/>
      <c r="AY256" s="728"/>
      <c r="AZ256" s="728"/>
      <c r="BA256" s="728"/>
      <c r="BB256" s="728"/>
      <c r="BC256" s="728"/>
      <c r="BD256" s="935"/>
      <c r="BE256" s="728"/>
      <c r="BF256" s="728"/>
      <c r="BG256" s="728"/>
      <c r="BH256" s="728"/>
      <c r="BI256" s="728"/>
      <c r="BJ256" s="728"/>
      <c r="BK256" s="935"/>
      <c r="BL256" s="935"/>
      <c r="BM256" s="935"/>
      <c r="BN256" s="935"/>
      <c r="BO256" s="935"/>
      <c r="BP256" s="935"/>
      <c r="BQ256" s="935"/>
      <c r="BR256" s="935"/>
      <c r="BS256" s="935"/>
      <c r="BT256" s="935"/>
      <c r="BU256" s="935"/>
      <c r="BV256" s="935"/>
      <c r="BW256" s="935"/>
      <c r="BX256" s="935"/>
    </row>
    <row r="257" ht="15.75" customHeight="1">
      <c r="A257" s="1076"/>
      <c r="B257" s="939" t="s">
        <v>3244</v>
      </c>
      <c r="C257" s="725" t="s">
        <v>5591</v>
      </c>
      <c r="D257" s="1044" t="s">
        <v>5596</v>
      </c>
      <c r="E257" s="728"/>
      <c r="F257" s="728" t="s">
        <v>566</v>
      </c>
      <c r="G257" s="728" t="s">
        <v>5591</v>
      </c>
      <c r="H257" s="175"/>
      <c r="I257" s="733"/>
      <c r="J257" s="728" t="str">
        <f>HYPERLINK("https://youtu.be/yGR2akJEjQQ","19.18")</f>
        <v>19.18</v>
      </c>
      <c r="K257" s="728"/>
      <c r="L257" s="728"/>
      <c r="M257" s="112" t="s">
        <v>5605</v>
      </c>
      <c r="N257" s="728"/>
      <c r="O257" s="728"/>
      <c r="P257" s="728"/>
      <c r="Q257" s="728"/>
      <c r="R257" s="732"/>
      <c r="S257" s="728"/>
      <c r="T257" s="728"/>
      <c r="U257" s="112" t="s">
        <v>5610</v>
      </c>
      <c r="V257" s="728"/>
      <c r="W257" s="728" t="s">
        <v>1268</v>
      </c>
      <c r="X257" s="728"/>
      <c r="Y257" s="728" t="s">
        <v>5626</v>
      </c>
      <c r="Z257" s="728"/>
      <c r="AA257" s="728"/>
      <c r="AB257" s="728"/>
      <c r="AC257" s="728"/>
      <c r="AD257" s="728"/>
      <c r="AE257" s="728"/>
      <c r="AF257" s="728"/>
      <c r="AG257" s="728"/>
      <c r="AH257" s="728"/>
      <c r="AI257" s="728"/>
      <c r="AJ257" s="154"/>
      <c r="AK257" s="728"/>
      <c r="AL257" s="728"/>
      <c r="AM257" s="728"/>
      <c r="AN257" s="733"/>
      <c r="AO257" s="728"/>
      <c r="AP257" s="728"/>
      <c r="AQ257" s="154"/>
      <c r="AR257" s="728"/>
      <c r="AS257" s="728"/>
      <c r="AT257" s="728"/>
      <c r="AU257" s="733"/>
      <c r="AV257" s="728"/>
      <c r="AW257" s="154"/>
      <c r="AX257" s="728"/>
      <c r="AY257" s="728"/>
      <c r="AZ257" s="728"/>
      <c r="BA257" s="728"/>
      <c r="BB257" s="728"/>
      <c r="BC257" s="728"/>
      <c r="BD257" s="154"/>
      <c r="BE257" s="728"/>
      <c r="BF257" s="728"/>
      <c r="BG257" s="728"/>
      <c r="BH257" s="728"/>
      <c r="BI257" s="728"/>
      <c r="BJ257" s="728"/>
      <c r="BK257" s="154"/>
      <c r="BL257" s="154"/>
      <c r="BM257" s="154"/>
      <c r="BN257" s="154"/>
      <c r="BO257" s="154"/>
      <c r="BP257" s="154"/>
      <c r="BQ257" s="154"/>
      <c r="BR257" s="154"/>
      <c r="BS257" s="154"/>
      <c r="BT257" s="154"/>
      <c r="BU257" s="154"/>
      <c r="BV257" s="154"/>
      <c r="BW257" s="154"/>
      <c r="BX257" s="154"/>
    </row>
    <row r="258" ht="15.75" customHeight="1">
      <c r="A258" s="1104"/>
      <c r="B258" s="1023" t="s">
        <v>5649</v>
      </c>
      <c r="C258" s="725" t="s">
        <v>5651</v>
      </c>
      <c r="D258" s="173"/>
      <c r="E258" s="728"/>
      <c r="F258" s="728" t="s">
        <v>3575</v>
      </c>
      <c r="G258" s="728" t="s">
        <v>5651</v>
      </c>
      <c r="H258" s="175"/>
      <c r="I258" s="729" t="s">
        <v>5670</v>
      </c>
      <c r="J258" s="728"/>
      <c r="K258" s="728"/>
      <c r="L258" s="728"/>
      <c r="M258" s="147" t="s">
        <v>5672</v>
      </c>
      <c r="N258" s="728"/>
      <c r="O258" s="728"/>
      <c r="P258" s="728"/>
      <c r="Q258" s="728"/>
      <c r="R258" s="732"/>
      <c r="S258" s="728"/>
      <c r="T258" s="728"/>
      <c r="U258" s="728"/>
      <c r="V258" s="728"/>
      <c r="W258" s="728" t="s">
        <v>3575</v>
      </c>
      <c r="X258" s="728"/>
      <c r="Y258" s="728"/>
      <c r="Z258" s="728"/>
      <c r="AA258" s="728"/>
      <c r="AB258" s="728"/>
      <c r="AC258" s="728"/>
      <c r="AD258" s="728"/>
      <c r="AE258" s="728"/>
      <c r="AF258" s="728"/>
      <c r="AG258" s="728"/>
      <c r="AH258" s="728"/>
      <c r="AI258" s="728"/>
      <c r="AJ258" s="935"/>
      <c r="AK258" s="728"/>
      <c r="AL258" s="728"/>
      <c r="AM258" s="728"/>
      <c r="AN258" s="733"/>
      <c r="AO258" s="728"/>
      <c r="AP258" s="728"/>
      <c r="AQ258" s="935"/>
      <c r="AR258" s="728"/>
      <c r="AS258" s="728"/>
      <c r="AT258" s="728"/>
      <c r="AU258" s="733"/>
      <c r="AV258" s="728"/>
      <c r="AW258" s="935"/>
      <c r="AX258" s="728"/>
      <c r="AY258" s="728"/>
      <c r="AZ258" s="728"/>
      <c r="BA258" s="728"/>
      <c r="BB258" s="728"/>
      <c r="BC258" s="728"/>
      <c r="BD258" s="935"/>
      <c r="BE258" s="728"/>
      <c r="BF258" s="728"/>
      <c r="BG258" s="728"/>
      <c r="BH258" s="728"/>
      <c r="BI258" s="728"/>
      <c r="BJ258" s="728"/>
      <c r="BK258" s="935"/>
      <c r="BL258" s="935"/>
      <c r="BM258" s="935"/>
      <c r="BN258" s="935"/>
      <c r="BO258" s="935"/>
      <c r="BP258" s="935"/>
      <c r="BQ258" s="935"/>
      <c r="BR258" s="935"/>
      <c r="BS258" s="935"/>
      <c r="BT258" s="935"/>
      <c r="BU258" s="935"/>
      <c r="BV258" s="935"/>
      <c r="BW258" s="935"/>
      <c r="BX258" s="935"/>
    </row>
    <row r="259" ht="15.75" customHeight="1">
      <c r="A259" s="1076"/>
      <c r="B259" s="939" t="s">
        <v>5687</v>
      </c>
      <c r="C259" s="725" t="s">
        <v>287</v>
      </c>
      <c r="D259" s="90" t="s">
        <v>4549</v>
      </c>
      <c r="E259" s="144" t="s">
        <v>2351</v>
      </c>
      <c r="F259" s="112" t="s">
        <v>1231</v>
      </c>
      <c r="G259" s="112" t="s">
        <v>287</v>
      </c>
      <c r="H259" s="112" t="s">
        <v>4505</v>
      </c>
      <c r="I259" s="733"/>
      <c r="J259" s="112" t="s">
        <v>1231</v>
      </c>
      <c r="K259" s="175"/>
      <c r="L259" s="112" t="s">
        <v>5696</v>
      </c>
      <c r="M259" s="147" t="s">
        <v>5699</v>
      </c>
      <c r="N259" s="112" t="s">
        <v>1710</v>
      </c>
      <c r="O259" s="175"/>
      <c r="P259" s="175"/>
      <c r="Q259" s="112" t="s">
        <v>4549</v>
      </c>
      <c r="R259" s="732" t="s">
        <v>1231</v>
      </c>
      <c r="S259" s="175"/>
      <c r="T259" s="175"/>
      <c r="U259" s="175"/>
      <c r="V259" s="175"/>
      <c r="W259" s="175"/>
      <c r="X259" s="175"/>
      <c r="Y259" s="175"/>
      <c r="Z259" s="175"/>
      <c r="AA259" s="175"/>
      <c r="AB259" s="175"/>
      <c r="AC259" s="175"/>
      <c r="AD259" s="175"/>
      <c r="AE259" s="175"/>
      <c r="AF259" s="175"/>
      <c r="AG259" s="175"/>
      <c r="AH259" s="175"/>
      <c r="AI259" s="175"/>
      <c r="AJ259" s="154"/>
      <c r="AK259" s="175"/>
      <c r="AL259" s="175"/>
      <c r="AM259" s="175"/>
      <c r="AN259" s="733"/>
      <c r="AO259" s="175"/>
      <c r="AP259" s="175"/>
      <c r="AQ259" s="154"/>
      <c r="AR259" s="175"/>
      <c r="AS259" s="175"/>
      <c r="AT259" s="175"/>
      <c r="AU259" s="733"/>
      <c r="AV259" s="175"/>
      <c r="AW259" s="154"/>
      <c r="AX259" s="175"/>
      <c r="AY259" s="175"/>
      <c r="AZ259" s="175"/>
      <c r="BA259" s="175"/>
      <c r="BB259" s="175"/>
      <c r="BC259" s="175"/>
      <c r="BD259" s="154"/>
      <c r="BE259" s="175"/>
      <c r="BF259" s="175"/>
      <c r="BG259" s="175"/>
      <c r="BH259" s="175"/>
      <c r="BI259" s="175"/>
      <c r="BJ259" s="175"/>
      <c r="BK259" s="154"/>
      <c r="BL259" s="154"/>
      <c r="BM259" s="154"/>
      <c r="BN259" s="154"/>
      <c r="BO259" s="154"/>
      <c r="BP259" s="154"/>
      <c r="BQ259" s="154"/>
      <c r="BR259" s="154"/>
      <c r="BS259" s="154"/>
      <c r="BT259" s="154"/>
      <c r="BU259" s="154"/>
      <c r="BV259" s="154"/>
      <c r="BW259" s="154"/>
      <c r="BX259" s="154"/>
    </row>
    <row r="260" ht="15.75" customHeight="1">
      <c r="A260" s="1104"/>
      <c r="B260" s="1023" t="s">
        <v>5703</v>
      </c>
      <c r="C260" s="83" t="s">
        <v>1004</v>
      </c>
      <c r="D260" s="254" t="s">
        <v>4609</v>
      </c>
      <c r="E260" s="738"/>
      <c r="F260" s="738"/>
      <c r="G260" s="112" t="s">
        <v>1004</v>
      </c>
      <c r="H260" s="175"/>
      <c r="I260" s="733"/>
      <c r="J260" s="738"/>
      <c r="K260" s="738"/>
      <c r="L260" s="738"/>
      <c r="M260" s="975" t="s">
        <v>5707</v>
      </c>
      <c r="N260" s="738"/>
      <c r="O260" s="738"/>
      <c r="P260" s="738"/>
      <c r="Q260" s="738"/>
      <c r="R260" s="740"/>
      <c r="S260" s="738"/>
      <c r="T260" s="738"/>
      <c r="U260" s="738"/>
      <c r="V260" s="738"/>
      <c r="W260" s="738"/>
      <c r="X260" s="738"/>
      <c r="Y260" s="738"/>
      <c r="Z260" s="738"/>
      <c r="AA260" s="738"/>
      <c r="AB260" s="738"/>
      <c r="AC260" s="738"/>
      <c r="AD260" s="738"/>
      <c r="AE260" s="738"/>
      <c r="AF260" s="738"/>
      <c r="AG260" s="738"/>
      <c r="AH260" s="738"/>
      <c r="AI260" s="738"/>
      <c r="AJ260" s="935"/>
      <c r="AK260" s="738"/>
      <c r="AL260" s="738"/>
      <c r="AM260" s="738"/>
      <c r="AN260" s="733"/>
      <c r="AO260" s="738"/>
      <c r="AP260" s="738"/>
      <c r="AQ260" s="935"/>
      <c r="AR260" s="738"/>
      <c r="AS260" s="738"/>
      <c r="AT260" s="738"/>
      <c r="AU260" s="733"/>
      <c r="AV260" s="738"/>
      <c r="AW260" s="935"/>
      <c r="AX260" s="738"/>
      <c r="AY260" s="738"/>
      <c r="AZ260" s="738"/>
      <c r="BA260" s="738"/>
      <c r="BB260" s="738"/>
      <c r="BC260" s="738"/>
      <c r="BD260" s="935"/>
      <c r="BE260" s="738"/>
      <c r="BF260" s="738"/>
      <c r="BG260" s="738"/>
      <c r="BH260" s="738"/>
      <c r="BI260" s="738"/>
      <c r="BJ260" s="738"/>
      <c r="BK260" s="935"/>
      <c r="BL260" s="935"/>
      <c r="BM260" s="935"/>
      <c r="BN260" s="935"/>
      <c r="BO260" s="935"/>
      <c r="BP260" s="935"/>
      <c r="BQ260" s="935"/>
      <c r="BR260" s="935"/>
      <c r="BS260" s="935"/>
      <c r="BT260" s="935"/>
      <c r="BU260" s="935"/>
      <c r="BV260" s="935"/>
      <c r="BW260" s="935"/>
      <c r="BX260" s="935"/>
    </row>
    <row r="261" ht="15.75" customHeight="1">
      <c r="A261" s="931" t="s">
        <v>5710</v>
      </c>
      <c r="B261" s="932" t="s">
        <v>146</v>
      </c>
      <c r="C261" s="83" t="s">
        <v>5501</v>
      </c>
      <c r="D261" s="90" t="s">
        <v>5712</v>
      </c>
      <c r="E261" s="131" t="s">
        <v>5286</v>
      </c>
      <c r="F261" s="738"/>
      <c r="G261" s="738"/>
      <c r="H261" s="112" t="s">
        <v>979</v>
      </c>
      <c r="I261" s="365" t="s">
        <v>5714</v>
      </c>
      <c r="J261" s="738"/>
      <c r="K261" s="738"/>
      <c r="L261" s="738"/>
      <c r="M261" s="935"/>
      <c r="N261" s="728" t="s">
        <v>517</v>
      </c>
      <c r="O261" s="728" t="s">
        <v>3365</v>
      </c>
      <c r="P261" s="738"/>
      <c r="Q261" s="738"/>
      <c r="R261" s="740"/>
      <c r="S261" s="738"/>
      <c r="T261" s="738"/>
      <c r="U261" s="738"/>
      <c r="V261" s="738"/>
      <c r="W261" s="738"/>
      <c r="X261" s="738"/>
      <c r="Y261" s="738"/>
      <c r="Z261" s="738"/>
      <c r="AA261" s="738"/>
      <c r="AB261" s="738"/>
      <c r="AC261" s="738"/>
      <c r="AD261" s="738"/>
      <c r="AE261" s="738"/>
      <c r="AF261" s="738"/>
      <c r="AG261" s="738"/>
      <c r="AH261" s="738"/>
      <c r="AI261" s="738"/>
      <c r="AJ261" s="935"/>
      <c r="AK261" s="738"/>
      <c r="AL261" s="738"/>
      <c r="AM261" s="738"/>
      <c r="AN261" s="733"/>
      <c r="AO261" s="738"/>
      <c r="AP261" s="738"/>
      <c r="AQ261" s="935"/>
      <c r="AR261" s="738"/>
      <c r="AS261" s="738"/>
      <c r="AT261" s="738"/>
      <c r="AU261" s="733"/>
      <c r="AV261" s="738"/>
      <c r="AW261" s="935"/>
      <c r="AX261" s="738"/>
      <c r="AY261" s="738"/>
      <c r="AZ261" s="738"/>
      <c r="BA261" s="738"/>
      <c r="BB261" s="738"/>
      <c r="BC261" s="738"/>
      <c r="BD261" s="935"/>
      <c r="BE261" s="738"/>
      <c r="BF261" s="738"/>
      <c r="BG261" s="738"/>
      <c r="BH261" s="738"/>
      <c r="BI261" s="738"/>
      <c r="BJ261" s="738"/>
      <c r="BK261" s="935"/>
      <c r="BL261" s="935"/>
      <c r="BM261" s="935"/>
      <c r="BN261" s="935"/>
      <c r="BO261" s="935"/>
      <c r="BP261" s="935"/>
      <c r="BQ261" s="935"/>
      <c r="BR261" s="935"/>
      <c r="BS261" s="935"/>
      <c r="BT261" s="935"/>
      <c r="BU261" s="935"/>
      <c r="BV261" s="935"/>
      <c r="BW261" s="935"/>
      <c r="BX261" s="935"/>
    </row>
    <row r="262" ht="15.75" customHeight="1">
      <c r="A262" s="931" t="s">
        <v>1563</v>
      </c>
      <c r="B262" s="932" t="s">
        <v>1517</v>
      </c>
      <c r="C262" s="725" t="s">
        <v>5722</v>
      </c>
      <c r="D262" s="1044" t="s">
        <v>5724</v>
      </c>
      <c r="E262" s="131" t="s">
        <v>5291</v>
      </c>
      <c r="F262" s="738"/>
      <c r="G262" s="131" t="s">
        <v>4148</v>
      </c>
      <c r="H262" s="175"/>
      <c r="I262" s="729" t="s">
        <v>5730</v>
      </c>
      <c r="J262" s="738" t="s">
        <v>5732</v>
      </c>
      <c r="K262" s="728" t="s">
        <v>2966</v>
      </c>
      <c r="L262" s="738" t="s">
        <v>5735</v>
      </c>
      <c r="M262" s="154"/>
      <c r="N262" s="738" t="s">
        <v>5736</v>
      </c>
      <c r="O262" s="738"/>
      <c r="P262" s="738"/>
      <c r="Q262" s="738"/>
      <c r="R262" s="740"/>
      <c r="S262" s="738"/>
      <c r="T262" s="738"/>
      <c r="U262" s="738"/>
      <c r="V262" s="738"/>
      <c r="W262" s="738"/>
      <c r="X262" s="738"/>
      <c r="Y262" s="738"/>
      <c r="Z262" s="738"/>
      <c r="AA262" s="738"/>
      <c r="AB262" s="738"/>
      <c r="AC262" s="738"/>
      <c r="AD262" s="738"/>
      <c r="AE262" s="738"/>
      <c r="AF262" s="738"/>
      <c r="AG262" s="738"/>
      <c r="AH262" s="738"/>
      <c r="AI262" s="738"/>
      <c r="AJ262" s="154"/>
      <c r="AK262" s="738"/>
      <c r="AL262" s="738"/>
      <c r="AM262" s="738"/>
      <c r="AN262" s="733"/>
      <c r="AO262" s="738"/>
      <c r="AP262" s="738"/>
      <c r="AQ262" s="154"/>
      <c r="AR262" s="738"/>
      <c r="AS262" s="738"/>
      <c r="AT262" s="738"/>
      <c r="AU262" s="733"/>
      <c r="AV262" s="738"/>
      <c r="AW262" s="154"/>
      <c r="AX262" s="738"/>
      <c r="AY262" s="738"/>
      <c r="AZ262" s="738"/>
      <c r="BA262" s="738"/>
      <c r="BB262" s="738"/>
      <c r="BC262" s="738"/>
      <c r="BD262" s="154"/>
      <c r="BE262" s="738"/>
      <c r="BF262" s="738"/>
      <c r="BG262" s="738"/>
      <c r="BH262" s="738"/>
      <c r="BI262" s="738"/>
      <c r="BJ262" s="738"/>
      <c r="BK262" s="154"/>
      <c r="BL262" s="154"/>
      <c r="BM262" s="154"/>
      <c r="BN262" s="154"/>
      <c r="BO262" s="154"/>
      <c r="BP262" s="154"/>
      <c r="BQ262" s="154"/>
      <c r="BR262" s="154"/>
      <c r="BS262" s="154"/>
      <c r="BT262" s="154"/>
      <c r="BU262" s="154"/>
      <c r="BV262" s="154"/>
      <c r="BW262" s="154"/>
      <c r="BX262" s="154"/>
    </row>
    <row r="263" ht="15.75" customHeight="1">
      <c r="A263" s="1031" t="s">
        <v>1544</v>
      </c>
      <c r="B263" s="1183" t="s">
        <v>1517</v>
      </c>
      <c r="C263" s="83" t="s">
        <v>5759</v>
      </c>
      <c r="D263" s="1044" t="s">
        <v>4292</v>
      </c>
      <c r="E263" s="498" t="s">
        <v>5769</v>
      </c>
      <c r="F263" s="738"/>
      <c r="G263" s="112" t="s">
        <v>5759</v>
      </c>
      <c r="H263" s="175"/>
      <c r="I263" s="729" t="s">
        <v>5772</v>
      </c>
      <c r="J263" s="738"/>
      <c r="K263" s="728"/>
      <c r="L263" s="738"/>
      <c r="M263" s="154"/>
      <c r="N263" s="738"/>
      <c r="O263" s="738"/>
      <c r="P263" s="738"/>
      <c r="Q263" s="738"/>
      <c r="R263" s="740"/>
      <c r="S263" s="738"/>
      <c r="T263" s="738"/>
      <c r="U263" s="738"/>
      <c r="V263" s="738"/>
      <c r="W263" s="738"/>
      <c r="X263" s="738"/>
      <c r="Y263" s="738"/>
      <c r="Z263" s="738"/>
      <c r="AA263" s="738"/>
      <c r="AB263" s="738"/>
      <c r="AC263" s="738"/>
      <c r="AD263" s="738"/>
      <c r="AE263" s="738"/>
      <c r="AF263" s="738"/>
      <c r="AG263" s="738"/>
      <c r="AH263" s="738"/>
      <c r="AI263" s="738"/>
      <c r="AJ263" s="154"/>
      <c r="AK263" s="738"/>
      <c r="AL263" s="738"/>
      <c r="AM263" s="738"/>
      <c r="AN263" s="733"/>
      <c r="AO263" s="738"/>
      <c r="AP263" s="738"/>
      <c r="AQ263" s="154"/>
      <c r="AR263" s="738"/>
      <c r="AS263" s="738"/>
      <c r="AT263" s="738"/>
      <c r="AU263" s="733"/>
      <c r="AV263" s="738"/>
      <c r="AW263" s="157" t="s">
        <v>3481</v>
      </c>
      <c r="AX263" s="738"/>
      <c r="AY263" s="738"/>
      <c r="AZ263" s="738"/>
      <c r="BA263" s="738"/>
      <c r="BB263" s="738"/>
      <c r="BC263" s="738"/>
      <c r="BD263" s="154"/>
      <c r="BE263" s="738"/>
      <c r="BF263" s="738"/>
      <c r="BG263" s="738"/>
      <c r="BH263" s="738"/>
      <c r="BI263" s="738"/>
      <c r="BJ263" s="738"/>
      <c r="BK263" s="154"/>
      <c r="BL263" s="154"/>
      <c r="BM263" s="154"/>
      <c r="BN263" s="154"/>
      <c r="BO263" s="154"/>
      <c r="BP263" s="154"/>
      <c r="BQ263" s="154"/>
      <c r="BR263" s="154"/>
      <c r="BS263" s="154"/>
      <c r="BT263" s="154"/>
      <c r="BU263" s="154"/>
      <c r="BV263" s="154"/>
      <c r="BW263" s="154"/>
      <c r="BX263" s="154"/>
    </row>
    <row r="264" ht="15.75" customHeight="1">
      <c r="A264" s="931" t="s">
        <v>137</v>
      </c>
      <c r="B264" s="932" t="s">
        <v>5804</v>
      </c>
      <c r="C264" s="725" t="s">
        <v>1228</v>
      </c>
      <c r="D264" s="173"/>
      <c r="E264" s="728"/>
      <c r="F264" s="728" t="s">
        <v>1228</v>
      </c>
      <c r="G264" s="728"/>
      <c r="H264" s="175"/>
      <c r="I264" s="733"/>
      <c r="J264" s="728"/>
      <c r="K264" s="728"/>
      <c r="L264" s="728"/>
      <c r="M264" s="154"/>
      <c r="N264" s="728"/>
      <c r="O264" s="728"/>
      <c r="P264" s="728"/>
      <c r="Q264" s="728"/>
      <c r="R264" s="732"/>
      <c r="S264" s="728"/>
      <c r="T264" s="728"/>
      <c r="U264" s="728"/>
      <c r="V264" s="728"/>
      <c r="W264" s="728"/>
      <c r="X264" s="728"/>
      <c r="Y264" s="728"/>
      <c r="Z264" s="728"/>
      <c r="AA264" s="728"/>
      <c r="AB264" s="728"/>
      <c r="AC264" s="728"/>
      <c r="AD264" s="728"/>
      <c r="AE264" s="728"/>
      <c r="AF264" s="728"/>
      <c r="AG264" s="728"/>
      <c r="AH264" s="728"/>
      <c r="AI264" s="728"/>
      <c r="AJ264" s="154"/>
      <c r="AK264" s="728"/>
      <c r="AL264" s="728"/>
      <c r="AM264" s="728"/>
      <c r="AN264" s="733"/>
      <c r="AO264" s="728"/>
      <c r="AP264" s="728"/>
      <c r="AQ264" s="154"/>
      <c r="AR264" s="728"/>
      <c r="AS264" s="728"/>
      <c r="AT264" s="728"/>
      <c r="AU264" s="733"/>
      <c r="AV264" s="728"/>
      <c r="AW264" s="154"/>
      <c r="AX264" s="728"/>
      <c r="AY264" s="728"/>
      <c r="AZ264" s="728"/>
      <c r="BA264" s="728"/>
      <c r="BB264" s="728"/>
      <c r="BC264" s="728"/>
      <c r="BD264" s="154"/>
      <c r="BE264" s="728"/>
      <c r="BF264" s="728"/>
      <c r="BG264" s="728"/>
      <c r="BH264" s="728"/>
      <c r="BI264" s="728"/>
      <c r="BJ264" s="728"/>
      <c r="BK264" s="154"/>
      <c r="BL264" s="154"/>
      <c r="BM264" s="154"/>
      <c r="BN264" s="154"/>
      <c r="BO264" s="154"/>
      <c r="BP264" s="154"/>
      <c r="BQ264" s="154"/>
      <c r="BR264" s="154"/>
      <c r="BS264" s="154"/>
      <c r="BT264" s="154"/>
      <c r="BU264" s="154"/>
      <c r="BV264" s="154"/>
      <c r="BW264" s="154"/>
      <c r="BX264" s="154"/>
    </row>
    <row r="265" ht="15.75" customHeight="1">
      <c r="A265" s="1076"/>
      <c r="B265" s="939" t="s">
        <v>5823</v>
      </c>
      <c r="C265" s="725" t="s">
        <v>865</v>
      </c>
      <c r="D265" s="90" t="s">
        <v>5824</v>
      </c>
      <c r="E265" s="131" t="s">
        <v>2692</v>
      </c>
      <c r="F265" s="112" t="s">
        <v>1236</v>
      </c>
      <c r="G265" s="112" t="s">
        <v>3369</v>
      </c>
      <c r="H265" s="112" t="s">
        <v>2819</v>
      </c>
      <c r="I265" s="733"/>
      <c r="J265" s="175"/>
      <c r="K265" s="112" t="s">
        <v>1077</v>
      </c>
      <c r="L265" s="175"/>
      <c r="M265" s="935"/>
      <c r="N265" s="175" t="s">
        <v>5853</v>
      </c>
      <c r="O265" s="112" t="s">
        <v>3369</v>
      </c>
      <c r="P265" s="175"/>
      <c r="Q265" s="112" t="s">
        <v>4285</v>
      </c>
      <c r="R265" s="732"/>
      <c r="S265" s="175"/>
      <c r="T265" s="175"/>
      <c r="U265" s="175"/>
      <c r="V265" s="175"/>
      <c r="W265" s="175" t="s">
        <v>1732</v>
      </c>
      <c r="X265" s="175"/>
      <c r="Y265" s="175"/>
      <c r="Z265" s="175"/>
      <c r="AA265" s="175"/>
      <c r="AB265" s="175"/>
      <c r="AC265" s="175"/>
      <c r="AD265" s="175"/>
      <c r="AE265" s="175"/>
      <c r="AF265" s="175"/>
      <c r="AG265" s="175"/>
      <c r="AH265" s="175"/>
      <c r="AI265" s="175"/>
      <c r="AJ265" s="935"/>
      <c r="AK265" s="175"/>
      <c r="AL265" s="175"/>
      <c r="AM265" s="175"/>
      <c r="AN265" s="733"/>
      <c r="AO265" s="175"/>
      <c r="AP265" s="175"/>
      <c r="AQ265" s="935"/>
      <c r="AR265" s="175"/>
      <c r="AS265" s="175"/>
      <c r="AT265" s="175"/>
      <c r="AU265" s="733"/>
      <c r="AV265" s="175"/>
      <c r="AW265" s="933" t="s">
        <v>5870</v>
      </c>
      <c r="AX265" s="175"/>
      <c r="AY265" s="175"/>
      <c r="AZ265" s="175"/>
      <c r="BA265" s="175"/>
      <c r="BB265" s="175"/>
      <c r="BC265" s="175"/>
      <c r="BD265" s="935"/>
      <c r="BE265" s="175"/>
      <c r="BF265" s="175"/>
      <c r="BG265" s="175"/>
      <c r="BH265" s="175"/>
      <c r="BI265" s="175"/>
      <c r="BJ265" s="175"/>
      <c r="BK265" s="935"/>
      <c r="BL265" s="935"/>
      <c r="BM265" s="935"/>
      <c r="BN265" s="935"/>
      <c r="BO265" s="935"/>
      <c r="BP265" s="935"/>
      <c r="BQ265" s="935"/>
      <c r="BR265" s="935"/>
      <c r="BS265" s="935"/>
      <c r="BT265" s="935"/>
      <c r="BU265" s="935"/>
      <c r="BV265" s="935"/>
      <c r="BW265" s="935"/>
      <c r="BX265" s="935"/>
    </row>
    <row r="266" ht="15.75" customHeight="1">
      <c r="A266" s="931" t="s">
        <v>253</v>
      </c>
      <c r="B266" s="932" t="s">
        <v>5884</v>
      </c>
      <c r="C266" s="83" t="s">
        <v>2202</v>
      </c>
      <c r="D266" s="90" t="s">
        <v>5353</v>
      </c>
      <c r="E266" s="131" t="s">
        <v>5294</v>
      </c>
      <c r="H266" s="112" t="s">
        <v>4619</v>
      </c>
      <c r="N266" s="728" t="s">
        <v>3993</v>
      </c>
      <c r="W266" s="112" t="s">
        <v>1721</v>
      </c>
      <c r="Y266" s="112" t="s">
        <v>2202</v>
      </c>
      <c r="AJ266" s="154"/>
      <c r="BM266" s="154"/>
      <c r="BN266" s="154"/>
      <c r="BO266" s="154"/>
      <c r="BP266" s="154"/>
      <c r="BQ266" s="154"/>
      <c r="BR266" s="154"/>
      <c r="BS266" s="154"/>
      <c r="BT266" s="154"/>
      <c r="BU266" s="154"/>
      <c r="BV266" s="154"/>
      <c r="BW266" s="154"/>
      <c r="BX266" s="154"/>
    </row>
    <row r="267" ht="15.75" customHeight="1">
      <c r="A267" s="1076"/>
      <c r="B267" s="939" t="s">
        <v>5942</v>
      </c>
      <c r="C267" s="83" t="s">
        <v>5944</v>
      </c>
      <c r="D267" s="1196"/>
      <c r="F267" s="738"/>
      <c r="G267" s="738"/>
      <c r="I267" s="733"/>
      <c r="J267" s="738"/>
      <c r="K267" s="738"/>
      <c r="L267" s="738"/>
      <c r="M267" s="154"/>
      <c r="O267" s="738"/>
      <c r="P267" s="738"/>
      <c r="Q267" s="738"/>
      <c r="R267" s="740"/>
      <c r="S267" s="738"/>
      <c r="T267" s="738"/>
      <c r="U267" s="738"/>
      <c r="V267" s="738"/>
      <c r="X267" s="738"/>
      <c r="Y267" s="738"/>
      <c r="Z267" s="738"/>
      <c r="AA267" s="738"/>
      <c r="AB267" s="738"/>
      <c r="AC267" s="738"/>
      <c r="AD267" s="738"/>
      <c r="AE267" s="738"/>
      <c r="AF267" s="738"/>
      <c r="AG267" s="738"/>
      <c r="AH267" s="738"/>
      <c r="AI267" s="738"/>
      <c r="AJ267" s="154"/>
      <c r="AK267" s="738"/>
      <c r="AL267" s="738"/>
      <c r="AM267" s="112" t="s">
        <v>5944</v>
      </c>
      <c r="AN267" s="733"/>
      <c r="AO267" s="738"/>
      <c r="AP267" s="738"/>
      <c r="AQ267" s="154"/>
      <c r="AR267" s="738"/>
      <c r="AS267" s="738"/>
      <c r="AT267" s="738"/>
      <c r="AU267" s="733"/>
      <c r="AV267" s="738"/>
      <c r="AW267" s="154"/>
      <c r="AX267" s="738"/>
      <c r="AY267" s="738"/>
      <c r="AZ267" s="738"/>
      <c r="BA267" s="738"/>
      <c r="BB267" s="738"/>
      <c r="BC267" s="738"/>
      <c r="BD267" s="154"/>
      <c r="BE267" s="738"/>
      <c r="BF267" s="738"/>
      <c r="BG267" s="738"/>
      <c r="BH267" s="738"/>
      <c r="BI267" s="738"/>
      <c r="BJ267" s="738"/>
      <c r="BK267" s="154"/>
      <c r="BL267" s="154"/>
      <c r="BM267" s="154"/>
      <c r="BN267" s="154"/>
      <c r="BO267" s="154"/>
      <c r="BP267" s="154"/>
      <c r="BQ267" s="154"/>
      <c r="BR267" s="154"/>
      <c r="BS267" s="154"/>
      <c r="BT267" s="154"/>
      <c r="BU267" s="154"/>
      <c r="BV267" s="154"/>
      <c r="BW267" s="154"/>
      <c r="BX267" s="154"/>
    </row>
    <row r="268">
      <c r="A268" s="1198" t="s">
        <v>131</v>
      </c>
      <c r="D268" s="1199"/>
      <c r="E268" s="1200"/>
      <c r="F268" s="1200"/>
      <c r="G268" s="1200"/>
      <c r="H268" s="1201"/>
      <c r="I268" s="1200"/>
      <c r="J268" s="1200"/>
      <c r="K268" s="1200"/>
      <c r="L268" s="1200"/>
      <c r="M268" s="1202"/>
      <c r="N268" s="1200"/>
      <c r="O268" s="1200"/>
      <c r="P268" s="1200"/>
      <c r="Q268" s="1200"/>
      <c r="R268" s="1203"/>
      <c r="S268" s="1200"/>
      <c r="T268" s="1200"/>
      <c r="U268" s="1200"/>
      <c r="V268" s="1200"/>
      <c r="W268" s="1200"/>
      <c r="X268" s="1200"/>
      <c r="Y268" s="1200"/>
      <c r="Z268" s="1200"/>
      <c r="AA268" s="1200"/>
      <c r="AB268" s="1200"/>
      <c r="AC268" s="1200"/>
      <c r="AD268" s="1200"/>
      <c r="AE268" s="1200"/>
      <c r="AF268" s="1200"/>
      <c r="AG268" s="1200"/>
      <c r="AH268" s="1200"/>
      <c r="AI268" s="1200"/>
      <c r="AJ268" s="1202"/>
      <c r="AK268" s="1200"/>
      <c r="AL268" s="1200"/>
      <c r="AM268" s="1200"/>
      <c r="AN268" s="1200"/>
      <c r="AO268" s="1200"/>
      <c r="AP268" s="1200"/>
      <c r="AQ268" s="1202"/>
      <c r="AR268" s="1200"/>
      <c r="AS268" s="1200"/>
      <c r="AT268" s="1200"/>
      <c r="AU268" s="1200"/>
      <c r="AV268" s="1200"/>
      <c r="AW268" s="1202"/>
      <c r="AX268" s="1200"/>
      <c r="AY268" s="1200"/>
      <c r="AZ268" s="1200"/>
      <c r="BA268" s="1200"/>
      <c r="BB268" s="1200"/>
      <c r="BC268" s="1200"/>
      <c r="BD268" s="1202"/>
      <c r="BE268" s="1200"/>
      <c r="BF268" s="1200"/>
      <c r="BG268" s="1200"/>
      <c r="BH268" s="1200"/>
      <c r="BI268" s="1200"/>
      <c r="BJ268" s="1200"/>
      <c r="BK268" s="1202"/>
      <c r="BL268" s="1202"/>
      <c r="BM268" s="1202"/>
      <c r="BN268" s="1202"/>
      <c r="BO268" s="1202"/>
      <c r="BP268" s="1202"/>
      <c r="BQ268" s="1202"/>
      <c r="BR268" s="1202"/>
      <c r="BS268" s="1202"/>
      <c r="BT268" s="1202"/>
      <c r="BU268" s="1202"/>
      <c r="BV268" s="1202"/>
      <c r="BW268" s="1202"/>
      <c r="BX268" s="1202"/>
    </row>
    <row r="269" ht="15.75" customHeight="1">
      <c r="A269" s="1205" t="s">
        <v>143</v>
      </c>
      <c r="B269" s="1206" t="s">
        <v>5991</v>
      </c>
      <c r="C269" s="725" t="s">
        <v>5487</v>
      </c>
      <c r="D269" s="173"/>
      <c r="E269" s="738" t="s">
        <v>5992</v>
      </c>
      <c r="F269" s="738"/>
      <c r="G269" s="738"/>
      <c r="H269" s="175"/>
      <c r="I269" s="733"/>
      <c r="J269" s="738"/>
      <c r="K269" s="728" t="s">
        <v>5993</v>
      </c>
      <c r="L269" s="738"/>
      <c r="M269" s="1211" t="s">
        <v>5997</v>
      </c>
      <c r="N269" s="738"/>
      <c r="O269" s="738"/>
      <c r="P269" s="738"/>
      <c r="Q269" s="738"/>
      <c r="R269" s="740"/>
      <c r="S269" s="738"/>
      <c r="T269" s="738"/>
      <c r="U269" s="738"/>
      <c r="V269" s="738"/>
      <c r="W269" s="738"/>
      <c r="X269" s="738"/>
      <c r="Y269" s="738"/>
      <c r="Z269" s="738" t="s">
        <v>1057</v>
      </c>
      <c r="AA269" s="738"/>
      <c r="AB269" s="738"/>
      <c r="AC269" s="738"/>
      <c r="AD269" s="738"/>
      <c r="AE269" s="738"/>
      <c r="AF269" s="738"/>
      <c r="AG269" s="738"/>
      <c r="AH269" s="738"/>
      <c r="AI269" s="738"/>
      <c r="AJ269" s="1212"/>
      <c r="AK269" s="738"/>
      <c r="AL269" s="738"/>
      <c r="AM269" s="738"/>
      <c r="AN269" s="733"/>
      <c r="AO269" s="738"/>
      <c r="AP269" s="738"/>
      <c r="AQ269" s="1212"/>
      <c r="AR269" s="738"/>
      <c r="AS269" s="738"/>
      <c r="AT269" s="738"/>
      <c r="AU269" s="733"/>
      <c r="AV269" s="738"/>
      <c r="AW269" s="1212"/>
      <c r="AX269" s="738"/>
      <c r="AY269" s="738"/>
      <c r="AZ269" s="738"/>
      <c r="BA269" s="738"/>
      <c r="BB269" s="738"/>
      <c r="BC269" s="738"/>
      <c r="BD269" s="1212"/>
      <c r="BE269" s="738"/>
      <c r="BF269" s="738"/>
      <c r="BG269" s="738"/>
      <c r="BH269" s="738"/>
      <c r="BI269" s="738"/>
      <c r="BJ269" s="738"/>
      <c r="BK269" s="1212"/>
      <c r="BL269" s="1212"/>
      <c r="BM269" s="1212"/>
      <c r="BN269" s="1212"/>
      <c r="BO269" s="1212"/>
      <c r="BP269" s="1212"/>
      <c r="BQ269" s="1212"/>
      <c r="BR269" s="1212"/>
      <c r="BS269" s="1212"/>
      <c r="BT269" s="1212"/>
      <c r="BU269" s="1212"/>
      <c r="BV269" s="1212"/>
      <c r="BW269" s="1212"/>
      <c r="BX269" s="1212"/>
    </row>
    <row r="270" ht="15.75" customHeight="1">
      <c r="A270" s="1213"/>
      <c r="B270" s="1214" t="s">
        <v>6027</v>
      </c>
      <c r="C270" s="1215" t="s">
        <v>3916</v>
      </c>
      <c r="D270" s="1216" t="s">
        <v>3916</v>
      </c>
      <c r="E270" s="738"/>
      <c r="F270" s="738"/>
      <c r="G270" s="738"/>
      <c r="H270" s="175"/>
      <c r="I270" s="729" t="s">
        <v>6040</v>
      </c>
      <c r="J270" s="728" t="str">
        <f>HYPERLINK("https://youtu.be/K8Egs0-qumI","48.41")</f>
        <v>48.41</v>
      </c>
      <c r="K270" s="738"/>
      <c r="L270" s="738"/>
      <c r="M270" s="154"/>
      <c r="N270" s="738"/>
      <c r="O270" s="738"/>
      <c r="P270" s="738"/>
      <c r="Q270" s="738"/>
      <c r="R270" s="740"/>
      <c r="S270" s="738"/>
      <c r="T270" s="738"/>
      <c r="U270" s="112" t="s">
        <v>6048</v>
      </c>
      <c r="V270" s="738"/>
      <c r="W270" s="728" t="s">
        <v>5342</v>
      </c>
      <c r="X270" s="738"/>
      <c r="Y270" s="738"/>
      <c r="Z270" s="738"/>
      <c r="AA270" s="738"/>
      <c r="AB270" s="738"/>
      <c r="AC270" s="738"/>
      <c r="AD270" s="738"/>
      <c r="AE270" s="738"/>
      <c r="AF270" s="738"/>
      <c r="AG270" s="738"/>
      <c r="AH270" s="738"/>
      <c r="AI270" s="738"/>
      <c r="AJ270" s="154"/>
      <c r="AK270" s="738"/>
      <c r="AL270" s="738"/>
      <c r="AM270" s="738"/>
      <c r="AN270" s="733"/>
      <c r="AO270" s="738"/>
      <c r="AP270" s="738"/>
      <c r="AQ270" s="154"/>
      <c r="AR270" s="738"/>
      <c r="AS270" s="738"/>
      <c r="AT270" s="738"/>
      <c r="AU270" s="733"/>
      <c r="AV270" s="738"/>
      <c r="AW270" s="154"/>
      <c r="AX270" s="738"/>
      <c r="AY270" s="738"/>
      <c r="AZ270" s="738"/>
      <c r="BA270" s="738"/>
      <c r="BB270" s="738"/>
      <c r="BC270" s="738"/>
      <c r="BD270" s="154"/>
      <c r="BE270" s="738"/>
      <c r="BF270" s="738"/>
      <c r="BG270" s="738"/>
      <c r="BH270" s="738"/>
      <c r="BI270" s="738"/>
      <c r="BJ270" s="738"/>
      <c r="BK270" s="154"/>
      <c r="BL270" s="154"/>
      <c r="BM270" s="154"/>
      <c r="BN270" s="154"/>
      <c r="BO270" s="154"/>
      <c r="BP270" s="154"/>
      <c r="BQ270" s="154"/>
      <c r="BR270" s="154"/>
      <c r="BS270" s="154"/>
      <c r="BT270" s="154"/>
      <c r="BU270" s="154"/>
      <c r="BV270" s="154"/>
      <c r="BW270" s="154"/>
      <c r="BX270" s="154"/>
    </row>
    <row r="271" ht="15.75" customHeight="1">
      <c r="A271" s="1219"/>
      <c r="B271" s="1220" t="s">
        <v>6090</v>
      </c>
      <c r="C271" s="725" t="s">
        <v>1448</v>
      </c>
      <c r="D271" s="173"/>
      <c r="E271" s="738" t="s">
        <v>5342</v>
      </c>
      <c r="F271" s="738"/>
      <c r="G271" s="738"/>
      <c r="H271" s="175"/>
      <c r="I271" s="733"/>
      <c r="J271" s="738" t="s">
        <v>6108</v>
      </c>
      <c r="K271" s="728" t="s">
        <v>6110</v>
      </c>
      <c r="L271" s="738"/>
      <c r="M271" s="1211" t="s">
        <v>6120</v>
      </c>
      <c r="N271" s="738"/>
      <c r="O271" s="738"/>
      <c r="P271" s="738"/>
      <c r="Q271" s="738"/>
      <c r="R271" s="740"/>
      <c r="S271" s="738"/>
      <c r="T271" s="738"/>
      <c r="U271" s="738"/>
      <c r="V271" s="738"/>
      <c r="W271" s="738"/>
      <c r="X271" s="738"/>
      <c r="Y271" s="738"/>
      <c r="Z271" s="738"/>
      <c r="AA271" s="738"/>
      <c r="AB271" s="738"/>
      <c r="AC271" s="738"/>
      <c r="AD271" s="738"/>
      <c r="AE271" s="738"/>
      <c r="AF271" s="738"/>
      <c r="AG271" s="738"/>
      <c r="AH271" s="738"/>
      <c r="AI271" s="738"/>
      <c r="AJ271" s="1212"/>
      <c r="AK271" s="738"/>
      <c r="AL271" s="738"/>
      <c r="AM271" s="738"/>
      <c r="AN271" s="733"/>
      <c r="AO271" s="738"/>
      <c r="AP271" s="738"/>
      <c r="AQ271" s="1212"/>
      <c r="AR271" s="738"/>
      <c r="AS271" s="738"/>
      <c r="AT271" s="738"/>
      <c r="AU271" s="733"/>
      <c r="AV271" s="738"/>
      <c r="AW271" s="1212"/>
      <c r="AX271" s="738"/>
      <c r="AY271" s="738"/>
      <c r="AZ271" s="738"/>
      <c r="BA271" s="738"/>
      <c r="BB271" s="738"/>
      <c r="BC271" s="738"/>
      <c r="BD271" s="1212"/>
      <c r="BE271" s="738"/>
      <c r="BF271" s="738"/>
      <c r="BG271" s="738"/>
      <c r="BH271" s="738"/>
      <c r="BI271" s="738"/>
      <c r="BJ271" s="738"/>
      <c r="BK271" s="1212"/>
      <c r="BL271" s="1212"/>
      <c r="BM271" s="1212"/>
      <c r="BN271" s="1212"/>
      <c r="BO271" s="1212"/>
      <c r="BP271" s="1212"/>
      <c r="BQ271" s="1212"/>
      <c r="BR271" s="1212"/>
      <c r="BS271" s="1212"/>
      <c r="BT271" s="1212"/>
      <c r="BU271" s="1212"/>
      <c r="BV271" s="1212"/>
      <c r="BW271" s="1212"/>
      <c r="BX271" s="1212"/>
    </row>
    <row r="272" ht="15.75" customHeight="1">
      <c r="A272" s="1213"/>
      <c r="B272" s="1214" t="s">
        <v>6149</v>
      </c>
      <c r="C272" s="725" t="s">
        <v>2535</v>
      </c>
      <c r="D272" s="1222"/>
      <c r="E272" s="738"/>
      <c r="F272" s="738"/>
      <c r="G272" s="738"/>
      <c r="H272" s="112" t="s">
        <v>6165</v>
      </c>
      <c r="I272" s="733"/>
      <c r="J272" s="728" t="s">
        <v>6179</v>
      </c>
      <c r="K272" s="738"/>
      <c r="L272" s="738"/>
      <c r="M272" s="154"/>
      <c r="N272" s="738"/>
      <c r="O272" s="738"/>
      <c r="P272" s="738"/>
      <c r="Q272" s="738"/>
      <c r="R272" s="740"/>
      <c r="S272" s="738" t="s">
        <v>1912</v>
      </c>
      <c r="T272" s="738"/>
      <c r="U272" s="738"/>
      <c r="V272" s="738"/>
      <c r="W272" s="738"/>
      <c r="X272" s="738"/>
      <c r="Y272" s="738"/>
      <c r="Z272" s="738"/>
      <c r="AA272" s="738"/>
      <c r="AB272" s="738"/>
      <c r="AC272" s="738"/>
      <c r="AD272" s="738" t="s">
        <v>2642</v>
      </c>
      <c r="AE272" s="738"/>
      <c r="AF272" s="738"/>
      <c r="AG272" s="738"/>
      <c r="AH272" s="738"/>
      <c r="AI272" s="738"/>
      <c r="AJ272" s="154"/>
      <c r="AK272" s="738"/>
      <c r="AL272" s="738"/>
      <c r="AM272" s="738"/>
      <c r="AN272" s="733"/>
      <c r="AO272" s="738"/>
      <c r="AP272" s="738"/>
      <c r="AQ272" s="154"/>
      <c r="AR272" s="738"/>
      <c r="AS272" s="738"/>
      <c r="AT272" s="738"/>
      <c r="AU272" s="733"/>
      <c r="AV272" s="738"/>
      <c r="AW272" s="154"/>
      <c r="AX272" s="738"/>
      <c r="AY272" s="738"/>
      <c r="AZ272" s="738"/>
      <c r="BA272" s="738"/>
      <c r="BB272" s="738"/>
      <c r="BC272" s="738"/>
      <c r="BD272" s="154"/>
      <c r="BE272" s="738"/>
      <c r="BF272" s="738"/>
      <c r="BG272" s="738"/>
      <c r="BH272" s="738"/>
      <c r="BI272" s="738"/>
      <c r="BJ272" s="738"/>
      <c r="BK272" s="154"/>
      <c r="BL272" s="154"/>
      <c r="BM272" s="154"/>
      <c r="BN272" s="154"/>
      <c r="BO272" s="154"/>
      <c r="BP272" s="154"/>
      <c r="BQ272" s="154"/>
      <c r="BR272" s="154"/>
      <c r="BS272" s="154"/>
      <c r="BT272" s="154"/>
      <c r="BU272" s="154"/>
      <c r="BV272" s="154"/>
      <c r="BW272" s="154"/>
      <c r="BX272" s="154"/>
    </row>
    <row r="273" ht="15.75" customHeight="1">
      <c r="A273" s="1219"/>
      <c r="B273" s="1220" t="s">
        <v>6189</v>
      </c>
      <c r="C273" s="252" t="s">
        <v>6190</v>
      </c>
      <c r="D273" s="254" t="s">
        <v>6190</v>
      </c>
      <c r="E273" s="728"/>
      <c r="F273" s="728" t="s">
        <v>5080</v>
      </c>
      <c r="G273" s="728" t="s">
        <v>5208</v>
      </c>
      <c r="H273" s="175"/>
      <c r="I273" s="729" t="s">
        <v>6198</v>
      </c>
      <c r="J273" s="728"/>
      <c r="K273" s="728" t="s">
        <v>6199</v>
      </c>
      <c r="L273" s="728"/>
      <c r="M273" s="1212"/>
      <c r="N273" s="732" t="s">
        <v>6203</v>
      </c>
      <c r="O273" s="728"/>
      <c r="P273" s="728"/>
      <c r="Q273" s="728" t="s">
        <v>4760</v>
      </c>
      <c r="R273" s="732" t="s">
        <v>6207</v>
      </c>
      <c r="S273" s="728"/>
      <c r="T273" s="728"/>
      <c r="U273" s="728"/>
      <c r="V273" s="728"/>
      <c r="W273" s="728" t="s">
        <v>6209</v>
      </c>
      <c r="X273" s="728"/>
      <c r="Y273" s="728"/>
      <c r="Z273" s="728"/>
      <c r="AA273" s="728" t="s">
        <v>6210</v>
      </c>
      <c r="AB273" s="728"/>
      <c r="AC273" s="728"/>
      <c r="AD273" s="728"/>
      <c r="AE273" s="728"/>
      <c r="AF273" s="728"/>
      <c r="AG273" s="728"/>
      <c r="AH273" s="728"/>
      <c r="AI273" s="728"/>
      <c r="AJ273" s="1212"/>
      <c r="AK273" s="728"/>
      <c r="AL273" s="728"/>
      <c r="AM273" s="728"/>
      <c r="AN273" s="733"/>
      <c r="AO273" s="728"/>
      <c r="AP273" s="728"/>
      <c r="AQ273" s="1211" t="s">
        <v>6222</v>
      </c>
      <c r="AR273" s="728"/>
      <c r="AS273" s="728"/>
      <c r="AT273" s="728"/>
      <c r="AU273" s="733"/>
      <c r="AV273" s="728"/>
      <c r="AW273" s="1212"/>
      <c r="AX273" s="728"/>
      <c r="AY273" s="728"/>
      <c r="AZ273" s="728"/>
      <c r="BA273" s="728"/>
      <c r="BB273" s="728"/>
      <c r="BC273" s="728"/>
      <c r="BD273" s="1212"/>
      <c r="BE273" s="728"/>
      <c r="BF273" s="728"/>
      <c r="BG273" s="728"/>
      <c r="BH273" s="728"/>
      <c r="BI273" s="728"/>
      <c r="BJ273" s="728"/>
      <c r="BK273" s="1212"/>
      <c r="BL273" s="1212"/>
      <c r="BM273" s="1212"/>
      <c r="BN273" s="1212"/>
      <c r="BO273" s="1212"/>
      <c r="BP273" s="1212"/>
      <c r="BQ273" s="1212"/>
      <c r="BR273" s="1212"/>
      <c r="BS273" s="1212"/>
      <c r="BT273" s="1212"/>
      <c r="BU273" s="1212"/>
      <c r="BV273" s="1212"/>
      <c r="BW273" s="1212"/>
      <c r="BX273" s="1212"/>
    </row>
    <row r="274" ht="15.75" customHeight="1">
      <c r="A274" s="1213"/>
      <c r="B274" s="1214" t="s">
        <v>6226</v>
      </c>
      <c r="C274" s="725" t="s">
        <v>6199</v>
      </c>
      <c r="D274" s="1216" t="s">
        <v>6232</v>
      </c>
      <c r="E274" s="728"/>
      <c r="F274" s="728" t="s">
        <v>6199</v>
      </c>
      <c r="G274" s="732" t="s">
        <v>6242</v>
      </c>
      <c r="H274" s="175"/>
      <c r="I274" s="733"/>
      <c r="J274" s="728"/>
      <c r="K274" s="728"/>
      <c r="L274" s="728"/>
      <c r="M274" s="147" t="s">
        <v>6244</v>
      </c>
      <c r="N274" s="728"/>
      <c r="O274" s="728"/>
      <c r="P274" s="728"/>
      <c r="Q274" s="728"/>
      <c r="R274" s="732"/>
      <c r="S274" s="112" t="s">
        <v>897</v>
      </c>
      <c r="T274" s="728"/>
      <c r="U274" s="728"/>
      <c r="V274" s="728"/>
      <c r="W274" s="728"/>
      <c r="X274" s="728"/>
      <c r="Y274" s="732" t="s">
        <v>2545</v>
      </c>
      <c r="Z274" s="728"/>
      <c r="AA274" s="728"/>
      <c r="AB274" s="728"/>
      <c r="AC274" s="728"/>
      <c r="AD274" s="728"/>
      <c r="AE274" s="728"/>
      <c r="AF274" s="728"/>
      <c r="AG274" s="728"/>
      <c r="AH274" s="728"/>
      <c r="AI274" s="728"/>
      <c r="AJ274" s="154"/>
      <c r="AK274" s="728"/>
      <c r="AL274" s="728"/>
      <c r="AM274" s="728"/>
      <c r="AN274" s="733"/>
      <c r="AO274" s="728"/>
      <c r="AP274" s="728"/>
      <c r="AQ274" s="154"/>
      <c r="AR274" s="728"/>
      <c r="AS274" s="728"/>
      <c r="AT274" s="728"/>
      <c r="AU274" s="733"/>
      <c r="AV274" s="728"/>
      <c r="AW274" s="154"/>
      <c r="AX274" s="728"/>
      <c r="AY274" s="728"/>
      <c r="AZ274" s="728"/>
      <c r="BA274" s="728"/>
      <c r="BB274" s="728"/>
      <c r="BC274" s="728"/>
      <c r="BD274" s="154"/>
      <c r="BE274" s="728"/>
      <c r="BF274" s="728"/>
      <c r="BG274" s="728"/>
      <c r="BH274" s="728"/>
      <c r="BI274" s="728"/>
      <c r="BJ274" s="728"/>
      <c r="BK274" s="154"/>
      <c r="BL274" s="154"/>
      <c r="BM274" s="154"/>
      <c r="BN274" s="154"/>
      <c r="BO274" s="154"/>
      <c r="BP274" s="154"/>
      <c r="BQ274" s="154"/>
      <c r="BR274" s="154"/>
      <c r="BS274" s="154"/>
      <c r="BT274" s="154"/>
      <c r="BU274" s="154"/>
      <c r="BV274" s="154"/>
      <c r="BW274" s="154"/>
      <c r="BX274" s="154"/>
    </row>
    <row r="275" ht="15.75" customHeight="1">
      <c r="A275" s="1219"/>
      <c r="B275" s="1220" t="s">
        <v>6297</v>
      </c>
      <c r="C275" s="252" t="s">
        <v>6298</v>
      </c>
      <c r="D275" s="254" t="s">
        <v>6298</v>
      </c>
      <c r="E275" s="728"/>
      <c r="F275" s="728" t="s">
        <v>3386</v>
      </c>
      <c r="G275" s="732" t="s">
        <v>5878</v>
      </c>
      <c r="H275" s="175"/>
      <c r="I275" s="733"/>
      <c r="J275" s="728"/>
      <c r="K275" s="728"/>
      <c r="L275" s="728"/>
      <c r="M275" s="1211" t="s">
        <v>6327</v>
      </c>
      <c r="N275" s="728"/>
      <c r="O275" s="728"/>
      <c r="P275" s="728"/>
      <c r="Q275" s="728" t="s">
        <v>6339</v>
      </c>
      <c r="R275" s="732"/>
      <c r="S275" s="728"/>
      <c r="T275" s="728"/>
      <c r="U275" s="728"/>
      <c r="V275" s="728"/>
      <c r="W275" s="728"/>
      <c r="X275" s="728"/>
      <c r="Y275" s="732" t="s">
        <v>6350</v>
      </c>
      <c r="Z275" s="728"/>
      <c r="AA275" s="728"/>
      <c r="AB275" s="728"/>
      <c r="AC275" s="728"/>
      <c r="AD275" s="728"/>
      <c r="AE275" s="728"/>
      <c r="AF275" s="728"/>
      <c r="AG275" s="728"/>
      <c r="AH275" s="728"/>
      <c r="AI275" s="728"/>
      <c r="AJ275" s="1212"/>
      <c r="AK275" s="728"/>
      <c r="AL275" s="728"/>
      <c r="AM275" s="728"/>
      <c r="AN275" s="733"/>
      <c r="AO275" s="728"/>
      <c r="AP275" s="728"/>
      <c r="AQ275" s="1211" t="s">
        <v>898</v>
      </c>
      <c r="AR275" s="728"/>
      <c r="AS275" s="728"/>
      <c r="AT275" s="728"/>
      <c r="AU275" s="733"/>
      <c r="AV275" s="728"/>
      <c r="AW275" s="1212"/>
      <c r="AX275" s="728"/>
      <c r="AY275" s="728"/>
      <c r="AZ275" s="728"/>
      <c r="BA275" s="728"/>
      <c r="BB275" s="728"/>
      <c r="BC275" s="728"/>
      <c r="BD275" s="1212"/>
      <c r="BE275" s="728"/>
      <c r="BF275" s="728"/>
      <c r="BG275" s="728"/>
      <c r="BH275" s="728"/>
      <c r="BI275" s="728"/>
      <c r="BJ275" s="728"/>
      <c r="BK275" s="1212"/>
      <c r="BL275" s="1212"/>
      <c r="BM275" s="1212"/>
      <c r="BN275" s="1212"/>
      <c r="BO275" s="1212"/>
      <c r="BP275" s="1212"/>
      <c r="BQ275" s="1212"/>
      <c r="BR275" s="1212"/>
      <c r="BS275" s="1212"/>
      <c r="BT275" s="1212"/>
      <c r="BU275" s="1212"/>
      <c r="BV275" s="1212"/>
      <c r="BW275" s="1212"/>
      <c r="BX275" s="1212"/>
    </row>
    <row r="276" ht="15.75" customHeight="1">
      <c r="A276" s="1213"/>
      <c r="B276" s="1214" t="s">
        <v>6376</v>
      </c>
      <c r="C276" s="252" t="s">
        <v>6379</v>
      </c>
      <c r="D276" s="254" t="s">
        <v>6379</v>
      </c>
      <c r="E276" s="728" t="s">
        <v>3576</v>
      </c>
      <c r="F276" s="728" t="s">
        <v>6398</v>
      </c>
      <c r="G276" s="728"/>
      <c r="H276" s="112" t="s">
        <v>6409</v>
      </c>
      <c r="I276" s="733"/>
      <c r="J276" s="728"/>
      <c r="K276" s="728"/>
      <c r="L276" s="728"/>
      <c r="M276" s="147" t="s">
        <v>3478</v>
      </c>
      <c r="N276" s="728"/>
      <c r="O276" s="728"/>
      <c r="P276" s="728"/>
      <c r="Q276" s="728" t="s">
        <v>6426</v>
      </c>
      <c r="R276" s="732"/>
      <c r="S276" s="728"/>
      <c r="T276" s="112" t="s">
        <v>2502</v>
      </c>
      <c r="U276" s="728"/>
      <c r="V276" s="728"/>
      <c r="W276" s="728"/>
      <c r="X276" s="728"/>
      <c r="Y276" s="728"/>
      <c r="Z276" s="728"/>
      <c r="AA276" s="728"/>
      <c r="AB276" s="728"/>
      <c r="AC276" s="728"/>
      <c r="AD276" s="728"/>
      <c r="AE276" s="728"/>
      <c r="AF276" s="728"/>
      <c r="AG276" s="728"/>
      <c r="AH276" s="728"/>
      <c r="AI276" s="728"/>
      <c r="AJ276" s="154"/>
      <c r="AK276" s="728"/>
      <c r="AL276" s="728"/>
      <c r="AM276" s="728"/>
      <c r="AN276" s="733"/>
      <c r="AO276" s="728"/>
      <c r="AP276" s="728"/>
      <c r="AQ276" s="154"/>
      <c r="AR276" s="728"/>
      <c r="AS276" s="728"/>
      <c r="AT276" s="728"/>
      <c r="AU276" s="733"/>
      <c r="AV276" s="728"/>
      <c r="AW276" s="154"/>
      <c r="AX276" s="728"/>
      <c r="AY276" s="728"/>
      <c r="AZ276" s="728"/>
      <c r="BA276" s="728"/>
      <c r="BB276" s="728"/>
      <c r="BC276" s="728"/>
      <c r="BD276" s="154"/>
      <c r="BE276" s="728"/>
      <c r="BF276" s="728"/>
      <c r="BG276" s="728"/>
      <c r="BH276" s="728"/>
      <c r="BI276" s="728"/>
      <c r="BJ276" s="728"/>
      <c r="BK276" s="154"/>
      <c r="BL276" s="154"/>
      <c r="BM276" s="154"/>
      <c r="BN276" s="154"/>
      <c r="BO276" s="154"/>
      <c r="BP276" s="154"/>
      <c r="BQ276" s="154"/>
      <c r="BR276" s="154"/>
      <c r="BS276" s="154"/>
      <c r="BT276" s="154"/>
      <c r="BU276" s="154"/>
      <c r="BV276" s="154"/>
      <c r="BW276" s="154"/>
      <c r="BX276" s="154"/>
    </row>
    <row r="277" ht="15.75" customHeight="1">
      <c r="A277" s="1205" t="s">
        <v>227</v>
      </c>
      <c r="B277" s="1206" t="s">
        <v>146</v>
      </c>
      <c r="C277" s="252" t="s">
        <v>6448</v>
      </c>
      <c r="D277" s="254" t="s">
        <v>6448</v>
      </c>
      <c r="E277" s="738"/>
      <c r="F277" s="738"/>
      <c r="G277" s="738"/>
      <c r="H277" s="175"/>
      <c r="I277" s="733"/>
      <c r="J277" s="738"/>
      <c r="K277" s="738"/>
      <c r="L277" s="738"/>
      <c r="M277" s="1212"/>
      <c r="N277" s="738"/>
      <c r="O277" s="738"/>
      <c r="P277" s="738"/>
      <c r="Q277" s="738"/>
      <c r="R277" s="740"/>
      <c r="S277" s="738"/>
      <c r="T277" s="738"/>
      <c r="U277" s="738"/>
      <c r="V277" s="738"/>
      <c r="W277" s="738"/>
      <c r="X277" s="738"/>
      <c r="Y277" s="738"/>
      <c r="Z277" s="738"/>
      <c r="AA277" s="738"/>
      <c r="AB277" s="738"/>
      <c r="AC277" s="738"/>
      <c r="AD277" s="738"/>
      <c r="AE277" s="738"/>
      <c r="AF277" s="738"/>
      <c r="AG277" s="738"/>
      <c r="AH277" s="738"/>
      <c r="AI277" s="738"/>
      <c r="AJ277" s="1212"/>
      <c r="AK277" s="738"/>
      <c r="AL277" s="738"/>
      <c r="AM277" s="738"/>
      <c r="AN277" s="733"/>
      <c r="AO277" s="738"/>
      <c r="AP277" s="738"/>
      <c r="AQ277" s="1212"/>
      <c r="AR277" s="738"/>
      <c r="AS277" s="738"/>
      <c r="AT277" s="738"/>
      <c r="AU277" s="733"/>
      <c r="AV277" s="738"/>
      <c r="AW277" s="1212"/>
      <c r="AX277" s="738"/>
      <c r="AY277" s="738"/>
      <c r="AZ277" s="738"/>
      <c r="BA277" s="738"/>
      <c r="BB277" s="738"/>
      <c r="BC277" s="738"/>
      <c r="BD277" s="1212"/>
      <c r="BE277" s="738"/>
      <c r="BF277" s="738"/>
      <c r="BG277" s="738"/>
      <c r="BH277" s="738"/>
      <c r="BI277" s="738"/>
      <c r="BJ277" s="738"/>
      <c r="BK277" s="1212"/>
      <c r="BL277" s="1212"/>
      <c r="BM277" s="1212"/>
      <c r="BN277" s="1212"/>
      <c r="BO277" s="1212"/>
      <c r="BP277" s="1212"/>
      <c r="BQ277" s="1212"/>
      <c r="BR277" s="1212"/>
      <c r="BS277" s="1212"/>
      <c r="BT277" s="1212"/>
      <c r="BU277" s="1212"/>
      <c r="BV277" s="1212"/>
      <c r="BW277" s="1212"/>
      <c r="BX277" s="1212"/>
    </row>
    <row r="278" ht="15.75" customHeight="1">
      <c r="A278" s="1205" t="s">
        <v>2221</v>
      </c>
      <c r="B278" s="1206" t="s">
        <v>6489</v>
      </c>
      <c r="C278" s="725" t="s">
        <v>5315</v>
      </c>
      <c r="D278" s="1222"/>
      <c r="E278" s="738" t="s">
        <v>470</v>
      </c>
      <c r="F278" s="738"/>
      <c r="G278" s="738"/>
      <c r="H278" s="112" t="s">
        <v>6501</v>
      </c>
      <c r="I278" s="733"/>
      <c r="J278" s="728" t="str">
        <f>HYPERLINK("https://youtu.be/_GZXmZdCc5s","31.80")</f>
        <v>31.80</v>
      </c>
      <c r="K278" s="738"/>
      <c r="L278" s="728" t="s">
        <v>6519</v>
      </c>
      <c r="M278" s="1231" t="s">
        <v>3644</v>
      </c>
      <c r="N278" s="738"/>
      <c r="O278" s="728" t="s">
        <v>5315</v>
      </c>
      <c r="P278" s="728" t="str">
        <f>HYPERLINK("https://youtu.be/kUsh0nBBuMY","32.45")</f>
        <v>32.45</v>
      </c>
      <c r="Q278" s="738"/>
      <c r="R278" s="740" t="s">
        <v>2870</v>
      </c>
      <c r="S278" s="738"/>
      <c r="T278" s="859" t="s">
        <v>2714</v>
      </c>
      <c r="U278" s="738" t="s">
        <v>4100</v>
      </c>
      <c r="V278" s="738"/>
      <c r="W278" s="738"/>
      <c r="X278" s="738" t="s">
        <v>801</v>
      </c>
      <c r="Y278" s="738"/>
      <c r="Z278" s="738"/>
      <c r="AA278" s="738"/>
      <c r="AB278" s="738"/>
      <c r="AC278" s="738"/>
      <c r="AD278" s="738"/>
      <c r="AE278" s="738"/>
      <c r="AF278" s="738"/>
      <c r="AG278" s="738"/>
      <c r="AH278" s="738"/>
      <c r="AI278" s="738"/>
      <c r="AJ278" s="1212"/>
      <c r="AK278" s="738"/>
      <c r="AL278" s="738"/>
      <c r="AM278" s="738"/>
      <c r="AN278" s="733"/>
      <c r="AO278" s="738"/>
      <c r="AP278" s="738"/>
      <c r="AQ278" s="1212"/>
      <c r="AR278" s="738"/>
      <c r="AS278" s="738"/>
      <c r="AT278" s="738"/>
      <c r="AU278" s="733"/>
      <c r="AV278" s="738"/>
      <c r="AW278" s="1212"/>
      <c r="AX278" s="738"/>
      <c r="AY278" s="738"/>
      <c r="AZ278" s="738"/>
      <c r="BA278" s="738"/>
      <c r="BB278" s="738" t="s">
        <v>4160</v>
      </c>
      <c r="BC278" s="738"/>
      <c r="BD278" s="1212"/>
      <c r="BE278" s="738"/>
      <c r="BF278" s="738"/>
      <c r="BG278" s="738"/>
      <c r="BH278" s="738"/>
      <c r="BI278" s="738"/>
      <c r="BJ278" s="738"/>
      <c r="BK278" s="1212"/>
      <c r="BL278" s="1212"/>
      <c r="BM278" s="1212"/>
      <c r="BN278" s="1212"/>
      <c r="BO278" s="1212"/>
      <c r="BP278" s="1212"/>
      <c r="BQ278" s="1212"/>
      <c r="BR278" s="1212"/>
      <c r="BS278" s="1212"/>
      <c r="BT278" s="1212"/>
      <c r="BU278" s="1212"/>
      <c r="BV278" s="1212"/>
      <c r="BW278" s="1212"/>
      <c r="BX278" s="1212"/>
    </row>
    <row r="279" ht="15.75" customHeight="1">
      <c r="A279" s="1213"/>
      <c r="B279" s="1214" t="s">
        <v>6571</v>
      </c>
      <c r="C279" s="725" t="s">
        <v>1548</v>
      </c>
      <c r="D279" s="173"/>
      <c r="E279" s="738"/>
      <c r="F279" s="738"/>
      <c r="G279" s="738"/>
      <c r="H279" s="175"/>
      <c r="I279" s="729" t="s">
        <v>6582</v>
      </c>
      <c r="J279" s="738"/>
      <c r="K279" s="738"/>
      <c r="L279" s="112" t="s">
        <v>6583</v>
      </c>
      <c r="M279" s="154"/>
      <c r="N279" s="738"/>
      <c r="O279" s="738"/>
      <c r="P279" s="738"/>
      <c r="Q279" s="738"/>
      <c r="R279" s="740"/>
      <c r="S279" s="738"/>
      <c r="T279" s="738"/>
      <c r="U279" s="738"/>
      <c r="V279" s="738"/>
      <c r="W279" s="728" t="s">
        <v>1548</v>
      </c>
      <c r="X279" s="738" t="s">
        <v>6596</v>
      </c>
      <c r="Y279" s="738"/>
      <c r="Z279" s="738"/>
      <c r="AA279" s="738"/>
      <c r="AB279" s="738"/>
      <c r="AC279" s="738"/>
      <c r="AD279" s="738"/>
      <c r="AE279" s="738"/>
      <c r="AF279" s="738"/>
      <c r="AG279" s="738"/>
      <c r="AH279" s="738"/>
      <c r="AI279" s="738" t="s">
        <v>3629</v>
      </c>
      <c r="AJ279" s="154"/>
      <c r="AK279" s="738"/>
      <c r="AL279" s="738"/>
      <c r="AM279" s="738"/>
      <c r="AN279" s="733"/>
      <c r="AO279" s="738"/>
      <c r="AP279" s="738"/>
      <c r="AQ279" s="154"/>
      <c r="AR279" s="738"/>
      <c r="AS279" s="738"/>
      <c r="AT279" s="738"/>
      <c r="AU279" s="733"/>
      <c r="AV279" s="738"/>
      <c r="AW279" s="154"/>
      <c r="AX279" s="738"/>
      <c r="AY279" s="738"/>
      <c r="AZ279" s="738"/>
      <c r="BA279" s="738"/>
      <c r="BB279" s="738"/>
      <c r="BC279" s="738"/>
      <c r="BD279" s="154"/>
      <c r="BE279" s="738"/>
      <c r="BF279" s="738"/>
      <c r="BG279" s="738"/>
      <c r="BH279" s="738"/>
      <c r="BI279" s="738"/>
      <c r="BJ279" s="738"/>
      <c r="BK279" s="154"/>
      <c r="BL279" s="154"/>
      <c r="BM279" s="154"/>
      <c r="BN279" s="154"/>
      <c r="BO279" s="154"/>
      <c r="BP279" s="154"/>
      <c r="BQ279" s="154"/>
      <c r="BR279" s="154"/>
      <c r="BS279" s="154"/>
      <c r="BT279" s="154"/>
      <c r="BU279" s="154"/>
      <c r="BV279" s="154"/>
      <c r="BW279" s="154"/>
      <c r="BX279" s="154"/>
    </row>
    <row r="280" ht="15.75" customHeight="1">
      <c r="A280" s="1219"/>
      <c r="B280" s="1220" t="s">
        <v>6613</v>
      </c>
      <c r="C280" s="725" t="s">
        <v>2676</v>
      </c>
      <c r="D280" s="1222"/>
      <c r="E280" s="738" t="s">
        <v>5853</v>
      </c>
      <c r="F280" s="738"/>
      <c r="G280" s="738"/>
      <c r="H280" s="175"/>
      <c r="I280" s="733"/>
      <c r="J280" s="738"/>
      <c r="K280" s="738"/>
      <c r="L280" s="112" t="s">
        <v>2684</v>
      </c>
      <c r="M280" s="1212"/>
      <c r="N280" s="738"/>
      <c r="O280" s="738"/>
      <c r="P280" s="738"/>
      <c r="Q280" s="738"/>
      <c r="R280" s="740"/>
      <c r="S280" s="738"/>
      <c r="T280" s="738"/>
      <c r="U280" s="738"/>
      <c r="V280" s="738"/>
      <c r="W280" s="738"/>
      <c r="X280" s="738"/>
      <c r="Y280" s="738"/>
      <c r="Z280" s="738"/>
      <c r="AA280" s="738"/>
      <c r="AB280" s="738"/>
      <c r="AC280" s="738"/>
      <c r="AD280" s="738"/>
      <c r="AE280" s="738"/>
      <c r="AF280" s="738"/>
      <c r="AG280" s="738"/>
      <c r="AH280" s="738"/>
      <c r="AI280" s="738"/>
      <c r="AJ280" s="1212"/>
      <c r="AK280" s="738"/>
      <c r="AL280" s="738"/>
      <c r="AM280" s="738"/>
      <c r="AN280" s="733"/>
      <c r="AO280" s="738"/>
      <c r="AP280" s="738"/>
      <c r="AQ280" s="1212"/>
      <c r="AR280" s="738"/>
      <c r="AS280" s="738"/>
      <c r="AT280" s="738"/>
      <c r="AU280" s="733"/>
      <c r="AV280" s="738"/>
      <c r="AW280" s="1212"/>
      <c r="AX280" s="738"/>
      <c r="AY280" s="738"/>
      <c r="AZ280" s="738"/>
      <c r="BA280" s="738"/>
      <c r="BB280" s="738"/>
      <c r="BC280" s="738"/>
      <c r="BD280" s="1212"/>
      <c r="BE280" s="738"/>
      <c r="BF280" s="738"/>
      <c r="BG280" s="738"/>
      <c r="BH280" s="738"/>
      <c r="BI280" s="738"/>
      <c r="BJ280" s="738"/>
      <c r="BK280" s="1212"/>
      <c r="BL280" s="1212"/>
      <c r="BM280" s="1212"/>
      <c r="BN280" s="1212"/>
      <c r="BO280" s="1212"/>
      <c r="BP280" s="1212"/>
      <c r="BQ280" s="1212"/>
      <c r="BR280" s="1212"/>
      <c r="BS280" s="1212"/>
      <c r="BT280" s="1212"/>
      <c r="BU280" s="1212"/>
      <c r="BV280" s="1212"/>
      <c r="BW280" s="1212"/>
      <c r="BX280" s="1212"/>
    </row>
    <row r="281" ht="15.75" customHeight="1">
      <c r="A281" s="1213"/>
      <c r="B281" s="1214" t="s">
        <v>6644</v>
      </c>
      <c r="C281" s="725" t="s">
        <v>4136</v>
      </c>
      <c r="D281" s="272" t="s">
        <v>3931</v>
      </c>
      <c r="E281" s="728" t="s">
        <v>656</v>
      </c>
      <c r="F281" s="728" t="s">
        <v>4136</v>
      </c>
      <c r="G281" s="728" t="s">
        <v>5124</v>
      </c>
      <c r="H281" s="112" t="s">
        <v>4623</v>
      </c>
      <c r="I281" s="733"/>
      <c r="J281" s="728" t="s">
        <v>6668</v>
      </c>
      <c r="K281" s="728" t="s">
        <v>5396</v>
      </c>
      <c r="L281" s="728" t="s">
        <v>6672</v>
      </c>
      <c r="M281" s="154"/>
      <c r="N281" s="728" t="s">
        <v>3880</v>
      </c>
      <c r="O281" s="728" t="s">
        <v>805</v>
      </c>
      <c r="P281" s="728" t="s">
        <v>6679</v>
      </c>
      <c r="Q281" s="728" t="s">
        <v>2906</v>
      </c>
      <c r="R281" s="732" t="s">
        <v>1434</v>
      </c>
      <c r="S281" s="728" t="s">
        <v>6596</v>
      </c>
      <c r="T281" s="1241" t="s">
        <v>2644</v>
      </c>
      <c r="U281" s="728"/>
      <c r="V281" s="728"/>
      <c r="W281" s="728"/>
      <c r="X281" s="728" t="s">
        <v>6687</v>
      </c>
      <c r="Y281" s="728"/>
      <c r="Z281" s="728"/>
      <c r="AA281" s="728"/>
      <c r="AB281" s="728"/>
      <c r="AC281" s="728"/>
      <c r="AD281" s="728"/>
      <c r="AE281" s="728"/>
      <c r="AF281" s="728"/>
      <c r="AG281" s="728"/>
      <c r="AH281" s="728"/>
      <c r="AI281" s="728" t="s">
        <v>1226</v>
      </c>
      <c r="AJ281" s="154"/>
      <c r="AK281" s="728"/>
      <c r="AL281" s="728"/>
      <c r="AM281" s="728"/>
      <c r="AN281" s="733"/>
      <c r="AO281" s="728"/>
      <c r="AP281" s="728"/>
      <c r="AQ281" s="154"/>
      <c r="AR281" s="728"/>
      <c r="AS281" s="728"/>
      <c r="AT281" s="728"/>
      <c r="AU281" s="733"/>
      <c r="AV281" s="728"/>
      <c r="AW281" s="154"/>
      <c r="AX281" s="728"/>
      <c r="AY281" s="728"/>
      <c r="AZ281" s="728"/>
      <c r="BA281" s="728"/>
      <c r="BB281" s="728"/>
      <c r="BC281" s="728"/>
      <c r="BD281" s="154"/>
      <c r="BE281" s="728"/>
      <c r="BF281" s="728"/>
      <c r="BG281" s="728"/>
      <c r="BH281" s="728"/>
      <c r="BI281" s="728"/>
      <c r="BJ281" s="728"/>
      <c r="BK281" s="154"/>
      <c r="BL281" s="154"/>
      <c r="BM281" s="154"/>
      <c r="BN281" s="154"/>
      <c r="BO281" s="154"/>
      <c r="BP281" s="154"/>
      <c r="BQ281" s="154"/>
      <c r="BR281" s="154"/>
      <c r="BS281" s="154"/>
      <c r="BT281" s="154"/>
      <c r="BU281" s="154"/>
      <c r="BV281" s="154"/>
      <c r="BW281" s="154"/>
      <c r="BX281" s="154"/>
    </row>
    <row r="282" ht="15.75" customHeight="1">
      <c r="A282" s="1205" t="s">
        <v>811</v>
      </c>
      <c r="B282" s="1206" t="s">
        <v>6698</v>
      </c>
      <c r="C282" s="725" t="s">
        <v>6699</v>
      </c>
      <c r="D282" s="1216" t="s">
        <v>6701</v>
      </c>
      <c r="E282" s="728" t="s">
        <v>2536</v>
      </c>
      <c r="F282" s="728" t="s">
        <v>6707</v>
      </c>
      <c r="G282" s="728"/>
      <c r="H282" s="112" t="s">
        <v>6716</v>
      </c>
      <c r="I282" s="733"/>
      <c r="J282" s="728" t="str">
        <f>HYPERLINK("https://youtu.be/fNmQmNF7N9I","46.93")</f>
        <v>46.93</v>
      </c>
      <c r="K282" s="728" t="s">
        <v>6699</v>
      </c>
      <c r="L282" s="728" t="s">
        <v>1792</v>
      </c>
      <c r="M282" s="1212"/>
      <c r="N282" s="728" t="s">
        <v>6741</v>
      </c>
      <c r="O282" s="728" t="s">
        <v>3400</v>
      </c>
      <c r="P282" s="728"/>
      <c r="Q282" s="728"/>
      <c r="R282" s="732"/>
      <c r="S282" s="728"/>
      <c r="T282" s="728"/>
      <c r="U282" s="728"/>
      <c r="V282" s="728" t="s">
        <v>6744</v>
      </c>
      <c r="W282" s="728" t="s">
        <v>6108</v>
      </c>
      <c r="X282" s="728" t="s">
        <v>864</v>
      </c>
      <c r="Y282" s="728" t="s">
        <v>6546</v>
      </c>
      <c r="Z282" s="728" t="s">
        <v>6566</v>
      </c>
      <c r="AA282" s="728"/>
      <c r="AB282" s="728"/>
      <c r="AC282" s="728" t="s">
        <v>6746</v>
      </c>
      <c r="AD282" s="728" t="s">
        <v>6747</v>
      </c>
      <c r="AE282" s="728"/>
      <c r="AF282" s="728"/>
      <c r="AG282" s="728"/>
      <c r="AH282" s="728"/>
      <c r="AI282" s="728"/>
      <c r="AJ282" s="1212"/>
      <c r="AK282" s="728"/>
      <c r="AL282" s="728"/>
      <c r="AM282" s="728"/>
      <c r="AN282" s="733"/>
      <c r="AO282" s="728"/>
      <c r="AP282" s="728"/>
      <c r="AQ282" s="1212"/>
      <c r="AR282" s="728"/>
      <c r="AS282" s="728"/>
      <c r="AT282" s="728"/>
      <c r="AU282" s="733"/>
      <c r="AV282" s="728" t="s">
        <v>6749</v>
      </c>
      <c r="AW282" s="1212"/>
      <c r="AX282" s="728"/>
      <c r="AY282" s="728"/>
      <c r="AZ282" s="728"/>
      <c r="BA282" s="728"/>
      <c r="BB282" s="728"/>
      <c r="BC282" s="728"/>
      <c r="BD282" s="1212"/>
      <c r="BE282" s="728"/>
      <c r="BF282" s="728"/>
      <c r="BG282" s="728"/>
      <c r="BH282" s="728"/>
      <c r="BI282" s="728"/>
      <c r="BJ282" s="728"/>
      <c r="BK282" s="1212"/>
      <c r="BL282" s="1212"/>
      <c r="BM282" s="1212"/>
      <c r="BN282" s="1212"/>
      <c r="BO282" s="1212"/>
      <c r="BP282" s="1212"/>
      <c r="BQ282" s="1212"/>
      <c r="BR282" s="1212"/>
      <c r="BS282" s="1212"/>
      <c r="BT282" s="1212"/>
      <c r="BU282" s="1212"/>
      <c r="BV282" s="1212"/>
      <c r="BW282" s="1212"/>
      <c r="BX282" s="1212"/>
    </row>
    <row r="283" ht="15.75" customHeight="1">
      <c r="A283" s="1213"/>
      <c r="B283" s="1214" t="s">
        <v>6757</v>
      </c>
      <c r="C283" s="725" t="s">
        <v>1948</v>
      </c>
      <c r="D283" s="401" t="s">
        <v>6764</v>
      </c>
      <c r="E283" s="728" t="s">
        <v>907</v>
      </c>
      <c r="F283" s="728" t="s">
        <v>6770</v>
      </c>
      <c r="G283" s="728"/>
      <c r="H283" s="112" t="s">
        <v>6363</v>
      </c>
      <c r="I283" s="733"/>
      <c r="J283" s="728" t="str">
        <f>HYPERLINK(" https://youtu.be/dsDcBzsPA5s","45.74")</f>
        <v>45.74</v>
      </c>
      <c r="K283" s="728" t="s">
        <v>1948</v>
      </c>
      <c r="L283" s="728" t="s">
        <v>6792</v>
      </c>
      <c r="M283" s="154"/>
      <c r="N283" s="728" t="s">
        <v>6803</v>
      </c>
      <c r="O283" s="728" t="s">
        <v>3634</v>
      </c>
      <c r="P283" s="728" t="s">
        <v>6804</v>
      </c>
      <c r="Q283" s="728" t="s">
        <v>858</v>
      </c>
      <c r="R283" s="732" t="s">
        <v>2642</v>
      </c>
      <c r="S283" s="728" t="s">
        <v>6819</v>
      </c>
      <c r="T283" s="728"/>
      <c r="U283" s="728"/>
      <c r="V283" s="728" t="s">
        <v>1835</v>
      </c>
      <c r="W283" s="728" t="s">
        <v>834</v>
      </c>
      <c r="X283" s="728" t="s">
        <v>6350</v>
      </c>
      <c r="Y283" s="728" t="s">
        <v>2818</v>
      </c>
      <c r="Z283" s="728" t="s">
        <v>5613</v>
      </c>
      <c r="AA283" s="728"/>
      <c r="AB283" s="728"/>
      <c r="AC283" s="728"/>
      <c r="AD283" s="728" t="s">
        <v>3695</v>
      </c>
      <c r="AE283" s="728"/>
      <c r="AF283" s="728"/>
      <c r="AG283" s="728"/>
      <c r="AH283" s="728"/>
      <c r="AI283" s="728"/>
      <c r="AJ283" s="154"/>
      <c r="AK283" s="728"/>
      <c r="AL283" s="728"/>
      <c r="AM283" s="728"/>
      <c r="AN283" s="733"/>
      <c r="AO283" s="728"/>
      <c r="AP283" s="728"/>
      <c r="AQ283" s="154"/>
      <c r="AR283" s="728"/>
      <c r="AS283" s="728"/>
      <c r="AT283" s="728"/>
      <c r="AU283" s="733"/>
      <c r="AV283" s="728" t="s">
        <v>1912</v>
      </c>
      <c r="AW283" s="154"/>
      <c r="AX283" s="728"/>
      <c r="AY283" s="728"/>
      <c r="AZ283" s="728"/>
      <c r="BA283" s="728"/>
      <c r="BB283" s="728"/>
      <c r="BC283" s="728"/>
      <c r="BD283" s="154"/>
      <c r="BE283" s="728"/>
      <c r="BF283" s="728"/>
      <c r="BG283" s="728"/>
      <c r="BH283" s="728"/>
      <c r="BI283" s="728"/>
      <c r="BJ283" s="728"/>
      <c r="BK283" s="154"/>
      <c r="BL283" s="154"/>
      <c r="BM283" s="154"/>
      <c r="BN283" s="154"/>
      <c r="BO283" s="154"/>
      <c r="BP283" s="154"/>
      <c r="BQ283" s="154"/>
      <c r="BR283" s="154"/>
      <c r="BS283" s="154"/>
      <c r="BT283" s="154"/>
      <c r="BU283" s="154"/>
      <c r="BV283" s="154"/>
      <c r="BW283" s="154"/>
      <c r="BX283" s="154"/>
    </row>
    <row r="284" ht="15.75" customHeight="1">
      <c r="A284" s="1219"/>
      <c r="B284" s="1220" t="s">
        <v>6848</v>
      </c>
      <c r="C284" s="725" t="s">
        <v>4292</v>
      </c>
      <c r="D284" s="272" t="s">
        <v>2606</v>
      </c>
      <c r="E284" s="728" t="s">
        <v>6863</v>
      </c>
      <c r="F284" s="728" t="s">
        <v>1271</v>
      </c>
      <c r="G284" s="728" t="s">
        <v>6271</v>
      </c>
      <c r="H284" s="112" t="s">
        <v>4625</v>
      </c>
      <c r="I284" s="733"/>
      <c r="J284" s="728" t="str">
        <f>HYPERLINK("https://youtu.be/9O9oqhlyCxY","45.20")</f>
        <v>45.20</v>
      </c>
      <c r="K284" s="728" t="s">
        <v>6901</v>
      </c>
      <c r="L284" s="112" t="s">
        <v>6908</v>
      </c>
      <c r="M284" s="1212"/>
      <c r="N284" s="728" t="s">
        <v>971</v>
      </c>
      <c r="O284" s="728" t="s">
        <v>938</v>
      </c>
      <c r="P284" s="728" t="s">
        <v>6179</v>
      </c>
      <c r="Q284" s="728" t="s">
        <v>4292</v>
      </c>
      <c r="R284" s="732"/>
      <c r="S284" s="728" t="s">
        <v>6921</v>
      </c>
      <c r="T284" s="728"/>
      <c r="U284" s="728"/>
      <c r="V284" s="728" t="s">
        <v>1448</v>
      </c>
      <c r="W284" s="728" t="s">
        <v>1736</v>
      </c>
      <c r="X284" s="728"/>
      <c r="Y284" s="728" t="s">
        <v>2220</v>
      </c>
      <c r="Z284" s="728"/>
      <c r="AA284" s="728"/>
      <c r="AB284" s="728"/>
      <c r="AC284" s="728" t="s">
        <v>2292</v>
      </c>
      <c r="AD284" s="728" t="s">
        <v>938</v>
      </c>
      <c r="AE284" s="728"/>
      <c r="AF284" s="728"/>
      <c r="AG284" s="728"/>
      <c r="AH284" s="728"/>
      <c r="AI284" s="728"/>
      <c r="AJ284" s="1212"/>
      <c r="AK284" s="728"/>
      <c r="AL284" s="728"/>
      <c r="AM284" s="728"/>
      <c r="AN284" s="733"/>
      <c r="AO284" s="728"/>
      <c r="AP284" s="728"/>
      <c r="AQ284" s="1212"/>
      <c r="AR284" s="728"/>
      <c r="AS284" s="728"/>
      <c r="AT284" s="728"/>
      <c r="AU284" s="733"/>
      <c r="AV284" s="728"/>
      <c r="AW284" s="1212"/>
      <c r="AX284" s="728"/>
      <c r="AY284" s="728"/>
      <c r="AZ284" s="728"/>
      <c r="BA284" s="728"/>
      <c r="BB284" s="728"/>
      <c r="BC284" s="728"/>
      <c r="BD284" s="1212"/>
      <c r="BE284" s="728"/>
      <c r="BF284" s="728"/>
      <c r="BG284" s="728"/>
      <c r="BH284" s="728"/>
      <c r="BI284" s="728"/>
      <c r="BJ284" s="728"/>
      <c r="BK284" s="1212"/>
      <c r="BL284" s="1212"/>
      <c r="BM284" s="1212"/>
      <c r="BN284" s="1212"/>
      <c r="BO284" s="1212"/>
      <c r="BP284" s="1212"/>
      <c r="BQ284" s="1212"/>
      <c r="BR284" s="1212"/>
      <c r="BS284" s="1212"/>
      <c r="BT284" s="1212"/>
      <c r="BU284" s="1212"/>
      <c r="BV284" s="1212"/>
      <c r="BW284" s="1212"/>
      <c r="BX284" s="1212"/>
    </row>
    <row r="285" ht="15.75" customHeight="1">
      <c r="A285" s="1252" t="s">
        <v>3774</v>
      </c>
      <c r="B285" s="1254" t="s">
        <v>6956</v>
      </c>
      <c r="C285" s="725" t="s">
        <v>3761</v>
      </c>
      <c r="D285" s="254" t="s">
        <v>4264</v>
      </c>
      <c r="E285" s="131" t="s">
        <v>5308</v>
      </c>
      <c r="F285" s="1257" t="s">
        <v>1279</v>
      </c>
      <c r="G285" s="1257" t="s">
        <v>5697</v>
      </c>
      <c r="H285" s="112" t="s">
        <v>4245</v>
      </c>
      <c r="I285" s="729" t="s">
        <v>7005</v>
      </c>
      <c r="J285" s="1257"/>
      <c r="K285" s="1257"/>
      <c r="L285" s="1257"/>
      <c r="M285" s="154"/>
      <c r="N285" s="1257"/>
      <c r="O285" s="1257"/>
      <c r="P285" s="1257"/>
      <c r="Q285" s="1257" t="s">
        <v>4293</v>
      </c>
      <c r="R285" s="1259"/>
      <c r="S285" s="1257"/>
      <c r="T285" s="1257"/>
      <c r="U285" s="1257"/>
      <c r="V285" s="1257"/>
      <c r="W285" s="1257"/>
      <c r="X285" s="1257"/>
      <c r="Y285" s="1257"/>
      <c r="Z285" s="1257"/>
      <c r="AA285" s="1257"/>
      <c r="AB285" s="1257"/>
      <c r="AC285" s="1257"/>
      <c r="AD285" s="1257"/>
      <c r="AE285" s="1257"/>
      <c r="AF285" s="1257"/>
      <c r="AG285" s="1257"/>
      <c r="AH285" s="1257"/>
      <c r="AI285" s="1257"/>
      <c r="AJ285" s="154"/>
      <c r="AK285" s="1257"/>
      <c r="AL285" s="1257"/>
      <c r="AM285" s="1257"/>
      <c r="AN285" s="733"/>
      <c r="AO285" s="1257"/>
      <c r="AP285" s="1257"/>
      <c r="AQ285" s="154"/>
      <c r="AR285" s="1257"/>
      <c r="AS285" s="1257"/>
      <c r="AT285" s="1257"/>
      <c r="AU285" s="733"/>
      <c r="AV285" s="1257"/>
      <c r="AW285" s="154"/>
      <c r="AX285" s="1257"/>
      <c r="AY285" s="1257"/>
      <c r="AZ285" s="1257"/>
      <c r="BA285" s="1257"/>
      <c r="BB285" s="1257"/>
      <c r="BC285" s="1257"/>
      <c r="BD285" s="154"/>
      <c r="BE285" s="1257"/>
      <c r="BF285" s="1257"/>
      <c r="BG285" s="1257"/>
      <c r="BH285" s="1257"/>
      <c r="BI285" s="1257"/>
      <c r="BJ285" s="1257"/>
      <c r="BK285" s="154"/>
      <c r="BL285" s="154"/>
      <c r="BM285" s="154"/>
      <c r="BN285" s="154"/>
      <c r="BO285" s="154"/>
      <c r="BP285" s="154"/>
      <c r="BQ285" s="154"/>
      <c r="BR285" s="154"/>
      <c r="BS285" s="154"/>
      <c r="BT285" s="154"/>
      <c r="BU285" s="154"/>
      <c r="BV285" s="154"/>
      <c r="BW285" s="154"/>
      <c r="BX285" s="154"/>
    </row>
    <row r="286" ht="15.75" customHeight="1">
      <c r="A286" s="1261" t="s">
        <v>320</v>
      </c>
      <c r="B286" s="1262" t="s">
        <v>6956</v>
      </c>
      <c r="C286" s="725" t="s">
        <v>7022</v>
      </c>
      <c r="D286" s="272" t="s">
        <v>6014</v>
      </c>
      <c r="E286" s="1257" t="s">
        <v>928</v>
      </c>
      <c r="F286" s="1257" t="s">
        <v>1290</v>
      </c>
      <c r="G286" s="1257" t="s">
        <v>7022</v>
      </c>
      <c r="H286" s="175"/>
      <c r="I286" s="729" t="s">
        <v>7044</v>
      </c>
      <c r="J286" s="1257"/>
      <c r="K286" s="1257"/>
      <c r="L286" s="1257"/>
      <c r="M286" s="1212"/>
      <c r="N286" s="1257" t="s">
        <v>3999</v>
      </c>
      <c r="O286" s="1257" t="s">
        <v>527</v>
      </c>
      <c r="P286" s="1257"/>
      <c r="Q286" s="1257" t="s">
        <v>4294</v>
      </c>
      <c r="R286" s="1259"/>
      <c r="S286" s="1257"/>
      <c r="T286" s="1257"/>
      <c r="U286" s="1257"/>
      <c r="V286" s="1257"/>
      <c r="W286" s="1257" t="s">
        <v>7068</v>
      </c>
      <c r="X286" s="1257"/>
      <c r="Y286" s="1257"/>
      <c r="Z286" s="1257"/>
      <c r="AA286" s="1257"/>
      <c r="AB286" s="1257"/>
      <c r="AC286" s="1257"/>
      <c r="AD286" s="1257"/>
      <c r="AE286" s="1257"/>
      <c r="AF286" s="1257"/>
      <c r="AG286" s="1257"/>
      <c r="AH286" s="1257"/>
      <c r="AI286" s="1257"/>
      <c r="AJ286" s="1212"/>
      <c r="AK286" s="1257"/>
      <c r="AL286" s="1257"/>
      <c r="AM286" s="1257"/>
      <c r="AN286" s="733"/>
      <c r="AO286" s="1257"/>
      <c r="AP286" s="1257"/>
      <c r="AQ286" s="1212"/>
      <c r="AR286" s="1257"/>
      <c r="AS286" s="1257"/>
      <c r="AT286" s="1257"/>
      <c r="AU286" s="733"/>
      <c r="AV286" s="1257"/>
      <c r="AW286" s="1212"/>
      <c r="AX286" s="1257"/>
      <c r="AY286" s="1257"/>
      <c r="AZ286" s="1257"/>
      <c r="BA286" s="1257"/>
      <c r="BB286" s="1257"/>
      <c r="BC286" s="1257"/>
      <c r="BD286" s="1212"/>
      <c r="BE286" s="1257"/>
      <c r="BF286" s="1257"/>
      <c r="BG286" s="1257"/>
      <c r="BH286" s="1257"/>
      <c r="BI286" s="1257"/>
      <c r="BJ286" s="1257"/>
      <c r="BK286" s="1212"/>
      <c r="BL286" s="1212"/>
      <c r="BM286" s="1212"/>
      <c r="BN286" s="1212"/>
      <c r="BO286" s="1212"/>
      <c r="BP286" s="1212"/>
      <c r="BQ286" s="1212"/>
      <c r="BR286" s="1212"/>
      <c r="BS286" s="1212"/>
      <c r="BT286" s="1212"/>
      <c r="BU286" s="1212"/>
      <c r="BV286" s="1212"/>
      <c r="BW286" s="1212"/>
      <c r="BX286" s="1212"/>
    </row>
    <row r="287" ht="15.75" customHeight="1">
      <c r="A287" s="1265" t="s">
        <v>410</v>
      </c>
      <c r="B287" s="1266" t="s">
        <v>146</v>
      </c>
      <c r="C287" s="725" t="s">
        <v>2342</v>
      </c>
      <c r="D287" s="254" t="s">
        <v>1469</v>
      </c>
      <c r="E287" s="728" t="s">
        <v>7105</v>
      </c>
      <c r="F287" s="728" t="s">
        <v>7106</v>
      </c>
      <c r="G287" s="728" t="s">
        <v>2342</v>
      </c>
      <c r="H287" s="112" t="s">
        <v>7120</v>
      </c>
      <c r="I287" s="729" t="s">
        <v>1453</v>
      </c>
      <c r="J287" s="728"/>
      <c r="K287" s="728" t="s">
        <v>5560</v>
      </c>
      <c r="L287" s="728"/>
      <c r="M287" s="624" t="s">
        <v>7132</v>
      </c>
      <c r="N287" s="728" t="s">
        <v>7133</v>
      </c>
      <c r="O287" s="728"/>
      <c r="P287" s="728"/>
      <c r="Q287" s="728" t="s">
        <v>2342</v>
      </c>
      <c r="R287" s="732"/>
      <c r="S287" s="728"/>
      <c r="T287" s="728"/>
      <c r="U287" s="112" t="s">
        <v>7134</v>
      </c>
      <c r="V287" s="728"/>
      <c r="W287" s="728" t="s">
        <v>2342</v>
      </c>
      <c r="X287" s="728"/>
      <c r="Y287" s="728" t="s">
        <v>5508</v>
      </c>
      <c r="Z287" s="728" t="s">
        <v>1181</v>
      </c>
      <c r="AA287" s="728" t="s">
        <v>7155</v>
      </c>
      <c r="AB287" s="728" t="s">
        <v>7164</v>
      </c>
      <c r="AC287" s="728"/>
      <c r="AD287" s="728"/>
      <c r="AE287" s="728"/>
      <c r="AF287" s="728"/>
      <c r="AG287" s="728" t="s">
        <v>7166</v>
      </c>
      <c r="AH287" s="728"/>
      <c r="AI287" s="728"/>
      <c r="AJ287" s="154"/>
      <c r="AK287" s="728"/>
      <c r="AL287" s="728"/>
      <c r="AM287" s="728"/>
      <c r="AN287" s="733"/>
      <c r="AO287" s="728"/>
      <c r="AP287" s="728"/>
      <c r="AQ287" s="154"/>
      <c r="AR287" s="728"/>
      <c r="AS287" s="728"/>
      <c r="AT287" s="728"/>
      <c r="AU287" s="733"/>
      <c r="AV287" s="728"/>
      <c r="AW287" s="154"/>
      <c r="AX287" s="728"/>
      <c r="AY287" s="728"/>
      <c r="AZ287" s="728"/>
      <c r="BA287" s="728"/>
      <c r="BB287" s="728"/>
      <c r="BC287" s="728"/>
      <c r="BD287" s="154"/>
      <c r="BE287" s="728"/>
      <c r="BF287" s="728"/>
      <c r="BG287" s="728"/>
      <c r="BH287" s="728"/>
      <c r="BI287" s="728"/>
      <c r="BJ287" s="728"/>
      <c r="BK287" s="154"/>
      <c r="BL287" s="154"/>
      <c r="BM287" s="154"/>
      <c r="BN287" s="154"/>
      <c r="BO287" s="154"/>
      <c r="BP287" s="154"/>
      <c r="BQ287" s="154"/>
      <c r="BR287" s="154"/>
      <c r="BS287" s="154"/>
      <c r="BT287" s="154"/>
      <c r="BU287" s="154"/>
      <c r="BV287" s="154"/>
      <c r="BW287" s="154"/>
      <c r="BX287" s="154"/>
    </row>
    <row r="288" ht="15.75" customHeight="1">
      <c r="A288" s="1205" t="s">
        <v>2988</v>
      </c>
      <c r="B288" s="1270" t="s">
        <v>7183</v>
      </c>
      <c r="C288" s="725" t="s">
        <v>7186</v>
      </c>
      <c r="D288" s="90" t="s">
        <v>2939</v>
      </c>
      <c r="E288" s="144" t="s">
        <v>4882</v>
      </c>
      <c r="F288" s="728" t="s">
        <v>7212</v>
      </c>
      <c r="G288" s="728" t="s">
        <v>7186</v>
      </c>
      <c r="H288" s="112" t="s">
        <v>4629</v>
      </c>
      <c r="I288" s="1050" t="s">
        <v>7237</v>
      </c>
      <c r="J288" s="728" t="s">
        <v>4882</v>
      </c>
      <c r="K288" s="728" t="s">
        <v>7245</v>
      </c>
      <c r="L288" s="728"/>
      <c r="M288" s="1212"/>
      <c r="N288" s="728" t="s">
        <v>4004</v>
      </c>
      <c r="O288" s="728"/>
      <c r="P288" s="728"/>
      <c r="Q288" s="728" t="s">
        <v>7253</v>
      </c>
      <c r="R288" s="732"/>
      <c r="S288" s="728" t="s">
        <v>528</v>
      </c>
      <c r="T288" s="728"/>
      <c r="U288" s="728"/>
      <c r="V288" s="728"/>
      <c r="W288" s="728" t="s">
        <v>1747</v>
      </c>
      <c r="X288" s="728"/>
      <c r="Y288" s="728" t="s">
        <v>7267</v>
      </c>
      <c r="Z288" s="728"/>
      <c r="AA288" s="728"/>
      <c r="AB288" s="728"/>
      <c r="AC288" s="728"/>
      <c r="AD288" s="728"/>
      <c r="AE288" s="728"/>
      <c r="AF288" s="728"/>
      <c r="AG288" s="728"/>
      <c r="AH288" s="728" t="s">
        <v>7280</v>
      </c>
      <c r="AI288" s="728"/>
      <c r="AJ288" s="1212"/>
      <c r="AK288" s="728"/>
      <c r="AL288" s="728"/>
      <c r="AM288" s="728"/>
      <c r="AN288" s="733"/>
      <c r="AO288" s="728"/>
      <c r="AP288" s="728"/>
      <c r="AQ288" s="1212"/>
      <c r="AR288" s="728"/>
      <c r="AS288" s="728"/>
      <c r="AT288" s="728"/>
      <c r="AU288" s="733"/>
      <c r="AV288" s="728"/>
      <c r="AW288" s="1212"/>
      <c r="AX288" s="728"/>
      <c r="AY288" s="728"/>
      <c r="AZ288" s="728"/>
      <c r="BA288" s="728"/>
      <c r="BB288" s="728"/>
      <c r="BC288" s="728"/>
      <c r="BD288" s="1212"/>
      <c r="BE288" s="728"/>
      <c r="BF288" s="728"/>
      <c r="BG288" s="728"/>
      <c r="BH288" s="728"/>
      <c r="BI288" s="728"/>
      <c r="BJ288" s="728"/>
      <c r="BK288" s="1212"/>
      <c r="BL288" s="1212"/>
      <c r="BM288" s="1212"/>
      <c r="BN288" s="1212"/>
      <c r="BO288" s="1212"/>
      <c r="BP288" s="1212"/>
      <c r="BQ288" s="1212"/>
      <c r="BR288" s="1212"/>
      <c r="BS288" s="1212"/>
      <c r="BT288" s="1212"/>
      <c r="BU288" s="1212"/>
      <c r="BV288" s="1212"/>
      <c r="BW288" s="1212"/>
      <c r="BX288" s="1212"/>
    </row>
    <row r="289" ht="15.75" customHeight="1">
      <c r="A289" s="1273" t="s">
        <v>3150</v>
      </c>
      <c r="B289" s="1266" t="s">
        <v>7183</v>
      </c>
      <c r="C289" s="252" t="s">
        <v>7310</v>
      </c>
      <c r="D289" s="90" t="s">
        <v>7310</v>
      </c>
      <c r="E289" s="728" t="s">
        <v>3920</v>
      </c>
      <c r="F289" s="728"/>
      <c r="G289" s="112" t="s">
        <v>3323</v>
      </c>
      <c r="H289" s="175"/>
      <c r="I289" s="729" t="s">
        <v>7330</v>
      </c>
      <c r="J289" s="728"/>
      <c r="K289" s="728"/>
      <c r="L289" s="728"/>
      <c r="M289" s="1212"/>
      <c r="N289" s="728"/>
      <c r="O289" s="728"/>
      <c r="P289" s="728"/>
      <c r="Q289" s="728"/>
      <c r="R289" s="732"/>
      <c r="S289" s="728"/>
      <c r="T289" s="728"/>
      <c r="U289" s="728"/>
      <c r="V289" s="728"/>
      <c r="W289" s="728"/>
      <c r="X289" s="728"/>
      <c r="Y289" s="728"/>
      <c r="Z289" s="728"/>
      <c r="AA289" s="728"/>
      <c r="AB289" s="728"/>
      <c r="AC289" s="728"/>
      <c r="AD289" s="728"/>
      <c r="AE289" s="728"/>
      <c r="AF289" s="728"/>
      <c r="AG289" s="728"/>
      <c r="AH289" s="728"/>
      <c r="AI289" s="728"/>
      <c r="AJ289" s="1212"/>
      <c r="AK289" s="728"/>
      <c r="AL289" s="728"/>
      <c r="AM289" s="728"/>
      <c r="AN289" s="733"/>
      <c r="AO289" s="728"/>
      <c r="AP289" s="728"/>
      <c r="AQ289" s="1275" t="s">
        <v>7339</v>
      </c>
      <c r="AR289" s="728"/>
      <c r="AS289" s="728"/>
      <c r="AT289" s="728"/>
      <c r="AU289" s="733"/>
      <c r="AV289" s="728"/>
      <c r="AW289" s="1212"/>
      <c r="AX289" s="728"/>
      <c r="AY289" s="728"/>
      <c r="AZ289" s="728"/>
      <c r="BA289" s="728"/>
      <c r="BB289" s="728"/>
      <c r="BC289" s="728"/>
      <c r="BD289" s="1212"/>
      <c r="BE289" s="728"/>
      <c r="BF289" s="728"/>
      <c r="BG289" s="728"/>
      <c r="BH289" s="728"/>
      <c r="BI289" s="728"/>
      <c r="BJ289" s="728"/>
      <c r="BK289" s="1212"/>
      <c r="BL289" s="1212"/>
      <c r="BM289" s="1212"/>
      <c r="BN289" s="1212"/>
      <c r="BO289" s="1212"/>
      <c r="BP289" s="1212"/>
      <c r="BQ289" s="1212"/>
      <c r="BR289" s="1212"/>
      <c r="BS289" s="1212"/>
      <c r="BT289" s="1212"/>
      <c r="BU289" s="1212"/>
      <c r="BV289" s="1212"/>
      <c r="BW289" s="1212"/>
      <c r="BX289" s="1212"/>
    </row>
    <row r="290" ht="15.75" customHeight="1">
      <c r="A290" s="1205" t="s">
        <v>1423</v>
      </c>
      <c r="B290" s="1206" t="s">
        <v>7345</v>
      </c>
      <c r="C290" s="725" t="s">
        <v>7346</v>
      </c>
      <c r="D290" s="1222"/>
      <c r="E290" s="175"/>
      <c r="F290" s="112" t="s">
        <v>7347</v>
      </c>
      <c r="G290" s="112" t="s">
        <v>7346</v>
      </c>
      <c r="H290" s="112" t="s">
        <v>7349</v>
      </c>
      <c r="I290" s="733"/>
      <c r="J290" s="175"/>
      <c r="K290" s="175"/>
      <c r="L290" s="175"/>
      <c r="M290" s="154"/>
      <c r="N290" s="175"/>
      <c r="O290" s="175"/>
      <c r="P290" s="175" t="s">
        <v>7351</v>
      </c>
      <c r="Q290" s="175"/>
      <c r="R290" s="732" t="s">
        <v>7353</v>
      </c>
      <c r="S290" s="175"/>
      <c r="T290" s="112" t="s">
        <v>5596</v>
      </c>
      <c r="U290" s="175"/>
      <c r="V290" s="175"/>
      <c r="W290" s="175"/>
      <c r="X290" s="175"/>
      <c r="Y290" s="175"/>
      <c r="Z290" s="175"/>
      <c r="AA290" s="175"/>
      <c r="AB290" s="175"/>
      <c r="AC290" s="175"/>
      <c r="AD290" s="175"/>
      <c r="AE290" s="175"/>
      <c r="AF290" s="175"/>
      <c r="AG290" s="175"/>
      <c r="AH290" s="175"/>
      <c r="AI290" s="175"/>
      <c r="AJ290" s="154"/>
      <c r="AK290" s="175"/>
      <c r="AL290" s="175"/>
      <c r="AM290" s="175"/>
      <c r="AN290" s="733"/>
      <c r="AO290" s="175"/>
      <c r="AP290" s="175"/>
      <c r="AQ290" s="154"/>
      <c r="AR290" s="175"/>
      <c r="AS290" s="175"/>
      <c r="AT290" s="175"/>
      <c r="AU290" s="733"/>
      <c r="AV290" s="175"/>
      <c r="AW290" s="154"/>
      <c r="AX290" s="175"/>
      <c r="AY290" s="175"/>
      <c r="AZ290" s="175"/>
      <c r="BA290" s="175"/>
      <c r="BB290" s="175"/>
      <c r="BC290" s="175"/>
      <c r="BD290" s="154"/>
      <c r="BE290" s="175"/>
      <c r="BF290" s="175"/>
      <c r="BG290" s="175"/>
      <c r="BH290" s="175"/>
      <c r="BI290" s="175"/>
      <c r="BJ290" s="175"/>
      <c r="BK290" s="154"/>
      <c r="BL290" s="154"/>
      <c r="BM290" s="154"/>
      <c r="BN290" s="154"/>
      <c r="BO290" s="154"/>
      <c r="BP290" s="154"/>
      <c r="BQ290" s="154"/>
      <c r="BR290" s="154"/>
      <c r="BS290" s="154"/>
      <c r="BT290" s="154"/>
      <c r="BU290" s="154"/>
      <c r="BV290" s="154"/>
      <c r="BW290" s="154"/>
      <c r="BX290" s="154"/>
    </row>
    <row r="291" ht="15.75" customHeight="1">
      <c r="A291" s="1213"/>
      <c r="B291" s="1214" t="s">
        <v>7355</v>
      </c>
      <c r="C291" s="725" t="s">
        <v>2915</v>
      </c>
      <c r="D291" s="254" t="s">
        <v>5651</v>
      </c>
      <c r="E291" s="728" t="s">
        <v>2963</v>
      </c>
      <c r="F291" s="728" t="s">
        <v>7357</v>
      </c>
      <c r="G291" s="732" t="s">
        <v>1874</v>
      </c>
      <c r="H291" s="175"/>
      <c r="I291" s="733"/>
      <c r="J291" s="728"/>
      <c r="K291" s="728"/>
      <c r="L291" s="728"/>
      <c r="M291" s="1211" t="s">
        <v>7359</v>
      </c>
      <c r="N291" s="728"/>
      <c r="O291" s="728"/>
      <c r="P291" s="728"/>
      <c r="Q291" s="728"/>
      <c r="R291" s="732" t="s">
        <v>7360</v>
      </c>
      <c r="S291" s="728" t="s">
        <v>7361</v>
      </c>
      <c r="T291" s="728"/>
      <c r="U291" s="728" t="s">
        <v>2963</v>
      </c>
      <c r="V291" s="728"/>
      <c r="W291" s="728" t="s">
        <v>2915</v>
      </c>
      <c r="X291" s="728"/>
      <c r="Y291" s="728"/>
      <c r="Z291" s="728"/>
      <c r="AA291" s="728"/>
      <c r="AB291" s="728"/>
      <c r="AC291" s="728" t="s">
        <v>5478</v>
      </c>
      <c r="AD291" s="728"/>
      <c r="AE291" s="728"/>
      <c r="AF291" s="728"/>
      <c r="AG291" s="728"/>
      <c r="AH291" s="728"/>
      <c r="AI291" s="728"/>
      <c r="AJ291" s="1212"/>
      <c r="AK291" s="728"/>
      <c r="AL291" s="728"/>
      <c r="AM291" s="728"/>
      <c r="AN291" s="733"/>
      <c r="AO291" s="728"/>
      <c r="AP291" s="728"/>
      <c r="AQ291" s="1212"/>
      <c r="AR291" s="728"/>
      <c r="AS291" s="728"/>
      <c r="AT291" s="728"/>
      <c r="AU291" s="733"/>
      <c r="AV291" s="728"/>
      <c r="AW291" s="1212"/>
      <c r="AX291" s="728"/>
      <c r="AY291" s="728"/>
      <c r="AZ291" s="728"/>
      <c r="BA291" s="728"/>
      <c r="BB291" s="728"/>
      <c r="BC291" s="728"/>
      <c r="BD291" s="1212"/>
      <c r="BE291" s="728"/>
      <c r="BF291" s="728"/>
      <c r="BG291" s="728"/>
      <c r="BH291" s="728"/>
      <c r="BI291" s="728"/>
      <c r="BJ291" s="728"/>
      <c r="BK291" s="1212"/>
      <c r="BL291" s="1212"/>
      <c r="BM291" s="1212"/>
      <c r="BN291" s="1212"/>
      <c r="BO291" s="1212"/>
      <c r="BP291" s="1212"/>
      <c r="BQ291" s="1275" t="s">
        <v>7363</v>
      </c>
      <c r="BR291" s="1212"/>
      <c r="BS291" s="1212"/>
      <c r="BT291" s="1212"/>
      <c r="BU291" s="1212"/>
      <c r="BV291" s="1212"/>
      <c r="BW291" s="1212"/>
      <c r="BX291" s="1212"/>
    </row>
    <row r="292" ht="15.75" customHeight="1">
      <c r="A292" s="1219"/>
      <c r="B292" s="1220" t="s">
        <v>7364</v>
      </c>
      <c r="C292" s="725" t="s">
        <v>1897</v>
      </c>
      <c r="D292" s="90" t="s">
        <v>3886</v>
      </c>
      <c r="E292" s="728"/>
      <c r="F292" s="728" t="s">
        <v>1130</v>
      </c>
      <c r="G292" s="732" t="s">
        <v>1989</v>
      </c>
      <c r="H292" s="112" t="s">
        <v>7367</v>
      </c>
      <c r="I292" s="729" t="s">
        <v>7368</v>
      </c>
      <c r="J292" s="728"/>
      <c r="K292" s="728" t="s">
        <v>2963</v>
      </c>
      <c r="L292" s="728"/>
      <c r="M292" s="154"/>
      <c r="N292" s="728"/>
      <c r="O292" s="728" t="s">
        <v>4402</v>
      </c>
      <c r="P292" s="728"/>
      <c r="Q292" s="728" t="s">
        <v>7367</v>
      </c>
      <c r="R292" s="732" t="s">
        <v>5130</v>
      </c>
      <c r="S292" s="728"/>
      <c r="T292" s="728"/>
      <c r="U292" s="728"/>
      <c r="V292" s="728"/>
      <c r="W292" s="728" t="s">
        <v>1130</v>
      </c>
      <c r="X292" s="728"/>
      <c r="Y292" s="728" t="s">
        <v>1897</v>
      </c>
      <c r="Z292" s="728"/>
      <c r="AA292" s="728"/>
      <c r="AB292" s="728"/>
      <c r="AC292" s="728"/>
      <c r="AD292" s="728"/>
      <c r="AE292" s="728"/>
      <c r="AF292" s="728"/>
      <c r="AG292" s="728"/>
      <c r="AH292" s="728"/>
      <c r="AI292" s="728"/>
      <c r="AJ292" s="154"/>
      <c r="AK292" s="728"/>
      <c r="AL292" s="728"/>
      <c r="AM292" s="728"/>
      <c r="AN292" s="733"/>
      <c r="AO292" s="728"/>
      <c r="AP292" s="728"/>
      <c r="AQ292" s="154"/>
      <c r="AR292" s="728"/>
      <c r="AS292" s="728"/>
      <c r="AT292" s="728"/>
      <c r="AU292" s="733"/>
      <c r="AV292" s="728"/>
      <c r="AW292" s="154"/>
      <c r="AX292" s="728"/>
      <c r="AY292" s="728"/>
      <c r="AZ292" s="728"/>
      <c r="BA292" s="728"/>
      <c r="BB292" s="728"/>
      <c r="BC292" s="728"/>
      <c r="BD292" s="154"/>
      <c r="BE292" s="728"/>
      <c r="BF292" s="728"/>
      <c r="BG292" s="728"/>
      <c r="BH292" s="728"/>
      <c r="BI292" s="728"/>
      <c r="BJ292" s="728"/>
      <c r="BK292" s="154"/>
      <c r="BL292" s="154"/>
      <c r="BM292" s="154"/>
      <c r="BN292" s="154"/>
      <c r="BO292" s="154"/>
      <c r="BP292" s="154"/>
      <c r="BQ292" s="157" t="s">
        <v>7372</v>
      </c>
      <c r="BR292" s="154"/>
      <c r="BS292" s="154"/>
      <c r="BT292" s="154"/>
      <c r="BU292" s="154"/>
      <c r="BV292" s="154"/>
      <c r="BW292" s="154"/>
      <c r="BX292" s="154"/>
    </row>
    <row r="293" ht="15.75" customHeight="1">
      <c r="A293" s="1205" t="s">
        <v>1494</v>
      </c>
      <c r="B293" s="1206" t="s">
        <v>146</v>
      </c>
      <c r="C293" s="725" t="s">
        <v>7373</v>
      </c>
      <c r="D293" s="90" t="s">
        <v>5582</v>
      </c>
      <c r="E293" s="131" t="s">
        <v>531</v>
      </c>
      <c r="F293" s="738"/>
      <c r="G293" s="738"/>
      <c r="H293" s="112" t="s">
        <v>4633</v>
      </c>
      <c r="I293" s="729" t="s">
        <v>7378</v>
      </c>
      <c r="J293" s="738"/>
      <c r="K293" s="738"/>
      <c r="L293" s="738"/>
      <c r="M293" s="1212"/>
      <c r="N293" s="738" t="s">
        <v>4007</v>
      </c>
      <c r="O293" s="738"/>
      <c r="P293" s="728" t="str">
        <f>HYPERLINK("https://youtu.be/4iaM52WYNRU","1:30.81")</f>
        <v>1:30.81</v>
      </c>
      <c r="Q293" s="738"/>
      <c r="R293" s="740"/>
      <c r="S293" s="738"/>
      <c r="T293" s="738"/>
      <c r="U293" s="738"/>
      <c r="V293" s="738"/>
      <c r="W293" s="738"/>
      <c r="X293" s="738"/>
      <c r="Y293" s="738"/>
      <c r="Z293" s="738"/>
      <c r="AA293" s="738"/>
      <c r="AB293" s="738"/>
      <c r="AC293" s="738"/>
      <c r="AD293" s="738"/>
      <c r="AE293" s="738"/>
      <c r="AF293" s="738"/>
      <c r="AG293" s="738"/>
      <c r="AH293" s="738"/>
      <c r="AI293" s="738"/>
      <c r="AJ293" s="1212"/>
      <c r="AK293" s="738"/>
      <c r="AL293" s="738"/>
      <c r="AM293" s="738"/>
      <c r="AN293" s="733"/>
      <c r="AO293" s="738"/>
      <c r="AP293" s="738"/>
      <c r="AQ293" s="1212"/>
      <c r="AR293" s="738"/>
      <c r="AS293" s="738"/>
      <c r="AT293" s="738"/>
      <c r="AU293" s="733"/>
      <c r="AV293" s="738"/>
      <c r="AW293" s="1212"/>
      <c r="AX293" s="738"/>
      <c r="AY293" s="738"/>
      <c r="AZ293" s="738"/>
      <c r="BA293" s="738"/>
      <c r="BB293" s="738"/>
      <c r="BC293" s="738"/>
      <c r="BD293" s="1212"/>
      <c r="BE293" s="738"/>
      <c r="BF293" s="738"/>
      <c r="BG293" s="738"/>
      <c r="BH293" s="738"/>
      <c r="BI293" s="738"/>
      <c r="BJ293" s="738"/>
      <c r="BK293" s="1212"/>
      <c r="BL293" s="1212"/>
      <c r="BM293" s="1212"/>
      <c r="BN293" s="1212"/>
      <c r="BO293" s="1212"/>
      <c r="BP293" s="1212"/>
      <c r="BQ293" s="1212"/>
      <c r="BR293" s="1212"/>
      <c r="BS293" s="1212"/>
      <c r="BT293" s="1212"/>
      <c r="BU293" s="1212"/>
      <c r="BV293" s="1212"/>
      <c r="BW293" s="1212"/>
      <c r="BX293" s="1212"/>
    </row>
    <row r="294" ht="15.75" customHeight="1">
      <c r="A294" s="1205" t="s">
        <v>7381</v>
      </c>
      <c r="B294" s="1206" t="s">
        <v>146</v>
      </c>
      <c r="C294" s="252" t="s">
        <v>3437</v>
      </c>
      <c r="D294" s="90" t="s">
        <v>3437</v>
      </c>
      <c r="F294" s="728"/>
      <c r="G294" s="728"/>
      <c r="H294" s="175"/>
      <c r="I294" s="733"/>
      <c r="J294" s="728"/>
      <c r="K294" s="728"/>
      <c r="L294" s="728"/>
      <c r="M294" s="154"/>
      <c r="N294" s="728"/>
      <c r="O294" s="728"/>
      <c r="P294" s="728"/>
      <c r="Q294" s="728"/>
      <c r="R294" s="732"/>
      <c r="S294" s="728"/>
      <c r="T294" s="728"/>
      <c r="U294" s="175"/>
      <c r="V294" s="728"/>
      <c r="W294" s="728"/>
      <c r="X294" s="728"/>
      <c r="Y294" s="728"/>
      <c r="Z294" s="728"/>
      <c r="AA294" s="728"/>
      <c r="AB294" s="728"/>
      <c r="AC294" s="728"/>
      <c r="AD294" s="728"/>
      <c r="AE294" s="728"/>
      <c r="AF294" s="728"/>
      <c r="AG294" s="728"/>
      <c r="AH294" s="728"/>
      <c r="AI294" s="728"/>
      <c r="AJ294" s="154"/>
      <c r="AK294" s="728"/>
      <c r="AL294" s="728"/>
      <c r="AM294" s="728"/>
      <c r="AN294" s="733"/>
      <c r="AO294" s="728"/>
      <c r="AP294" s="728"/>
      <c r="AQ294" s="154"/>
      <c r="AR294" s="728"/>
      <c r="AS294" s="728"/>
      <c r="AT294" s="728"/>
      <c r="AU294" s="733"/>
      <c r="AV294" s="728"/>
      <c r="AW294" s="154"/>
      <c r="AX294" s="728"/>
      <c r="AY294" s="728"/>
      <c r="AZ294" s="728"/>
      <c r="BA294" s="728"/>
      <c r="BB294" s="728"/>
      <c r="BC294" s="728"/>
      <c r="BD294" s="154"/>
      <c r="BE294" s="728"/>
      <c r="BF294" s="728"/>
      <c r="BG294" s="728"/>
      <c r="BH294" s="728"/>
      <c r="BI294" s="728"/>
      <c r="BJ294" s="728"/>
      <c r="BK294" s="154"/>
      <c r="BL294" s="154"/>
      <c r="BM294" s="154"/>
      <c r="BN294" s="154"/>
      <c r="BO294" s="154"/>
      <c r="BP294" s="154"/>
      <c r="BQ294" s="154"/>
      <c r="BR294" s="154"/>
      <c r="BS294" s="154"/>
      <c r="BT294" s="154"/>
      <c r="BU294" s="154"/>
      <c r="BV294" s="154"/>
      <c r="BW294" s="154"/>
      <c r="BX294" s="154"/>
    </row>
    <row r="295" ht="15.75" customHeight="1">
      <c r="A295" s="1265" t="s">
        <v>1544</v>
      </c>
      <c r="B295" s="1266" t="s">
        <v>146</v>
      </c>
      <c r="C295" s="83" t="s">
        <v>7383</v>
      </c>
      <c r="D295" s="254" t="s">
        <v>7384</v>
      </c>
      <c r="E295" s="112" t="s">
        <v>7383</v>
      </c>
      <c r="F295" s="728"/>
      <c r="G295" s="728"/>
      <c r="H295" s="175"/>
      <c r="I295" s="733"/>
      <c r="J295" s="728"/>
      <c r="K295" s="728"/>
      <c r="L295" s="728"/>
      <c r="M295" s="154"/>
      <c r="N295" s="728"/>
      <c r="O295" s="728"/>
      <c r="P295" s="728"/>
      <c r="Q295" s="728"/>
      <c r="R295" s="732"/>
      <c r="S295" s="728"/>
      <c r="T295" s="728"/>
      <c r="U295" s="175"/>
      <c r="V295" s="728"/>
      <c r="W295" s="728"/>
      <c r="X295" s="728"/>
      <c r="Y295" s="728"/>
      <c r="Z295" s="728"/>
      <c r="AA295" s="728"/>
      <c r="AB295" s="728"/>
      <c r="AC295" s="728"/>
      <c r="AD295" s="728"/>
      <c r="AE295" s="728"/>
      <c r="AF295" s="728"/>
      <c r="AG295" s="728"/>
      <c r="AH295" s="728"/>
      <c r="AI295" s="728"/>
      <c r="AJ295" s="154"/>
      <c r="AK295" s="728"/>
      <c r="AL295" s="728"/>
      <c r="AM295" s="728"/>
      <c r="AN295" s="733"/>
      <c r="AO295" s="728"/>
      <c r="AP295" s="728"/>
      <c r="AQ295" s="154"/>
      <c r="AR295" s="728"/>
      <c r="AS295" s="728"/>
      <c r="AT295" s="728"/>
      <c r="AU295" s="733"/>
      <c r="AV295" s="728"/>
      <c r="AW295" s="154"/>
      <c r="AX295" s="728"/>
      <c r="AY295" s="728"/>
      <c r="AZ295" s="728"/>
      <c r="BA295" s="728"/>
      <c r="BB295" s="728"/>
      <c r="BC295" s="728"/>
      <c r="BD295" s="154"/>
      <c r="BE295" s="728"/>
      <c r="BF295" s="728"/>
      <c r="BG295" s="728"/>
      <c r="BH295" s="728"/>
      <c r="BI295" s="728"/>
      <c r="BJ295" s="728"/>
      <c r="BK295" s="154"/>
      <c r="BL295" s="154"/>
      <c r="BM295" s="154"/>
      <c r="BN295" s="154"/>
      <c r="BO295" s="154"/>
      <c r="BP295" s="154"/>
      <c r="BQ295" s="154"/>
      <c r="BR295" s="154"/>
      <c r="BS295" s="154"/>
      <c r="BT295" s="154"/>
      <c r="BU295" s="154"/>
      <c r="BV295" s="154"/>
      <c r="BW295" s="154"/>
      <c r="BX295" s="154"/>
    </row>
    <row r="296" ht="15.75" customHeight="1">
      <c r="A296" s="1205" t="s">
        <v>127</v>
      </c>
      <c r="B296" s="1206" t="s">
        <v>3617</v>
      </c>
      <c r="C296" s="83" t="s">
        <v>7388</v>
      </c>
      <c r="D296" s="90" t="s">
        <v>3512</v>
      </c>
      <c r="E296" s="107" t="s">
        <v>5324</v>
      </c>
      <c r="F296" s="738"/>
      <c r="G296" s="112" t="s">
        <v>7388</v>
      </c>
      <c r="H296" s="112" t="s">
        <v>1968</v>
      </c>
      <c r="I296" s="729" t="s">
        <v>7393</v>
      </c>
      <c r="J296" s="738" t="s">
        <v>7394</v>
      </c>
      <c r="K296" s="738"/>
      <c r="L296" s="738"/>
      <c r="M296" s="154"/>
      <c r="N296" s="738"/>
      <c r="O296" s="738"/>
      <c r="P296" s="728" t="str">
        <f>HYPERLINK("https://youtu.be/iPAXLOnqzFM","41.13")</f>
        <v>41.13</v>
      </c>
      <c r="Q296" s="738"/>
      <c r="R296" s="740"/>
      <c r="S296" s="738"/>
      <c r="T296" s="738"/>
      <c r="U296" s="738"/>
      <c r="V296" s="738"/>
      <c r="W296" s="738"/>
      <c r="X296" s="738"/>
      <c r="Y296" s="738"/>
      <c r="Z296" s="738"/>
      <c r="AA296" s="738"/>
      <c r="AB296" s="738"/>
      <c r="AC296" s="738"/>
      <c r="AD296" s="738"/>
      <c r="AE296" s="738"/>
      <c r="AF296" s="738"/>
      <c r="AG296" s="738"/>
      <c r="AH296" s="738"/>
      <c r="AI296" s="738"/>
      <c r="AJ296" s="154"/>
      <c r="AK296" s="738"/>
      <c r="AL296" s="738"/>
      <c r="AM296" s="738"/>
      <c r="AN296" s="733"/>
      <c r="AO296" s="738"/>
      <c r="AP296" s="738"/>
      <c r="AQ296" s="154"/>
      <c r="AR296" s="738"/>
      <c r="AS296" s="738"/>
      <c r="AT296" s="738"/>
      <c r="AU296" s="733"/>
      <c r="AV296" s="738"/>
      <c r="AW296" s="154"/>
      <c r="AX296" s="738"/>
      <c r="AY296" s="738"/>
      <c r="AZ296" s="738"/>
      <c r="BA296" s="738"/>
      <c r="BB296" s="738"/>
      <c r="BC296" s="738"/>
      <c r="BD296" s="154"/>
      <c r="BE296" s="738"/>
      <c r="BF296" s="738"/>
      <c r="BG296" s="738"/>
      <c r="BH296" s="738"/>
      <c r="BI296" s="738"/>
      <c r="BJ296" s="738"/>
      <c r="BK296" s="154"/>
      <c r="BL296" s="154"/>
      <c r="BM296" s="154"/>
      <c r="BN296" s="154"/>
      <c r="BO296" s="154"/>
      <c r="BP296" s="154"/>
      <c r="BQ296" s="154"/>
      <c r="BR296" s="154"/>
      <c r="BS296" s="154"/>
      <c r="BT296" s="154"/>
      <c r="BU296" s="154"/>
      <c r="BV296" s="154"/>
      <c r="BW296" s="154"/>
      <c r="BX296" s="154"/>
    </row>
    <row r="297" ht="15.75" customHeight="1">
      <c r="A297" s="1213"/>
      <c r="B297" s="1214" t="s">
        <v>3641</v>
      </c>
      <c r="C297" s="725" t="s">
        <v>7401</v>
      </c>
      <c r="D297" s="173"/>
      <c r="E297" s="738"/>
      <c r="F297" s="738"/>
      <c r="G297" s="738"/>
      <c r="H297" s="112" t="s">
        <v>4146</v>
      </c>
      <c r="I297" s="733"/>
      <c r="J297" s="738"/>
      <c r="K297" s="738"/>
      <c r="L297" s="738"/>
      <c r="M297" s="1212"/>
      <c r="N297" s="738"/>
      <c r="O297" s="738"/>
      <c r="P297" s="738"/>
      <c r="Q297" s="738"/>
      <c r="R297" s="740"/>
      <c r="S297" s="738"/>
      <c r="T297" s="738"/>
      <c r="U297" s="738"/>
      <c r="V297" s="112" t="s">
        <v>7406</v>
      </c>
      <c r="W297" s="738"/>
      <c r="X297" s="738"/>
      <c r="Y297" s="738"/>
      <c r="Z297" s="738"/>
      <c r="AA297" s="738"/>
      <c r="AB297" s="738"/>
      <c r="AC297" s="738"/>
      <c r="AD297" s="738"/>
      <c r="AE297" s="738"/>
      <c r="AF297" s="738"/>
      <c r="AG297" s="738"/>
      <c r="AH297" s="738"/>
      <c r="AI297" s="738"/>
      <c r="AJ297" s="1212"/>
      <c r="AK297" s="738"/>
      <c r="AL297" s="738"/>
      <c r="AM297" s="738"/>
      <c r="AN297" s="733"/>
      <c r="AO297" s="738"/>
      <c r="AP297" s="738"/>
      <c r="AQ297" s="1212"/>
      <c r="AR297" s="738"/>
      <c r="AS297" s="738"/>
      <c r="AT297" s="738"/>
      <c r="AU297" s="733"/>
      <c r="AV297" s="738"/>
      <c r="AW297" s="1212"/>
      <c r="AX297" s="738"/>
      <c r="AY297" s="738"/>
      <c r="AZ297" s="738"/>
      <c r="BA297" s="738"/>
      <c r="BB297" s="738"/>
      <c r="BC297" s="738"/>
      <c r="BD297" s="1212"/>
      <c r="BE297" s="738"/>
      <c r="BF297" s="738"/>
      <c r="BG297" s="738"/>
      <c r="BH297" s="738"/>
      <c r="BI297" s="738"/>
      <c r="BJ297" s="738"/>
      <c r="BK297" s="1212"/>
      <c r="BL297" s="1212"/>
      <c r="BM297" s="1212"/>
      <c r="BN297" s="1212"/>
      <c r="BO297" s="1212"/>
      <c r="BP297" s="1212"/>
      <c r="BQ297" s="1212"/>
      <c r="BR297" s="1212"/>
      <c r="BS297" s="1212"/>
      <c r="BT297" s="1212"/>
      <c r="BU297" s="1212"/>
      <c r="BV297" s="1212"/>
      <c r="BW297" s="1212"/>
      <c r="BX297" s="1212"/>
    </row>
    <row r="298" ht="15.75" customHeight="1">
      <c r="A298" s="1205" t="s">
        <v>253</v>
      </c>
      <c r="B298" s="1278" t="s">
        <v>146</v>
      </c>
      <c r="C298" s="725" t="s">
        <v>6837</v>
      </c>
      <c r="D298" s="90" t="s">
        <v>6058</v>
      </c>
      <c r="E298" s="738" t="s">
        <v>7429</v>
      </c>
      <c r="F298" s="738"/>
      <c r="G298" s="738"/>
      <c r="H298" s="112" t="s">
        <v>4636</v>
      </c>
      <c r="I298" s="729" t="s">
        <v>7440</v>
      </c>
      <c r="J298" s="738"/>
      <c r="K298" s="738"/>
      <c r="L298" s="738"/>
      <c r="M298" s="154"/>
      <c r="N298" s="738" t="s">
        <v>4012</v>
      </c>
      <c r="O298" s="738"/>
      <c r="P298" s="738"/>
      <c r="Q298" s="738"/>
      <c r="R298" s="740"/>
      <c r="S298" s="738"/>
      <c r="T298" s="738"/>
      <c r="U298" s="738"/>
      <c r="V298" s="738"/>
      <c r="W298" s="738"/>
      <c r="X298" s="738"/>
      <c r="Y298" s="738"/>
      <c r="Z298" s="738"/>
      <c r="AA298" s="738"/>
      <c r="AB298" s="738"/>
      <c r="AC298" s="738"/>
      <c r="AD298" s="738"/>
      <c r="AE298" s="738"/>
      <c r="AF298" s="738"/>
      <c r="AG298" s="738"/>
      <c r="AH298" s="738"/>
      <c r="AI298" s="738"/>
      <c r="AJ298" s="154"/>
      <c r="AK298" s="738"/>
      <c r="AL298" s="738"/>
      <c r="AM298" s="738"/>
      <c r="AN298" s="733"/>
      <c r="AO298" s="738"/>
      <c r="AP298" s="738"/>
      <c r="AQ298" s="154"/>
      <c r="AR298" s="738"/>
      <c r="AS298" s="738"/>
      <c r="AT298" s="738"/>
      <c r="AU298" s="733"/>
      <c r="AV298" s="738"/>
      <c r="AW298" s="154"/>
      <c r="AX298" s="738"/>
      <c r="AY298" s="738"/>
      <c r="AZ298" s="738"/>
      <c r="BA298" s="738"/>
      <c r="BB298" s="738"/>
      <c r="BC298" s="738"/>
      <c r="BD298" s="154"/>
      <c r="BE298" s="738"/>
      <c r="BF298" s="738"/>
      <c r="BG298" s="738"/>
      <c r="BH298" s="738"/>
      <c r="BI298" s="738"/>
      <c r="BJ298" s="738"/>
      <c r="BK298" s="154"/>
      <c r="BL298" s="154"/>
      <c r="BM298" s="154"/>
      <c r="BN298" s="154"/>
      <c r="BO298" s="154"/>
      <c r="BP298" s="154"/>
      <c r="BQ298" s="154"/>
      <c r="BR298" s="154"/>
      <c r="BS298" s="154"/>
      <c r="BT298" s="154"/>
      <c r="BU298" s="154"/>
      <c r="BV298" s="154"/>
      <c r="BW298" s="154"/>
      <c r="BX298" s="154"/>
    </row>
    <row r="299">
      <c r="A299" s="1279" t="s">
        <v>7485</v>
      </c>
      <c r="D299" s="1280"/>
      <c r="E299" s="1281"/>
      <c r="F299" s="1281"/>
      <c r="G299" s="1281"/>
      <c r="H299" s="1282"/>
      <c r="I299" s="1281"/>
      <c r="J299" s="1281"/>
      <c r="K299" s="1281"/>
      <c r="L299" s="1281"/>
      <c r="M299" s="1283"/>
      <c r="N299" s="1281"/>
      <c r="O299" s="1281"/>
      <c r="P299" s="1281"/>
      <c r="Q299" s="1281"/>
      <c r="R299" s="1284"/>
      <c r="S299" s="1281"/>
      <c r="T299" s="1281"/>
      <c r="U299" s="1281"/>
      <c r="V299" s="1281"/>
      <c r="W299" s="1281"/>
      <c r="X299" s="1281"/>
      <c r="Y299" s="1281"/>
      <c r="Z299" s="1281"/>
      <c r="AA299" s="1281"/>
      <c r="AB299" s="1281"/>
      <c r="AC299" s="1281"/>
      <c r="AD299" s="1281"/>
      <c r="AE299" s="1281"/>
      <c r="AF299" s="1281"/>
      <c r="AG299" s="1281"/>
      <c r="AH299" s="1281"/>
      <c r="AI299" s="1281"/>
      <c r="AJ299" s="1283"/>
      <c r="AK299" s="1281"/>
      <c r="AL299" s="1281"/>
      <c r="AM299" s="1281"/>
      <c r="AN299" s="1281"/>
      <c r="AO299" s="1281"/>
      <c r="AP299" s="1281"/>
      <c r="AQ299" s="1283"/>
      <c r="AR299" s="1281"/>
      <c r="AS299" s="1281"/>
      <c r="AT299" s="1281"/>
      <c r="AU299" s="1281"/>
      <c r="AV299" s="1281"/>
      <c r="AW299" s="1283"/>
      <c r="AX299" s="1281"/>
      <c r="AY299" s="1281"/>
      <c r="AZ299" s="1281"/>
      <c r="BA299" s="1281"/>
      <c r="BB299" s="1281"/>
      <c r="BC299" s="1281"/>
      <c r="BD299" s="1283"/>
      <c r="BE299" s="1281"/>
      <c r="BF299" s="1281"/>
      <c r="BG299" s="1281"/>
      <c r="BH299" s="1281"/>
      <c r="BI299" s="1281"/>
      <c r="BJ299" s="1281"/>
      <c r="BK299" s="1283"/>
      <c r="BL299" s="1283"/>
      <c r="BM299" s="1283"/>
      <c r="BN299" s="1283"/>
      <c r="BO299" s="1283"/>
      <c r="BP299" s="1283"/>
      <c r="BQ299" s="1283"/>
      <c r="BR299" s="1283"/>
      <c r="BS299" s="1283"/>
      <c r="BT299" s="1283"/>
      <c r="BU299" s="1283"/>
      <c r="BV299" s="1283"/>
      <c r="BW299" s="1283"/>
      <c r="BX299" s="1283"/>
    </row>
    <row r="300" ht="15.75" customHeight="1">
      <c r="A300" s="1285" t="s">
        <v>7510</v>
      </c>
      <c r="B300" s="1286" t="s">
        <v>7512</v>
      </c>
      <c r="C300" s="83" t="s">
        <v>5984</v>
      </c>
      <c r="D300" s="1196"/>
      <c r="E300" s="654"/>
      <c r="F300" s="175"/>
      <c r="G300" s="175"/>
      <c r="H300" s="112" t="s">
        <v>7161</v>
      </c>
      <c r="I300" s="733"/>
      <c r="J300" s="175"/>
      <c r="K300" s="175"/>
      <c r="L300" s="175"/>
      <c r="M300" s="154"/>
      <c r="N300" s="175"/>
      <c r="O300" s="175"/>
      <c r="P300" s="175"/>
      <c r="Q300" s="175"/>
      <c r="R300" s="732"/>
      <c r="S300" s="175"/>
      <c r="T300" s="112" t="s">
        <v>5984</v>
      </c>
      <c r="U300" s="175"/>
      <c r="V300" s="175"/>
      <c r="W300" s="175"/>
      <c r="X300" s="175"/>
      <c r="Y300" s="175"/>
      <c r="Z300" s="175"/>
      <c r="AA300" s="175"/>
      <c r="AB300" s="175"/>
      <c r="AC300" s="175"/>
      <c r="AD300" s="175"/>
      <c r="AE300" s="175"/>
      <c r="AF300" s="175"/>
      <c r="AG300" s="175"/>
      <c r="AH300" s="175"/>
      <c r="AI300" s="175"/>
      <c r="AJ300" s="154"/>
      <c r="AK300" s="175"/>
      <c r="AL300" s="175"/>
      <c r="AM300" s="175"/>
      <c r="AN300" s="733"/>
      <c r="AO300" s="175"/>
      <c r="AP300" s="175"/>
      <c r="AQ300" s="154"/>
      <c r="AR300" s="175"/>
      <c r="AS300" s="175"/>
      <c r="AT300" s="175"/>
      <c r="AU300" s="733"/>
      <c r="AV300" s="175"/>
      <c r="AW300" s="154"/>
      <c r="AX300" s="175"/>
      <c r="AY300" s="175"/>
      <c r="AZ300" s="175"/>
      <c r="BA300" s="175"/>
      <c r="BB300" s="175"/>
      <c r="BC300" s="175"/>
      <c r="BD300" s="154"/>
      <c r="BE300" s="175"/>
      <c r="BF300" s="175"/>
      <c r="BG300" s="175"/>
      <c r="BH300" s="175"/>
      <c r="BI300" s="175"/>
      <c r="BJ300" s="175"/>
      <c r="BK300" s="154"/>
      <c r="BL300" s="154"/>
      <c r="BM300" s="154"/>
      <c r="BN300" s="154"/>
      <c r="BO300" s="154"/>
      <c r="BP300" s="154"/>
      <c r="BQ300" s="154"/>
      <c r="BR300" s="154"/>
      <c r="BS300" s="154"/>
      <c r="BT300" s="154"/>
      <c r="BU300" s="154"/>
      <c r="BV300" s="154"/>
      <c r="BW300" s="154"/>
      <c r="BX300" s="154"/>
    </row>
    <row r="301" ht="15.75" customHeight="1">
      <c r="A301" s="528"/>
      <c r="B301" s="529" t="s">
        <v>7557</v>
      </c>
      <c r="C301" s="725" t="s">
        <v>2588</v>
      </c>
      <c r="D301" s="173"/>
      <c r="E301" s="728" t="s">
        <v>7577</v>
      </c>
      <c r="F301" s="728" t="s">
        <v>2588</v>
      </c>
      <c r="G301" s="728"/>
      <c r="I301" s="733"/>
      <c r="J301" s="728"/>
      <c r="K301" s="728"/>
      <c r="L301" s="732" t="s">
        <v>7585</v>
      </c>
      <c r="M301" s="1288"/>
      <c r="N301" s="728"/>
      <c r="O301" s="728"/>
      <c r="P301" s="728"/>
      <c r="Q301" s="728"/>
      <c r="R301" s="732" t="s">
        <v>7591</v>
      </c>
      <c r="S301" s="728"/>
      <c r="T301" s="175"/>
      <c r="U301" s="728"/>
      <c r="V301" s="728"/>
      <c r="W301" s="728"/>
      <c r="X301" s="728"/>
      <c r="Y301" s="728"/>
      <c r="Z301" s="728"/>
      <c r="AA301" s="728"/>
      <c r="AB301" s="728"/>
      <c r="AC301" s="728"/>
      <c r="AD301" s="728"/>
      <c r="AE301" s="728"/>
      <c r="AF301" s="728"/>
      <c r="AG301" s="728"/>
      <c r="AH301" s="728"/>
      <c r="AI301" s="728"/>
      <c r="AJ301" s="1288"/>
      <c r="AK301" s="728"/>
      <c r="AL301" s="728"/>
      <c r="AM301" s="728"/>
      <c r="AN301" s="733"/>
      <c r="AO301" s="728"/>
      <c r="AP301" s="728"/>
      <c r="AQ301" s="1288"/>
      <c r="AR301" s="728"/>
      <c r="AS301" s="728"/>
      <c r="AT301" s="728"/>
      <c r="AU301" s="733"/>
      <c r="AV301" s="728"/>
      <c r="AW301" s="1288"/>
      <c r="AX301" s="728"/>
      <c r="AY301" s="728"/>
      <c r="AZ301" s="728"/>
      <c r="BA301" s="728"/>
      <c r="BB301" s="728"/>
      <c r="BC301" s="728"/>
      <c r="BD301" s="1288"/>
      <c r="BE301" s="728"/>
      <c r="BF301" s="728"/>
      <c r="BG301" s="728"/>
      <c r="BH301" s="728"/>
      <c r="BI301" s="728"/>
      <c r="BJ301" s="728"/>
      <c r="BK301" s="1288"/>
      <c r="BL301" s="1288"/>
      <c r="BM301" s="1288"/>
      <c r="BN301" s="1288"/>
      <c r="BO301" s="1288"/>
      <c r="BP301" s="1288"/>
      <c r="BQ301" s="1288"/>
      <c r="BR301" s="1288"/>
      <c r="BS301" s="1288"/>
      <c r="BT301" s="1288"/>
      <c r="BU301" s="1288"/>
      <c r="BV301" s="1288"/>
      <c r="BW301" s="1288"/>
      <c r="BX301" s="1288"/>
    </row>
    <row r="302" ht="15.75" customHeight="1">
      <c r="A302" s="532"/>
      <c r="B302" s="533" t="s">
        <v>7620</v>
      </c>
      <c r="C302" s="725" t="s">
        <v>1430</v>
      </c>
      <c r="D302" s="254" t="s">
        <v>6082</v>
      </c>
      <c r="E302" s="144" t="s">
        <v>5355</v>
      </c>
      <c r="F302" s="112" t="s">
        <v>1430</v>
      </c>
      <c r="G302" s="112" t="s">
        <v>7637</v>
      </c>
      <c r="H302" s="112" t="s">
        <v>843</v>
      </c>
      <c r="I302" s="733"/>
      <c r="J302" s="112" t="str">
        <f>HYPERLINK("https://youtu.be/ZpzmhXUsVhA","1:19.38")</f>
        <v>1:19.38</v>
      </c>
      <c r="K302" s="175"/>
      <c r="L302" s="112" t="s">
        <v>7029</v>
      </c>
      <c r="M302" s="154"/>
      <c r="N302" s="175" t="s">
        <v>4019</v>
      </c>
      <c r="O302" s="175" t="s">
        <v>7655</v>
      </c>
      <c r="P302" s="175" t="s">
        <v>6492</v>
      </c>
      <c r="Q302" s="112" t="s">
        <v>6493</v>
      </c>
      <c r="R302" s="732" t="s">
        <v>7657</v>
      </c>
      <c r="S302" s="175"/>
      <c r="T302" s="1241" t="s">
        <v>7659</v>
      </c>
      <c r="U302" s="175"/>
      <c r="V302" s="175"/>
      <c r="W302" s="175"/>
      <c r="X302" s="175"/>
      <c r="Y302" s="175"/>
      <c r="Z302" s="175"/>
      <c r="AA302" s="175"/>
      <c r="AB302" s="175"/>
      <c r="AC302" s="175"/>
      <c r="AD302" s="175"/>
      <c r="AE302" s="175"/>
      <c r="AF302" s="175"/>
      <c r="AG302" s="175"/>
      <c r="AH302" s="175"/>
      <c r="AI302" s="175"/>
      <c r="AJ302" s="154"/>
      <c r="AK302" s="175"/>
      <c r="AL302" s="175"/>
      <c r="AM302" s="175"/>
      <c r="AN302" s="733"/>
      <c r="AO302" s="175"/>
      <c r="AP302" s="175"/>
      <c r="AQ302" s="154"/>
      <c r="AR302" s="175"/>
      <c r="AS302" s="175"/>
      <c r="AT302" s="175"/>
      <c r="AU302" s="733"/>
      <c r="AV302" s="175"/>
      <c r="AW302" s="154"/>
      <c r="AX302" s="175"/>
      <c r="AY302" s="175"/>
      <c r="AZ302" s="175"/>
      <c r="BA302" s="175"/>
      <c r="BB302" s="175"/>
      <c r="BC302" s="175"/>
      <c r="BD302" s="154"/>
      <c r="BE302" s="175"/>
      <c r="BF302" s="175"/>
      <c r="BG302" s="175"/>
      <c r="BH302" s="175"/>
      <c r="BI302" s="175"/>
      <c r="BJ302" s="175"/>
      <c r="BK302" s="154"/>
      <c r="BL302" s="154"/>
      <c r="BM302" s="154"/>
      <c r="BN302" s="154"/>
      <c r="BO302" s="154"/>
      <c r="BP302" s="154"/>
      <c r="BQ302" s="154"/>
      <c r="BR302" s="154"/>
      <c r="BS302" s="154"/>
      <c r="BT302" s="154"/>
      <c r="BU302" s="154"/>
      <c r="BV302" s="154"/>
      <c r="BW302" s="154"/>
      <c r="BX302" s="154"/>
    </row>
    <row r="303" ht="15.75" customHeight="1">
      <c r="A303" s="1296" t="s">
        <v>7683</v>
      </c>
      <c r="B303" s="1297" t="s">
        <v>7512</v>
      </c>
      <c r="C303" s="83" t="s">
        <v>7689</v>
      </c>
      <c r="D303" s="173"/>
      <c r="E303" s="728"/>
      <c r="F303" s="728"/>
      <c r="G303" s="728"/>
      <c r="H303" s="175"/>
      <c r="I303" s="733"/>
      <c r="J303" s="728"/>
      <c r="K303" s="728"/>
      <c r="L303" s="728"/>
      <c r="M303" s="1288"/>
      <c r="N303" s="728"/>
      <c r="O303" s="728"/>
      <c r="P303" s="728"/>
      <c r="Q303" s="728"/>
      <c r="R303" s="732"/>
      <c r="S303" s="728"/>
      <c r="T303" s="365" t="s">
        <v>4094</v>
      </c>
      <c r="U303" s="728"/>
      <c r="V303" s="728"/>
      <c r="W303" s="728"/>
      <c r="X303" s="728"/>
      <c r="Y303" s="728"/>
      <c r="Z303" s="728"/>
      <c r="AA303" s="728"/>
      <c r="AB303" s="728"/>
      <c r="AC303" s="728"/>
      <c r="AD303" s="728"/>
      <c r="AE303" s="728"/>
      <c r="AF303" s="728"/>
      <c r="AG303" s="728"/>
      <c r="AH303" s="728"/>
      <c r="AI303" s="728"/>
      <c r="AJ303" s="1288"/>
      <c r="AK303" s="728"/>
      <c r="AL303" s="728"/>
      <c r="AM303" s="728"/>
      <c r="AN303" s="733"/>
      <c r="AO303" s="728"/>
      <c r="AP303" s="728"/>
      <c r="AQ303" s="1288"/>
      <c r="AR303" s="728"/>
      <c r="AS303" s="728"/>
      <c r="AT303" s="728"/>
      <c r="AU303" s="733"/>
      <c r="AV303" s="728"/>
      <c r="AW303" s="1288"/>
      <c r="AX303" s="728"/>
      <c r="AY303" s="728"/>
      <c r="AZ303" s="728"/>
      <c r="BA303" s="728"/>
      <c r="BB303" s="728"/>
      <c r="BC303" s="728"/>
      <c r="BD303" s="1288"/>
      <c r="BE303" s="728"/>
      <c r="BF303" s="728"/>
      <c r="BG303" s="728"/>
      <c r="BH303" s="728"/>
      <c r="BI303" s="728"/>
      <c r="BJ303" s="728"/>
      <c r="BK303" s="1288"/>
      <c r="BL303" s="1288"/>
      <c r="BM303" s="1288"/>
      <c r="BN303" s="1288"/>
      <c r="BO303" s="1288"/>
      <c r="BP303" s="1288"/>
      <c r="BQ303" s="1288"/>
      <c r="BR303" s="1288"/>
      <c r="BS303" s="1288"/>
      <c r="BT303" s="1288"/>
      <c r="BU303" s="1288"/>
      <c r="BV303" s="1288"/>
      <c r="BW303" s="1288"/>
      <c r="BX303" s="1288"/>
    </row>
    <row r="304" ht="15.75" customHeight="1">
      <c r="A304" s="528"/>
      <c r="B304" s="1298" t="s">
        <v>7557</v>
      </c>
      <c r="C304" s="725" t="s">
        <v>5231</v>
      </c>
      <c r="D304" s="173"/>
      <c r="E304" s="728" t="s">
        <v>4092</v>
      </c>
      <c r="F304" s="728" t="s">
        <v>5934</v>
      </c>
      <c r="G304" s="728"/>
      <c r="H304" s="175"/>
      <c r="I304" s="733"/>
      <c r="J304" s="728"/>
      <c r="K304" s="728"/>
      <c r="L304" s="728"/>
      <c r="M304" s="1288"/>
      <c r="N304" s="728"/>
      <c r="O304" s="728"/>
      <c r="P304" s="728"/>
      <c r="Q304" s="728"/>
      <c r="R304" s="732"/>
      <c r="S304" s="728"/>
      <c r="T304" s="728"/>
      <c r="U304" s="728"/>
      <c r="V304" s="728"/>
      <c r="W304" s="728"/>
      <c r="X304" s="728"/>
      <c r="Y304" s="728"/>
      <c r="Z304" s="728"/>
      <c r="AA304" s="728"/>
      <c r="AB304" s="728"/>
      <c r="AC304" s="728"/>
      <c r="AD304" s="728"/>
      <c r="AE304" s="728"/>
      <c r="AF304" s="728"/>
      <c r="AG304" s="728"/>
      <c r="AH304" s="728"/>
      <c r="AI304" s="728"/>
      <c r="AJ304" s="1288"/>
      <c r="AK304" s="728"/>
      <c r="AL304" s="728"/>
      <c r="AM304" s="728"/>
      <c r="AN304" s="733"/>
      <c r="AO304" s="728"/>
      <c r="AP304" s="728"/>
      <c r="AQ304" s="1288"/>
      <c r="AR304" s="728"/>
      <c r="AS304" s="728"/>
      <c r="AT304" s="728"/>
      <c r="AU304" s="733"/>
      <c r="AV304" s="728"/>
      <c r="AW304" s="1288"/>
      <c r="AX304" s="728"/>
      <c r="AY304" s="728"/>
      <c r="AZ304" s="728"/>
      <c r="BA304" s="728"/>
      <c r="BB304" s="728"/>
      <c r="BC304" s="728"/>
      <c r="BD304" s="1288"/>
      <c r="BE304" s="728"/>
      <c r="BF304" s="728"/>
      <c r="BG304" s="728"/>
      <c r="BH304" s="728"/>
      <c r="BI304" s="728"/>
      <c r="BJ304" s="728"/>
      <c r="BK304" s="1288"/>
      <c r="BL304" s="1288"/>
      <c r="BM304" s="1288"/>
      <c r="BN304" s="1288"/>
      <c r="BO304" s="1288"/>
      <c r="BP304" s="1288"/>
      <c r="BQ304" s="1288"/>
      <c r="BR304" s="1288"/>
      <c r="BS304" s="1288"/>
      <c r="BT304" s="1288"/>
      <c r="BU304" s="1288"/>
      <c r="BV304" s="1288"/>
      <c r="BW304" s="1288"/>
      <c r="BX304" s="1288"/>
    </row>
    <row r="305" ht="15.75" customHeight="1">
      <c r="A305" s="532"/>
      <c r="B305" s="533" t="s">
        <v>7620</v>
      </c>
      <c r="C305" s="83" t="s">
        <v>7780</v>
      </c>
      <c r="D305" s="557" t="s">
        <v>2737</v>
      </c>
      <c r="E305" s="1302" t="s">
        <v>7793</v>
      </c>
      <c r="F305" s="728" t="s">
        <v>7798</v>
      </c>
      <c r="G305" s="112" t="s">
        <v>7780</v>
      </c>
      <c r="H305" s="112" t="s">
        <v>7805</v>
      </c>
      <c r="I305" s="733"/>
      <c r="J305" s="728"/>
      <c r="K305" s="728"/>
      <c r="L305" s="728"/>
      <c r="M305" s="154"/>
      <c r="N305" s="728"/>
      <c r="O305" s="728"/>
      <c r="P305" s="728"/>
      <c r="Q305" s="728" t="s">
        <v>7817</v>
      </c>
      <c r="R305" s="732"/>
      <c r="S305" s="728"/>
      <c r="T305" s="112" t="s">
        <v>2485</v>
      </c>
      <c r="U305" s="728"/>
      <c r="V305" s="728"/>
      <c r="W305" s="728"/>
      <c r="X305" s="728"/>
      <c r="Y305" s="728"/>
      <c r="Z305" s="728"/>
      <c r="AA305" s="728"/>
      <c r="AB305" s="728"/>
      <c r="AC305" s="728"/>
      <c r="AD305" s="728"/>
      <c r="AE305" s="728"/>
      <c r="AF305" s="728"/>
      <c r="AG305" s="728"/>
      <c r="AH305" s="728"/>
      <c r="AI305" s="728"/>
      <c r="AJ305" s="147" t="s">
        <v>4116</v>
      </c>
      <c r="AK305" s="728"/>
      <c r="AL305" s="728"/>
      <c r="AM305" s="728"/>
      <c r="AN305" s="733"/>
      <c r="AO305" s="728"/>
      <c r="AP305" s="728"/>
      <c r="AQ305" s="154"/>
      <c r="AR305" s="728"/>
      <c r="AS305" s="728"/>
      <c r="AT305" s="728"/>
      <c r="AU305" s="733"/>
      <c r="AV305" s="728"/>
      <c r="AW305" s="154"/>
      <c r="AX305" s="728"/>
      <c r="AY305" s="728"/>
      <c r="AZ305" s="728"/>
      <c r="BA305" s="728"/>
      <c r="BB305" s="728"/>
      <c r="BC305" s="728"/>
      <c r="BD305" s="154"/>
      <c r="BE305" s="728"/>
      <c r="BF305" s="728"/>
      <c r="BG305" s="728"/>
      <c r="BH305" s="728"/>
      <c r="BI305" s="728"/>
      <c r="BJ305" s="728"/>
      <c r="BK305" s="154"/>
      <c r="BL305" s="154"/>
      <c r="BM305" s="154"/>
      <c r="BN305" s="154"/>
      <c r="BO305" s="154"/>
      <c r="BP305" s="154"/>
      <c r="BQ305" s="154"/>
      <c r="BR305" s="154"/>
      <c r="BS305" s="154"/>
      <c r="BT305" s="154"/>
      <c r="BU305" s="154"/>
      <c r="BV305" s="154"/>
      <c r="BW305" s="154"/>
      <c r="BX305" s="154"/>
    </row>
    <row r="306" ht="15.75" customHeight="1">
      <c r="A306" s="1296" t="s">
        <v>7877</v>
      </c>
      <c r="B306" s="1304" t="s">
        <v>7878</v>
      </c>
      <c r="C306" s="725" t="s">
        <v>7882</v>
      </c>
      <c r="D306" s="173"/>
      <c r="E306" s="1305" t="s">
        <v>5681</v>
      </c>
      <c r="F306" s="728" t="s">
        <v>7882</v>
      </c>
      <c r="G306" s="728"/>
      <c r="H306" s="175"/>
      <c r="I306" s="733"/>
      <c r="J306" s="728"/>
      <c r="K306" s="728"/>
      <c r="L306" s="728" t="s">
        <v>7900</v>
      </c>
      <c r="M306" s="1288"/>
      <c r="N306" s="728"/>
      <c r="O306" s="728"/>
      <c r="P306" s="728"/>
      <c r="Q306" s="728"/>
      <c r="R306" s="732" t="s">
        <v>7910</v>
      </c>
      <c r="S306" s="728"/>
      <c r="T306" s="728"/>
      <c r="U306" s="728"/>
      <c r="V306" s="728" t="s">
        <v>7406</v>
      </c>
      <c r="W306" s="728"/>
      <c r="X306" s="728"/>
      <c r="Y306" s="728"/>
      <c r="Z306" s="728"/>
      <c r="AA306" s="728"/>
      <c r="AB306" s="728"/>
      <c r="AC306" s="728"/>
      <c r="AD306" s="728"/>
      <c r="AE306" s="728"/>
      <c r="AF306" s="728"/>
      <c r="AG306" s="728"/>
      <c r="AH306" s="728"/>
      <c r="AI306" s="728"/>
      <c r="AJ306" s="1288"/>
      <c r="AK306" s="728"/>
      <c r="AL306" s="728"/>
      <c r="AM306" s="728"/>
      <c r="AN306" s="733"/>
      <c r="AO306" s="728"/>
      <c r="AP306" s="728"/>
      <c r="AQ306" s="1288"/>
      <c r="AR306" s="728"/>
      <c r="AS306" s="728"/>
      <c r="AT306" s="728"/>
      <c r="AU306" s="733"/>
      <c r="AV306" s="728"/>
      <c r="AW306" s="1288"/>
      <c r="AX306" s="728"/>
      <c r="AY306" s="728"/>
      <c r="AZ306" s="728"/>
      <c r="BA306" s="728"/>
      <c r="BB306" s="728"/>
      <c r="BC306" s="728"/>
      <c r="BD306" s="1288"/>
      <c r="BE306" s="728"/>
      <c r="BF306" s="728"/>
      <c r="BG306" s="728"/>
      <c r="BH306" s="728"/>
      <c r="BI306" s="728"/>
      <c r="BJ306" s="728"/>
      <c r="BK306" s="1288"/>
      <c r="BL306" s="1288"/>
      <c r="BM306" s="1288"/>
      <c r="BN306" s="1288"/>
      <c r="BO306" s="1288"/>
      <c r="BP306" s="1288"/>
      <c r="BQ306" s="1288"/>
      <c r="BR306" s="1288"/>
      <c r="BS306" s="1288"/>
      <c r="BT306" s="1288"/>
      <c r="BU306" s="1288"/>
      <c r="BV306" s="1288"/>
      <c r="BW306" s="1288"/>
      <c r="BX306" s="1288"/>
    </row>
    <row r="307" ht="15.75" customHeight="1">
      <c r="A307" s="528"/>
      <c r="B307" s="529" t="s">
        <v>7948</v>
      </c>
      <c r="C307" s="725" t="s">
        <v>6687</v>
      </c>
      <c r="D307" s="272" t="s">
        <v>4096</v>
      </c>
      <c r="E307" s="144" t="s">
        <v>5315</v>
      </c>
      <c r="F307" s="112" t="s">
        <v>1434</v>
      </c>
      <c r="G307" s="112" t="s">
        <v>1078</v>
      </c>
      <c r="H307" s="112" t="s">
        <v>4652</v>
      </c>
      <c r="I307" s="733"/>
      <c r="J307" s="175"/>
      <c r="K307" s="175"/>
      <c r="L307" s="175"/>
      <c r="M307" s="154"/>
      <c r="N307" s="112" t="s">
        <v>2684</v>
      </c>
      <c r="O307" s="175" t="s">
        <v>3439</v>
      </c>
      <c r="P307" s="175"/>
      <c r="Q307" s="112" t="s">
        <v>6687</v>
      </c>
      <c r="R307" s="732" t="s">
        <v>4839</v>
      </c>
      <c r="S307" s="175"/>
      <c r="T307" s="175"/>
      <c r="U307" s="175"/>
      <c r="V307" s="175"/>
      <c r="W307" s="175" t="s">
        <v>2110</v>
      </c>
      <c r="X307" s="175"/>
      <c r="Y307" s="175"/>
      <c r="Z307" s="175"/>
      <c r="AA307" s="175"/>
      <c r="AB307" s="112" t="s">
        <v>5312</v>
      </c>
      <c r="AC307" s="175"/>
      <c r="AD307" s="175"/>
      <c r="AE307" s="175"/>
      <c r="AF307" s="175"/>
      <c r="AG307" s="175"/>
      <c r="AH307" s="175"/>
      <c r="AI307" s="175"/>
      <c r="AJ307" s="154"/>
      <c r="AK307" s="175"/>
      <c r="AL307" s="175"/>
      <c r="AM307" s="175"/>
      <c r="AN307" s="733"/>
      <c r="AO307" s="175"/>
      <c r="AP307" s="175"/>
      <c r="AQ307" s="154"/>
      <c r="AR307" s="175"/>
      <c r="AS307" s="175"/>
      <c r="AT307" s="175"/>
      <c r="AU307" s="733"/>
      <c r="AV307" s="175"/>
      <c r="AW307" s="154"/>
      <c r="AX307" s="175"/>
      <c r="AY307" s="175"/>
      <c r="AZ307" s="175"/>
      <c r="BA307" s="175"/>
      <c r="BB307" s="175"/>
      <c r="BC307" s="175"/>
      <c r="BD307" s="154"/>
      <c r="BE307" s="175"/>
      <c r="BF307" s="175"/>
      <c r="BG307" s="175"/>
      <c r="BH307" s="175"/>
      <c r="BI307" s="175"/>
      <c r="BJ307" s="175"/>
      <c r="BK307" s="154"/>
      <c r="BL307" s="154"/>
      <c r="BM307" s="154"/>
      <c r="BN307" s="154"/>
      <c r="BO307" s="154"/>
      <c r="BP307" s="154"/>
      <c r="BQ307" s="154"/>
      <c r="BR307" s="154"/>
      <c r="BS307" s="154"/>
      <c r="BT307" s="154"/>
      <c r="BU307" s="154"/>
      <c r="BV307" s="154"/>
      <c r="BW307" s="154"/>
      <c r="BX307" s="154"/>
    </row>
    <row r="308" ht="15.75" customHeight="1">
      <c r="A308" s="1285" t="s">
        <v>8033</v>
      </c>
      <c r="B308" s="1286" t="s">
        <v>8035</v>
      </c>
      <c r="C308" s="725" t="s">
        <v>8038</v>
      </c>
      <c r="D308" s="173"/>
      <c r="E308" s="728"/>
      <c r="F308" s="728" t="s">
        <v>8038</v>
      </c>
      <c r="G308" s="728"/>
      <c r="H308" s="175"/>
      <c r="I308" s="733"/>
      <c r="J308" s="728" t="s">
        <v>5150</v>
      </c>
      <c r="K308" s="728"/>
      <c r="L308" s="728"/>
      <c r="M308" s="1288"/>
      <c r="N308" s="728"/>
      <c r="O308" s="728"/>
      <c r="P308" s="728"/>
      <c r="Q308" s="728"/>
      <c r="R308" s="732"/>
      <c r="S308" s="728"/>
      <c r="T308" s="728"/>
      <c r="U308" s="728"/>
      <c r="V308" s="728"/>
      <c r="W308" s="728"/>
      <c r="X308" s="728"/>
      <c r="Y308" s="728"/>
      <c r="Z308" s="728"/>
      <c r="AA308" s="728"/>
      <c r="AB308" s="728"/>
      <c r="AC308" s="728"/>
      <c r="AD308" s="728"/>
      <c r="AE308" s="728"/>
      <c r="AF308" s="728"/>
      <c r="AG308" s="728"/>
      <c r="AH308" s="728"/>
      <c r="AI308" s="728"/>
      <c r="AJ308" s="1288"/>
      <c r="AK308" s="728"/>
      <c r="AL308" s="728"/>
      <c r="AM308" s="728"/>
      <c r="AN308" s="733"/>
      <c r="AO308" s="728"/>
      <c r="AP308" s="728"/>
      <c r="AQ308" s="1288"/>
      <c r="AR308" s="728"/>
      <c r="AS308" s="728"/>
      <c r="AT308" s="728"/>
      <c r="AU308" s="733"/>
      <c r="AV308" s="728"/>
      <c r="AW308" s="1288"/>
      <c r="AX308" s="728"/>
      <c r="AY308" s="728"/>
      <c r="AZ308" s="728"/>
      <c r="BA308" s="728"/>
      <c r="BB308" s="728"/>
      <c r="BC308" s="728"/>
      <c r="BD308" s="1288"/>
      <c r="BE308" s="728"/>
      <c r="BF308" s="728"/>
      <c r="BG308" s="728"/>
      <c r="BH308" s="728"/>
      <c r="BI308" s="728"/>
      <c r="BJ308" s="728"/>
      <c r="BK308" s="1288"/>
      <c r="BL308" s="1288"/>
      <c r="BM308" s="1288"/>
      <c r="BN308" s="1288"/>
      <c r="BO308" s="1288"/>
      <c r="BP308" s="1288"/>
      <c r="BQ308" s="1288"/>
      <c r="BR308" s="1288"/>
      <c r="BS308" s="1288"/>
      <c r="BT308" s="1288"/>
      <c r="BU308" s="1288"/>
      <c r="BV308" s="1288"/>
      <c r="BW308" s="1288"/>
      <c r="BX308" s="1288"/>
    </row>
    <row r="309" ht="15.75" customHeight="1">
      <c r="A309" s="582"/>
      <c r="B309" s="1298" t="s">
        <v>8093</v>
      </c>
      <c r="C309" s="725" t="s">
        <v>4662</v>
      </c>
      <c r="D309" s="530"/>
      <c r="E309" s="728"/>
      <c r="F309" s="728" t="s">
        <v>4675</v>
      </c>
      <c r="G309" s="728"/>
      <c r="H309" s="175"/>
      <c r="I309" s="733"/>
      <c r="J309" s="728" t="s">
        <v>4662</v>
      </c>
      <c r="K309" s="728"/>
      <c r="L309" s="728"/>
      <c r="M309" s="154"/>
      <c r="N309" s="728"/>
      <c r="O309" s="728"/>
      <c r="P309" s="728"/>
      <c r="Q309" s="728"/>
      <c r="R309" s="732"/>
      <c r="S309" s="728"/>
      <c r="T309" s="728"/>
      <c r="U309" s="728"/>
      <c r="V309" s="728"/>
      <c r="W309" s="728"/>
      <c r="X309" s="728"/>
      <c r="Y309" s="728"/>
      <c r="Z309" s="728"/>
      <c r="AA309" s="728"/>
      <c r="AB309" s="728"/>
      <c r="AC309" s="728"/>
      <c r="AD309" s="728"/>
      <c r="AE309" s="728"/>
      <c r="AF309" s="728"/>
      <c r="AG309" s="728"/>
      <c r="AH309" s="728"/>
      <c r="AI309" s="728"/>
      <c r="AJ309" s="154"/>
      <c r="AK309" s="728"/>
      <c r="AL309" s="728"/>
      <c r="AM309" s="728"/>
      <c r="AN309" s="733"/>
      <c r="AO309" s="728"/>
      <c r="AP309" s="728"/>
      <c r="AQ309" s="154"/>
      <c r="AR309" s="728"/>
      <c r="AS309" s="728"/>
      <c r="AT309" s="728"/>
      <c r="AU309" s="733"/>
      <c r="AV309" s="728"/>
      <c r="AW309" s="154"/>
      <c r="AX309" s="728"/>
      <c r="AY309" s="728"/>
      <c r="AZ309" s="728"/>
      <c r="BA309" s="728"/>
      <c r="BB309" s="728"/>
      <c r="BC309" s="728"/>
      <c r="BD309" s="154"/>
      <c r="BE309" s="728"/>
      <c r="BF309" s="728"/>
      <c r="BG309" s="728"/>
      <c r="BH309" s="728"/>
      <c r="BI309" s="728"/>
      <c r="BJ309" s="728"/>
      <c r="BK309" s="154"/>
      <c r="BL309" s="154"/>
      <c r="BM309" s="154"/>
      <c r="BN309" s="154"/>
      <c r="BO309" s="154"/>
      <c r="BP309" s="154"/>
      <c r="BQ309" s="154"/>
      <c r="BR309" s="154"/>
      <c r="BS309" s="154"/>
      <c r="BT309" s="154"/>
      <c r="BU309" s="154"/>
      <c r="BV309" s="154"/>
      <c r="BW309" s="154"/>
      <c r="BX309" s="154"/>
    </row>
    <row r="310" ht="15.75" customHeight="1">
      <c r="A310" s="1285" t="s">
        <v>334</v>
      </c>
      <c r="B310" s="1311" t="s">
        <v>8146</v>
      </c>
      <c r="C310" s="725"/>
      <c r="D310" s="173"/>
      <c r="E310" s="738"/>
      <c r="F310" s="738"/>
      <c r="G310" s="738"/>
      <c r="H310" s="175"/>
      <c r="I310" s="733"/>
      <c r="J310" s="738"/>
      <c r="K310" s="738"/>
      <c r="L310" s="738"/>
      <c r="M310" s="1288"/>
      <c r="N310" s="738"/>
      <c r="O310" s="738"/>
      <c r="P310" s="738"/>
      <c r="Q310" s="738"/>
      <c r="R310" s="740"/>
      <c r="S310" s="738"/>
      <c r="T310" s="738"/>
      <c r="U310" s="738"/>
      <c r="V310" s="738"/>
      <c r="W310" s="738"/>
      <c r="X310" s="738"/>
      <c r="Y310" s="738"/>
      <c r="Z310" s="738"/>
      <c r="AA310" s="738"/>
      <c r="AB310" s="738"/>
      <c r="AC310" s="738"/>
      <c r="AD310" s="738"/>
      <c r="AE310" s="738"/>
      <c r="AF310" s="738"/>
      <c r="AG310" s="738"/>
      <c r="AH310" s="738"/>
      <c r="AI310" s="738"/>
      <c r="AJ310" s="1288"/>
      <c r="AK310" s="738"/>
      <c r="AL310" s="738"/>
      <c r="AM310" s="738"/>
      <c r="AN310" s="733"/>
      <c r="AO310" s="738"/>
      <c r="AP310" s="738"/>
      <c r="AQ310" s="1288"/>
      <c r="AR310" s="738"/>
      <c r="AS310" s="738"/>
      <c r="AT310" s="738"/>
      <c r="AU310" s="733"/>
      <c r="AV310" s="738"/>
      <c r="AW310" s="1288"/>
      <c r="AX310" s="738"/>
      <c r="AY310" s="738"/>
      <c r="AZ310" s="738"/>
      <c r="BA310" s="738"/>
      <c r="BB310" s="738"/>
      <c r="BC310" s="738"/>
      <c r="BD310" s="1288"/>
      <c r="BE310" s="738"/>
      <c r="BF310" s="738"/>
      <c r="BG310" s="738"/>
      <c r="BH310" s="738"/>
      <c r="BI310" s="738"/>
      <c r="BJ310" s="738"/>
      <c r="BK310" s="1288"/>
      <c r="BL310" s="1288"/>
      <c r="BM310" s="1288"/>
      <c r="BN310" s="1288"/>
      <c r="BO310" s="1288"/>
      <c r="BP310" s="1288"/>
      <c r="BQ310" s="1288"/>
      <c r="BR310" s="1288"/>
      <c r="BS310" s="1288"/>
      <c r="BT310" s="1288"/>
      <c r="BU310" s="1288"/>
      <c r="BV310" s="1288"/>
      <c r="BW310" s="1288"/>
      <c r="BX310" s="1288"/>
    </row>
    <row r="311" ht="15.75" customHeight="1">
      <c r="A311" s="528"/>
      <c r="B311" s="529" t="s">
        <v>8175</v>
      </c>
      <c r="C311" s="83" t="s">
        <v>4666</v>
      </c>
      <c r="D311" s="530"/>
      <c r="E311" s="365" t="s">
        <v>4666</v>
      </c>
      <c r="F311" s="859"/>
      <c r="G311" s="859"/>
      <c r="H311" s="175"/>
      <c r="I311" s="733"/>
      <c r="J311" s="859" t="s">
        <v>4451</v>
      </c>
      <c r="K311" s="859"/>
      <c r="L311" s="859"/>
      <c r="M311" s="154"/>
      <c r="N311" s="859"/>
      <c r="O311" s="859"/>
      <c r="P311" s="859"/>
      <c r="Q311" s="859"/>
      <c r="R311" s="732"/>
      <c r="S311" s="859"/>
      <c r="T311" s="859"/>
      <c r="U311" s="859"/>
      <c r="V311" s="859"/>
      <c r="W311" s="859"/>
      <c r="X311" s="859"/>
      <c r="Y311" s="859"/>
      <c r="Z311" s="859"/>
      <c r="AA311" s="859"/>
      <c r="AB311" s="859"/>
      <c r="AC311" s="859"/>
      <c r="AD311" s="859"/>
      <c r="AE311" s="859"/>
      <c r="AF311" s="859"/>
      <c r="AG311" s="859"/>
      <c r="AH311" s="859"/>
      <c r="AI311" s="859"/>
      <c r="AJ311" s="154"/>
      <c r="AK311" s="859"/>
      <c r="AL311" s="859"/>
      <c r="AM311" s="859"/>
      <c r="AN311" s="733"/>
      <c r="AO311" s="859"/>
      <c r="AP311" s="859"/>
      <c r="AQ311" s="154"/>
      <c r="AR311" s="859"/>
      <c r="AS311" s="859"/>
      <c r="AT311" s="859"/>
      <c r="AU311" s="733"/>
      <c r="AV311" s="859"/>
      <c r="AW311" s="154"/>
      <c r="AX311" s="859"/>
      <c r="AY311" s="859"/>
      <c r="AZ311" s="859"/>
      <c r="BA311" s="859"/>
      <c r="BB311" s="859"/>
      <c r="BC311" s="859"/>
      <c r="BD311" s="154"/>
      <c r="BE311" s="859"/>
      <c r="BF311" s="859"/>
      <c r="BG311" s="859"/>
      <c r="BH311" s="859"/>
      <c r="BI311" s="859"/>
      <c r="BJ311" s="859"/>
      <c r="BK311" s="154"/>
      <c r="BL311" s="154"/>
      <c r="BM311" s="154"/>
      <c r="BN311" s="154"/>
      <c r="BO311" s="154"/>
      <c r="BP311" s="154"/>
      <c r="BQ311" s="154"/>
      <c r="BR311" s="154"/>
      <c r="BS311" s="154"/>
      <c r="BT311" s="154"/>
      <c r="BU311" s="154"/>
      <c r="BV311" s="154"/>
      <c r="BW311" s="154"/>
      <c r="BX311" s="154"/>
    </row>
    <row r="312" ht="15.75" customHeight="1">
      <c r="A312" s="532"/>
      <c r="B312" s="533" t="s">
        <v>8225</v>
      </c>
      <c r="C312" s="725" t="s">
        <v>4894</v>
      </c>
      <c r="D312" s="173"/>
      <c r="E312" s="738"/>
      <c r="F312" s="738"/>
      <c r="G312" s="738"/>
      <c r="H312" s="175"/>
      <c r="I312" s="733"/>
      <c r="J312" s="112" t="s">
        <v>4894</v>
      </c>
      <c r="K312" s="738"/>
      <c r="L312" s="738"/>
      <c r="M312" s="1288"/>
      <c r="N312" s="738"/>
      <c r="O312" s="738"/>
      <c r="P312" s="738"/>
      <c r="Q312" s="738"/>
      <c r="R312" s="740"/>
      <c r="S312" s="738"/>
      <c r="T312" s="738"/>
      <c r="U312" s="738"/>
      <c r="V312" s="738"/>
      <c r="W312" s="738"/>
      <c r="X312" s="738"/>
      <c r="Y312" s="738"/>
      <c r="Z312" s="738"/>
      <c r="AA312" s="738"/>
      <c r="AB312" s="738"/>
      <c r="AC312" s="738"/>
      <c r="AD312" s="738"/>
      <c r="AE312" s="738"/>
      <c r="AF312" s="738"/>
      <c r="AG312" s="738"/>
      <c r="AH312" s="112" t="s">
        <v>851</v>
      </c>
      <c r="AI312" s="738"/>
      <c r="AJ312" s="1288"/>
      <c r="AK312" s="738"/>
      <c r="AL312" s="738"/>
      <c r="AM312" s="738"/>
      <c r="AN312" s="733"/>
      <c r="AO312" s="738"/>
      <c r="AP312" s="738"/>
      <c r="AQ312" s="1288"/>
      <c r="AR312" s="738"/>
      <c r="AS312" s="738"/>
      <c r="AT312" s="738"/>
      <c r="AU312" s="733"/>
      <c r="AV312" s="738"/>
      <c r="AW312" s="1288"/>
      <c r="AX312" s="738"/>
      <c r="AY312" s="738"/>
      <c r="AZ312" s="738"/>
      <c r="BA312" s="738"/>
      <c r="BB312" s="738"/>
      <c r="BC312" s="738"/>
      <c r="BD312" s="1288"/>
      <c r="BE312" s="738"/>
      <c r="BF312" s="738"/>
      <c r="BG312" s="738"/>
      <c r="BH312" s="738"/>
      <c r="BI312" s="738"/>
      <c r="BJ312" s="738"/>
      <c r="BK312" s="1288"/>
      <c r="BL312" s="1288"/>
      <c r="BM312" s="1288"/>
      <c r="BN312" s="1288"/>
      <c r="BO312" s="1288"/>
      <c r="BP312" s="1288"/>
      <c r="BQ312" s="1288"/>
      <c r="BR312" s="1288"/>
      <c r="BS312" s="1288"/>
      <c r="BT312" s="1288"/>
      <c r="BU312" s="1288"/>
      <c r="BV312" s="1288"/>
      <c r="BW312" s="1288"/>
      <c r="BX312" s="1288"/>
    </row>
    <row r="313" ht="15.75" customHeight="1">
      <c r="A313" s="1285" t="s">
        <v>8297</v>
      </c>
      <c r="B313" s="1311"/>
      <c r="C313" s="725"/>
      <c r="D313" s="530"/>
      <c r="E313" s="738"/>
      <c r="F313" s="738"/>
      <c r="G313" s="738"/>
      <c r="H313" s="175"/>
      <c r="I313" s="733"/>
      <c r="J313" s="738"/>
      <c r="K313" s="738"/>
      <c r="L313" s="738"/>
      <c r="M313" s="1288"/>
      <c r="N313" s="738"/>
      <c r="O313" s="738"/>
      <c r="P313" s="738"/>
      <c r="Q313" s="738"/>
      <c r="R313" s="740"/>
      <c r="S313" s="738"/>
      <c r="T313" s="738"/>
      <c r="U313" s="738"/>
      <c r="V313" s="738"/>
      <c r="W313" s="738"/>
      <c r="X313" s="738"/>
      <c r="Y313" s="738"/>
      <c r="Z313" s="738"/>
      <c r="AA313" s="738"/>
      <c r="AB313" s="738"/>
      <c r="AC313" s="738"/>
      <c r="AD313" s="738"/>
      <c r="AE313" s="738"/>
      <c r="AF313" s="738"/>
      <c r="AG313" s="738"/>
      <c r="AH313" s="738"/>
      <c r="AI313" s="738"/>
      <c r="AJ313" s="1288"/>
      <c r="AK313" s="738"/>
      <c r="AL313" s="738"/>
      <c r="AM313" s="738"/>
      <c r="AN313" s="733"/>
      <c r="AO313" s="738"/>
      <c r="AP313" s="738"/>
      <c r="AQ313" s="1288"/>
      <c r="AR313" s="738"/>
      <c r="AS313" s="738"/>
      <c r="AT313" s="738"/>
      <c r="AU313" s="733"/>
      <c r="AV313" s="738"/>
      <c r="AW313" s="1288"/>
      <c r="AX313" s="738"/>
      <c r="AY313" s="738"/>
      <c r="AZ313" s="738"/>
      <c r="BA313" s="738"/>
      <c r="BB313" s="738"/>
      <c r="BC313" s="738"/>
      <c r="BD313" s="1288"/>
      <c r="BE313" s="738"/>
      <c r="BF313" s="738"/>
      <c r="BG313" s="738"/>
      <c r="BH313" s="738"/>
      <c r="BI313" s="738"/>
      <c r="BJ313" s="738"/>
      <c r="BK313" s="1288"/>
      <c r="BL313" s="1288"/>
      <c r="BM313" s="1288"/>
      <c r="BN313" s="1288"/>
      <c r="BO313" s="1288"/>
      <c r="BP313" s="1288"/>
      <c r="BQ313" s="1288"/>
      <c r="BR313" s="1288"/>
      <c r="BS313" s="1288"/>
      <c r="BT313" s="1288"/>
      <c r="BU313" s="1288"/>
      <c r="BV313" s="1288"/>
      <c r="BW313" s="1288"/>
      <c r="BX313" s="1288"/>
    </row>
    <row r="314" ht="15.75" customHeight="1">
      <c r="A314" s="1296" t="s">
        <v>320</v>
      </c>
      <c r="B314" s="1304" t="s">
        <v>1517</v>
      </c>
      <c r="C314" s="83" t="s">
        <v>8335</v>
      </c>
      <c r="D314" s="173"/>
      <c r="E314" s="728"/>
      <c r="F314" s="728" t="s">
        <v>5326</v>
      </c>
      <c r="G314" s="112" t="s">
        <v>8335</v>
      </c>
      <c r="H314" s="175"/>
      <c r="I314" s="733"/>
      <c r="J314" s="728" t="s">
        <v>1492</v>
      </c>
      <c r="K314" s="728"/>
      <c r="L314" s="728"/>
      <c r="M314" s="1288"/>
      <c r="N314" s="728"/>
      <c r="O314" s="728"/>
      <c r="P314" s="728"/>
      <c r="Q314" s="728"/>
      <c r="R314" s="732"/>
      <c r="S314" s="728"/>
      <c r="T314" s="728"/>
      <c r="U314" s="728"/>
      <c r="V314" s="112" t="s">
        <v>8354</v>
      </c>
      <c r="W314" s="728"/>
      <c r="X314" s="728"/>
      <c r="Y314" s="728"/>
      <c r="Z314" s="728"/>
      <c r="AA314" s="728"/>
      <c r="AB314" s="728"/>
      <c r="AC314" s="728"/>
      <c r="AD314" s="728"/>
      <c r="AE314" s="728"/>
      <c r="AF314" s="728"/>
      <c r="AG314" s="728"/>
      <c r="AH314" s="728"/>
      <c r="AI314" s="728"/>
      <c r="AJ314" s="1288"/>
      <c r="AK314" s="728"/>
      <c r="AL314" s="728"/>
      <c r="AM314" s="112" t="s">
        <v>5349</v>
      </c>
      <c r="AN314" s="733"/>
      <c r="AO314" s="728"/>
      <c r="AP314" s="728"/>
      <c r="AQ314" s="1288"/>
      <c r="AR314" s="728"/>
      <c r="AS314" s="728"/>
      <c r="AT314" s="728"/>
      <c r="AU314" s="733"/>
      <c r="AV314" s="728"/>
      <c r="AW314" s="1288"/>
      <c r="AX314" s="728"/>
      <c r="AY314" s="728"/>
      <c r="AZ314" s="728"/>
      <c r="BA314" s="728"/>
      <c r="BB314" s="728"/>
      <c r="BC314" s="728"/>
      <c r="BD314" s="1288"/>
      <c r="BE314" s="728"/>
      <c r="BF314" s="728"/>
      <c r="BG314" s="728"/>
      <c r="BH314" s="728"/>
      <c r="BI314" s="728"/>
      <c r="BJ314" s="728"/>
      <c r="BK314" s="1288"/>
      <c r="BL314" s="1288"/>
      <c r="BM314" s="1288"/>
      <c r="BN314" s="1288"/>
      <c r="BO314" s="1288"/>
      <c r="BP314" s="1288"/>
      <c r="BQ314" s="1288"/>
      <c r="BR314" s="1288"/>
      <c r="BS314" s="1288"/>
      <c r="BT314" s="1288"/>
      <c r="BU314" s="1288"/>
      <c r="BV314" s="1288"/>
      <c r="BW314" s="1288"/>
      <c r="BX314" s="1288"/>
    </row>
    <row r="315" ht="15.75" customHeight="1">
      <c r="A315" s="1285" t="s">
        <v>8378</v>
      </c>
      <c r="B315" s="1375"/>
      <c r="C315" s="83" t="s">
        <v>8379</v>
      </c>
      <c r="D315" s="530"/>
      <c r="E315" s="738"/>
      <c r="F315" s="738"/>
      <c r="G315" s="112" t="s">
        <v>8379</v>
      </c>
      <c r="H315" s="175"/>
      <c r="I315" s="733"/>
      <c r="J315" s="738"/>
      <c r="K315" s="738"/>
      <c r="L315" s="738"/>
      <c r="M315" s="154"/>
      <c r="N315" s="738"/>
      <c r="O315" s="738"/>
      <c r="P315" s="738"/>
      <c r="Q315" s="738"/>
      <c r="R315" s="740"/>
      <c r="S315" s="738"/>
      <c r="T315" s="738"/>
      <c r="U315" s="738"/>
      <c r="V315" s="738"/>
      <c r="W315" s="738"/>
      <c r="X315" s="738"/>
      <c r="Y315" s="738"/>
      <c r="Z315" s="738"/>
      <c r="AA315" s="738"/>
      <c r="AB315" s="738"/>
      <c r="AC315" s="738"/>
      <c r="AD315" s="738"/>
      <c r="AE315" s="738"/>
      <c r="AF315" s="738"/>
      <c r="AG315" s="738"/>
      <c r="AH315" s="738"/>
      <c r="AI315" s="738"/>
      <c r="AJ315" s="154"/>
      <c r="AK315" s="738"/>
      <c r="AL315" s="738"/>
      <c r="AM315" s="738"/>
      <c r="AN315" s="733"/>
      <c r="AO315" s="738"/>
      <c r="AP315" s="738"/>
      <c r="AQ315" s="154"/>
      <c r="AR315" s="738"/>
      <c r="AS315" s="738"/>
      <c r="AT315" s="738"/>
      <c r="AU315" s="733"/>
      <c r="AV315" s="738"/>
      <c r="AW315" s="154"/>
      <c r="AX315" s="738"/>
      <c r="AY315" s="738"/>
      <c r="AZ315" s="738"/>
      <c r="BA315" s="738"/>
      <c r="BB315" s="738"/>
      <c r="BC315" s="738"/>
      <c r="BD315" s="154"/>
      <c r="BE315" s="738"/>
      <c r="BF315" s="738"/>
      <c r="BG315" s="738"/>
      <c r="BH315" s="738"/>
      <c r="BI315" s="738"/>
      <c r="BJ315" s="738"/>
      <c r="BK315" s="154"/>
      <c r="BL315" s="154"/>
      <c r="BM315" s="154"/>
      <c r="BN315" s="154"/>
      <c r="BO315" s="154"/>
      <c r="BP315" s="154"/>
      <c r="BQ315" s="154"/>
      <c r="BR315" s="154"/>
      <c r="BS315" s="154"/>
      <c r="BT315" s="154"/>
      <c r="BU315" s="154"/>
      <c r="BV315" s="154"/>
      <c r="BW315" s="154"/>
      <c r="BX315" s="154"/>
    </row>
    <row r="316" ht="15.75" customHeight="1">
      <c r="A316" s="1296" t="s">
        <v>8384</v>
      </c>
      <c r="B316" s="1304" t="s">
        <v>8385</v>
      </c>
      <c r="C316" s="83" t="s">
        <v>4601</v>
      </c>
      <c r="D316" s="173"/>
      <c r="E316" s="144" t="s">
        <v>8387</v>
      </c>
      <c r="F316" s="738"/>
      <c r="G316" s="112" t="s">
        <v>4601</v>
      </c>
      <c r="H316" s="175"/>
      <c r="I316" s="733"/>
      <c r="J316" s="112" t="s">
        <v>1467</v>
      </c>
      <c r="K316" s="738"/>
      <c r="L316" s="738"/>
      <c r="M316" s="1288"/>
      <c r="N316" s="738"/>
      <c r="O316" s="738"/>
      <c r="P316" s="738"/>
      <c r="Q316" s="738"/>
      <c r="R316" s="740"/>
      <c r="S316" s="738"/>
      <c r="T316" s="738"/>
      <c r="U316" s="738"/>
      <c r="V316" s="738"/>
      <c r="W316" s="738"/>
      <c r="X316" s="738"/>
      <c r="Y316" s="738"/>
      <c r="Z316" s="738" t="s">
        <v>409</v>
      </c>
      <c r="AA316" s="738"/>
      <c r="AB316" s="738"/>
      <c r="AC316" s="738"/>
      <c r="AD316" s="738"/>
      <c r="AE316" s="738"/>
      <c r="AF316" s="738"/>
      <c r="AG316" s="738"/>
      <c r="AH316" s="738"/>
      <c r="AI316" s="738"/>
      <c r="AJ316" s="1288"/>
      <c r="AK316" s="738"/>
      <c r="AL316" s="738"/>
      <c r="AM316" s="738"/>
      <c r="AN316" s="733"/>
      <c r="AO316" s="738"/>
      <c r="AP316" s="738"/>
      <c r="AQ316" s="1288"/>
      <c r="AR316" s="738"/>
      <c r="AS316" s="738"/>
      <c r="AT316" s="738"/>
      <c r="AU316" s="733"/>
      <c r="AV316" s="738"/>
      <c r="AW316" s="1288"/>
      <c r="AX316" s="738"/>
      <c r="AY316" s="738"/>
      <c r="AZ316" s="738"/>
      <c r="BA316" s="738"/>
      <c r="BB316" s="738"/>
      <c r="BC316" s="738"/>
      <c r="BD316" s="1288"/>
      <c r="BE316" s="738"/>
      <c r="BF316" s="738"/>
      <c r="BG316" s="738"/>
      <c r="BH316" s="738"/>
      <c r="BI316" s="738"/>
      <c r="BJ316" s="738"/>
      <c r="BK316" s="1288"/>
      <c r="BL316" s="1288"/>
      <c r="BM316" s="1288"/>
      <c r="BN316" s="1288"/>
      <c r="BO316" s="1288"/>
      <c r="BP316" s="1288"/>
      <c r="BQ316" s="1288"/>
      <c r="BR316" s="1288"/>
      <c r="BS316" s="1288"/>
      <c r="BT316" s="1288"/>
      <c r="BU316" s="1288"/>
      <c r="BV316" s="1288"/>
      <c r="BW316" s="1288"/>
      <c r="BX316" s="1288"/>
    </row>
    <row r="317" ht="15.75" customHeight="1">
      <c r="A317" s="528"/>
      <c r="B317" s="1298" t="s">
        <v>8398</v>
      </c>
      <c r="C317" s="725" t="s">
        <v>2257</v>
      </c>
      <c r="D317" s="530"/>
      <c r="E317" s="842"/>
      <c r="F317" s="842" t="s">
        <v>4555</v>
      </c>
      <c r="G317" s="112" t="s">
        <v>2257</v>
      </c>
      <c r="H317" s="175"/>
      <c r="I317" s="733"/>
      <c r="J317" s="112" t="s">
        <v>2257</v>
      </c>
      <c r="K317" s="842"/>
      <c r="L317" s="842"/>
      <c r="M317" s="154"/>
      <c r="N317" s="842"/>
      <c r="O317" s="842" t="s">
        <v>852</v>
      </c>
      <c r="P317" s="842"/>
      <c r="Q317" s="842"/>
      <c r="R317" s="1403"/>
      <c r="S317" s="842"/>
      <c r="T317" s="842"/>
      <c r="U317" s="842"/>
      <c r="V317" s="842"/>
      <c r="W317" s="842"/>
      <c r="X317" s="842"/>
      <c r="Y317" s="842"/>
      <c r="Z317" s="842"/>
      <c r="AA317" s="842"/>
      <c r="AB317" s="842"/>
      <c r="AC317" s="842"/>
      <c r="AD317" s="842"/>
      <c r="AE317" s="842"/>
      <c r="AF317" s="842"/>
      <c r="AG317" s="842"/>
      <c r="AH317" s="842"/>
      <c r="AI317" s="842"/>
      <c r="AJ317" s="154"/>
      <c r="AK317" s="842"/>
      <c r="AL317" s="842"/>
      <c r="AM317" s="842"/>
      <c r="AN317" s="733"/>
      <c r="AO317" s="842"/>
      <c r="AP317" s="842"/>
      <c r="AQ317" s="154"/>
      <c r="AR317" s="842"/>
      <c r="AS317" s="842"/>
      <c r="AT317" s="842"/>
      <c r="AU317" s="733"/>
      <c r="AV317" s="842"/>
      <c r="AW317" s="154"/>
      <c r="AX317" s="842"/>
      <c r="AY317" s="842"/>
      <c r="AZ317" s="842"/>
      <c r="BA317" s="842"/>
      <c r="BB317" s="842"/>
      <c r="BC317" s="842"/>
      <c r="BD317" s="154"/>
      <c r="BE317" s="842"/>
      <c r="BF317" s="842"/>
      <c r="BG317" s="842"/>
      <c r="BH317" s="842"/>
      <c r="BI317" s="842"/>
      <c r="BJ317" s="842"/>
      <c r="BK317" s="154"/>
      <c r="BL317" s="154"/>
      <c r="BM317" s="154"/>
      <c r="BN317" s="154"/>
      <c r="BO317" s="154"/>
      <c r="BP317" s="154"/>
      <c r="BQ317" s="154"/>
      <c r="BR317" s="154"/>
      <c r="BS317" s="154"/>
      <c r="BT317" s="154"/>
      <c r="BU317" s="154"/>
      <c r="BV317" s="154"/>
      <c r="BW317" s="154"/>
      <c r="BX317" s="154"/>
    </row>
    <row r="318" ht="15.75" customHeight="1">
      <c r="A318" s="1285" t="s">
        <v>8419</v>
      </c>
      <c r="B318" s="1311" t="s">
        <v>8420</v>
      </c>
      <c r="C318" s="83" t="s">
        <v>8421</v>
      </c>
      <c r="D318" s="173"/>
      <c r="E318" s="738"/>
      <c r="F318" s="738"/>
      <c r="G318" s="738"/>
      <c r="H318" s="175"/>
      <c r="I318" s="733"/>
      <c r="J318" s="738"/>
      <c r="K318" s="738"/>
      <c r="L318" s="738"/>
      <c r="M318" s="1288"/>
      <c r="N318" s="738"/>
      <c r="O318" s="738"/>
      <c r="P318" s="738"/>
      <c r="Q318" s="738"/>
      <c r="R318" s="740"/>
      <c r="S318" s="738"/>
      <c r="T318" s="738"/>
      <c r="U318" s="365" t="s">
        <v>8421</v>
      </c>
      <c r="V318" s="738"/>
      <c r="W318" s="738"/>
      <c r="X318" s="738"/>
      <c r="Y318" s="738"/>
      <c r="Z318" s="738"/>
      <c r="AA318" s="738"/>
      <c r="AB318" s="738"/>
      <c r="AC318" s="738"/>
      <c r="AD318" s="738"/>
      <c r="AE318" s="738"/>
      <c r="AF318" s="738"/>
      <c r="AG318" s="738"/>
      <c r="AH318" s="738"/>
      <c r="AI318" s="738"/>
      <c r="AJ318" s="1288"/>
      <c r="AK318" s="738"/>
      <c r="AL318" s="738"/>
      <c r="AM318" s="738"/>
      <c r="AN318" s="733"/>
      <c r="AO318" s="738"/>
      <c r="AP318" s="738"/>
      <c r="AQ318" s="1288"/>
      <c r="AR318" s="738"/>
      <c r="AS318" s="738"/>
      <c r="AT318" s="738"/>
      <c r="AU318" s="733"/>
      <c r="AV318" s="738"/>
      <c r="AW318" s="1288"/>
      <c r="AX318" s="738"/>
      <c r="AY318" s="738"/>
      <c r="AZ318" s="738"/>
      <c r="BA318" s="738"/>
      <c r="BB318" s="738"/>
      <c r="BC318" s="738"/>
      <c r="BD318" s="1288"/>
      <c r="BE318" s="738"/>
      <c r="BF318" s="738"/>
      <c r="BG318" s="738"/>
      <c r="BH318" s="738"/>
      <c r="BI318" s="738"/>
      <c r="BJ318" s="738"/>
      <c r="BK318" s="1288"/>
      <c r="BL318" s="1288"/>
      <c r="BM318" s="1288"/>
      <c r="BN318" s="1288"/>
      <c r="BO318" s="1288"/>
      <c r="BP318" s="1288"/>
      <c r="BQ318" s="1288"/>
      <c r="BR318" s="1288"/>
      <c r="BS318" s="1288"/>
      <c r="BT318" s="1288"/>
      <c r="BU318" s="1288"/>
      <c r="BV318" s="1288"/>
      <c r="BW318" s="1288"/>
      <c r="BX318" s="1288"/>
    </row>
    <row r="319" ht="15.75" customHeight="1">
      <c r="A319" s="528"/>
      <c r="B319" s="529" t="s">
        <v>8438</v>
      </c>
      <c r="C319" s="83" t="s">
        <v>8440</v>
      </c>
      <c r="D319" s="530"/>
      <c r="E319" s="738"/>
      <c r="F319" s="738"/>
      <c r="G319" s="738"/>
      <c r="H319" s="175"/>
      <c r="I319" s="733"/>
      <c r="J319" s="738"/>
      <c r="K319" s="738"/>
      <c r="L319" s="738"/>
      <c r="M319" s="154"/>
      <c r="N319" s="738"/>
      <c r="O319" s="738"/>
      <c r="P319" s="738" t="s">
        <v>8444</v>
      </c>
      <c r="Q319" s="738"/>
      <c r="R319" s="740"/>
      <c r="S319" s="738"/>
      <c r="T319" s="738"/>
      <c r="U319" s="738"/>
      <c r="V319" s="738"/>
      <c r="W319" s="738"/>
      <c r="X319" s="738"/>
      <c r="Y319" s="738"/>
      <c r="Z319" s="738"/>
      <c r="AA319" s="738"/>
      <c r="AB319" s="738"/>
      <c r="AC319" s="738"/>
      <c r="AD319" s="738"/>
      <c r="AE319" s="738"/>
      <c r="AF319" s="738"/>
      <c r="AG319" s="738"/>
      <c r="AH319" s="738"/>
      <c r="AI319" s="738"/>
      <c r="AJ319" s="154"/>
      <c r="AK319" s="738"/>
      <c r="AL319" s="738"/>
      <c r="AM319" s="738"/>
      <c r="AN319" s="733"/>
      <c r="AO319" s="738"/>
      <c r="AP319" s="738"/>
      <c r="AQ319" s="154"/>
      <c r="AR319" s="738"/>
      <c r="AS319" s="738"/>
      <c r="AT319" s="738"/>
      <c r="AU319" s="733"/>
      <c r="AV319" s="738"/>
      <c r="AW319" s="154"/>
      <c r="AX319" s="738"/>
      <c r="AY319" s="738"/>
      <c r="AZ319" s="738"/>
      <c r="BA319" s="738"/>
      <c r="BB319" s="738"/>
      <c r="BC319" s="738"/>
      <c r="BD319" s="154"/>
      <c r="BE319" s="738"/>
      <c r="BF319" s="738"/>
      <c r="BG319" s="738"/>
      <c r="BH319" s="738"/>
      <c r="BI319" s="738"/>
      <c r="BJ319" s="738"/>
      <c r="BK319" s="154"/>
      <c r="BL319" s="154"/>
      <c r="BM319" s="154"/>
      <c r="BN319" s="365" t="s">
        <v>8440</v>
      </c>
      <c r="BO319" s="154"/>
      <c r="BP319" s="154"/>
      <c r="BQ319" s="154"/>
      <c r="BR319" s="154"/>
      <c r="BS319" s="154"/>
      <c r="BT319" s="154"/>
      <c r="BU319" s="154"/>
      <c r="BV319" s="154"/>
      <c r="BW319" s="154"/>
      <c r="BX319" s="154"/>
    </row>
    <row r="320" ht="15.75" customHeight="1">
      <c r="A320" s="1285" t="s">
        <v>8454</v>
      </c>
      <c r="B320" s="1311" t="s">
        <v>8456</v>
      </c>
      <c r="C320" s="725"/>
      <c r="D320" s="173"/>
      <c r="E320" s="738"/>
      <c r="F320" s="738"/>
      <c r="G320" s="738"/>
      <c r="H320" s="175"/>
      <c r="I320" s="733"/>
      <c r="J320" s="738"/>
      <c r="K320" s="738"/>
      <c r="L320" s="738"/>
      <c r="M320" s="154"/>
      <c r="N320" s="738"/>
      <c r="O320" s="738"/>
      <c r="P320" s="738"/>
      <c r="Q320" s="738"/>
      <c r="R320" s="740"/>
      <c r="S320" s="738"/>
      <c r="T320" s="738"/>
      <c r="U320" s="738"/>
      <c r="V320" s="738"/>
      <c r="W320" s="738"/>
      <c r="X320" s="738"/>
      <c r="Y320" s="738"/>
      <c r="Z320" s="738"/>
      <c r="AA320" s="738"/>
      <c r="AB320" s="738"/>
      <c r="AC320" s="738"/>
      <c r="AD320" s="738"/>
      <c r="AE320" s="738"/>
      <c r="AF320" s="738"/>
      <c r="AG320" s="738"/>
      <c r="AH320" s="738"/>
      <c r="AI320" s="738"/>
      <c r="AJ320" s="154"/>
      <c r="AK320" s="738"/>
      <c r="AL320" s="738"/>
      <c r="AM320" s="738"/>
      <c r="AN320" s="733"/>
      <c r="AO320" s="738"/>
      <c r="AP320" s="738"/>
      <c r="AQ320" s="154"/>
      <c r="AR320" s="738"/>
      <c r="AS320" s="738"/>
      <c r="AT320" s="738"/>
      <c r="AU320" s="733"/>
      <c r="AV320" s="738"/>
      <c r="AW320" s="154"/>
      <c r="AX320" s="738"/>
      <c r="AY320" s="738"/>
      <c r="AZ320" s="738"/>
      <c r="BA320" s="738"/>
      <c r="BB320" s="738"/>
      <c r="BC320" s="738"/>
      <c r="BD320" s="154"/>
      <c r="BE320" s="738"/>
      <c r="BF320" s="738"/>
      <c r="BG320" s="738"/>
      <c r="BH320" s="738"/>
      <c r="BI320" s="738"/>
      <c r="BJ320" s="738"/>
      <c r="BK320" s="154"/>
      <c r="BL320" s="154"/>
      <c r="BM320" s="154"/>
      <c r="BN320" s="154"/>
      <c r="BO320" s="154"/>
      <c r="BP320" s="154"/>
      <c r="BQ320" s="154"/>
      <c r="BR320" s="154"/>
      <c r="BS320" s="154"/>
      <c r="BT320" s="154"/>
      <c r="BU320" s="154"/>
      <c r="BV320" s="154"/>
      <c r="BW320" s="154"/>
      <c r="BX320" s="154"/>
    </row>
    <row r="321" ht="15.75" customHeight="1">
      <c r="A321" s="528"/>
      <c r="B321" s="1298" t="s">
        <v>8484</v>
      </c>
      <c r="C321" s="725"/>
      <c r="D321" s="530"/>
      <c r="E321" s="738"/>
      <c r="F321" s="738"/>
      <c r="G321" s="738"/>
      <c r="H321" s="175"/>
      <c r="I321" s="733"/>
      <c r="J321" s="738"/>
      <c r="K321" s="738"/>
      <c r="L321" s="738"/>
      <c r="M321" s="154"/>
      <c r="N321" s="738"/>
      <c r="O321" s="738"/>
      <c r="P321" s="738"/>
      <c r="Q321" s="738"/>
      <c r="R321" s="740"/>
      <c r="S321" s="738"/>
      <c r="T321" s="738"/>
      <c r="U321" s="738"/>
      <c r="V321" s="738"/>
      <c r="W321" s="738"/>
      <c r="X321" s="738"/>
      <c r="Y321" s="738"/>
      <c r="Z321" s="738"/>
      <c r="AA321" s="738"/>
      <c r="AB321" s="738"/>
      <c r="AC321" s="738"/>
      <c r="AD321" s="738"/>
      <c r="AE321" s="738"/>
      <c r="AF321" s="738"/>
      <c r="AG321" s="738"/>
      <c r="AH321" s="738"/>
      <c r="AI321" s="738"/>
      <c r="AJ321" s="154"/>
      <c r="AK321" s="738"/>
      <c r="AL321" s="738"/>
      <c r="AM321" s="738"/>
      <c r="AN321" s="733"/>
      <c r="AO321" s="738"/>
      <c r="AP321" s="738"/>
      <c r="AQ321" s="154"/>
      <c r="AR321" s="738"/>
      <c r="AS321" s="738"/>
      <c r="AT321" s="738"/>
      <c r="AU321" s="733"/>
      <c r="AV321" s="738"/>
      <c r="AW321" s="154"/>
      <c r="AX321" s="738"/>
      <c r="AY321" s="738"/>
      <c r="AZ321" s="738"/>
      <c r="BA321" s="738"/>
      <c r="BB321" s="738"/>
      <c r="BC321" s="738"/>
      <c r="BD321" s="154"/>
      <c r="BE321" s="738"/>
      <c r="BF321" s="738"/>
      <c r="BG321" s="738"/>
      <c r="BH321" s="738"/>
      <c r="BI321" s="738"/>
      <c r="BJ321" s="738"/>
      <c r="BK321" s="154"/>
      <c r="BL321" s="154"/>
      <c r="BM321" s="154"/>
      <c r="BN321" s="154"/>
      <c r="BO321" s="154"/>
      <c r="BP321" s="154"/>
      <c r="BQ321" s="154"/>
      <c r="BR321" s="154"/>
      <c r="BS321" s="154"/>
      <c r="BT321" s="154"/>
      <c r="BU321" s="154"/>
      <c r="BV321" s="154"/>
      <c r="BW321" s="154"/>
      <c r="BX321" s="154"/>
    </row>
    <row r="322" ht="15.75" customHeight="1">
      <c r="A322" s="532"/>
      <c r="B322" s="542" t="s">
        <v>8493</v>
      </c>
      <c r="C322" s="725"/>
      <c r="D322" s="173"/>
      <c r="E322" s="738"/>
      <c r="F322" s="738"/>
      <c r="G322" s="738"/>
      <c r="H322" s="175"/>
      <c r="I322" s="729" t="s">
        <v>8494</v>
      </c>
      <c r="J322" s="738"/>
      <c r="K322" s="738"/>
      <c r="L322" s="738"/>
      <c r="M322" s="154"/>
      <c r="N322" s="738"/>
      <c r="O322" s="738"/>
      <c r="P322" s="738"/>
      <c r="Q322" s="738"/>
      <c r="R322" s="740"/>
      <c r="S322" s="738"/>
      <c r="T322" s="738"/>
      <c r="U322" s="738"/>
      <c r="V322" s="738"/>
      <c r="W322" s="738"/>
      <c r="X322" s="738"/>
      <c r="Y322" s="738"/>
      <c r="Z322" s="738"/>
      <c r="AA322" s="738"/>
      <c r="AB322" s="738"/>
      <c r="AC322" s="738"/>
      <c r="AD322" s="738"/>
      <c r="AE322" s="738"/>
      <c r="AF322" s="738"/>
      <c r="AG322" s="738"/>
      <c r="AH322" s="738"/>
      <c r="AI322" s="738"/>
      <c r="AJ322" s="154"/>
      <c r="AK322" s="738"/>
      <c r="AL322" s="738"/>
      <c r="AM322" s="738"/>
      <c r="AN322" s="733"/>
      <c r="AO322" s="738"/>
      <c r="AP322" s="738"/>
      <c r="AQ322" s="154"/>
      <c r="AR322" s="738"/>
      <c r="AS322" s="738"/>
      <c r="AT322" s="738"/>
      <c r="AU322" s="733"/>
      <c r="AV322" s="738"/>
      <c r="AW322" s="154"/>
      <c r="AX322" s="738"/>
      <c r="AY322" s="738"/>
      <c r="AZ322" s="738"/>
      <c r="BA322" s="738"/>
      <c r="BB322" s="738"/>
      <c r="BC322" s="738"/>
      <c r="BD322" s="154"/>
      <c r="BE322" s="738"/>
      <c r="BF322" s="738"/>
      <c r="BG322" s="738"/>
      <c r="BH322" s="738"/>
      <c r="BI322" s="738"/>
      <c r="BJ322" s="738"/>
      <c r="BK322" s="154"/>
      <c r="BL322" s="154"/>
      <c r="BM322" s="154"/>
      <c r="BN322" s="154"/>
      <c r="BO322" s="154"/>
      <c r="BP322" s="154"/>
      <c r="BQ322" s="154"/>
      <c r="BR322" s="154"/>
      <c r="BS322" s="154"/>
      <c r="BT322" s="154"/>
      <c r="BU322" s="154"/>
      <c r="BV322" s="154"/>
      <c r="BW322" s="154"/>
      <c r="BX322" s="154"/>
    </row>
    <row r="323" ht="15.75" customHeight="1">
      <c r="A323" s="1285" t="s">
        <v>327</v>
      </c>
      <c r="B323" s="1311" t="s">
        <v>8496</v>
      </c>
      <c r="C323" s="83" t="s">
        <v>3449</v>
      </c>
      <c r="D323" s="530"/>
      <c r="E323" s="738"/>
      <c r="F323" s="738"/>
      <c r="G323" s="738"/>
      <c r="H323" s="175"/>
      <c r="I323" s="733"/>
      <c r="J323" s="738" t="s">
        <v>808</v>
      </c>
      <c r="K323" s="738"/>
      <c r="L323" s="738"/>
      <c r="M323" s="1288"/>
      <c r="N323" s="738"/>
      <c r="O323" s="738"/>
      <c r="P323" s="738"/>
      <c r="Q323" s="738"/>
      <c r="R323" s="740"/>
      <c r="S323" s="738"/>
      <c r="T323" s="738"/>
      <c r="U323" s="738"/>
      <c r="V323" s="738"/>
      <c r="W323" s="738"/>
      <c r="X323" s="738"/>
      <c r="Y323" s="738"/>
      <c r="Z323" s="738"/>
      <c r="AA323" s="738"/>
      <c r="AB323" s="738"/>
      <c r="AC323" s="738"/>
      <c r="AD323" s="738"/>
      <c r="AE323" s="738"/>
      <c r="AF323" s="738"/>
      <c r="AG323" s="738"/>
      <c r="AH323" s="738"/>
      <c r="AI323" s="738"/>
      <c r="AJ323" s="1288"/>
      <c r="AK323" s="738"/>
      <c r="AL323" s="738"/>
      <c r="AM323" s="738"/>
      <c r="AN323" s="733"/>
      <c r="AO323" s="738"/>
      <c r="AP323" s="738"/>
      <c r="AQ323" s="1288"/>
      <c r="AR323" s="738"/>
      <c r="AS323" s="738"/>
      <c r="AT323" s="738"/>
      <c r="AU323" s="733"/>
      <c r="AV323" s="738"/>
      <c r="AW323" s="1288"/>
      <c r="AX323" s="738"/>
      <c r="AY323" s="738"/>
      <c r="AZ323" s="738"/>
      <c r="BA323" s="738"/>
      <c r="BB323" s="738"/>
      <c r="BC323" s="738"/>
      <c r="BD323" s="1288"/>
      <c r="BE323" s="738"/>
      <c r="BF323" s="738"/>
      <c r="BG323" s="738"/>
      <c r="BH323" s="738"/>
      <c r="BI323" s="738"/>
      <c r="BJ323" s="738"/>
      <c r="BK323" s="1288"/>
      <c r="BL323" s="1288"/>
      <c r="BM323" s="1288"/>
      <c r="BN323" s="1288"/>
      <c r="BO323" s="365" t="s">
        <v>3449</v>
      </c>
      <c r="BP323" s="1288"/>
      <c r="BQ323" s="1288"/>
      <c r="BR323" s="1288"/>
      <c r="BS323" s="1288"/>
      <c r="BT323" s="1288"/>
      <c r="BU323" s="1288"/>
      <c r="BV323" s="1288"/>
      <c r="BW323" s="1288"/>
      <c r="BX323" s="1288"/>
    </row>
    <row r="324" ht="15.75" customHeight="1">
      <c r="A324" s="1285" t="s">
        <v>328</v>
      </c>
      <c r="B324" s="1311" t="s">
        <v>8496</v>
      </c>
      <c r="C324" s="725" t="s">
        <v>8514</v>
      </c>
      <c r="D324" s="173"/>
      <c r="E324" s="738"/>
      <c r="F324" s="738"/>
      <c r="G324" s="738"/>
      <c r="H324" s="175"/>
      <c r="I324" s="733"/>
      <c r="J324" s="112" t="s">
        <v>8514</v>
      </c>
      <c r="K324" s="738"/>
      <c r="L324" s="738"/>
      <c r="M324" s="154"/>
      <c r="N324" s="738"/>
      <c r="O324" s="738"/>
      <c r="P324" s="738" t="s">
        <v>8535</v>
      </c>
      <c r="Q324" s="738"/>
      <c r="R324" s="740"/>
      <c r="S324" s="738"/>
      <c r="T324" s="738"/>
      <c r="U324" s="738"/>
      <c r="V324" s="738"/>
      <c r="W324" s="738"/>
      <c r="X324" s="738"/>
      <c r="Y324" s="738"/>
      <c r="Z324" s="738"/>
      <c r="AA324" s="738"/>
      <c r="AB324" s="738"/>
      <c r="AC324" s="738"/>
      <c r="AD324" s="738"/>
      <c r="AE324" s="738"/>
      <c r="AF324" s="738"/>
      <c r="AG324" s="738"/>
      <c r="AH324" s="738"/>
      <c r="AI324" s="738"/>
      <c r="AJ324" s="154"/>
      <c r="AK324" s="738"/>
      <c r="AL324" s="738"/>
      <c r="AM324" s="738"/>
      <c r="AN324" s="733"/>
      <c r="AO324" s="738"/>
      <c r="AP324" s="738"/>
      <c r="AQ324" s="154"/>
      <c r="AR324" s="738"/>
      <c r="AS324" s="738"/>
      <c r="AT324" s="738"/>
      <c r="AU324" s="733"/>
      <c r="AV324" s="738"/>
      <c r="AW324" s="154"/>
      <c r="AX324" s="738"/>
      <c r="AY324" s="738"/>
      <c r="AZ324" s="738"/>
      <c r="BA324" s="738"/>
      <c r="BB324" s="738"/>
      <c r="BC324" s="738"/>
      <c r="BD324" s="154"/>
      <c r="BE324" s="738"/>
      <c r="BF324" s="738"/>
      <c r="BG324" s="738"/>
      <c r="BH324" s="738"/>
      <c r="BI324" s="738"/>
      <c r="BJ324" s="738"/>
      <c r="BK324" s="154"/>
      <c r="BL324" s="154"/>
      <c r="BM324" s="154"/>
      <c r="BN324" s="154"/>
      <c r="BO324" s="154"/>
      <c r="BP324" s="154"/>
      <c r="BQ324" s="154"/>
      <c r="BR324" s="154"/>
      <c r="BS324" s="154"/>
      <c r="BT324" s="154"/>
      <c r="BU324" s="154"/>
      <c r="BV324" s="154"/>
      <c r="BW324" s="154"/>
      <c r="BX324" s="154"/>
    </row>
    <row r="325" ht="26.25" customHeight="1">
      <c r="A325" s="1279" t="s">
        <v>8548</v>
      </c>
      <c r="D325" s="1280"/>
      <c r="E325" s="1283"/>
      <c r="F325" s="1283"/>
      <c r="G325" s="1283"/>
      <c r="H325" s="1282"/>
      <c r="I325" s="1283"/>
      <c r="J325" s="1283"/>
      <c r="K325" s="1283"/>
      <c r="L325" s="1283"/>
      <c r="M325" s="1283"/>
      <c r="N325" s="1283"/>
      <c r="O325" s="1283"/>
      <c r="P325" s="1283"/>
      <c r="Q325" s="1283"/>
      <c r="R325" s="1439"/>
      <c r="S325" s="1283"/>
      <c r="T325" s="1283"/>
      <c r="U325" s="1283"/>
      <c r="V325" s="1283"/>
      <c r="W325" s="1283"/>
      <c r="X325" s="1283"/>
      <c r="Y325" s="1283"/>
      <c r="Z325" s="1283"/>
      <c r="AA325" s="1283"/>
      <c r="AB325" s="1283"/>
      <c r="AC325" s="1283"/>
      <c r="AD325" s="1283"/>
      <c r="AE325" s="1283"/>
      <c r="AF325" s="1283"/>
      <c r="AG325" s="1283"/>
      <c r="AH325" s="1283"/>
      <c r="AI325" s="1283"/>
      <c r="AJ325" s="1283"/>
      <c r="AK325" s="1283"/>
      <c r="AL325" s="1283"/>
      <c r="AM325" s="1283"/>
      <c r="AN325" s="1283"/>
      <c r="AO325" s="1283"/>
      <c r="AP325" s="1283"/>
      <c r="AQ325" s="1283"/>
      <c r="AR325" s="1283"/>
      <c r="AS325" s="1283"/>
      <c r="AT325" s="1283"/>
      <c r="AU325" s="1283"/>
      <c r="AV325" s="1283"/>
      <c r="AW325" s="1283"/>
      <c r="AX325" s="1283"/>
      <c r="AY325" s="1283"/>
      <c r="AZ325" s="1283"/>
      <c r="BA325" s="1283"/>
      <c r="BB325" s="1283"/>
      <c r="BC325" s="1283"/>
      <c r="BD325" s="1283"/>
      <c r="BE325" s="1283"/>
      <c r="BF325" s="1283"/>
      <c r="BG325" s="1283"/>
      <c r="BH325" s="1283"/>
      <c r="BI325" s="1283"/>
      <c r="BJ325" s="1283"/>
      <c r="BK325" s="1283"/>
      <c r="BL325" s="1283"/>
      <c r="BM325" s="1283"/>
      <c r="BN325" s="1283"/>
      <c r="BO325" s="1283"/>
      <c r="BP325" s="1283"/>
      <c r="BQ325" s="1283"/>
      <c r="BR325" s="1283"/>
      <c r="BS325" s="1283"/>
      <c r="BT325" s="1283"/>
      <c r="BU325" s="1283"/>
      <c r="BV325" s="1283"/>
      <c r="BW325" s="1283"/>
      <c r="BX325" s="1283"/>
    </row>
    <row r="326" ht="15.75" customHeight="1">
      <c r="A326" s="520" t="s">
        <v>8569</v>
      </c>
      <c r="B326" s="1442" t="s">
        <v>8570</v>
      </c>
      <c r="C326" s="725" t="s">
        <v>1783</v>
      </c>
      <c r="D326" s="173"/>
      <c r="E326" s="742" t="s">
        <v>5853</v>
      </c>
      <c r="F326" s="742"/>
      <c r="G326" s="742"/>
      <c r="H326" s="175"/>
      <c r="I326" s="733"/>
      <c r="J326" s="742"/>
      <c r="K326" s="742"/>
      <c r="L326" s="742"/>
      <c r="M326" s="154"/>
      <c r="N326" s="742"/>
      <c r="O326" s="742"/>
      <c r="P326" s="742"/>
      <c r="Q326" s="742"/>
      <c r="R326" s="1447"/>
      <c r="S326" s="742"/>
      <c r="T326" s="742"/>
      <c r="U326" s="742"/>
      <c r="V326" s="742"/>
      <c r="W326" s="742"/>
      <c r="X326" s="742"/>
      <c r="Y326" s="742"/>
      <c r="Z326" s="742"/>
      <c r="AA326" s="742"/>
      <c r="AB326" s="742"/>
      <c r="AC326" s="742"/>
      <c r="AD326" s="742"/>
      <c r="AE326" s="742"/>
      <c r="AF326" s="742"/>
      <c r="AG326" s="742"/>
      <c r="AH326" s="742"/>
      <c r="AI326" s="742"/>
      <c r="AJ326" s="154"/>
      <c r="AK326" s="742"/>
      <c r="AL326" s="742"/>
      <c r="AM326" s="742"/>
      <c r="AN326" s="733"/>
      <c r="AO326" s="742"/>
      <c r="AP326" s="742"/>
      <c r="AQ326" s="154"/>
      <c r="AR326" s="742"/>
      <c r="AS326" s="742"/>
      <c r="AT326" s="742"/>
      <c r="AU326" s="733"/>
      <c r="AV326" s="742"/>
      <c r="AW326" s="154"/>
      <c r="AX326" s="742"/>
      <c r="AY326" s="742"/>
      <c r="AZ326" s="742"/>
      <c r="BA326" s="742"/>
      <c r="BB326" s="742"/>
      <c r="BC326" s="742"/>
      <c r="BD326" s="154"/>
      <c r="BE326" s="742"/>
      <c r="BF326" s="742"/>
      <c r="BG326" s="742"/>
      <c r="BH326" s="742"/>
      <c r="BI326" s="742"/>
      <c r="BJ326" s="742"/>
      <c r="BK326" s="154"/>
      <c r="BL326" s="154"/>
      <c r="BM326" s="154"/>
      <c r="BN326" s="154"/>
      <c r="BO326" s="154"/>
      <c r="BP326" s="154"/>
      <c r="BQ326" s="154"/>
      <c r="BR326" s="154"/>
      <c r="BS326" s="154"/>
      <c r="BT326" s="154"/>
      <c r="BU326" s="154"/>
      <c r="BV326" s="154"/>
      <c r="BW326" s="154"/>
      <c r="BX326" s="154"/>
    </row>
    <row r="327" ht="15.75" customHeight="1">
      <c r="A327" s="528"/>
      <c r="B327" s="1298" t="s">
        <v>8602</v>
      </c>
      <c r="C327" s="725" t="s">
        <v>1077</v>
      </c>
      <c r="D327" s="530"/>
      <c r="E327" s="175"/>
      <c r="F327" s="112" t="s">
        <v>1077</v>
      </c>
      <c r="G327" s="175"/>
      <c r="H327" s="175"/>
      <c r="I327" s="733"/>
      <c r="J327" s="175"/>
      <c r="K327" s="175"/>
      <c r="L327" s="175"/>
      <c r="M327" s="1288"/>
      <c r="N327" s="175"/>
      <c r="O327" s="175"/>
      <c r="P327" s="175"/>
      <c r="Q327" s="175"/>
      <c r="R327" s="732"/>
      <c r="S327" s="175"/>
      <c r="T327" s="175"/>
      <c r="U327" s="175"/>
      <c r="V327" s="175"/>
      <c r="W327" s="175"/>
      <c r="X327" s="175"/>
      <c r="Y327" s="175"/>
      <c r="Z327" s="175"/>
      <c r="AA327" s="175"/>
      <c r="AB327" s="175"/>
      <c r="AC327" s="175"/>
      <c r="AD327" s="175"/>
      <c r="AE327" s="175"/>
      <c r="AF327" s="175"/>
      <c r="AG327" s="175"/>
      <c r="AH327" s="175"/>
      <c r="AI327" s="175"/>
      <c r="AJ327" s="1288"/>
      <c r="AK327" s="175"/>
      <c r="AL327" s="175"/>
      <c r="AM327" s="175"/>
      <c r="AN327" s="733"/>
      <c r="AO327" s="175"/>
      <c r="AP327" s="175"/>
      <c r="AQ327" s="1288"/>
      <c r="AR327" s="175"/>
      <c r="AS327" s="175"/>
      <c r="AT327" s="175"/>
      <c r="AU327" s="733"/>
      <c r="AV327" s="175"/>
      <c r="AW327" s="1288"/>
      <c r="AX327" s="175"/>
      <c r="AY327" s="175"/>
      <c r="AZ327" s="175"/>
      <c r="BA327" s="175"/>
      <c r="BB327" s="175"/>
      <c r="BC327" s="175"/>
      <c r="BD327" s="1288"/>
      <c r="BE327" s="175"/>
      <c r="BF327" s="175"/>
      <c r="BG327" s="175"/>
      <c r="BH327" s="175"/>
      <c r="BI327" s="175"/>
      <c r="BJ327" s="175"/>
      <c r="BK327" s="1288"/>
      <c r="BL327" s="1288"/>
      <c r="BM327" s="1288"/>
      <c r="BN327" s="1288"/>
      <c r="BO327" s="1288"/>
      <c r="BP327" s="1288"/>
      <c r="BQ327" s="1288"/>
      <c r="BR327" s="1288"/>
      <c r="BS327" s="1288"/>
      <c r="BT327" s="1288"/>
      <c r="BU327" s="1288"/>
      <c r="BV327" s="1288"/>
      <c r="BW327" s="1288"/>
      <c r="BX327" s="1288"/>
    </row>
    <row r="328" ht="15.75" customHeight="1">
      <c r="A328" s="532"/>
      <c r="B328" s="542" t="s">
        <v>8648</v>
      </c>
      <c r="C328" s="725" t="s">
        <v>2637</v>
      </c>
      <c r="D328" s="254" t="s">
        <v>8659</v>
      </c>
      <c r="E328" s="112" t="s">
        <v>1236</v>
      </c>
      <c r="F328" s="112" t="s">
        <v>8663</v>
      </c>
      <c r="G328" s="175" t="s">
        <v>6238</v>
      </c>
      <c r="H328" s="175"/>
      <c r="I328" s="733"/>
      <c r="J328" s="175"/>
      <c r="K328" s="175"/>
      <c r="L328" s="175"/>
      <c r="M328" s="154"/>
      <c r="N328" s="175"/>
      <c r="O328" s="175"/>
      <c r="P328" s="175"/>
      <c r="Q328" s="175"/>
      <c r="R328" s="732"/>
      <c r="S328" s="175"/>
      <c r="T328" s="175"/>
      <c r="U328" s="112" t="s">
        <v>8663</v>
      </c>
      <c r="V328" s="175"/>
      <c r="W328" s="112" t="s">
        <v>2637</v>
      </c>
      <c r="X328" s="175"/>
      <c r="Y328" s="175"/>
      <c r="Z328" s="175"/>
      <c r="AA328" s="112" t="s">
        <v>961</v>
      </c>
      <c r="AB328" s="175"/>
      <c r="AC328" s="175"/>
      <c r="AD328" s="175"/>
      <c r="AE328" s="175"/>
      <c r="AF328" s="175"/>
      <c r="AG328" s="175"/>
      <c r="AH328" s="175"/>
      <c r="AI328" s="175"/>
      <c r="AJ328" s="147" t="s">
        <v>514</v>
      </c>
      <c r="AK328" s="175"/>
      <c r="AL328" s="175"/>
      <c r="AM328" s="175"/>
      <c r="AN328" s="733"/>
      <c r="AO328" s="175"/>
      <c r="AP328" s="175"/>
      <c r="AQ328" s="154"/>
      <c r="AR328" s="175"/>
      <c r="AS328" s="175"/>
      <c r="AT328" s="175"/>
      <c r="AU328" s="733"/>
      <c r="AV328" s="112" t="s">
        <v>5396</v>
      </c>
      <c r="AW328" s="154"/>
      <c r="AX328" s="175"/>
      <c r="AY328" s="175"/>
      <c r="AZ328" s="175"/>
      <c r="BA328" s="175"/>
      <c r="BB328" s="175"/>
      <c r="BC328" s="175"/>
      <c r="BD328" s="154"/>
      <c r="BE328" s="175"/>
      <c r="BF328" s="175"/>
      <c r="BG328" s="175"/>
      <c r="BH328" s="175"/>
      <c r="BI328" s="175"/>
      <c r="BJ328" s="175"/>
      <c r="BK328" s="154"/>
      <c r="BL328" s="154"/>
      <c r="BM328" s="154"/>
      <c r="BN328" s="154"/>
      <c r="BO328" s="154"/>
      <c r="BP328" s="154"/>
      <c r="BQ328" s="154"/>
      <c r="BR328" s="154"/>
      <c r="BS328" s="154"/>
      <c r="BT328" s="154"/>
      <c r="BU328" s="154"/>
      <c r="BV328" s="154"/>
      <c r="BW328" s="154"/>
      <c r="BX328" s="154"/>
    </row>
    <row r="329" ht="15.75" customHeight="1">
      <c r="A329" s="520" t="s">
        <v>8740</v>
      </c>
      <c r="B329" s="1442" t="s">
        <v>1424</v>
      </c>
      <c r="C329" s="725" t="s">
        <v>3419</v>
      </c>
      <c r="D329" s="584"/>
      <c r="E329" s="175"/>
      <c r="F329" s="112" t="s">
        <v>3419</v>
      </c>
      <c r="G329" s="175"/>
      <c r="H329" s="175"/>
      <c r="I329" s="733"/>
      <c r="J329" s="175"/>
      <c r="K329" s="175"/>
      <c r="L329" s="175"/>
      <c r="M329" s="1288"/>
      <c r="N329" s="175"/>
      <c r="O329" s="175"/>
      <c r="P329" s="175"/>
      <c r="Q329" s="175"/>
      <c r="R329" s="732"/>
      <c r="S329" s="175"/>
      <c r="T329" s="175"/>
      <c r="U329" s="175"/>
      <c r="V329" s="175"/>
      <c r="W329" s="175"/>
      <c r="X329" s="175"/>
      <c r="Y329" s="175"/>
      <c r="Z329" s="175"/>
      <c r="AA329" s="175"/>
      <c r="AB329" s="175"/>
      <c r="AC329" s="175"/>
      <c r="AD329" s="175"/>
      <c r="AE329" s="175"/>
      <c r="AF329" s="175"/>
      <c r="AG329" s="175"/>
      <c r="AH329" s="175"/>
      <c r="AI329" s="175"/>
      <c r="AJ329" s="1288"/>
      <c r="AK329" s="175"/>
      <c r="AL329" s="175"/>
      <c r="AM329" s="175"/>
      <c r="AN329" s="733"/>
      <c r="AO329" s="175"/>
      <c r="AP329" s="175"/>
      <c r="AQ329" s="1288"/>
      <c r="AR329" s="175"/>
      <c r="AS329" s="175"/>
      <c r="AT329" s="175"/>
      <c r="AU329" s="733"/>
      <c r="AV329" s="175"/>
      <c r="AW329" s="1288"/>
      <c r="AX329" s="175"/>
      <c r="AY329" s="175"/>
      <c r="AZ329" s="175"/>
      <c r="BA329" s="175"/>
      <c r="BB329" s="175"/>
      <c r="BC329" s="175"/>
      <c r="BD329" s="1288"/>
      <c r="BE329" s="175"/>
      <c r="BF329" s="175"/>
      <c r="BG329" s="175"/>
      <c r="BH329" s="175"/>
      <c r="BI329" s="175"/>
      <c r="BJ329" s="175"/>
      <c r="BK329" s="1288"/>
      <c r="BL329" s="1288"/>
      <c r="BM329" s="1288"/>
      <c r="BN329" s="1288"/>
      <c r="BO329" s="1288"/>
      <c r="BP329" s="1288"/>
      <c r="BQ329" s="1288"/>
      <c r="BR329" s="1288"/>
      <c r="BS329" s="1288"/>
      <c r="BT329" s="1288"/>
      <c r="BU329" s="1288"/>
      <c r="BV329" s="1288"/>
      <c r="BW329" s="1288"/>
      <c r="BX329" s="1288"/>
    </row>
    <row r="330" ht="15.75" customHeight="1">
      <c r="A330" s="528"/>
      <c r="B330" s="1298" t="s">
        <v>1455</v>
      </c>
      <c r="C330" s="725" t="s">
        <v>2328</v>
      </c>
      <c r="D330" s="254" t="s">
        <v>2092</v>
      </c>
      <c r="E330" s="175" t="s">
        <v>4199</v>
      </c>
      <c r="F330" s="112" t="s">
        <v>1480</v>
      </c>
      <c r="G330" s="112" t="s">
        <v>2328</v>
      </c>
      <c r="H330" s="175"/>
      <c r="I330" s="733"/>
      <c r="J330" s="175"/>
      <c r="K330" s="175"/>
      <c r="L330" s="175"/>
      <c r="M330" s="154"/>
      <c r="N330" s="175"/>
      <c r="O330" s="175"/>
      <c r="P330" s="175"/>
      <c r="Q330" s="175"/>
      <c r="R330" s="732"/>
      <c r="S330" s="175"/>
      <c r="T330" s="175"/>
      <c r="U330" s="112" t="s">
        <v>3879</v>
      </c>
      <c r="V330" s="175"/>
      <c r="W330" s="175"/>
      <c r="X330" s="175"/>
      <c r="Y330" s="112" t="s">
        <v>8742</v>
      </c>
      <c r="Z330" s="175"/>
      <c r="AA330" s="112" t="s">
        <v>1660</v>
      </c>
      <c r="AB330" s="175"/>
      <c r="AC330" s="175"/>
      <c r="AD330" s="175"/>
      <c r="AE330" s="175"/>
      <c r="AF330" s="175"/>
      <c r="AG330" s="175"/>
      <c r="AH330" s="175"/>
      <c r="AI330" s="175"/>
      <c r="AJ330" s="154"/>
      <c r="AK330" s="175"/>
      <c r="AL330" s="175"/>
      <c r="AM330" s="175"/>
      <c r="AN330" s="733"/>
      <c r="AO330" s="175"/>
      <c r="AP330" s="175"/>
      <c r="AQ330" s="154"/>
      <c r="AR330" s="175"/>
      <c r="AS330" s="175"/>
      <c r="AT330" s="175"/>
      <c r="AU330" s="733"/>
      <c r="AV330" s="112" t="s">
        <v>3879</v>
      </c>
      <c r="AW330" s="154"/>
      <c r="AX330" s="175"/>
      <c r="AY330" s="175"/>
      <c r="AZ330" s="175"/>
      <c r="BA330" s="175"/>
      <c r="BB330" s="175"/>
      <c r="BC330" s="175"/>
      <c r="BD330" s="154"/>
      <c r="BE330" s="175"/>
      <c r="BF330" s="175"/>
      <c r="BG330" s="175"/>
      <c r="BH330" s="175"/>
      <c r="BI330" s="175"/>
      <c r="BJ330" s="175"/>
      <c r="BK330" s="154"/>
      <c r="BL330" s="154"/>
      <c r="BM330" s="154"/>
      <c r="BN330" s="154"/>
      <c r="BO330" s="154"/>
      <c r="BP330" s="154"/>
      <c r="BQ330" s="154"/>
      <c r="BR330" s="154"/>
      <c r="BS330" s="154"/>
      <c r="BT330" s="154"/>
      <c r="BU330" s="154"/>
      <c r="BV330" s="154"/>
      <c r="BW330" s="154"/>
      <c r="BX330" s="154"/>
    </row>
    <row r="331" ht="15.75" customHeight="1">
      <c r="A331" s="520" t="s">
        <v>8744</v>
      </c>
      <c r="B331" s="1442" t="s">
        <v>146</v>
      </c>
      <c r="C331" s="577" t="s">
        <v>8745</v>
      </c>
      <c r="D331" s="557" t="s">
        <v>8745</v>
      </c>
      <c r="E331" s="363"/>
      <c r="F331" s="361" t="s">
        <v>813</v>
      </c>
      <c r="G331" s="361" t="s">
        <v>895</v>
      </c>
      <c r="H331" s="175"/>
      <c r="I331" s="359"/>
      <c r="J331" s="363"/>
      <c r="K331" s="361" t="s">
        <v>813</v>
      </c>
      <c r="L331" s="363"/>
      <c r="M331" s="1288"/>
      <c r="N331" s="361" t="s">
        <v>8747</v>
      </c>
      <c r="O331" s="361" t="s">
        <v>8748</v>
      </c>
      <c r="P331" s="363"/>
      <c r="Q331" s="363"/>
      <c r="R331" s="359"/>
      <c r="S331" s="363"/>
      <c r="T331" s="363"/>
      <c r="U331" s="363"/>
      <c r="V331" s="363"/>
      <c r="W331" s="363"/>
      <c r="X331" s="363"/>
      <c r="Y331" s="361" t="s">
        <v>7805</v>
      </c>
      <c r="Z331" s="363"/>
      <c r="AA331" s="361" t="s">
        <v>4259</v>
      </c>
      <c r="AB331" s="363"/>
      <c r="AC331" s="363"/>
      <c r="AD331" s="363"/>
      <c r="AE331" s="363"/>
      <c r="AF331" s="363"/>
      <c r="AG331" s="363"/>
      <c r="AH331" s="363"/>
      <c r="AI331" s="363"/>
      <c r="AJ331" s="1288"/>
      <c r="AK331" s="363"/>
      <c r="AL331" s="363"/>
      <c r="AM331" s="363"/>
      <c r="AN331" s="359"/>
      <c r="AO331" s="363"/>
      <c r="AP331" s="363"/>
      <c r="AQ331" s="1288"/>
      <c r="AR331" s="363"/>
      <c r="AS331" s="363"/>
      <c r="AT331" s="363"/>
      <c r="AU331" s="359"/>
      <c r="AV331" s="363"/>
      <c r="AW331" s="1288"/>
      <c r="AX331" s="363"/>
      <c r="AY331" s="363"/>
      <c r="AZ331" s="363"/>
      <c r="BA331" s="363"/>
      <c r="BB331" s="363"/>
      <c r="BC331" s="363"/>
      <c r="BD331" s="1288"/>
      <c r="BE331" s="363"/>
      <c r="BF331" s="363"/>
      <c r="BG331" s="363"/>
      <c r="BH331" s="363"/>
      <c r="BI331" s="363"/>
      <c r="BJ331" s="363"/>
      <c r="BK331" s="1288"/>
      <c r="BL331" s="1288"/>
      <c r="BM331" s="1288"/>
      <c r="BN331" s="1288"/>
      <c r="BO331" s="1288"/>
      <c r="BP331" s="1288"/>
      <c r="BQ331" s="1288"/>
      <c r="BR331" s="1288"/>
      <c r="BS331" s="1288"/>
      <c r="BT331" s="1288"/>
      <c r="BU331" s="1288"/>
      <c r="BV331" s="1288"/>
      <c r="BW331" s="1288"/>
      <c r="BX331" s="1288"/>
    </row>
    <row r="332" ht="15.75" customHeight="1">
      <c r="A332" s="520" t="s">
        <v>8750</v>
      </c>
      <c r="B332" s="1442" t="s">
        <v>8751</v>
      </c>
      <c r="C332" s="725" t="s">
        <v>7287</v>
      </c>
      <c r="D332" s="173"/>
      <c r="E332" s="175"/>
      <c r="F332" s="112" t="s">
        <v>7287</v>
      </c>
      <c r="G332" s="175"/>
      <c r="H332" s="175"/>
      <c r="I332" s="733"/>
      <c r="J332" s="175"/>
      <c r="K332" s="175"/>
      <c r="L332" s="175"/>
      <c r="M332" s="154"/>
      <c r="N332" s="175"/>
      <c r="O332" s="175"/>
      <c r="P332" s="175"/>
      <c r="Q332" s="175"/>
      <c r="R332" s="732"/>
      <c r="S332" s="175"/>
      <c r="T332" s="175"/>
      <c r="U332" s="175"/>
      <c r="V332" s="175"/>
      <c r="W332" s="175"/>
      <c r="X332" s="175"/>
      <c r="Y332" s="175"/>
      <c r="Z332" s="175"/>
      <c r="AA332" s="175"/>
      <c r="AB332" s="175"/>
      <c r="AC332" s="175"/>
      <c r="AD332" s="175"/>
      <c r="AE332" s="175"/>
      <c r="AF332" s="175"/>
      <c r="AG332" s="175"/>
      <c r="AH332" s="175"/>
      <c r="AI332" s="175"/>
      <c r="AJ332" s="154"/>
      <c r="AK332" s="175"/>
      <c r="AL332" s="175"/>
      <c r="AM332" s="175"/>
      <c r="AN332" s="733"/>
      <c r="AO332" s="175"/>
      <c r="AP332" s="175"/>
      <c r="AQ332" s="154"/>
      <c r="AR332" s="175"/>
      <c r="AS332" s="175"/>
      <c r="AT332" s="175"/>
      <c r="AU332" s="733"/>
      <c r="AV332" s="175"/>
      <c r="AW332" s="154"/>
      <c r="AX332" s="175"/>
      <c r="AY332" s="175"/>
      <c r="AZ332" s="175"/>
      <c r="BA332" s="175"/>
      <c r="BB332" s="175"/>
      <c r="BC332" s="175"/>
      <c r="BD332" s="154"/>
      <c r="BE332" s="175"/>
      <c r="BF332" s="175"/>
      <c r="BG332" s="175"/>
      <c r="BH332" s="175"/>
      <c r="BI332" s="175"/>
      <c r="BJ332" s="175"/>
      <c r="BK332" s="154"/>
      <c r="BL332" s="154"/>
      <c r="BM332" s="154"/>
      <c r="BN332" s="154"/>
      <c r="BO332" s="154"/>
      <c r="BP332" s="154"/>
      <c r="BQ332" s="154"/>
      <c r="BR332" s="154"/>
      <c r="BS332" s="154"/>
      <c r="BT332" s="154"/>
      <c r="BU332" s="154"/>
      <c r="BV332" s="154"/>
      <c r="BW332" s="154"/>
      <c r="BX332" s="154"/>
    </row>
    <row r="333" ht="15.75" customHeight="1">
      <c r="A333" s="528"/>
      <c r="B333" s="625" t="s">
        <v>8753</v>
      </c>
      <c r="C333" s="577" t="s">
        <v>6403</v>
      </c>
      <c r="D333" s="557" t="s">
        <v>6403</v>
      </c>
      <c r="E333" s="175"/>
      <c r="F333" s="112" t="s">
        <v>7622</v>
      </c>
      <c r="G333" s="175" t="s">
        <v>4812</v>
      </c>
      <c r="H333" s="175"/>
      <c r="I333" s="733"/>
      <c r="J333" s="175"/>
      <c r="K333" s="175"/>
      <c r="L333" s="175"/>
      <c r="M333" s="1288"/>
      <c r="N333" s="175"/>
      <c r="O333" s="175"/>
      <c r="P333" s="175"/>
      <c r="Q333" s="175"/>
      <c r="R333" s="732"/>
      <c r="S333" s="175"/>
      <c r="T333" s="175"/>
      <c r="U333" s="175"/>
      <c r="V333" s="175"/>
      <c r="W333" s="175"/>
      <c r="X333" s="175"/>
      <c r="Y333" s="175"/>
      <c r="Z333" s="175"/>
      <c r="AA333" s="112" t="s">
        <v>6563</v>
      </c>
      <c r="AB333" s="175"/>
      <c r="AC333" s="175"/>
      <c r="AD333" s="175"/>
      <c r="AE333" s="175"/>
      <c r="AF333" s="175"/>
      <c r="AG333" s="175"/>
      <c r="AH333" s="175"/>
      <c r="AI333" s="175"/>
      <c r="AJ333" s="1288"/>
      <c r="AK333" s="175"/>
      <c r="AL333" s="175"/>
      <c r="AM333" s="175"/>
      <c r="AN333" s="733"/>
      <c r="AO333" s="175"/>
      <c r="AP333" s="175"/>
      <c r="AQ333" s="1288"/>
      <c r="AR333" s="175"/>
      <c r="AS333" s="175"/>
      <c r="AT333" s="175"/>
      <c r="AU333" s="733"/>
      <c r="AV333" s="175"/>
      <c r="AW333" s="1288"/>
      <c r="AX333" s="175"/>
      <c r="AY333" s="175"/>
      <c r="AZ333" s="175"/>
      <c r="BA333" s="175"/>
      <c r="BB333" s="175"/>
      <c r="BC333" s="175"/>
      <c r="BD333" s="1288"/>
      <c r="BE333" s="175"/>
      <c r="BF333" s="175"/>
      <c r="BG333" s="175"/>
      <c r="BH333" s="175"/>
      <c r="BI333" s="175"/>
      <c r="BJ333" s="175"/>
      <c r="BK333" s="1288"/>
      <c r="BL333" s="1288"/>
      <c r="BM333" s="1288"/>
      <c r="BN333" s="1288"/>
      <c r="BO333" s="1288"/>
      <c r="BP333" s="1288"/>
      <c r="BQ333" s="1288"/>
      <c r="BR333" s="1288"/>
      <c r="BS333" s="1288"/>
      <c r="BT333" s="1288"/>
      <c r="BU333" s="1288"/>
      <c r="BV333" s="1288"/>
      <c r="BW333" s="1288"/>
      <c r="BX333" s="1288"/>
    </row>
    <row r="334" ht="15.75" customHeight="1">
      <c r="A334" s="1285" t="s">
        <v>8756</v>
      </c>
      <c r="B334" s="1286" t="s">
        <v>8757</v>
      </c>
      <c r="C334" s="725" t="s">
        <v>8758</v>
      </c>
      <c r="D334" s="173"/>
      <c r="E334" s="175"/>
      <c r="F334" s="112" t="s">
        <v>8758</v>
      </c>
      <c r="G334" s="175"/>
      <c r="H334" s="175"/>
      <c r="I334" s="733"/>
      <c r="J334" s="175"/>
      <c r="K334" s="175"/>
      <c r="L334" s="175"/>
      <c r="M334" s="154"/>
      <c r="N334" s="175"/>
      <c r="O334" s="175"/>
      <c r="P334" s="175"/>
      <c r="Q334" s="175"/>
      <c r="R334" s="732"/>
      <c r="S334" s="175"/>
      <c r="T334" s="175"/>
      <c r="U334" s="175"/>
      <c r="V334" s="175"/>
      <c r="W334" s="175"/>
      <c r="X334" s="175"/>
      <c r="Y334" s="175"/>
      <c r="Z334" s="175"/>
      <c r="AA334" s="175"/>
      <c r="AB334" s="175"/>
      <c r="AC334" s="175"/>
      <c r="AD334" s="175"/>
      <c r="AE334" s="175"/>
      <c r="AF334" s="175"/>
      <c r="AG334" s="175"/>
      <c r="AH334" s="175"/>
      <c r="AI334" s="175"/>
      <c r="AJ334" s="154"/>
      <c r="AK334" s="175"/>
      <c r="AL334" s="175"/>
      <c r="AM334" s="175"/>
      <c r="AN334" s="733"/>
      <c r="AO334" s="175"/>
      <c r="AP334" s="175"/>
      <c r="AQ334" s="154"/>
      <c r="AR334" s="175"/>
      <c r="AS334" s="175"/>
      <c r="AT334" s="175"/>
      <c r="AU334" s="733"/>
      <c r="AV334" s="175"/>
      <c r="AW334" s="154"/>
      <c r="AX334" s="175"/>
      <c r="AY334" s="175"/>
      <c r="AZ334" s="175"/>
      <c r="BA334" s="175"/>
      <c r="BB334" s="175"/>
      <c r="BC334" s="175"/>
      <c r="BD334" s="154"/>
      <c r="BE334" s="175"/>
      <c r="BF334" s="175"/>
      <c r="BG334" s="175"/>
      <c r="BH334" s="175"/>
      <c r="BI334" s="175"/>
      <c r="BJ334" s="175"/>
      <c r="BK334" s="154"/>
      <c r="BL334" s="154"/>
      <c r="BM334" s="154"/>
      <c r="BN334" s="154"/>
      <c r="BO334" s="154"/>
      <c r="BP334" s="154"/>
      <c r="BQ334" s="154"/>
      <c r="BR334" s="154"/>
      <c r="BS334" s="154"/>
      <c r="BT334" s="154"/>
      <c r="BU334" s="154"/>
      <c r="BV334" s="154"/>
      <c r="BW334" s="154"/>
      <c r="BX334" s="154"/>
    </row>
    <row r="335" ht="15.75" customHeight="1">
      <c r="A335" s="528"/>
      <c r="B335" s="1298" t="s">
        <v>8759</v>
      </c>
      <c r="C335" s="725" t="s">
        <v>8760</v>
      </c>
      <c r="D335" s="530"/>
      <c r="E335" s="175"/>
      <c r="F335" s="112" t="s">
        <v>8760</v>
      </c>
      <c r="G335" s="175"/>
      <c r="H335" s="175"/>
      <c r="I335" s="733"/>
      <c r="J335" s="175"/>
      <c r="K335" s="175"/>
      <c r="L335" s="175"/>
      <c r="M335" s="1486" t="s">
        <v>8762</v>
      </c>
      <c r="N335" s="175"/>
      <c r="O335" s="175"/>
      <c r="P335" s="175"/>
      <c r="Q335" s="175"/>
      <c r="R335" s="732"/>
      <c r="S335" s="175"/>
      <c r="T335" s="175"/>
      <c r="U335" s="175"/>
      <c r="V335" s="175"/>
      <c r="W335" s="175"/>
      <c r="X335" s="175"/>
      <c r="Y335" s="175"/>
      <c r="Z335" s="175"/>
      <c r="AA335" s="175"/>
      <c r="AB335" s="175"/>
      <c r="AC335" s="175"/>
      <c r="AD335" s="175"/>
      <c r="AE335" s="175"/>
      <c r="AF335" s="175"/>
      <c r="AG335" s="175"/>
      <c r="AH335" s="175"/>
      <c r="AI335" s="175"/>
      <c r="AJ335" s="1288"/>
      <c r="AK335" s="175"/>
      <c r="AL335" s="175"/>
      <c r="AM335" s="175"/>
      <c r="AN335" s="733"/>
      <c r="AO335" s="175"/>
      <c r="AP335" s="175"/>
      <c r="AQ335" s="1288"/>
      <c r="AR335" s="175"/>
      <c r="AS335" s="175"/>
      <c r="AT335" s="175"/>
      <c r="AU335" s="733"/>
      <c r="AV335" s="175"/>
      <c r="AW335" s="1288"/>
      <c r="AX335" s="175"/>
      <c r="AY335" s="175"/>
      <c r="AZ335" s="175"/>
      <c r="BA335" s="175"/>
      <c r="BB335" s="175"/>
      <c r="BC335" s="175"/>
      <c r="BD335" s="1288"/>
      <c r="BE335" s="175"/>
      <c r="BF335" s="175"/>
      <c r="BG335" s="175"/>
      <c r="BH335" s="175"/>
      <c r="BI335" s="175"/>
      <c r="BJ335" s="175"/>
      <c r="BK335" s="1288"/>
      <c r="BL335" s="1288"/>
      <c r="BM335" s="1288"/>
      <c r="BN335" s="1288"/>
      <c r="BO335" s="1288"/>
      <c r="BP335" s="1288"/>
      <c r="BQ335" s="1288"/>
      <c r="BR335" s="1288"/>
      <c r="BS335" s="1288"/>
      <c r="BT335" s="1288"/>
      <c r="BU335" s="1288"/>
      <c r="BV335" s="1288"/>
      <c r="BW335" s="1288"/>
      <c r="BX335" s="1288"/>
    </row>
    <row r="336" ht="15.75" customHeight="1">
      <c r="A336" s="532"/>
      <c r="B336" s="542" t="s">
        <v>8766</v>
      </c>
      <c r="C336" s="725" t="s">
        <v>8767</v>
      </c>
      <c r="D336" s="173"/>
      <c r="E336" s="175"/>
      <c r="F336" s="112" t="s">
        <v>8767</v>
      </c>
      <c r="G336" s="175"/>
      <c r="H336" s="175"/>
      <c r="I336" s="733"/>
      <c r="J336" s="175"/>
      <c r="K336" s="175"/>
      <c r="L336" s="175"/>
      <c r="M336" s="154"/>
      <c r="N336" s="175"/>
      <c r="O336" s="175"/>
      <c r="P336" s="175"/>
      <c r="Q336" s="175"/>
      <c r="R336" s="732"/>
      <c r="S336" s="175"/>
      <c r="T336" s="175"/>
      <c r="U336" s="175"/>
      <c r="V336" s="175"/>
      <c r="W336" s="175"/>
      <c r="X336" s="175"/>
      <c r="Y336" s="175"/>
      <c r="Z336" s="175"/>
      <c r="AA336" s="175"/>
      <c r="AB336" s="175"/>
      <c r="AC336" s="175"/>
      <c r="AD336" s="175"/>
      <c r="AE336" s="175"/>
      <c r="AF336" s="175"/>
      <c r="AG336" s="175"/>
      <c r="AH336" s="175"/>
      <c r="AI336" s="175"/>
      <c r="AJ336" s="154"/>
      <c r="AK336" s="175"/>
      <c r="AL336" s="175"/>
      <c r="AM336" s="175"/>
      <c r="AN336" s="733"/>
      <c r="AO336" s="175"/>
      <c r="AP336" s="175"/>
      <c r="AQ336" s="154"/>
      <c r="AR336" s="175"/>
      <c r="AS336" s="175"/>
      <c r="AT336" s="175"/>
      <c r="AU336" s="733"/>
      <c r="AV336" s="175"/>
      <c r="AW336" s="154"/>
      <c r="AX336" s="175"/>
      <c r="AY336" s="175"/>
      <c r="AZ336" s="175"/>
      <c r="BA336" s="175"/>
      <c r="BB336" s="175"/>
      <c r="BC336" s="175"/>
      <c r="BD336" s="154"/>
      <c r="BE336" s="175"/>
      <c r="BF336" s="175"/>
      <c r="BG336" s="175"/>
      <c r="BH336" s="175"/>
      <c r="BI336" s="175"/>
      <c r="BJ336" s="175"/>
      <c r="BK336" s="154"/>
      <c r="BL336" s="154"/>
      <c r="BM336" s="154"/>
      <c r="BN336" s="154"/>
      <c r="BO336" s="154"/>
      <c r="BP336" s="154"/>
      <c r="BQ336" s="154"/>
      <c r="BR336" s="154"/>
      <c r="BS336" s="154"/>
      <c r="BT336" s="154"/>
      <c r="BU336" s="154"/>
      <c r="BV336" s="154"/>
      <c r="BW336" s="154"/>
      <c r="BX336" s="154"/>
    </row>
    <row r="337" ht="15.75" customHeight="1">
      <c r="A337" s="528"/>
      <c r="B337" s="1298" t="s">
        <v>8769</v>
      </c>
      <c r="C337" s="725" t="s">
        <v>224</v>
      </c>
      <c r="D337" s="530"/>
      <c r="E337" s="175"/>
      <c r="F337" s="112" t="s">
        <v>224</v>
      </c>
      <c r="G337" s="175"/>
      <c r="H337" s="175"/>
      <c r="I337" s="733"/>
      <c r="J337" s="175"/>
      <c r="K337" s="175"/>
      <c r="L337" s="175"/>
      <c r="M337" s="1288"/>
      <c r="N337" s="175"/>
      <c r="O337" s="175"/>
      <c r="P337" s="175"/>
      <c r="Q337" s="175"/>
      <c r="R337" s="732"/>
      <c r="S337" s="175"/>
      <c r="T337" s="175"/>
      <c r="U337" s="175"/>
      <c r="V337" s="175"/>
      <c r="W337" s="175"/>
      <c r="X337" s="175"/>
      <c r="Y337" s="175"/>
      <c r="Z337" s="175"/>
      <c r="AA337" s="175"/>
      <c r="AB337" s="175"/>
      <c r="AC337" s="175"/>
      <c r="AD337" s="175"/>
      <c r="AE337" s="175"/>
      <c r="AF337" s="175"/>
      <c r="AG337" s="175"/>
      <c r="AH337" s="175"/>
      <c r="AI337" s="175"/>
      <c r="AJ337" s="1288"/>
      <c r="AK337" s="175"/>
      <c r="AL337" s="175"/>
      <c r="AM337" s="175"/>
      <c r="AN337" s="733"/>
      <c r="AO337" s="175"/>
      <c r="AP337" s="175"/>
      <c r="AQ337" s="1288"/>
      <c r="AR337" s="175"/>
      <c r="AS337" s="175"/>
      <c r="AT337" s="175"/>
      <c r="AU337" s="733"/>
      <c r="AV337" s="175"/>
      <c r="AW337" s="1288"/>
      <c r="AX337" s="175"/>
      <c r="AY337" s="175"/>
      <c r="AZ337" s="175"/>
      <c r="BA337" s="175"/>
      <c r="BB337" s="175"/>
      <c r="BC337" s="175"/>
      <c r="BD337" s="1288"/>
      <c r="BE337" s="175"/>
      <c r="BF337" s="175"/>
      <c r="BG337" s="175"/>
      <c r="BH337" s="175"/>
      <c r="BI337" s="175"/>
      <c r="BJ337" s="175"/>
      <c r="BK337" s="1288"/>
      <c r="BL337" s="1288"/>
      <c r="BM337" s="1288"/>
      <c r="BN337" s="1288"/>
      <c r="BO337" s="1288"/>
      <c r="BP337" s="1288"/>
      <c r="BQ337" s="1288"/>
      <c r="BR337" s="1288"/>
      <c r="BS337" s="1288"/>
      <c r="BT337" s="1288"/>
      <c r="BU337" s="1288"/>
      <c r="BV337" s="1288"/>
      <c r="BW337" s="1288"/>
      <c r="BX337" s="1288"/>
    </row>
    <row r="338" ht="15.75" customHeight="1">
      <c r="A338" s="532"/>
      <c r="B338" s="542" t="s">
        <v>8771</v>
      </c>
      <c r="C338" s="725" t="s">
        <v>4391</v>
      </c>
      <c r="D338" s="173"/>
      <c r="E338" s="175"/>
      <c r="F338" s="112" t="s">
        <v>4391</v>
      </c>
      <c r="G338" s="175"/>
      <c r="H338" s="175"/>
      <c r="I338" s="733"/>
      <c r="J338" s="175"/>
      <c r="K338" s="175"/>
      <c r="L338" s="175"/>
      <c r="M338" s="154"/>
      <c r="N338" s="175"/>
      <c r="O338" s="175"/>
      <c r="P338" s="175"/>
      <c r="Q338" s="175"/>
      <c r="R338" s="732"/>
      <c r="S338" s="175"/>
      <c r="T338" s="175"/>
      <c r="U338" s="175"/>
      <c r="V338" s="175"/>
      <c r="W338" s="175"/>
      <c r="X338" s="175"/>
      <c r="Y338" s="175"/>
      <c r="Z338" s="175"/>
      <c r="AA338" s="175"/>
      <c r="AB338" s="175"/>
      <c r="AC338" s="175"/>
      <c r="AD338" s="175"/>
      <c r="AE338" s="175"/>
      <c r="AF338" s="175"/>
      <c r="AG338" s="175"/>
      <c r="AH338" s="175"/>
      <c r="AI338" s="175"/>
      <c r="AJ338" s="154"/>
      <c r="AK338" s="175"/>
      <c r="AL338" s="175"/>
      <c r="AM338" s="175"/>
      <c r="AN338" s="733"/>
      <c r="AO338" s="175"/>
      <c r="AP338" s="175"/>
      <c r="AQ338" s="154"/>
      <c r="AR338" s="175"/>
      <c r="AS338" s="175"/>
      <c r="AT338" s="175"/>
      <c r="AU338" s="733"/>
      <c r="AV338" s="175"/>
      <c r="AW338" s="154"/>
      <c r="AX338" s="175"/>
      <c r="AY338" s="175"/>
      <c r="AZ338" s="175"/>
      <c r="BA338" s="175"/>
      <c r="BB338" s="175"/>
      <c r="BC338" s="175"/>
      <c r="BD338" s="154"/>
      <c r="BE338" s="175"/>
      <c r="BF338" s="175"/>
      <c r="BG338" s="175"/>
      <c r="BH338" s="175"/>
      <c r="BI338" s="175"/>
      <c r="BJ338" s="175"/>
      <c r="BK338" s="154"/>
      <c r="BL338" s="154"/>
      <c r="BM338" s="154"/>
      <c r="BN338" s="154"/>
      <c r="BO338" s="154"/>
      <c r="BP338" s="154"/>
      <c r="BQ338" s="154"/>
      <c r="BR338" s="154"/>
      <c r="BS338" s="154"/>
      <c r="BT338" s="154"/>
      <c r="BU338" s="154"/>
      <c r="BV338" s="154"/>
      <c r="BW338" s="154"/>
      <c r="BX338" s="154"/>
    </row>
    <row r="339" ht="15.75" customHeight="1">
      <c r="A339" s="528"/>
      <c r="B339" s="1298" t="s">
        <v>8775</v>
      </c>
      <c r="C339" s="577" t="s">
        <v>8776</v>
      </c>
      <c r="D339" s="557" t="s">
        <v>8776</v>
      </c>
      <c r="E339" s="175"/>
      <c r="F339" s="112" t="s">
        <v>8777</v>
      </c>
      <c r="G339" s="112" t="s">
        <v>8778</v>
      </c>
      <c r="H339" s="175"/>
      <c r="I339" s="733"/>
      <c r="J339" s="175"/>
      <c r="K339" s="175"/>
      <c r="L339" s="175"/>
      <c r="M339" s="1288"/>
      <c r="N339" s="175"/>
      <c r="O339" s="175"/>
      <c r="P339" s="175"/>
      <c r="Q339" s="175"/>
      <c r="R339" s="732"/>
      <c r="S339" s="175"/>
      <c r="T339" s="175"/>
      <c r="U339" s="175"/>
      <c r="V339" s="175"/>
      <c r="W339" s="175"/>
      <c r="X339" s="175"/>
      <c r="Y339" s="175"/>
      <c r="Z339" s="175"/>
      <c r="AA339" s="175"/>
      <c r="AB339" s="175"/>
      <c r="AC339" s="175"/>
      <c r="AD339" s="175"/>
      <c r="AE339" s="175" t="s">
        <v>224</v>
      </c>
      <c r="AF339" s="175"/>
      <c r="AG339" s="175"/>
      <c r="AH339" s="175"/>
      <c r="AI339" s="175"/>
      <c r="AJ339" s="1288"/>
      <c r="AK339" s="175"/>
      <c r="AL339" s="175"/>
      <c r="AM339" s="175"/>
      <c r="AN339" s="733"/>
      <c r="AO339" s="175"/>
      <c r="AP339" s="175"/>
      <c r="AQ339" s="1288"/>
      <c r="AR339" s="175"/>
      <c r="AS339" s="175"/>
      <c r="AT339" s="175"/>
      <c r="AU339" s="733"/>
      <c r="AV339" s="175"/>
      <c r="AW339" s="1288"/>
      <c r="AX339" s="175"/>
      <c r="AY339" s="175"/>
      <c r="AZ339" s="175"/>
      <c r="BA339" s="175"/>
      <c r="BB339" s="175"/>
      <c r="BC339" s="175"/>
      <c r="BD339" s="1288"/>
      <c r="BE339" s="175"/>
      <c r="BF339" s="175"/>
      <c r="BG339" s="175"/>
      <c r="BH339" s="175"/>
      <c r="BI339" s="175"/>
      <c r="BJ339" s="175"/>
      <c r="BK339" s="1288"/>
      <c r="BL339" s="1288"/>
      <c r="BM339" s="1288"/>
      <c r="BN339" s="1288"/>
      <c r="BO339" s="1288"/>
      <c r="BP339" s="1288"/>
      <c r="BQ339" s="1288"/>
      <c r="BR339" s="1288"/>
      <c r="BS339" s="1288"/>
      <c r="BT339" s="1288"/>
      <c r="BU339" s="1288"/>
      <c r="BV339" s="1288"/>
      <c r="BW339" s="1288"/>
      <c r="BX339" s="1288"/>
    </row>
    <row r="340" ht="15.75" customHeight="1">
      <c r="A340" s="532"/>
      <c r="B340" s="542" t="s">
        <v>8779</v>
      </c>
      <c r="C340" s="725" t="s">
        <v>8780</v>
      </c>
      <c r="D340" s="254" t="s">
        <v>8781</v>
      </c>
      <c r="E340" s="738" t="s">
        <v>8783</v>
      </c>
      <c r="F340" s="738"/>
      <c r="G340" s="112" t="s">
        <v>8784</v>
      </c>
      <c r="H340" s="175"/>
      <c r="I340" s="733"/>
      <c r="J340" s="738"/>
      <c r="K340" s="738"/>
      <c r="L340" s="738"/>
      <c r="M340" s="154"/>
      <c r="N340" s="738"/>
      <c r="O340" s="738"/>
      <c r="P340" s="738"/>
      <c r="Q340" s="738"/>
      <c r="R340" s="740"/>
      <c r="S340" s="738"/>
      <c r="T340" s="738"/>
      <c r="U340" s="112" t="s">
        <v>8786</v>
      </c>
      <c r="V340" s="738"/>
      <c r="W340" s="112" t="s">
        <v>8776</v>
      </c>
      <c r="X340" s="738"/>
      <c r="Y340" s="738"/>
      <c r="Z340" s="738"/>
      <c r="AA340" s="112" t="s">
        <v>8780</v>
      </c>
      <c r="AB340" s="738"/>
      <c r="AC340" s="738"/>
      <c r="AD340" s="738"/>
      <c r="AE340" s="738"/>
      <c r="AF340" s="738"/>
      <c r="AG340" s="738"/>
      <c r="AH340" s="738"/>
      <c r="AI340" s="738"/>
      <c r="AJ340" s="154"/>
      <c r="AK340" s="738"/>
      <c r="AL340" s="738"/>
      <c r="AM340" s="738"/>
      <c r="AN340" s="733"/>
      <c r="AO340" s="738"/>
      <c r="AP340" s="738"/>
      <c r="AQ340" s="154"/>
      <c r="AR340" s="738"/>
      <c r="AS340" s="738"/>
      <c r="AT340" s="738"/>
      <c r="AU340" s="733"/>
      <c r="AV340" s="738"/>
      <c r="AW340" s="154"/>
      <c r="AX340" s="738"/>
      <c r="AY340" s="738"/>
      <c r="AZ340" s="738"/>
      <c r="BA340" s="738"/>
      <c r="BB340" s="738"/>
      <c r="BC340" s="738"/>
      <c r="BD340" s="154"/>
      <c r="BE340" s="738"/>
      <c r="BF340" s="738"/>
      <c r="BG340" s="738"/>
      <c r="BH340" s="738"/>
      <c r="BI340" s="738"/>
      <c r="BJ340" s="738"/>
      <c r="BK340" s="154"/>
      <c r="BL340" s="154"/>
      <c r="BM340" s="154"/>
      <c r="BN340" s="154"/>
      <c r="BO340" s="154"/>
      <c r="BP340" s="154"/>
      <c r="BQ340" s="154"/>
      <c r="BR340" s="154"/>
      <c r="BS340" s="154"/>
      <c r="BT340" s="154"/>
      <c r="BU340" s="154"/>
      <c r="BV340" s="154"/>
      <c r="BW340" s="154"/>
      <c r="BX340" s="154"/>
    </row>
    <row r="341" ht="15.75" customHeight="1">
      <c r="A341" s="1285" t="s">
        <v>8787</v>
      </c>
      <c r="B341" s="1286" t="s">
        <v>8788</v>
      </c>
      <c r="C341" s="577" t="s">
        <v>8789</v>
      </c>
      <c r="D341" s="557" t="s">
        <v>8789</v>
      </c>
      <c r="E341" s="742"/>
      <c r="F341" s="738"/>
      <c r="G341" s="175" t="s">
        <v>8789</v>
      </c>
      <c r="H341" s="175"/>
      <c r="I341" s="733"/>
      <c r="J341" s="738"/>
      <c r="K341" s="175"/>
      <c r="L341" s="738"/>
      <c r="M341" s="1288"/>
      <c r="N341" s="738"/>
      <c r="O341" s="738"/>
      <c r="P341" s="738"/>
      <c r="Q341" s="738"/>
      <c r="R341" s="740"/>
      <c r="S341" s="738"/>
      <c r="T341" s="738"/>
      <c r="U341" s="738"/>
      <c r="V341" s="738"/>
      <c r="W341" s="738"/>
      <c r="X341" s="738"/>
      <c r="Y341" s="738"/>
      <c r="Z341" s="738"/>
      <c r="AA341" s="738"/>
      <c r="AB341" s="738"/>
      <c r="AC341" s="738"/>
      <c r="AD341" s="738"/>
      <c r="AE341" s="175"/>
      <c r="AF341" s="738"/>
      <c r="AG341" s="738"/>
      <c r="AH341" s="738"/>
      <c r="AI341" s="738"/>
      <c r="AJ341" s="1288"/>
      <c r="AK341" s="738"/>
      <c r="AL341" s="175"/>
      <c r="AM341" s="738"/>
      <c r="AN341" s="733"/>
      <c r="AO341" s="738"/>
      <c r="AP341" s="738"/>
      <c r="AQ341" s="1288"/>
      <c r="AR341" s="738"/>
      <c r="AS341" s="738"/>
      <c r="AT341" s="738"/>
      <c r="AU341" s="733"/>
      <c r="AV341" s="738"/>
      <c r="AW341" s="1288"/>
      <c r="AX341" s="738"/>
      <c r="AY341" s="738"/>
      <c r="AZ341" s="738"/>
      <c r="BA341" s="738"/>
      <c r="BB341" s="738"/>
      <c r="BC341" s="738"/>
      <c r="BD341" s="1288"/>
      <c r="BE341" s="738"/>
      <c r="BF341" s="738"/>
      <c r="BG341" s="738"/>
      <c r="BH341" s="738"/>
      <c r="BI341" s="738"/>
      <c r="BJ341" s="738"/>
      <c r="BK341" s="1288"/>
      <c r="BL341" s="1288"/>
      <c r="BM341" s="1288"/>
      <c r="BN341" s="1288"/>
      <c r="BO341" s="1288"/>
      <c r="BP341" s="1288"/>
      <c r="BQ341" s="1288"/>
      <c r="BR341" s="1288"/>
      <c r="BS341" s="1288"/>
      <c r="BT341" s="1288"/>
      <c r="BU341" s="1288"/>
      <c r="BV341" s="1288"/>
      <c r="BW341" s="1288"/>
      <c r="BX341" s="1288"/>
    </row>
    <row r="342" ht="15.75" customHeight="1">
      <c r="A342" s="532"/>
      <c r="B342" s="542" t="s">
        <v>8793</v>
      </c>
      <c r="C342" s="577" t="s">
        <v>8794</v>
      </c>
      <c r="D342" s="557" t="s">
        <v>8794</v>
      </c>
      <c r="E342" s="742"/>
      <c r="F342" s="738"/>
      <c r="G342" s="175" t="s">
        <v>8794</v>
      </c>
      <c r="H342" s="175"/>
      <c r="I342" s="733"/>
      <c r="J342" s="738"/>
      <c r="K342" s="175"/>
      <c r="L342" s="738"/>
      <c r="M342" s="1288"/>
      <c r="N342" s="738"/>
      <c r="O342" s="738"/>
      <c r="P342" s="738"/>
      <c r="Q342" s="738"/>
      <c r="R342" s="740"/>
      <c r="S342" s="738"/>
      <c r="T342" s="738"/>
      <c r="U342" s="738"/>
      <c r="V342" s="738"/>
      <c r="W342" s="738"/>
      <c r="X342" s="738"/>
      <c r="Y342" s="738"/>
      <c r="Z342" s="738"/>
      <c r="AA342" s="738"/>
      <c r="AB342" s="738"/>
      <c r="AC342" s="738"/>
      <c r="AD342" s="738"/>
      <c r="AE342" s="175"/>
      <c r="AF342" s="738"/>
      <c r="AG342" s="738"/>
      <c r="AH342" s="738"/>
      <c r="AI342" s="738"/>
      <c r="AJ342" s="1288"/>
      <c r="AK342" s="738"/>
      <c r="AL342" s="175"/>
      <c r="AM342" s="738"/>
      <c r="AN342" s="733"/>
      <c r="AO342" s="738"/>
      <c r="AP342" s="738"/>
      <c r="AQ342" s="1288"/>
      <c r="AR342" s="738"/>
      <c r="AS342" s="738"/>
      <c r="AT342" s="738"/>
      <c r="AU342" s="733"/>
      <c r="AV342" s="738"/>
      <c r="AW342" s="1288"/>
      <c r="AX342" s="738"/>
      <c r="AY342" s="738"/>
      <c r="AZ342" s="738"/>
      <c r="BA342" s="738"/>
      <c r="BB342" s="738"/>
      <c r="BC342" s="738"/>
      <c r="BD342" s="1288"/>
      <c r="BE342" s="738"/>
      <c r="BF342" s="738"/>
      <c r="BG342" s="738"/>
      <c r="BH342" s="738"/>
      <c r="BI342" s="738"/>
      <c r="BJ342" s="738"/>
      <c r="BK342" s="1288"/>
      <c r="BL342" s="1288"/>
      <c r="BM342" s="1288"/>
      <c r="BN342" s="1288"/>
      <c r="BO342" s="1288"/>
      <c r="BP342" s="1288"/>
      <c r="BQ342" s="1288"/>
      <c r="BR342" s="1288"/>
      <c r="BS342" s="1288"/>
      <c r="BT342" s="1288"/>
      <c r="BU342" s="1288"/>
      <c r="BV342" s="1288"/>
      <c r="BW342" s="1288"/>
      <c r="BX342" s="1288"/>
    </row>
    <row r="343" ht="15.75" customHeight="1">
      <c r="A343" s="528"/>
      <c r="B343" s="1298" t="s">
        <v>8795</v>
      </c>
      <c r="C343" s="577" t="s">
        <v>8797</v>
      </c>
      <c r="D343" s="557" t="s">
        <v>8797</v>
      </c>
      <c r="E343" s="742"/>
      <c r="F343" s="738"/>
      <c r="G343" s="175">
        <v>5.83</v>
      </c>
      <c r="H343" s="175"/>
      <c r="I343" s="733"/>
      <c r="J343" s="738"/>
      <c r="K343" s="175"/>
      <c r="L343" s="738"/>
      <c r="M343" s="1288"/>
      <c r="N343" s="738"/>
      <c r="O343" s="738"/>
      <c r="P343" s="738"/>
      <c r="Q343" s="738"/>
      <c r="R343" s="740"/>
      <c r="S343" s="738"/>
      <c r="T343" s="738"/>
      <c r="U343" s="738"/>
      <c r="V343" s="738"/>
      <c r="W343" s="738"/>
      <c r="X343" s="738"/>
      <c r="Y343" s="738"/>
      <c r="Z343" s="738"/>
      <c r="AA343" s="738"/>
      <c r="AB343" s="738"/>
      <c r="AC343" s="738"/>
      <c r="AD343" s="738"/>
      <c r="AE343" s="175"/>
      <c r="AF343" s="738"/>
      <c r="AG343" s="738"/>
      <c r="AH343" s="738"/>
      <c r="AI343" s="738"/>
      <c r="AJ343" s="1288"/>
      <c r="AK343" s="738"/>
      <c r="AL343" s="175"/>
      <c r="AM343" s="738"/>
      <c r="AN343" s="733"/>
      <c r="AO343" s="738"/>
      <c r="AP343" s="738"/>
      <c r="AQ343" s="1288"/>
      <c r="AR343" s="738"/>
      <c r="AS343" s="738"/>
      <c r="AT343" s="738"/>
      <c r="AU343" s="733"/>
      <c r="AV343" s="738"/>
      <c r="AW343" s="1288"/>
      <c r="AX343" s="738"/>
      <c r="AY343" s="738"/>
      <c r="AZ343" s="738"/>
      <c r="BA343" s="738"/>
      <c r="BB343" s="738"/>
      <c r="BC343" s="738"/>
      <c r="BD343" s="1288"/>
      <c r="BE343" s="738"/>
      <c r="BF343" s="738"/>
      <c r="BG343" s="738"/>
      <c r="BH343" s="738"/>
      <c r="BI343" s="738"/>
      <c r="BJ343" s="738"/>
      <c r="BK343" s="1288"/>
      <c r="BL343" s="1288"/>
      <c r="BM343" s="1288"/>
      <c r="BN343" s="1288"/>
      <c r="BO343" s="1288"/>
      <c r="BP343" s="1288"/>
      <c r="BQ343" s="1288"/>
      <c r="BR343" s="1288"/>
      <c r="BS343" s="1288"/>
      <c r="BT343" s="1288"/>
      <c r="BU343" s="1288"/>
      <c r="BV343" s="1288"/>
      <c r="BW343" s="1288"/>
      <c r="BX343" s="1288"/>
    </row>
    <row r="344" ht="15.75" customHeight="1">
      <c r="A344" s="1285" t="s">
        <v>8801</v>
      </c>
      <c r="B344" s="1286" t="s">
        <v>8802</v>
      </c>
      <c r="C344" s="83" t="s">
        <v>8803</v>
      </c>
      <c r="D344" s="557" t="s">
        <v>7105</v>
      </c>
      <c r="E344" s="742" t="s">
        <v>8805</v>
      </c>
      <c r="F344" s="738"/>
      <c r="G344" s="112" t="s">
        <v>8803</v>
      </c>
      <c r="H344" s="175"/>
      <c r="I344" s="733"/>
      <c r="J344" s="738"/>
      <c r="K344" s="112" t="s">
        <v>8806</v>
      </c>
      <c r="L344" s="738"/>
      <c r="M344" s="1288"/>
      <c r="N344" s="738"/>
      <c r="O344" s="738"/>
      <c r="P344" s="738"/>
      <c r="Q344" s="738"/>
      <c r="R344" s="740"/>
      <c r="S344" s="738"/>
      <c r="T344" s="738"/>
      <c r="U344" s="738" t="s">
        <v>2560</v>
      </c>
      <c r="V344" s="738"/>
      <c r="W344" s="738"/>
      <c r="X344" s="738"/>
      <c r="Y344" s="738" t="s">
        <v>4651</v>
      </c>
      <c r="Z344" s="738"/>
      <c r="AA344" s="738"/>
      <c r="AB344" s="738"/>
      <c r="AC344" s="738"/>
      <c r="AD344" s="738"/>
      <c r="AE344" s="112" t="s">
        <v>8808</v>
      </c>
      <c r="AF344" s="738"/>
      <c r="AG344" s="738"/>
      <c r="AH344" s="738"/>
      <c r="AI344" s="738"/>
      <c r="AJ344" s="1288"/>
      <c r="AK344" s="738"/>
      <c r="AL344" s="112" t="s">
        <v>967</v>
      </c>
      <c r="AM344" s="738"/>
      <c r="AN344" s="733"/>
      <c r="AO344" s="738"/>
      <c r="AP344" s="738"/>
      <c r="AQ344" s="1288"/>
      <c r="AR344" s="738"/>
      <c r="AS344" s="738"/>
      <c r="AT344" s="738"/>
      <c r="AU344" s="733"/>
      <c r="AV344" s="738"/>
      <c r="AW344" s="1288"/>
      <c r="AX344" s="738"/>
      <c r="AY344" s="738"/>
      <c r="AZ344" s="738"/>
      <c r="BA344" s="738"/>
      <c r="BB344" s="738"/>
      <c r="BC344" s="738"/>
      <c r="BD344" s="1288"/>
      <c r="BE344" s="738"/>
      <c r="BF344" s="738"/>
      <c r="BG344" s="738"/>
      <c r="BH344" s="738"/>
      <c r="BI344" s="738"/>
      <c r="BJ344" s="738"/>
      <c r="BK344" s="1288"/>
      <c r="BL344" s="1288"/>
      <c r="BM344" s="1288"/>
      <c r="BN344" s="1288"/>
      <c r="BO344" s="1288"/>
      <c r="BP344" s="1288"/>
      <c r="BQ344" s="1288"/>
      <c r="BR344" s="1288"/>
      <c r="BS344" s="1288"/>
      <c r="BT344" s="1288"/>
      <c r="BU344" s="1288"/>
      <c r="BV344" s="1288"/>
      <c r="BW344" s="1288"/>
      <c r="BX344" s="1288"/>
    </row>
    <row r="345" ht="15.75" customHeight="1">
      <c r="A345" s="1285" t="s">
        <v>8809</v>
      </c>
      <c r="B345" s="1286" t="s">
        <v>8810</v>
      </c>
      <c r="C345" s="1502"/>
      <c r="D345" s="1503"/>
      <c r="E345" s="742"/>
      <c r="F345" s="738"/>
      <c r="G345" s="175"/>
      <c r="H345" s="175"/>
      <c r="I345" s="733"/>
      <c r="J345" s="738"/>
      <c r="K345" s="175"/>
      <c r="L345" s="738"/>
      <c r="M345" s="1486" t="s">
        <v>8811</v>
      </c>
      <c r="N345" s="738"/>
      <c r="O345" s="738"/>
      <c r="P345" s="738"/>
      <c r="Q345" s="738"/>
      <c r="R345" s="740"/>
      <c r="S345" s="738"/>
      <c r="T345" s="738"/>
      <c r="U345" s="738"/>
      <c r="V345" s="738"/>
      <c r="W345" s="738"/>
      <c r="X345" s="738"/>
      <c r="Y345" s="738"/>
      <c r="Z345" s="738"/>
      <c r="AA345" s="738"/>
      <c r="AB345" s="738"/>
      <c r="AC345" s="738"/>
      <c r="AD345" s="738"/>
      <c r="AE345" s="175"/>
      <c r="AF345" s="738"/>
      <c r="AG345" s="738"/>
      <c r="AH345" s="738"/>
      <c r="AI345" s="738"/>
      <c r="AJ345" s="1288"/>
      <c r="AK345" s="738"/>
      <c r="AL345" s="175"/>
      <c r="AM345" s="738"/>
      <c r="AN345" s="733"/>
      <c r="AO345" s="738"/>
      <c r="AP345" s="738"/>
      <c r="AQ345" s="1288"/>
      <c r="AR345" s="738"/>
      <c r="AS345" s="738"/>
      <c r="AT345" s="738"/>
      <c r="AU345" s="733"/>
      <c r="AV345" s="738"/>
      <c r="AW345" s="1288"/>
      <c r="AX345" s="738"/>
      <c r="AY345" s="738"/>
      <c r="AZ345" s="738"/>
      <c r="BA345" s="738"/>
      <c r="BB345" s="738"/>
      <c r="BC345" s="738"/>
      <c r="BD345" s="1288"/>
      <c r="BE345" s="738"/>
      <c r="BF345" s="738"/>
      <c r="BG345" s="738"/>
      <c r="BH345" s="738"/>
      <c r="BI345" s="738"/>
      <c r="BJ345" s="738"/>
      <c r="BK345" s="1288"/>
      <c r="BL345" s="1288"/>
      <c r="BM345" s="1288"/>
      <c r="BN345" s="1288"/>
      <c r="BO345" s="1288"/>
      <c r="BP345" s="1288"/>
      <c r="BQ345" s="1288"/>
      <c r="BR345" s="1288"/>
      <c r="BS345" s="1288"/>
      <c r="BT345" s="1288"/>
      <c r="BU345" s="1288"/>
      <c r="BV345" s="1288"/>
      <c r="BW345" s="1288"/>
      <c r="BX345" s="1288"/>
    </row>
    <row r="346" ht="15.75" customHeight="1">
      <c r="A346" s="1285" t="s">
        <v>8812</v>
      </c>
      <c r="B346" s="1286" t="s">
        <v>8813</v>
      </c>
      <c r="C346" s="725"/>
      <c r="D346" s="173"/>
      <c r="E346" s="175"/>
      <c r="F346" s="175"/>
      <c r="G346" s="175"/>
      <c r="H346" s="175"/>
      <c r="I346" s="733"/>
      <c r="J346" s="175"/>
      <c r="K346" s="175"/>
      <c r="L346" s="175"/>
      <c r="M346" s="154"/>
      <c r="N346" s="175"/>
      <c r="O346" s="175"/>
      <c r="P346" s="175"/>
      <c r="Q346" s="175"/>
      <c r="R346" s="732"/>
      <c r="S346" s="175"/>
      <c r="T346" s="175"/>
      <c r="U346" s="175"/>
      <c r="V346" s="175"/>
      <c r="W346" s="175"/>
      <c r="X346" s="175"/>
      <c r="Y346" s="175"/>
      <c r="Z346" s="175"/>
      <c r="AA346" s="175"/>
      <c r="AB346" s="175"/>
      <c r="AC346" s="175"/>
      <c r="AD346" s="175"/>
      <c r="AE346" s="175"/>
      <c r="AF346" s="175"/>
      <c r="AG346" s="175"/>
      <c r="AH346" s="175"/>
      <c r="AI346" s="175"/>
      <c r="AJ346" s="154"/>
      <c r="AK346" s="175"/>
      <c r="AL346" s="175"/>
      <c r="AM346" s="175"/>
      <c r="AN346" s="733"/>
      <c r="AO346" s="175"/>
      <c r="AP346" s="175"/>
      <c r="AQ346" s="154"/>
      <c r="AR346" s="175"/>
      <c r="AS346" s="175"/>
      <c r="AT346" s="175"/>
      <c r="AU346" s="733"/>
      <c r="AV346" s="175"/>
      <c r="AW346" s="154"/>
      <c r="AX346" s="175"/>
      <c r="AY346" s="175"/>
      <c r="AZ346" s="175"/>
      <c r="BA346" s="175"/>
      <c r="BB346" s="175"/>
      <c r="BC346" s="175"/>
      <c r="BD346" s="154"/>
      <c r="BE346" s="175"/>
      <c r="BF346" s="175"/>
      <c r="BG346" s="175"/>
      <c r="BH346" s="175"/>
      <c r="BI346" s="175"/>
      <c r="BJ346" s="175"/>
      <c r="BK346" s="154"/>
      <c r="BL346" s="154"/>
      <c r="BM346" s="154"/>
      <c r="BN346" s="154"/>
      <c r="BO346" s="154"/>
      <c r="BP346" s="154"/>
      <c r="BQ346" s="154"/>
      <c r="BR346" s="154"/>
      <c r="BS346" s="154"/>
      <c r="BT346" s="154"/>
      <c r="BU346" s="154"/>
      <c r="BV346" s="154"/>
      <c r="BW346" s="154"/>
      <c r="BX346" s="154"/>
    </row>
    <row r="347" ht="15.75" customHeight="1">
      <c r="A347" s="528"/>
      <c r="B347" s="1298" t="s">
        <v>8815</v>
      </c>
      <c r="C347" s="83" t="s">
        <v>8816</v>
      </c>
      <c r="D347" s="173"/>
      <c r="E347" s="175"/>
      <c r="F347" s="175"/>
      <c r="G347" s="175"/>
      <c r="H347" s="175"/>
      <c r="I347" s="733"/>
      <c r="J347" s="175"/>
      <c r="K347" s="175"/>
      <c r="L347" s="175"/>
      <c r="M347" s="154"/>
      <c r="N347" s="175"/>
      <c r="O347" s="175"/>
      <c r="P347" s="175"/>
      <c r="Q347" s="175"/>
      <c r="R347" s="732"/>
      <c r="S347" s="175"/>
      <c r="T347" s="175"/>
      <c r="U347" s="175"/>
      <c r="V347" s="175"/>
      <c r="W347" s="175"/>
      <c r="X347" s="175"/>
      <c r="Y347" s="175"/>
      <c r="Z347" s="175"/>
      <c r="AA347" s="175"/>
      <c r="AB347" s="175"/>
      <c r="AC347" s="175"/>
      <c r="AD347" s="175"/>
      <c r="AE347" s="175"/>
      <c r="AF347" s="175"/>
      <c r="AG347" s="175"/>
      <c r="AH347" s="175"/>
      <c r="AI347" s="175"/>
      <c r="AJ347" s="154"/>
      <c r="AK347" s="175"/>
      <c r="AL347" s="175"/>
      <c r="AM347" s="175"/>
      <c r="AN347" s="733"/>
      <c r="AO347" s="175"/>
      <c r="AP347" s="175"/>
      <c r="AQ347" s="154"/>
      <c r="AR347" s="175"/>
      <c r="AS347" s="175"/>
      <c r="AT347" s="175"/>
      <c r="AU347" s="733"/>
      <c r="AV347" s="175"/>
      <c r="AW347" s="154"/>
      <c r="AX347" s="175"/>
      <c r="AY347" s="175"/>
      <c r="AZ347" s="175"/>
      <c r="BA347" s="175"/>
      <c r="BB347" s="175"/>
      <c r="BC347" s="175"/>
      <c r="BD347" s="154"/>
      <c r="BE347" s="175"/>
      <c r="BF347" s="175"/>
      <c r="BG347" s="175"/>
      <c r="BH347" s="175"/>
      <c r="BI347" s="175"/>
      <c r="BJ347" s="175"/>
      <c r="BK347" s="154"/>
      <c r="BL347" s="154"/>
      <c r="BM347" s="154"/>
      <c r="BN347" s="154"/>
      <c r="BO347" s="154"/>
      <c r="BP347" s="365" t="s">
        <v>8816</v>
      </c>
      <c r="BQ347" s="154"/>
      <c r="BR347" s="154"/>
      <c r="BS347" s="154"/>
      <c r="BT347" s="154"/>
      <c r="BU347" s="154"/>
      <c r="BV347" s="154"/>
      <c r="BW347" s="154"/>
      <c r="BX347" s="154"/>
    </row>
    <row r="348" ht="15.75" customHeight="1">
      <c r="A348" s="532"/>
      <c r="B348" s="542" t="s">
        <v>8795</v>
      </c>
      <c r="C348" s="252" t="s">
        <v>8819</v>
      </c>
      <c r="D348" s="254" t="s">
        <v>8819</v>
      </c>
      <c r="E348" s="175"/>
      <c r="F348" s="175"/>
      <c r="G348" s="175"/>
      <c r="H348" s="175"/>
      <c r="I348" s="733"/>
      <c r="J348" s="175"/>
      <c r="K348" s="175"/>
      <c r="L348" s="175"/>
      <c r="M348" s="154"/>
      <c r="N348" s="175"/>
      <c r="O348" s="175"/>
      <c r="P348" s="175"/>
      <c r="Q348" s="175"/>
      <c r="R348" s="732"/>
      <c r="S348" s="175"/>
      <c r="T348" s="175"/>
      <c r="U348" s="175"/>
      <c r="V348" s="175"/>
      <c r="W348" s="175"/>
      <c r="X348" s="175"/>
      <c r="Y348" s="175"/>
      <c r="Z348" s="175"/>
      <c r="AA348" s="175"/>
      <c r="AB348" s="175"/>
      <c r="AC348" s="175"/>
      <c r="AD348" s="175"/>
      <c r="AE348" s="175"/>
      <c r="AF348" s="175"/>
      <c r="AG348" s="175"/>
      <c r="AH348" s="175"/>
      <c r="AI348" s="175"/>
      <c r="AJ348" s="154"/>
      <c r="AK348" s="175"/>
      <c r="AL348" s="175"/>
      <c r="AM348" s="175"/>
      <c r="AN348" s="733"/>
      <c r="AO348" s="175"/>
      <c r="AP348" s="175"/>
      <c r="AQ348" s="154"/>
      <c r="AR348" s="175"/>
      <c r="AS348" s="175"/>
      <c r="AT348" s="175"/>
      <c r="AU348" s="733"/>
      <c r="AV348" s="175"/>
      <c r="AW348" s="154"/>
      <c r="AX348" s="175"/>
      <c r="AY348" s="175"/>
      <c r="AZ348" s="175"/>
      <c r="BA348" s="175"/>
      <c r="BB348" s="175"/>
      <c r="BC348" s="175"/>
      <c r="BD348" s="154"/>
      <c r="BE348" s="175"/>
      <c r="BF348" s="175"/>
      <c r="BG348" s="175"/>
      <c r="BH348" s="175"/>
      <c r="BI348" s="175"/>
      <c r="BJ348" s="175"/>
      <c r="BK348" s="154"/>
      <c r="BL348" s="154"/>
      <c r="BM348" s="154"/>
      <c r="BN348" s="154"/>
      <c r="BO348" s="154"/>
      <c r="BP348" s="154"/>
      <c r="BQ348" s="154"/>
      <c r="BR348" s="154"/>
      <c r="BS348" s="154"/>
      <c r="BT348" s="154"/>
      <c r="BU348" s="154"/>
      <c r="BV348" s="154"/>
      <c r="BW348" s="154"/>
      <c r="BX348" s="154"/>
    </row>
    <row r="349" ht="15.75" customHeight="1">
      <c r="A349" s="1285" t="s">
        <v>8822</v>
      </c>
      <c r="B349" s="1286" t="s">
        <v>8823</v>
      </c>
      <c r="C349" s="725" t="s">
        <v>8824</v>
      </c>
      <c r="D349" s="173"/>
      <c r="E349" s="175"/>
      <c r="F349" s="112" t="s">
        <v>8824</v>
      </c>
      <c r="G349" s="175"/>
      <c r="H349" s="175"/>
      <c r="I349" s="733"/>
      <c r="J349" s="175"/>
      <c r="K349" s="175"/>
      <c r="L349" s="175"/>
      <c r="M349" s="154"/>
      <c r="N349" s="175"/>
      <c r="O349" s="175"/>
      <c r="P349" s="175"/>
      <c r="Q349" s="175"/>
      <c r="R349" s="732"/>
      <c r="S349" s="175"/>
      <c r="T349" s="175"/>
      <c r="U349" s="175"/>
      <c r="V349" s="175"/>
      <c r="W349" s="175"/>
      <c r="X349" s="175"/>
      <c r="Y349" s="175"/>
      <c r="Z349" s="175"/>
      <c r="AA349" s="175"/>
      <c r="AB349" s="175"/>
      <c r="AC349" s="175"/>
      <c r="AD349" s="175"/>
      <c r="AE349" s="175"/>
      <c r="AF349" s="175"/>
      <c r="AG349" s="175"/>
      <c r="AH349" s="175"/>
      <c r="AI349" s="175"/>
      <c r="AJ349" s="154"/>
      <c r="AK349" s="175"/>
      <c r="AL349" s="175"/>
      <c r="AM349" s="175"/>
      <c r="AN349" s="733"/>
      <c r="AO349" s="175"/>
      <c r="AP349" s="175"/>
      <c r="AQ349" s="154"/>
      <c r="AR349" s="175"/>
      <c r="AS349" s="175"/>
      <c r="AT349" s="175"/>
      <c r="AU349" s="733"/>
      <c r="AV349" s="175"/>
      <c r="AW349" s="154"/>
      <c r="AX349" s="175"/>
      <c r="AY349" s="175"/>
      <c r="AZ349" s="175"/>
      <c r="BA349" s="175"/>
      <c r="BB349" s="175"/>
      <c r="BC349" s="175"/>
      <c r="BD349" s="154"/>
      <c r="BE349" s="175"/>
      <c r="BF349" s="175"/>
      <c r="BG349" s="175"/>
      <c r="BH349" s="175"/>
      <c r="BI349" s="175"/>
      <c r="BJ349" s="175"/>
      <c r="BK349" s="154"/>
      <c r="BL349" s="154"/>
      <c r="BM349" s="154"/>
      <c r="BN349" s="154"/>
      <c r="BO349" s="154"/>
      <c r="BP349" s="154"/>
      <c r="BQ349" s="154"/>
      <c r="BR349" s="154"/>
      <c r="BS349" s="154"/>
      <c r="BT349" s="154"/>
      <c r="BU349" s="154"/>
      <c r="BV349" s="154"/>
      <c r="BW349" s="154"/>
      <c r="BX349" s="154"/>
    </row>
    <row r="350" ht="15.75" customHeight="1">
      <c r="A350" s="528"/>
      <c r="B350" s="1298" t="s">
        <v>8828</v>
      </c>
      <c r="C350" s="83" t="s">
        <v>8829</v>
      </c>
      <c r="D350" s="584" t="s">
        <v>8831</v>
      </c>
      <c r="E350" s="175" t="s">
        <v>4227</v>
      </c>
      <c r="F350" s="112" t="s">
        <v>8832</v>
      </c>
      <c r="G350" s="175"/>
      <c r="H350" s="175"/>
      <c r="I350" s="733"/>
      <c r="J350" s="175"/>
      <c r="K350" s="112" t="s">
        <v>8833</v>
      </c>
      <c r="L350" s="175"/>
      <c r="M350" s="1288"/>
      <c r="N350" s="175"/>
      <c r="O350" s="175"/>
      <c r="P350" s="175"/>
      <c r="Q350" s="175"/>
      <c r="R350" s="732"/>
      <c r="S350" s="175"/>
      <c r="T350" s="175"/>
      <c r="U350" s="175"/>
      <c r="V350" s="175"/>
      <c r="W350" s="175"/>
      <c r="X350" s="175"/>
      <c r="Y350" s="175"/>
      <c r="Z350" s="175"/>
      <c r="AA350" s="175"/>
      <c r="AB350" s="175"/>
      <c r="AC350" s="175"/>
      <c r="AD350" s="175"/>
      <c r="AE350" s="175"/>
      <c r="AF350" s="175"/>
      <c r="AG350" s="175"/>
      <c r="AH350" s="175"/>
      <c r="AI350" s="175"/>
      <c r="AJ350" s="1288"/>
      <c r="AK350" s="175"/>
      <c r="AL350" s="175"/>
      <c r="AM350" s="175"/>
      <c r="AN350" s="733"/>
      <c r="AO350" s="175"/>
      <c r="AP350" s="175"/>
      <c r="AQ350" s="1288"/>
      <c r="AR350" s="175"/>
      <c r="AS350" s="175"/>
      <c r="AT350" s="175"/>
      <c r="AV350" s="175"/>
      <c r="AW350" s="1288"/>
      <c r="AX350" s="175"/>
      <c r="AY350" s="175"/>
      <c r="AZ350" s="175"/>
      <c r="BA350" s="175"/>
      <c r="BB350" s="175"/>
      <c r="BC350" s="175"/>
      <c r="BD350" s="1288"/>
      <c r="BE350" s="175"/>
      <c r="BF350" s="175"/>
      <c r="BG350" s="175"/>
      <c r="BH350" s="175"/>
      <c r="BI350" s="175"/>
      <c r="BJ350" s="175"/>
      <c r="BK350" s="1288"/>
      <c r="BL350" s="1288"/>
      <c r="BM350" s="1288"/>
      <c r="BN350" s="1288"/>
      <c r="BO350" s="1288"/>
      <c r="BP350" s="1288"/>
      <c r="BQ350" s="1288"/>
      <c r="BR350" s="1288"/>
      <c r="BS350" s="1288"/>
      <c r="BT350" s="1288"/>
      <c r="BU350" s="1288"/>
      <c r="BV350" s="1288"/>
      <c r="BW350" s="1288"/>
      <c r="BX350" s="1288"/>
    </row>
    <row r="351" ht="15.75" customHeight="1">
      <c r="A351" s="532"/>
      <c r="B351" s="542" t="s">
        <v>8836</v>
      </c>
      <c r="C351" s="83" t="s">
        <v>8837</v>
      </c>
      <c r="D351" s="254" t="s">
        <v>4041</v>
      </c>
      <c r="E351" s="175"/>
      <c r="F351" s="175"/>
      <c r="G351" s="175" t="s">
        <v>8838</v>
      </c>
      <c r="H351" s="175"/>
      <c r="I351" s="733"/>
      <c r="J351" s="175"/>
      <c r="K351" s="175"/>
      <c r="L351" s="175"/>
      <c r="M351" s="154"/>
      <c r="N351" s="175"/>
      <c r="O351" s="175"/>
      <c r="P351" s="175"/>
      <c r="Q351" s="175"/>
      <c r="R351" s="732"/>
      <c r="S351" s="175"/>
      <c r="T351" s="175"/>
      <c r="U351" s="175"/>
      <c r="V351" s="175"/>
      <c r="W351" s="175"/>
      <c r="X351" s="175"/>
      <c r="Y351" s="175"/>
      <c r="Z351" s="175"/>
      <c r="AA351" s="175"/>
      <c r="AB351" s="175"/>
      <c r="AC351" s="175"/>
      <c r="AD351" s="175"/>
      <c r="AE351" s="175"/>
      <c r="AF351" s="175"/>
      <c r="AG351" s="175"/>
      <c r="AH351" s="175"/>
      <c r="AI351" s="175"/>
      <c r="AJ351" s="154"/>
      <c r="AK351" s="175"/>
      <c r="AL351" s="175"/>
      <c r="AM351" s="175"/>
      <c r="AN351" s="733"/>
      <c r="AO351" s="175"/>
      <c r="AP351" s="175"/>
      <c r="AQ351" s="154"/>
      <c r="AR351" s="175"/>
      <c r="AS351" s="175"/>
      <c r="AT351" s="175"/>
      <c r="AU351" s="365" t="s">
        <v>8837</v>
      </c>
      <c r="AV351" s="175"/>
      <c r="AW351" s="154"/>
      <c r="AX351" s="175"/>
      <c r="AY351" s="175"/>
      <c r="AZ351" s="175"/>
      <c r="BA351" s="175"/>
      <c r="BB351" s="175"/>
      <c r="BC351" s="175"/>
      <c r="BD351" s="154"/>
      <c r="BE351" s="175"/>
      <c r="BF351" s="175"/>
      <c r="BG351" s="175"/>
      <c r="BH351" s="175"/>
      <c r="BI351" s="175"/>
      <c r="BJ351" s="175"/>
      <c r="BK351" s="154"/>
      <c r="BL351" s="154"/>
      <c r="BM351" s="154"/>
      <c r="BN351" s="154"/>
      <c r="BO351" s="154"/>
      <c r="BP351" s="154"/>
      <c r="BQ351" s="154"/>
      <c r="BR351" s="154"/>
      <c r="BS351" s="154"/>
      <c r="BT351" s="154"/>
      <c r="BU351" s="154"/>
      <c r="BV351" s="154"/>
      <c r="BW351" s="154"/>
      <c r="BX351" s="154"/>
    </row>
    <row r="352" ht="15.75" customHeight="1">
      <c r="A352" s="1285" t="s">
        <v>8839</v>
      </c>
      <c r="B352" s="1286" t="s">
        <v>146</v>
      </c>
      <c r="C352" s="1502"/>
      <c r="D352" s="550"/>
      <c r="E352" s="175"/>
      <c r="F352" s="175"/>
      <c r="G352" s="175"/>
      <c r="H352" s="175"/>
      <c r="I352" s="733"/>
      <c r="J352" s="175"/>
      <c r="K352" s="175"/>
      <c r="L352" s="175"/>
      <c r="M352" s="154"/>
      <c r="N352" s="175"/>
      <c r="O352" s="175"/>
      <c r="P352" s="175"/>
      <c r="Q352" s="175"/>
      <c r="R352" s="732"/>
      <c r="S352" s="175"/>
      <c r="T352" s="175"/>
      <c r="U352" s="175"/>
      <c r="V352" s="175"/>
      <c r="W352" s="175"/>
      <c r="X352" s="175"/>
      <c r="Y352" s="175"/>
      <c r="Z352" s="175"/>
      <c r="AA352" s="175"/>
      <c r="AB352" s="175"/>
      <c r="AC352" s="175"/>
      <c r="AD352" s="175"/>
      <c r="AE352" s="175"/>
      <c r="AF352" s="175"/>
      <c r="AG352" s="175"/>
      <c r="AH352" s="175"/>
      <c r="AI352" s="175"/>
      <c r="AJ352" s="154"/>
      <c r="AK352" s="175"/>
      <c r="AL352" s="175"/>
      <c r="AM352" s="175"/>
      <c r="AN352" s="733"/>
      <c r="AO352" s="175"/>
      <c r="AP352" s="175"/>
      <c r="AQ352" s="154"/>
      <c r="AR352" s="175"/>
      <c r="AS352" s="175"/>
      <c r="AT352" s="175"/>
      <c r="AU352" s="1508"/>
      <c r="AV352" s="175"/>
      <c r="AW352" s="154"/>
      <c r="AX352" s="175"/>
      <c r="AY352" s="175"/>
      <c r="AZ352" s="175"/>
      <c r="BA352" s="175"/>
      <c r="BB352" s="175"/>
      <c r="BC352" s="175"/>
      <c r="BD352" s="154"/>
      <c r="BE352" s="175"/>
      <c r="BF352" s="175"/>
      <c r="BG352" s="175"/>
      <c r="BH352" s="175"/>
      <c r="BI352" s="175"/>
      <c r="BJ352" s="175"/>
      <c r="BK352" s="154"/>
      <c r="BL352" s="154"/>
      <c r="BM352" s="154"/>
      <c r="BN352" s="154"/>
      <c r="BO352" s="154"/>
      <c r="BP352" s="154"/>
      <c r="BQ352" s="154"/>
      <c r="BR352" s="154"/>
      <c r="BS352" s="154"/>
      <c r="BT352" s="154"/>
      <c r="BU352" s="154"/>
      <c r="BV352" s="154"/>
      <c r="BW352" s="154"/>
      <c r="BX352" s="154"/>
    </row>
    <row r="353" ht="15.75" customHeight="1">
      <c r="A353" s="1285" t="s">
        <v>8841</v>
      </c>
      <c r="B353" s="1311" t="s">
        <v>8842</v>
      </c>
      <c r="C353" s="83" t="s">
        <v>8843</v>
      </c>
      <c r="D353" s="557" t="s">
        <v>5490</v>
      </c>
      <c r="E353" s="1509"/>
      <c r="F353" s="1509"/>
      <c r="G353" s="112" t="s">
        <v>8843</v>
      </c>
      <c r="H353" s="175"/>
      <c r="I353" s="733"/>
      <c r="J353" s="1509"/>
      <c r="K353" s="112" t="s">
        <v>7105</v>
      </c>
      <c r="L353" s="1509"/>
      <c r="M353" s="1486" t="s">
        <v>8844</v>
      </c>
      <c r="N353" s="1509"/>
      <c r="O353" s="1509"/>
      <c r="P353" s="1509"/>
      <c r="Q353" s="1509"/>
      <c r="R353" s="732"/>
      <c r="S353" s="1509"/>
      <c r="T353" s="1509"/>
      <c r="U353" s="1509"/>
      <c r="V353" s="1509"/>
      <c r="W353" s="1509"/>
      <c r="X353" s="1509"/>
      <c r="Y353" s="1509"/>
      <c r="Z353" s="1509"/>
      <c r="AA353" s="112" t="s">
        <v>8845</v>
      </c>
      <c r="AB353" s="1509"/>
      <c r="AC353" s="1509"/>
      <c r="AD353" s="1509"/>
      <c r="AE353" s="1509"/>
      <c r="AF353" s="1509"/>
      <c r="AG353" s="1509"/>
      <c r="AH353" s="1509"/>
      <c r="AI353" s="1509"/>
      <c r="AJ353" s="1288"/>
      <c r="AK353" s="1509"/>
      <c r="AL353" s="1509"/>
      <c r="AM353" s="1509"/>
      <c r="AN353" s="733"/>
      <c r="AO353" s="1509"/>
      <c r="AP353" s="1509"/>
      <c r="AQ353" s="1288"/>
      <c r="AR353" s="1509"/>
      <c r="AS353" s="1509"/>
      <c r="AT353" s="1509"/>
      <c r="AU353" s="733"/>
      <c r="AV353" s="1509"/>
      <c r="AW353" s="1288"/>
      <c r="AX353" s="1509"/>
      <c r="AY353" s="1509"/>
      <c r="AZ353" s="1509"/>
      <c r="BA353" s="1509"/>
      <c r="BB353" s="1509"/>
      <c r="BC353" s="1509"/>
      <c r="BD353" s="1288"/>
      <c r="BE353" s="1509"/>
      <c r="BF353" s="1509"/>
      <c r="BG353" s="1509"/>
      <c r="BH353" s="1509"/>
      <c r="BI353" s="1509"/>
      <c r="BJ353" s="1509"/>
      <c r="BK353" s="1288"/>
      <c r="BL353" s="1288"/>
      <c r="BM353" s="1288"/>
      <c r="BN353" s="1288"/>
      <c r="BO353" s="1288"/>
      <c r="BP353" s="1288"/>
      <c r="BQ353" s="1288"/>
      <c r="BR353" s="1288"/>
      <c r="BS353" s="1288"/>
      <c r="BT353" s="1288"/>
      <c r="BU353" s="1288"/>
      <c r="BV353" s="1288"/>
      <c r="BW353" s="1288"/>
      <c r="BX353" s="1288"/>
    </row>
    <row r="354" ht="15.75" customHeight="1">
      <c r="A354" s="528"/>
      <c r="B354" s="625" t="s">
        <v>8847</v>
      </c>
      <c r="C354" s="725" t="s">
        <v>2284</v>
      </c>
      <c r="D354" s="401" t="s">
        <v>4017</v>
      </c>
      <c r="E354" s="175"/>
      <c r="F354" s="112" t="s">
        <v>8848</v>
      </c>
      <c r="G354" s="175"/>
      <c r="H354" s="175"/>
      <c r="I354" s="733"/>
      <c r="J354" s="175"/>
      <c r="K354" s="175"/>
      <c r="L354" s="175"/>
      <c r="M354" s="154"/>
      <c r="N354" s="175"/>
      <c r="O354" s="175"/>
      <c r="P354" s="175"/>
      <c r="Q354" s="175"/>
      <c r="R354" s="732"/>
      <c r="S354" s="175"/>
      <c r="T354" s="112" t="s">
        <v>2808</v>
      </c>
      <c r="U354" s="112" t="s">
        <v>3457</v>
      </c>
      <c r="V354" s="175"/>
      <c r="W354" s="175"/>
      <c r="X354" s="175"/>
      <c r="Y354" s="175"/>
      <c r="Z354" s="175"/>
      <c r="AA354" s="112" t="s">
        <v>2284</v>
      </c>
      <c r="AB354" s="175"/>
      <c r="AC354" s="175"/>
      <c r="AD354" s="175"/>
      <c r="AE354" s="175"/>
      <c r="AF354" s="175"/>
      <c r="AG354" s="175"/>
      <c r="AH354" s="175"/>
      <c r="AI354" s="175"/>
      <c r="AJ354" s="154"/>
      <c r="AK354" s="175"/>
      <c r="AL354" s="175"/>
      <c r="AM354" s="175"/>
      <c r="AN354" s="733"/>
      <c r="AO354" s="175"/>
      <c r="AP354" s="175"/>
      <c r="AQ354" s="154"/>
      <c r="AR354" s="175"/>
      <c r="AS354" s="175"/>
      <c r="AT354" s="175"/>
      <c r="AU354" s="733"/>
      <c r="AV354" s="175"/>
      <c r="AW354" s="154"/>
      <c r="AX354" s="175"/>
      <c r="AY354" s="175"/>
      <c r="AZ354" s="175"/>
      <c r="BA354" s="175"/>
      <c r="BB354" s="175"/>
      <c r="BC354" s="175"/>
      <c r="BD354" s="154"/>
      <c r="BE354" s="175"/>
      <c r="BF354" s="175"/>
      <c r="BG354" s="175"/>
      <c r="BH354" s="175"/>
      <c r="BI354" s="175"/>
      <c r="BJ354" s="175"/>
      <c r="BK354" s="154"/>
      <c r="BL354" s="154"/>
      <c r="BM354" s="154"/>
      <c r="BN354" s="154"/>
      <c r="BO354" s="154"/>
      <c r="BP354" s="154"/>
      <c r="BQ354" s="154"/>
      <c r="BR354" s="154"/>
      <c r="BS354" s="154"/>
      <c r="BT354" s="154"/>
      <c r="BU354" s="154"/>
      <c r="BV354" s="154"/>
      <c r="BW354" s="154"/>
      <c r="BX354" s="154"/>
    </row>
    <row r="355" ht="15.75" customHeight="1">
      <c r="A355" s="1285" t="s">
        <v>8851</v>
      </c>
      <c r="B355" s="1286" t="s">
        <v>8788</v>
      </c>
      <c r="C355" s="83" t="s">
        <v>8852</v>
      </c>
      <c r="D355" s="557" t="s">
        <v>8852</v>
      </c>
      <c r="E355" s="840"/>
      <c r="F355" s="840"/>
      <c r="G355" s="112" t="s">
        <v>8852</v>
      </c>
      <c r="H355" s="175"/>
      <c r="I355" s="733"/>
      <c r="J355" s="840"/>
      <c r="K355" s="840"/>
      <c r="L355" s="840"/>
      <c r="M355" s="1288"/>
      <c r="N355" s="840"/>
      <c r="O355" s="175"/>
      <c r="P355" s="840"/>
      <c r="Q355" s="840"/>
      <c r="R355" s="732"/>
      <c r="S355" s="840"/>
      <c r="T355" s="840"/>
      <c r="U355" s="840"/>
      <c r="V355" s="840"/>
      <c r="W355" s="840"/>
      <c r="X355" s="840"/>
      <c r="Y355" s="840"/>
      <c r="Z355" s="840"/>
      <c r="AA355" s="840"/>
      <c r="AB355" s="840"/>
      <c r="AC355" s="840"/>
      <c r="AD355" s="840"/>
      <c r="AE355" s="840"/>
      <c r="AF355" s="840"/>
      <c r="AG355" s="840"/>
      <c r="AH355" s="840"/>
      <c r="AI355" s="840"/>
      <c r="AJ355" s="1288"/>
      <c r="AK355" s="840"/>
      <c r="AL355" s="840"/>
      <c r="AM355" s="840"/>
      <c r="AN355" s="733"/>
      <c r="AO355" s="840"/>
      <c r="AP355" s="840"/>
      <c r="AQ355" s="1288"/>
      <c r="AR355" s="840"/>
      <c r="AS355" s="840"/>
      <c r="AT355" s="840"/>
      <c r="AU355" s="733"/>
      <c r="AV355" s="840"/>
      <c r="AW355" s="1288"/>
      <c r="AX355" s="840"/>
      <c r="AY355" s="840"/>
      <c r="AZ355" s="840"/>
      <c r="BA355" s="840"/>
      <c r="BB355" s="840"/>
      <c r="BC355" s="840"/>
      <c r="BD355" s="1288"/>
      <c r="BE355" s="840"/>
      <c r="BF355" s="840"/>
      <c r="BG355" s="840"/>
      <c r="BH355" s="840"/>
      <c r="BI355" s="840"/>
      <c r="BJ355" s="840"/>
      <c r="BK355" s="1288"/>
      <c r="BL355" s="1288"/>
      <c r="BM355" s="1288"/>
      <c r="BN355" s="1288"/>
      <c r="BO355" s="1288"/>
      <c r="BP355" s="1288"/>
      <c r="BQ355" s="1288"/>
      <c r="BR355" s="1288"/>
      <c r="BS355" s="1288"/>
      <c r="BT355" s="1288"/>
      <c r="BU355" s="1288"/>
      <c r="BV355" s="1288"/>
      <c r="BW355" s="1288"/>
      <c r="BX355" s="1288"/>
    </row>
    <row r="356" ht="15.75" customHeight="1">
      <c r="A356" s="528"/>
      <c r="B356" s="1298" t="s">
        <v>8862</v>
      </c>
      <c r="C356" s="577" t="s">
        <v>8863</v>
      </c>
      <c r="D356" s="557" t="s">
        <v>8863</v>
      </c>
      <c r="E356" s="840"/>
      <c r="F356" s="840"/>
      <c r="G356" s="175" t="s">
        <v>8852</v>
      </c>
      <c r="H356" s="175"/>
      <c r="I356" s="733"/>
      <c r="J356" s="840"/>
      <c r="K356" s="840"/>
      <c r="L356" s="840"/>
      <c r="M356" s="1288"/>
      <c r="N356" s="840"/>
      <c r="O356" s="175"/>
      <c r="P356" s="840"/>
      <c r="Q356" s="840"/>
      <c r="R356" s="732"/>
      <c r="S356" s="840"/>
      <c r="T356" s="840"/>
      <c r="U356" s="840"/>
      <c r="V356" s="840"/>
      <c r="W356" s="840"/>
      <c r="X356" s="840"/>
      <c r="Y356" s="840"/>
      <c r="Z356" s="840"/>
      <c r="AA356" s="840"/>
      <c r="AB356" s="840"/>
      <c r="AC356" s="840"/>
      <c r="AD356" s="840"/>
      <c r="AE356" s="840"/>
      <c r="AF356" s="840"/>
      <c r="AG356" s="840"/>
      <c r="AH356" s="840"/>
      <c r="AI356" s="840"/>
      <c r="AJ356" s="1288"/>
      <c r="AK356" s="840"/>
      <c r="AL356" s="840"/>
      <c r="AM356" s="840"/>
      <c r="AN356" s="733"/>
      <c r="AO356" s="840"/>
      <c r="AP356" s="840"/>
      <c r="AQ356" s="1288"/>
      <c r="AR356" s="840"/>
      <c r="AS356" s="840"/>
      <c r="AT356" s="840"/>
      <c r="AU356" s="733"/>
      <c r="AV356" s="840"/>
      <c r="AW356" s="1288"/>
      <c r="AX356" s="840"/>
      <c r="AY356" s="840"/>
      <c r="AZ356" s="840"/>
      <c r="BA356" s="840"/>
      <c r="BB356" s="840"/>
      <c r="BC356" s="840"/>
      <c r="BD356" s="1288"/>
      <c r="BE356" s="840"/>
      <c r="BF356" s="840"/>
      <c r="BG356" s="840"/>
      <c r="BH356" s="840"/>
      <c r="BI356" s="840"/>
      <c r="BJ356" s="840"/>
      <c r="BK356" s="1288"/>
      <c r="BL356" s="1288"/>
      <c r="BM356" s="1288"/>
      <c r="BN356" s="1288"/>
      <c r="BO356" s="1288"/>
      <c r="BP356" s="1288"/>
      <c r="BQ356" s="1288"/>
      <c r="BR356" s="1288"/>
      <c r="BS356" s="1288"/>
      <c r="BT356" s="1288"/>
      <c r="BU356" s="1288"/>
      <c r="BV356" s="1288"/>
      <c r="BW356" s="1288"/>
      <c r="BX356" s="1288"/>
    </row>
    <row r="357" ht="15.75" customHeight="1">
      <c r="A357" s="528"/>
      <c r="B357" s="1298" t="s">
        <v>8795</v>
      </c>
      <c r="C357" s="577" t="s">
        <v>8819</v>
      </c>
      <c r="D357" s="557" t="s">
        <v>8819</v>
      </c>
      <c r="E357" s="840"/>
      <c r="F357" s="840"/>
      <c r="G357" s="175"/>
      <c r="H357" s="175"/>
      <c r="I357" s="733"/>
      <c r="J357" s="840"/>
      <c r="K357" s="840"/>
      <c r="L357" s="840"/>
      <c r="M357" s="1288"/>
      <c r="N357" s="840"/>
      <c r="O357" s="175"/>
      <c r="P357" s="840"/>
      <c r="Q357" s="840"/>
      <c r="R357" s="732"/>
      <c r="S357" s="840"/>
      <c r="T357" s="840"/>
      <c r="U357" s="840"/>
      <c r="V357" s="840"/>
      <c r="W357" s="840"/>
      <c r="X357" s="840"/>
      <c r="Y357" s="840"/>
      <c r="Z357" s="840"/>
      <c r="AA357" s="840"/>
      <c r="AB357" s="840"/>
      <c r="AC357" s="840"/>
      <c r="AD357" s="840"/>
      <c r="AE357" s="840"/>
      <c r="AF357" s="840"/>
      <c r="AG357" s="840"/>
      <c r="AH357" s="840"/>
      <c r="AI357" s="840"/>
      <c r="AJ357" s="1288"/>
      <c r="AK357" s="840"/>
      <c r="AL357" s="840"/>
      <c r="AM357" s="840"/>
      <c r="AN357" s="733"/>
      <c r="AO357" s="840"/>
      <c r="AP357" s="840"/>
      <c r="AQ357" s="1288"/>
      <c r="AR357" s="840"/>
      <c r="AS357" s="840"/>
      <c r="AT357" s="840"/>
      <c r="AU357" s="733"/>
      <c r="AV357" s="840"/>
      <c r="AW357" s="1288"/>
      <c r="AX357" s="840"/>
      <c r="AY357" s="840"/>
      <c r="AZ357" s="840"/>
      <c r="BA357" s="840"/>
      <c r="BB357" s="840"/>
      <c r="BC357" s="840"/>
      <c r="BD357" s="1288"/>
      <c r="BE357" s="840"/>
      <c r="BF357" s="840"/>
      <c r="BG357" s="840"/>
      <c r="BH357" s="840"/>
      <c r="BI357" s="840"/>
      <c r="BJ357" s="840"/>
      <c r="BK357" s="1288"/>
      <c r="BL357" s="1288"/>
      <c r="BM357" s="1288"/>
      <c r="BN357" s="1288"/>
      <c r="BO357" s="1288"/>
      <c r="BP357" s="1288"/>
      <c r="BQ357" s="1288"/>
      <c r="BR357" s="1288"/>
      <c r="BS357" s="1288"/>
      <c r="BT357" s="1288"/>
      <c r="BU357" s="1288"/>
      <c r="BV357" s="1288"/>
      <c r="BW357" s="1288"/>
      <c r="BX357" s="1288"/>
    </row>
    <row r="358" ht="15.75" customHeight="1">
      <c r="A358" s="1285" t="s">
        <v>8888</v>
      </c>
      <c r="B358" s="1286" t="s">
        <v>146</v>
      </c>
      <c r="C358" s="725" t="s">
        <v>8889</v>
      </c>
      <c r="D358" s="557" t="s">
        <v>8893</v>
      </c>
      <c r="E358" s="840"/>
      <c r="F358" s="840"/>
      <c r="G358" s="112" t="s">
        <v>8889</v>
      </c>
      <c r="H358" s="175"/>
      <c r="I358" s="733"/>
      <c r="J358" s="840"/>
      <c r="K358" s="840"/>
      <c r="L358" s="840"/>
      <c r="M358" s="1288"/>
      <c r="N358" s="840"/>
      <c r="O358" s="112" t="s">
        <v>8893</v>
      </c>
      <c r="P358" s="840"/>
      <c r="Q358" s="840"/>
      <c r="R358" s="732"/>
      <c r="S358" s="840"/>
      <c r="T358" s="840"/>
      <c r="U358" s="840"/>
      <c r="V358" s="840"/>
      <c r="W358" s="840"/>
      <c r="X358" s="840"/>
      <c r="Y358" s="840"/>
      <c r="Z358" s="840"/>
      <c r="AA358" s="840"/>
      <c r="AB358" s="840"/>
      <c r="AC358" s="840"/>
      <c r="AD358" s="840"/>
      <c r="AE358" s="840"/>
      <c r="AF358" s="840"/>
      <c r="AG358" s="840"/>
      <c r="AH358" s="840"/>
      <c r="AI358" s="840"/>
      <c r="AJ358" s="1288"/>
      <c r="AK358" s="840"/>
      <c r="AL358" s="840"/>
      <c r="AM358" s="840"/>
      <c r="AN358" s="733"/>
      <c r="AO358" s="840"/>
      <c r="AP358" s="840"/>
      <c r="AQ358" s="1288"/>
      <c r="AR358" s="840"/>
      <c r="AS358" s="840"/>
      <c r="AT358" s="840"/>
      <c r="AU358" s="733"/>
      <c r="AV358" s="840"/>
      <c r="AW358" s="1288"/>
      <c r="AX358" s="840"/>
      <c r="AY358" s="840"/>
      <c r="AZ358" s="840"/>
      <c r="BA358" s="840"/>
      <c r="BB358" s="840"/>
      <c r="BC358" s="840"/>
      <c r="BD358" s="1288"/>
      <c r="BE358" s="840"/>
      <c r="BF358" s="840"/>
      <c r="BG358" s="840"/>
      <c r="BH358" s="840"/>
      <c r="BI358" s="840"/>
      <c r="BJ358" s="840"/>
      <c r="BK358" s="1288"/>
      <c r="BL358" s="1288"/>
      <c r="BM358" s="1288"/>
      <c r="BN358" s="1288"/>
      <c r="BO358" s="1288"/>
      <c r="BP358" s="1288"/>
      <c r="BQ358" s="1288"/>
      <c r="BR358" s="1288"/>
      <c r="BS358" s="1288"/>
      <c r="BT358" s="1288"/>
      <c r="BU358" s="1288"/>
      <c r="BV358" s="1288"/>
      <c r="BW358" s="1288"/>
      <c r="BX358" s="1288"/>
    </row>
    <row r="359" ht="15.75" customHeight="1">
      <c r="A359" s="1285" t="s">
        <v>8902</v>
      </c>
      <c r="B359" s="1286" t="s">
        <v>8903</v>
      </c>
      <c r="C359" s="725" t="s">
        <v>3743</v>
      </c>
      <c r="D359" s="173"/>
      <c r="E359" s="732"/>
      <c r="F359" s="732"/>
      <c r="G359" s="732"/>
      <c r="H359" s="175"/>
      <c r="I359" s="820"/>
      <c r="J359" s="732"/>
      <c r="K359" s="732"/>
      <c r="L359" s="732"/>
      <c r="M359" s="154"/>
      <c r="N359" s="732"/>
      <c r="O359" s="732"/>
      <c r="P359" s="732"/>
      <c r="Q359" s="732"/>
      <c r="R359" s="732"/>
      <c r="S359" s="732"/>
      <c r="T359" s="732"/>
      <c r="U359" s="732"/>
      <c r="V359" s="732"/>
      <c r="W359" s="732"/>
      <c r="X359" s="732"/>
      <c r="Y359" s="732"/>
      <c r="Z359" s="732"/>
      <c r="AA359" s="732"/>
      <c r="AB359" s="732"/>
      <c r="AC359" s="732"/>
      <c r="AD359" s="732"/>
      <c r="AE359" s="1536" t="s">
        <v>3743</v>
      </c>
      <c r="AF359" s="732"/>
      <c r="AG359" s="732"/>
      <c r="AH359" s="732"/>
      <c r="AI359" s="732"/>
      <c r="AJ359" s="154"/>
      <c r="AK359" s="732"/>
      <c r="AL359" s="732"/>
      <c r="AM359" s="732"/>
      <c r="AN359" s="820"/>
      <c r="AO359" s="732"/>
      <c r="AP359" s="732"/>
      <c r="AQ359" s="154"/>
      <c r="AR359" s="732"/>
      <c r="AS359" s="732"/>
      <c r="AT359" s="732"/>
      <c r="AU359" s="820"/>
      <c r="AV359" s="732"/>
      <c r="AW359" s="154"/>
      <c r="AX359" s="732"/>
      <c r="AY359" s="732"/>
      <c r="AZ359" s="732"/>
      <c r="BA359" s="732"/>
      <c r="BB359" s="732"/>
      <c r="BC359" s="732"/>
      <c r="BD359" s="154"/>
      <c r="BE359" s="732"/>
      <c r="BF359" s="732"/>
      <c r="BG359" s="732"/>
      <c r="BH359" s="732"/>
      <c r="BI359" s="732"/>
      <c r="BJ359" s="732"/>
      <c r="BK359" s="154"/>
      <c r="BL359" s="154"/>
      <c r="BM359" s="154"/>
      <c r="BN359" s="154"/>
      <c r="BO359" s="154"/>
      <c r="BP359" s="154"/>
      <c r="BQ359" s="154"/>
      <c r="BR359" s="154"/>
      <c r="BS359" s="154"/>
      <c r="BT359" s="154"/>
      <c r="BU359" s="154"/>
      <c r="BV359" s="154"/>
      <c r="BW359" s="154"/>
      <c r="BX359" s="154"/>
    </row>
    <row r="360" ht="15.75" customHeight="1">
      <c r="A360" s="582"/>
      <c r="B360" s="1298" t="s">
        <v>8914</v>
      </c>
      <c r="C360" s="725" t="s">
        <v>2650</v>
      </c>
      <c r="D360" s="557" t="s">
        <v>2671</v>
      </c>
      <c r="E360" s="732"/>
      <c r="F360" s="732"/>
      <c r="G360" s="112" t="s">
        <v>2650</v>
      </c>
      <c r="H360" s="175"/>
      <c r="I360" s="820"/>
      <c r="J360" s="732"/>
      <c r="K360" s="732"/>
      <c r="L360" s="732"/>
      <c r="M360" s="154"/>
      <c r="N360" s="732"/>
      <c r="O360" s="732"/>
      <c r="P360" s="732"/>
      <c r="Q360" s="112" t="s">
        <v>1548</v>
      </c>
      <c r="R360" s="732"/>
      <c r="S360" s="732"/>
      <c r="T360" s="732"/>
      <c r="U360" s="732"/>
      <c r="V360" s="732"/>
      <c r="W360" s="732"/>
      <c r="X360" s="732"/>
      <c r="Y360" s="732"/>
      <c r="Z360" s="732" t="s">
        <v>3794</v>
      </c>
      <c r="AA360" s="1536" t="s">
        <v>8939</v>
      </c>
      <c r="AB360" s="732"/>
      <c r="AC360" s="732"/>
      <c r="AD360" s="732"/>
      <c r="AE360" s="732"/>
      <c r="AF360" s="732"/>
      <c r="AG360" s="732"/>
      <c r="AH360" s="732"/>
      <c r="AI360" s="732"/>
      <c r="AJ360" s="154"/>
      <c r="AK360" s="732"/>
      <c r="AL360" s="732"/>
      <c r="AM360" s="732"/>
      <c r="AN360" s="820"/>
      <c r="AO360" s="732"/>
      <c r="AP360" s="732"/>
      <c r="AQ360" s="154"/>
      <c r="AR360" s="732"/>
      <c r="AS360" s="732"/>
      <c r="AT360" s="732"/>
      <c r="AU360" s="820"/>
      <c r="AV360" s="732"/>
      <c r="AW360" s="154"/>
      <c r="AX360" s="732"/>
      <c r="AY360" s="732"/>
      <c r="AZ360" s="732"/>
      <c r="BA360" s="732"/>
      <c r="BB360" s="732"/>
      <c r="BC360" s="732"/>
      <c r="BD360" s="154"/>
      <c r="BE360" s="732"/>
      <c r="BF360" s="732"/>
      <c r="BG360" s="732"/>
      <c r="BH360" s="732"/>
      <c r="BI360" s="732"/>
      <c r="BJ360" s="732"/>
      <c r="BK360" s="154"/>
      <c r="BL360" s="154"/>
      <c r="BM360" s="154"/>
      <c r="BN360" s="154"/>
      <c r="BO360" s="154"/>
      <c r="BP360" s="154"/>
      <c r="BQ360" s="154"/>
      <c r="BR360" s="154"/>
      <c r="BS360" s="154"/>
      <c r="BT360" s="154"/>
      <c r="BU360" s="154"/>
      <c r="BV360" s="154"/>
      <c r="BW360" s="154"/>
      <c r="BX360" s="154"/>
    </row>
    <row r="361" ht="15.75" customHeight="1">
      <c r="A361" s="587"/>
      <c r="B361" s="542" t="s">
        <v>8946</v>
      </c>
      <c r="C361" s="725" t="s">
        <v>2650</v>
      </c>
      <c r="D361" s="173"/>
      <c r="E361" s="175"/>
      <c r="F361" s="112" t="s">
        <v>2650</v>
      </c>
      <c r="G361" s="175" t="s">
        <v>2650</v>
      </c>
      <c r="H361" s="175"/>
      <c r="I361" s="820"/>
      <c r="J361" s="175"/>
      <c r="K361" s="175"/>
      <c r="L361" s="175"/>
      <c r="M361" s="1288"/>
      <c r="N361" s="175"/>
      <c r="O361" s="175"/>
      <c r="P361" s="175"/>
      <c r="Q361" s="175"/>
      <c r="R361" s="732"/>
      <c r="S361" s="175"/>
      <c r="T361" s="175"/>
      <c r="U361" s="175"/>
      <c r="V361" s="175"/>
      <c r="W361" s="175"/>
      <c r="X361" s="175"/>
      <c r="Y361" s="175"/>
      <c r="Z361" s="175"/>
      <c r="AA361" s="175"/>
      <c r="AB361" s="175"/>
      <c r="AC361" s="175"/>
      <c r="AD361" s="175"/>
      <c r="AE361" s="175"/>
      <c r="AF361" s="175"/>
      <c r="AG361" s="175"/>
      <c r="AH361" s="175"/>
      <c r="AI361" s="175"/>
      <c r="AJ361" s="1288"/>
      <c r="AK361" s="175"/>
      <c r="AL361" s="175"/>
      <c r="AM361" s="175"/>
      <c r="AN361" s="820"/>
      <c r="AO361" s="175"/>
      <c r="AP361" s="175"/>
      <c r="AQ361" s="1288"/>
      <c r="AR361" s="175"/>
      <c r="AS361" s="175"/>
      <c r="AT361" s="175"/>
      <c r="AU361" s="820"/>
      <c r="AV361" s="175"/>
      <c r="AW361" s="1288"/>
      <c r="AX361" s="175"/>
      <c r="AY361" s="175"/>
      <c r="AZ361" s="175"/>
      <c r="BA361" s="175"/>
      <c r="BB361" s="175"/>
      <c r="BC361" s="175"/>
      <c r="BD361" s="1288"/>
      <c r="BE361" s="175"/>
      <c r="BF361" s="175"/>
      <c r="BG361" s="175"/>
      <c r="BH361" s="175"/>
      <c r="BI361" s="175"/>
      <c r="BJ361" s="175"/>
      <c r="BK361" s="1288"/>
      <c r="BL361" s="1288"/>
      <c r="BM361" s="1288"/>
      <c r="BN361" s="1288"/>
      <c r="BO361" s="1288"/>
      <c r="BP361" s="1288"/>
      <c r="BQ361" s="1288"/>
      <c r="BR361" s="1288"/>
      <c r="BS361" s="1288"/>
      <c r="BT361" s="1288"/>
      <c r="BU361" s="1288"/>
      <c r="BV361" s="1288"/>
      <c r="BW361" s="1288"/>
      <c r="BX361" s="128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30" t="s">
        <v>10</v>
      </c>
      <c r="F1" s="32" t="s">
        <v>56</v>
      </c>
      <c r="H1" s="33" t="s">
        <v>85</v>
      </c>
      <c r="P1" s="34"/>
      <c r="Q1" s="35" t="s">
        <v>96</v>
      </c>
      <c r="W1" s="34"/>
      <c r="X1" s="37" t="s">
        <v>104</v>
      </c>
      <c r="AI1" s="34"/>
      <c r="AJ1" s="40"/>
      <c r="AK1" s="40" t="s">
        <v>107</v>
      </c>
      <c r="AZ1" s="41"/>
      <c r="BA1" s="42" t="s">
        <v>108</v>
      </c>
      <c r="BF1" s="43"/>
      <c r="BG1" s="45" t="s">
        <v>109</v>
      </c>
      <c r="BN1" s="34"/>
      <c r="BO1" s="46" t="s">
        <v>110</v>
      </c>
      <c r="BX1" s="43"/>
      <c r="BY1" s="47" t="s">
        <v>111</v>
      </c>
      <c r="CK1" s="47"/>
    </row>
    <row r="2" ht="15.0" customHeight="1">
      <c r="A2" s="48" t="s">
        <v>34</v>
      </c>
      <c r="B2" s="49" t="s">
        <v>113</v>
      </c>
      <c r="C2" s="49" t="s">
        <v>114</v>
      </c>
      <c r="F2" s="49" t="s">
        <v>115</v>
      </c>
      <c r="H2" s="50" t="s">
        <v>116</v>
      </c>
      <c r="I2" s="50" t="s">
        <v>117</v>
      </c>
      <c r="J2" s="50" t="s">
        <v>118</v>
      </c>
      <c r="K2" s="50" t="s">
        <v>119</v>
      </c>
      <c r="N2" s="50" t="s">
        <v>120</v>
      </c>
      <c r="P2" s="51"/>
      <c r="Q2" s="52" t="s">
        <v>116</v>
      </c>
      <c r="R2" s="52" t="s">
        <v>121</v>
      </c>
      <c r="S2" s="52" t="s">
        <v>122</v>
      </c>
      <c r="T2" s="52" t="s">
        <v>123</v>
      </c>
      <c r="U2" s="52" t="s">
        <v>119</v>
      </c>
      <c r="V2" s="52" t="s">
        <v>124</v>
      </c>
      <c r="W2" s="51"/>
      <c r="X2" s="53" t="s">
        <v>116</v>
      </c>
      <c r="Y2" s="53" t="s">
        <v>117</v>
      </c>
      <c r="Z2" s="53" t="s">
        <v>125</v>
      </c>
      <c r="AA2" s="53" t="s">
        <v>126</v>
      </c>
      <c r="AC2" s="53" t="s">
        <v>122</v>
      </c>
      <c r="AD2" s="53" t="s">
        <v>123</v>
      </c>
      <c r="AE2" s="53" t="s">
        <v>119</v>
      </c>
      <c r="AF2" s="53" t="s">
        <v>127</v>
      </c>
      <c r="AG2" s="53" t="s">
        <v>120</v>
      </c>
      <c r="AI2" s="51"/>
      <c r="AJ2" s="54" t="s">
        <v>116</v>
      </c>
      <c r="AK2" s="54" t="s">
        <v>117</v>
      </c>
      <c r="AM2" s="54" t="s">
        <v>125</v>
      </c>
      <c r="AP2" s="54" t="s">
        <v>128</v>
      </c>
      <c r="AR2" s="54" t="s">
        <v>122</v>
      </c>
      <c r="AV2" s="54" t="s">
        <v>122</v>
      </c>
      <c r="AW2" s="54" t="s">
        <v>123</v>
      </c>
      <c r="AX2" s="54" t="s">
        <v>124</v>
      </c>
      <c r="AZ2" s="56"/>
      <c r="BA2" s="58" t="s">
        <v>116</v>
      </c>
      <c r="BB2" s="58" t="s">
        <v>122</v>
      </c>
      <c r="BC2" s="58" t="s">
        <v>123</v>
      </c>
      <c r="BD2" s="58" t="s">
        <v>119</v>
      </c>
      <c r="BE2" s="58" t="s">
        <v>120</v>
      </c>
      <c r="BF2" s="56"/>
      <c r="BG2" s="60" t="s">
        <v>116</v>
      </c>
      <c r="BH2" s="60" t="s">
        <v>117</v>
      </c>
      <c r="BI2" s="60" t="s">
        <v>126</v>
      </c>
      <c r="BK2" s="60" t="s">
        <v>122</v>
      </c>
      <c r="BL2" s="60" t="s">
        <v>120</v>
      </c>
      <c r="BN2" s="51"/>
      <c r="BO2" s="66" t="s">
        <v>125</v>
      </c>
      <c r="BP2" s="66" t="s">
        <v>126</v>
      </c>
      <c r="BQ2" s="66" t="s">
        <v>128</v>
      </c>
      <c r="BR2" s="66" t="s">
        <v>122</v>
      </c>
      <c r="BT2" s="66" t="s">
        <v>123</v>
      </c>
      <c r="BU2" s="66" t="s">
        <v>119</v>
      </c>
      <c r="BW2" s="66" t="s">
        <v>124</v>
      </c>
      <c r="BX2" s="56"/>
      <c r="BY2" s="72" t="s">
        <v>135</v>
      </c>
      <c r="BZ2" s="74" t="s">
        <v>137</v>
      </c>
      <c r="CA2" s="72" t="s">
        <v>139</v>
      </c>
      <c r="CD2" s="72" t="s">
        <v>141</v>
      </c>
      <c r="CE2" s="72" t="s">
        <v>144</v>
      </c>
      <c r="CF2" s="72" t="s">
        <v>147</v>
      </c>
      <c r="CG2" s="79" t="s">
        <v>149</v>
      </c>
      <c r="CH2" s="72" t="s">
        <v>151</v>
      </c>
      <c r="CI2" s="72" t="s">
        <v>152</v>
      </c>
      <c r="CJ2" s="74" t="s">
        <v>153</v>
      </c>
    </row>
    <row r="3" ht="23.25" customHeight="1">
      <c r="J3" s="81" t="s">
        <v>155</v>
      </c>
      <c r="K3" s="81" t="s">
        <v>156</v>
      </c>
      <c r="L3" s="85" t="s">
        <v>157</v>
      </c>
      <c r="M3" s="85" t="s">
        <v>160</v>
      </c>
      <c r="N3" s="85" t="s">
        <v>161</v>
      </c>
      <c r="O3" s="81" t="s">
        <v>162</v>
      </c>
      <c r="P3" s="51"/>
      <c r="W3" s="51"/>
      <c r="AA3" s="88" t="s">
        <v>164</v>
      </c>
      <c r="AB3" s="89" t="s">
        <v>165</v>
      </c>
      <c r="AF3" s="89" t="s">
        <v>167</v>
      </c>
      <c r="AG3" s="88" t="s">
        <v>122</v>
      </c>
      <c r="AH3" s="94" t="s">
        <v>125</v>
      </c>
      <c r="AI3" s="51"/>
      <c r="AK3" s="96" t="s">
        <v>170</v>
      </c>
      <c r="AL3" s="96" t="s">
        <v>172</v>
      </c>
      <c r="AM3" s="98" t="s">
        <v>161</v>
      </c>
      <c r="AN3" s="98" t="s">
        <v>173</v>
      </c>
      <c r="AO3" s="98" t="s">
        <v>174</v>
      </c>
      <c r="AP3" s="98" t="s">
        <v>161</v>
      </c>
      <c r="AQ3" s="103" t="s">
        <v>177</v>
      </c>
      <c r="AR3" s="98" t="s">
        <v>179</v>
      </c>
      <c r="AS3" s="98" t="s">
        <v>180</v>
      </c>
      <c r="AT3" s="98" t="s">
        <v>181</v>
      </c>
      <c r="AU3" s="98" t="s">
        <v>182</v>
      </c>
      <c r="AX3" s="98" t="s">
        <v>183</v>
      </c>
      <c r="AY3" s="98" t="s">
        <v>184</v>
      </c>
      <c r="AZ3" s="56"/>
      <c r="BF3" s="108"/>
      <c r="BI3" s="60" t="s">
        <v>187</v>
      </c>
      <c r="BJ3" s="60" t="s">
        <v>189</v>
      </c>
      <c r="BL3" s="110" t="s">
        <v>191</v>
      </c>
      <c r="BM3" s="110" t="s">
        <v>193</v>
      </c>
      <c r="BN3" s="51"/>
      <c r="BR3" s="111" t="s">
        <v>174</v>
      </c>
      <c r="BS3" s="111" t="s">
        <v>194</v>
      </c>
      <c r="BU3" s="111" t="s">
        <v>161</v>
      </c>
      <c r="BV3" s="111" t="s">
        <v>174</v>
      </c>
      <c r="BX3" s="56"/>
      <c r="CA3" s="114" t="s">
        <v>196</v>
      </c>
      <c r="CB3" s="114" t="s">
        <v>197</v>
      </c>
      <c r="CC3" s="114" t="s">
        <v>198</v>
      </c>
      <c r="CJ3" s="114" t="s">
        <v>199</v>
      </c>
      <c r="CK3" s="114" t="s">
        <v>200</v>
      </c>
    </row>
    <row r="4">
      <c r="A4" s="115" t="s">
        <v>37</v>
      </c>
      <c r="B4" s="95" t="s">
        <v>202</v>
      </c>
      <c r="C4" s="97" t="s">
        <v>203</v>
      </c>
      <c r="D4" s="99" t="s">
        <v>204</v>
      </c>
      <c r="E4" s="101" t="s">
        <v>205</v>
      </c>
      <c r="F4" s="102" t="s">
        <v>207</v>
      </c>
      <c r="G4" s="95" t="s">
        <v>209</v>
      </c>
      <c r="H4" s="119" t="s">
        <v>212</v>
      </c>
      <c r="I4" s="120" t="s">
        <v>215</v>
      </c>
      <c r="J4" s="123" t="s">
        <v>217</v>
      </c>
      <c r="K4" s="124" t="s">
        <v>220</v>
      </c>
      <c r="L4" s="120" t="s">
        <v>222</v>
      </c>
      <c r="M4" s="125"/>
      <c r="N4" s="128" t="s">
        <v>223</v>
      </c>
      <c r="O4" s="128" t="s">
        <v>225</v>
      </c>
      <c r="P4" s="132"/>
      <c r="Q4" s="128" t="s">
        <v>226</v>
      </c>
      <c r="R4" s="139" t="s">
        <v>232</v>
      </c>
      <c r="S4" s="142" t="s">
        <v>234</v>
      </c>
      <c r="T4" s="120" t="s">
        <v>236</v>
      </c>
      <c r="U4" s="120" t="s">
        <v>237</v>
      </c>
      <c r="V4" s="128" t="s">
        <v>239</v>
      </c>
      <c r="W4" s="145"/>
      <c r="X4" s="120" t="s">
        <v>243</v>
      </c>
      <c r="Y4" s="123" t="s">
        <v>244</v>
      </c>
      <c r="Z4" s="139" t="s">
        <v>250</v>
      </c>
      <c r="AA4" s="151" t="s">
        <v>255</v>
      </c>
      <c r="AB4" s="124" t="s">
        <v>259</v>
      </c>
      <c r="AC4" s="139" t="s">
        <v>260</v>
      </c>
      <c r="AD4" s="120" t="s">
        <v>263</v>
      </c>
      <c r="AE4" s="124" t="s">
        <v>264</v>
      </c>
      <c r="AF4" s="124"/>
      <c r="AG4" s="128" t="s">
        <v>266</v>
      </c>
      <c r="AH4" s="155" t="s">
        <v>267</v>
      </c>
      <c r="AI4" s="145"/>
      <c r="AJ4" s="124"/>
      <c r="AK4" s="124" t="s">
        <v>275</v>
      </c>
      <c r="AL4" s="124" t="s">
        <v>276</v>
      </c>
      <c r="AM4" s="139" t="s">
        <v>277</v>
      </c>
      <c r="AN4" s="119" t="s">
        <v>280</v>
      </c>
      <c r="AO4" s="125"/>
      <c r="AP4" s="119" t="s">
        <v>285</v>
      </c>
      <c r="AQ4" s="120" t="s">
        <v>288</v>
      </c>
      <c r="AR4" s="124" t="s">
        <v>290</v>
      </c>
      <c r="AS4" s="139" t="s">
        <v>291</v>
      </c>
      <c r="AT4" s="125"/>
      <c r="AU4" s="124" t="s">
        <v>293</v>
      </c>
      <c r="AV4" s="125"/>
      <c r="AW4" s="128" t="s">
        <v>294</v>
      </c>
      <c r="AX4" s="119" t="s">
        <v>297</v>
      </c>
      <c r="AY4" s="119" t="s">
        <v>299</v>
      </c>
      <c r="AZ4" s="125"/>
      <c r="BA4" s="128" t="s">
        <v>302</v>
      </c>
      <c r="BB4" s="119" t="s">
        <v>305</v>
      </c>
      <c r="BC4" s="164" t="s">
        <v>311</v>
      </c>
      <c r="BD4" s="142"/>
      <c r="BE4" s="119" t="s">
        <v>312</v>
      </c>
      <c r="BF4" s="125"/>
      <c r="BG4" s="119" t="s">
        <v>316</v>
      </c>
      <c r="BH4" s="119" t="s">
        <v>325</v>
      </c>
      <c r="BI4" s="124" t="s">
        <v>329</v>
      </c>
      <c r="BJ4" s="125"/>
      <c r="BK4" s="119" t="s">
        <v>331</v>
      </c>
      <c r="BL4" s="128" t="s">
        <v>336</v>
      </c>
      <c r="BM4" s="139" t="s">
        <v>340</v>
      </c>
      <c r="BN4" s="132"/>
      <c r="BO4" s="124" t="s">
        <v>345</v>
      </c>
      <c r="BP4" s="145"/>
      <c r="BQ4" s="124" t="s">
        <v>347</v>
      </c>
      <c r="BR4" s="120" t="s">
        <v>348</v>
      </c>
      <c r="BS4" s="123" t="s">
        <v>349</v>
      </c>
      <c r="BT4" s="124" t="s">
        <v>355</v>
      </c>
      <c r="BU4" s="120" t="s">
        <v>302</v>
      </c>
      <c r="BV4" s="119" t="s">
        <v>356</v>
      </c>
      <c r="BW4" s="119" t="s">
        <v>360</v>
      </c>
      <c r="BX4" s="132"/>
      <c r="BY4" s="123" t="s">
        <v>362</v>
      </c>
      <c r="BZ4" s="124" t="s">
        <v>365</v>
      </c>
      <c r="CA4" s="125"/>
      <c r="CB4" s="120" t="s">
        <v>368</v>
      </c>
      <c r="CC4" s="124"/>
      <c r="CD4" s="124" t="s">
        <v>371</v>
      </c>
      <c r="CE4" s="128" t="s">
        <v>372</v>
      </c>
      <c r="CF4" s="139" t="s">
        <v>376</v>
      </c>
      <c r="CG4" s="128" t="s">
        <v>381</v>
      </c>
      <c r="CH4" s="128" t="s">
        <v>385</v>
      </c>
      <c r="CI4" s="139" t="s">
        <v>388</v>
      </c>
      <c r="CJ4" s="128" t="s">
        <v>391</v>
      </c>
      <c r="CK4" s="145"/>
    </row>
    <row r="5">
      <c r="A5" s="194" t="s">
        <v>395</v>
      </c>
      <c r="B5" s="195" t="s">
        <v>397</v>
      </c>
      <c r="C5" s="196" t="s">
        <v>398</v>
      </c>
      <c r="D5" s="197" t="s">
        <v>399</v>
      </c>
      <c r="E5" s="199" t="s">
        <v>171</v>
      </c>
      <c r="F5" s="201" t="s">
        <v>401</v>
      </c>
      <c r="G5" s="202" t="s">
        <v>403</v>
      </c>
      <c r="H5" s="203" t="s">
        <v>405</v>
      </c>
      <c r="I5" s="204"/>
      <c r="J5" s="203" t="s">
        <v>407</v>
      </c>
      <c r="K5" s="208" t="s">
        <v>415</v>
      </c>
      <c r="L5" s="208" t="s">
        <v>427</v>
      </c>
      <c r="M5" s="212" t="s">
        <v>439</v>
      </c>
      <c r="N5" s="204"/>
      <c r="O5" s="216" t="s">
        <v>445</v>
      </c>
      <c r="P5" s="217"/>
      <c r="Q5" s="220" t="s">
        <v>313</v>
      </c>
      <c r="R5" s="222" t="s">
        <v>467</v>
      </c>
      <c r="S5" s="223" t="s">
        <v>483</v>
      </c>
      <c r="T5" s="223" t="s">
        <v>485</v>
      </c>
      <c r="U5" s="223"/>
      <c r="V5" s="220" t="s">
        <v>487</v>
      </c>
      <c r="W5" s="227"/>
      <c r="X5" s="230" t="s">
        <v>502</v>
      </c>
      <c r="Y5" s="233" t="s">
        <v>515</v>
      </c>
      <c r="Z5" s="238" t="s">
        <v>526</v>
      </c>
      <c r="AA5" s="238" t="s">
        <v>537</v>
      </c>
      <c r="AB5" s="238" t="s">
        <v>548</v>
      </c>
      <c r="AC5" s="238" t="s">
        <v>559</v>
      </c>
      <c r="AD5" s="230" t="s">
        <v>566</v>
      </c>
      <c r="AE5" s="230" t="s">
        <v>574</v>
      </c>
      <c r="AF5" s="250"/>
      <c r="AG5" s="238" t="s">
        <v>575</v>
      </c>
      <c r="AH5" s="253"/>
      <c r="AI5" s="255"/>
      <c r="AJ5" s="256"/>
      <c r="AK5" s="258"/>
      <c r="AL5" s="258"/>
      <c r="AM5" s="259" t="s">
        <v>583</v>
      </c>
      <c r="AN5" s="256"/>
      <c r="AO5" s="258"/>
      <c r="AP5" s="260" t="s">
        <v>586</v>
      </c>
      <c r="AQ5" s="256" t="s">
        <v>592</v>
      </c>
      <c r="AR5" s="258"/>
      <c r="AS5" s="258"/>
      <c r="AT5" s="258"/>
      <c r="AU5" s="258"/>
      <c r="AV5" s="258"/>
      <c r="AW5" s="262" t="s">
        <v>593</v>
      </c>
      <c r="AX5" s="260" t="s">
        <v>596</v>
      </c>
      <c r="AY5" s="260" t="s">
        <v>603</v>
      </c>
      <c r="AZ5" s="264"/>
      <c r="BA5" s="266" t="s">
        <v>606</v>
      </c>
      <c r="BB5" s="267" t="s">
        <v>611</v>
      </c>
      <c r="BC5" s="268" t="s">
        <v>613</v>
      </c>
      <c r="BD5" s="266" t="s">
        <v>614</v>
      </c>
      <c r="BE5" s="266" t="s">
        <v>618</v>
      </c>
      <c r="BF5" s="264"/>
      <c r="BG5" s="271" t="s">
        <v>622</v>
      </c>
      <c r="BH5" s="273" t="s">
        <v>626</v>
      </c>
      <c r="BI5" s="274" t="s">
        <v>630</v>
      </c>
      <c r="BJ5" s="275" t="s">
        <v>636</v>
      </c>
      <c r="BK5" s="276" t="s">
        <v>638</v>
      </c>
      <c r="BL5" s="277"/>
      <c r="BM5" s="279" t="s">
        <v>641</v>
      </c>
      <c r="BN5" s="280"/>
      <c r="BO5" s="281" t="s">
        <v>647</v>
      </c>
      <c r="BP5" s="282"/>
      <c r="BQ5" s="283" t="s">
        <v>650</v>
      </c>
      <c r="BR5" s="281" t="s">
        <v>657</v>
      </c>
      <c r="BS5" s="284"/>
      <c r="BT5" s="283" t="s">
        <v>663</v>
      </c>
      <c r="BU5" s="281" t="s">
        <v>666</v>
      </c>
      <c r="BV5" s="287"/>
      <c r="BW5" s="281" t="s">
        <v>670</v>
      </c>
      <c r="BX5" s="217"/>
      <c r="BY5" s="291" t="s">
        <v>674</v>
      </c>
      <c r="BZ5" s="292" t="s">
        <v>677</v>
      </c>
      <c r="CA5" s="220" t="s">
        <v>678</v>
      </c>
      <c r="CB5" s="293"/>
      <c r="CC5" s="294"/>
      <c r="CD5" s="220" t="s">
        <v>682</v>
      </c>
      <c r="CE5" s="298" t="s">
        <v>688</v>
      </c>
      <c r="CF5" s="291" t="s">
        <v>692</v>
      </c>
      <c r="CG5" s="222" t="s">
        <v>695</v>
      </c>
      <c r="CH5" s="300" t="s">
        <v>699</v>
      </c>
      <c r="CI5" s="291" t="s">
        <v>701</v>
      </c>
      <c r="CJ5" s="220" t="s">
        <v>704</v>
      </c>
      <c r="CK5" s="220" t="s">
        <v>707</v>
      </c>
    </row>
    <row r="6">
      <c r="A6" s="301" t="s">
        <v>39</v>
      </c>
      <c r="B6" s="202" t="s">
        <v>712</v>
      </c>
      <c r="C6" s="196" t="s">
        <v>713</v>
      </c>
      <c r="D6" s="197" t="s">
        <v>178</v>
      </c>
      <c r="E6" s="199" t="s">
        <v>399</v>
      </c>
      <c r="F6" s="201" t="s">
        <v>715</v>
      </c>
      <c r="G6" s="202" t="s">
        <v>716</v>
      </c>
      <c r="H6" s="302" t="s">
        <v>717</v>
      </c>
      <c r="I6" s="303"/>
      <c r="J6" s="304" t="s">
        <v>720</v>
      </c>
      <c r="K6" s="305" t="s">
        <v>722</v>
      </c>
      <c r="L6" s="303"/>
      <c r="M6" s="303"/>
      <c r="N6" s="303"/>
      <c r="O6" s="305" t="s">
        <v>725</v>
      </c>
      <c r="P6" s="217"/>
      <c r="Q6" s="307" t="s">
        <v>729</v>
      </c>
      <c r="R6" s="308" t="s">
        <v>732</v>
      </c>
      <c r="S6" s="308" t="s">
        <v>734</v>
      </c>
      <c r="T6" s="308" t="s">
        <v>736</v>
      </c>
      <c r="U6" s="308" t="s">
        <v>741</v>
      </c>
      <c r="V6" s="311" t="s">
        <v>742</v>
      </c>
      <c r="W6" s="227"/>
      <c r="X6" s="312" t="s">
        <v>749</v>
      </c>
      <c r="Y6" s="313"/>
      <c r="Z6" s="314" t="s">
        <v>751</v>
      </c>
      <c r="AA6" s="233" t="s">
        <v>754</v>
      </c>
      <c r="AB6" s="312" t="s">
        <v>756</v>
      </c>
      <c r="AC6" s="315" t="s">
        <v>757</v>
      </c>
      <c r="AD6" s="238" t="s">
        <v>758</v>
      </c>
      <c r="AE6" s="238" t="s">
        <v>761</v>
      </c>
      <c r="AF6" s="312"/>
      <c r="AG6" s="233" t="s">
        <v>763</v>
      </c>
      <c r="AH6" s="253"/>
      <c r="AI6" s="227"/>
      <c r="AJ6" s="318"/>
      <c r="AK6" s="318"/>
      <c r="AL6" s="318"/>
      <c r="AM6" s="319" t="s">
        <v>768</v>
      </c>
      <c r="AN6" s="319" t="s">
        <v>773</v>
      </c>
      <c r="AO6" s="318"/>
      <c r="AP6" s="318"/>
      <c r="AQ6" s="318"/>
      <c r="AR6" s="319" t="s">
        <v>775</v>
      </c>
      <c r="AS6" s="318"/>
      <c r="AT6" s="321" t="s">
        <v>778</v>
      </c>
      <c r="AU6" s="318"/>
      <c r="AV6" s="318"/>
      <c r="AW6" s="319" t="s">
        <v>780</v>
      </c>
      <c r="AX6" s="321" t="s">
        <v>782</v>
      </c>
      <c r="AY6" s="321" t="s">
        <v>785</v>
      </c>
      <c r="AZ6" s="264"/>
      <c r="BA6" s="322"/>
      <c r="BB6" s="323" t="s">
        <v>790</v>
      </c>
      <c r="BC6" s="325" t="s">
        <v>718</v>
      </c>
      <c r="BD6" s="326" t="s">
        <v>797</v>
      </c>
      <c r="BE6" s="327" t="s">
        <v>798</v>
      </c>
      <c r="BF6" s="264"/>
      <c r="BG6" s="328"/>
      <c r="BH6" s="329" t="s">
        <v>801</v>
      </c>
      <c r="BI6" s="329" t="s">
        <v>804</v>
      </c>
      <c r="BJ6" s="329" t="s">
        <v>807</v>
      </c>
      <c r="BK6" s="329" t="s">
        <v>809</v>
      </c>
      <c r="BL6" s="328"/>
      <c r="BM6" s="331" t="s">
        <v>814</v>
      </c>
      <c r="BN6" s="217"/>
      <c r="BO6" s="332" t="s">
        <v>820</v>
      </c>
      <c r="BP6" s="333"/>
      <c r="BQ6" s="334" t="s">
        <v>824</v>
      </c>
      <c r="BR6" s="335" t="s">
        <v>827</v>
      </c>
      <c r="BS6" s="336"/>
      <c r="BT6" s="334" t="s">
        <v>828</v>
      </c>
      <c r="BU6" s="332" t="s">
        <v>831</v>
      </c>
      <c r="BV6" s="337" t="s">
        <v>832</v>
      </c>
      <c r="BW6" s="338" t="s">
        <v>833</v>
      </c>
      <c r="BX6" s="217"/>
      <c r="BY6" s="339" t="s">
        <v>835</v>
      </c>
      <c r="BZ6" s="340" t="s">
        <v>836</v>
      </c>
      <c r="CA6" s="341"/>
      <c r="CB6" s="342"/>
      <c r="CC6" s="341"/>
      <c r="CD6" s="341"/>
      <c r="CE6" s="339" t="s">
        <v>841</v>
      </c>
      <c r="CF6" s="340" t="s">
        <v>843</v>
      </c>
      <c r="CG6" s="340" t="s">
        <v>845</v>
      </c>
      <c r="CH6" s="340" t="s">
        <v>848</v>
      </c>
      <c r="CI6" s="340" t="s">
        <v>850</v>
      </c>
      <c r="CJ6" s="342"/>
      <c r="CK6" s="342"/>
    </row>
    <row r="7">
      <c r="A7" s="343" t="s">
        <v>61</v>
      </c>
      <c r="B7" s="202" t="s">
        <v>854</v>
      </c>
      <c r="C7" s="196" t="s">
        <v>233</v>
      </c>
      <c r="D7" s="197" t="s">
        <v>233</v>
      </c>
      <c r="E7" s="199" t="s">
        <v>274</v>
      </c>
      <c r="F7" s="201" t="s">
        <v>169</v>
      </c>
      <c r="G7" s="202" t="s">
        <v>855</v>
      </c>
      <c r="H7" s="303"/>
      <c r="I7" s="344" t="s">
        <v>298</v>
      </c>
      <c r="J7" s="344"/>
      <c r="K7" s="304" t="s">
        <v>856</v>
      </c>
      <c r="L7" s="344" t="s">
        <v>859</v>
      </c>
      <c r="M7" s="303"/>
      <c r="N7" s="303"/>
      <c r="O7" s="345" t="s">
        <v>860</v>
      </c>
      <c r="P7" s="346"/>
      <c r="Q7" s="347" t="s">
        <v>862</v>
      </c>
      <c r="R7" s="348"/>
      <c r="S7" s="348"/>
      <c r="T7" s="307" t="s">
        <v>863</v>
      </c>
      <c r="U7" s="349"/>
      <c r="V7" s="311" t="s">
        <v>866</v>
      </c>
      <c r="W7" s="346"/>
      <c r="X7" s="312" t="s">
        <v>463</v>
      </c>
      <c r="Y7" s="312" t="s">
        <v>869</v>
      </c>
      <c r="Z7" s="315" t="s">
        <v>872</v>
      </c>
      <c r="AA7" s="230" t="s">
        <v>873</v>
      </c>
      <c r="AB7" s="233" t="s">
        <v>876</v>
      </c>
      <c r="AC7" s="230" t="s">
        <v>879</v>
      </c>
      <c r="AD7" s="314" t="s">
        <v>882</v>
      </c>
      <c r="AE7" s="230" t="s">
        <v>885</v>
      </c>
      <c r="AF7" s="250"/>
      <c r="AG7" s="230" t="s">
        <v>888</v>
      </c>
      <c r="AH7" s="253"/>
      <c r="AI7" s="346"/>
      <c r="AJ7" s="352"/>
      <c r="AK7" s="352" t="s">
        <v>892</v>
      </c>
      <c r="AL7" s="318"/>
      <c r="AM7" s="352" t="s">
        <v>894</v>
      </c>
      <c r="AN7" s="352"/>
      <c r="AO7" s="319" t="s">
        <v>895</v>
      </c>
      <c r="AP7" s="318"/>
      <c r="AQ7" s="353" t="s">
        <v>900</v>
      </c>
      <c r="AR7" s="352" t="s">
        <v>902</v>
      </c>
      <c r="AS7" s="352" t="s">
        <v>903</v>
      </c>
      <c r="AT7" s="318"/>
      <c r="AU7" s="318"/>
      <c r="AV7" s="318"/>
      <c r="AW7" s="354" t="s">
        <v>905</v>
      </c>
      <c r="AX7" s="355" t="s">
        <v>906</v>
      </c>
      <c r="AY7" s="352" t="s">
        <v>909</v>
      </c>
      <c r="AZ7" s="346"/>
      <c r="BA7" s="326"/>
      <c r="BB7" s="327" t="s">
        <v>910</v>
      </c>
      <c r="BC7" s="356" t="s">
        <v>912</v>
      </c>
      <c r="BD7" s="326"/>
      <c r="BE7" s="356" t="s">
        <v>913</v>
      </c>
      <c r="BF7" s="346"/>
      <c r="BG7" s="331" t="s">
        <v>918</v>
      </c>
      <c r="BH7" s="358" t="s">
        <v>920</v>
      </c>
      <c r="BI7" s="358"/>
      <c r="BJ7" s="358"/>
      <c r="BK7" s="360" t="s">
        <v>923</v>
      </c>
      <c r="BL7" s="328"/>
      <c r="BM7" s="358" t="s">
        <v>924</v>
      </c>
      <c r="BN7" s="346"/>
      <c r="BO7" s="362" t="s">
        <v>926</v>
      </c>
      <c r="BP7" s="336"/>
      <c r="BQ7" s="336"/>
      <c r="BR7" s="335" t="s">
        <v>927</v>
      </c>
      <c r="BS7" s="336"/>
      <c r="BT7" s="364" t="s">
        <v>928</v>
      </c>
      <c r="BU7" s="336"/>
      <c r="BV7" s="334" t="s">
        <v>932</v>
      </c>
      <c r="BW7" s="364" t="s">
        <v>934</v>
      </c>
      <c r="BX7" s="346"/>
      <c r="BY7" s="339" t="s">
        <v>936</v>
      </c>
      <c r="BZ7" s="366" t="s">
        <v>937</v>
      </c>
      <c r="CA7" s="341"/>
      <c r="CB7" s="341"/>
      <c r="CC7" s="341"/>
      <c r="CD7" s="366" t="s">
        <v>938</v>
      </c>
      <c r="CE7" s="367" t="s">
        <v>939</v>
      </c>
      <c r="CF7" s="366" t="s">
        <v>940</v>
      </c>
      <c r="CG7" s="341"/>
      <c r="CH7" s="341"/>
      <c r="CI7" s="341"/>
      <c r="CJ7" s="341"/>
      <c r="CK7" s="341"/>
    </row>
    <row r="8">
      <c r="A8" s="240" t="s">
        <v>599</v>
      </c>
      <c r="B8" s="202" t="s">
        <v>942</v>
      </c>
      <c r="C8" s="196" t="s">
        <v>233</v>
      </c>
      <c r="D8" s="197" t="s">
        <v>203</v>
      </c>
      <c r="E8" s="199" t="s">
        <v>274</v>
      </c>
      <c r="F8" s="201" t="s">
        <v>944</v>
      </c>
      <c r="G8" s="202" t="s">
        <v>401</v>
      </c>
      <c r="H8" s="304" t="s">
        <v>945</v>
      </c>
      <c r="I8" s="302" t="s">
        <v>947</v>
      </c>
      <c r="J8" s="345" t="s">
        <v>951</v>
      </c>
      <c r="K8" s="368" t="s">
        <v>952</v>
      </c>
      <c r="L8" s="304" t="s">
        <v>953</v>
      </c>
      <c r="M8" s="303"/>
      <c r="N8" s="303"/>
      <c r="O8" s="304" t="s">
        <v>956</v>
      </c>
      <c r="P8" s="217"/>
      <c r="Q8" s="311" t="s">
        <v>957</v>
      </c>
      <c r="R8" s="311" t="s">
        <v>961</v>
      </c>
      <c r="S8" s="348"/>
      <c r="T8" s="369" t="s">
        <v>608</v>
      </c>
      <c r="U8" s="370"/>
      <c r="V8" s="307" t="s">
        <v>970</v>
      </c>
      <c r="W8" s="217"/>
      <c r="X8" s="230" t="s">
        <v>472</v>
      </c>
      <c r="Y8" s="230" t="s">
        <v>972</v>
      </c>
      <c r="Z8" s="230" t="s">
        <v>976</v>
      </c>
      <c r="AA8" s="371" t="s">
        <v>978</v>
      </c>
      <c r="AB8" s="312" t="s">
        <v>440</v>
      </c>
      <c r="AC8" s="371" t="s">
        <v>979</v>
      </c>
      <c r="AD8" s="314" t="s">
        <v>882</v>
      </c>
      <c r="AE8" s="233" t="s">
        <v>984</v>
      </c>
      <c r="AF8" s="372"/>
      <c r="AG8" s="315" t="s">
        <v>986</v>
      </c>
      <c r="AH8" s="253"/>
      <c r="AI8" s="280"/>
      <c r="AJ8" s="352"/>
      <c r="AK8" s="352" t="s">
        <v>989</v>
      </c>
      <c r="AL8" s="318"/>
      <c r="AM8" s="374" t="s">
        <v>990</v>
      </c>
      <c r="AN8" s="375" t="s">
        <v>991</v>
      </c>
      <c r="AO8" s="352" t="s">
        <v>995</v>
      </c>
      <c r="AP8" s="374" t="s">
        <v>996</v>
      </c>
      <c r="AQ8" s="321" t="s">
        <v>997</v>
      </c>
      <c r="AR8" s="352" t="s">
        <v>1001</v>
      </c>
      <c r="AS8" s="318"/>
      <c r="AT8" s="319" t="s">
        <v>1002</v>
      </c>
      <c r="AU8" s="318"/>
      <c r="AV8" s="318"/>
      <c r="AW8" s="355" t="s">
        <v>1004</v>
      </c>
      <c r="AX8" s="355" t="s">
        <v>1008</v>
      </c>
      <c r="AY8" s="318"/>
      <c r="AZ8" s="346"/>
      <c r="BA8" s="383"/>
      <c r="BB8" s="356" t="s">
        <v>1013</v>
      </c>
      <c r="BC8" s="327" t="s">
        <v>1015</v>
      </c>
      <c r="BD8" s="383"/>
      <c r="BE8" s="386" t="s">
        <v>1017</v>
      </c>
      <c r="BF8" s="346"/>
      <c r="BG8" s="331" t="s">
        <v>316</v>
      </c>
      <c r="BH8" s="331" t="s">
        <v>1019</v>
      </c>
      <c r="BI8" s="388" t="s">
        <v>1022</v>
      </c>
      <c r="BJ8" s="389"/>
      <c r="BK8" s="331" t="s">
        <v>1024</v>
      </c>
      <c r="BL8" s="328"/>
      <c r="BM8" s="358" t="s">
        <v>1026</v>
      </c>
      <c r="BN8" s="217"/>
      <c r="BO8" s="364" t="s">
        <v>1027</v>
      </c>
      <c r="BP8" s="335"/>
      <c r="BQ8" s="332" t="s">
        <v>1032</v>
      </c>
      <c r="BR8" s="335" t="s">
        <v>1036</v>
      </c>
      <c r="BS8" s="336"/>
      <c r="BT8" s="332" t="s">
        <v>1039</v>
      </c>
      <c r="BU8" s="336"/>
      <c r="BV8" s="335" t="s">
        <v>1043</v>
      </c>
      <c r="BW8" s="335" t="s">
        <v>1044</v>
      </c>
      <c r="BX8" s="217"/>
      <c r="BY8" s="391" t="s">
        <v>886</v>
      </c>
      <c r="BZ8" s="366" t="s">
        <v>1049</v>
      </c>
      <c r="CA8" s="341"/>
      <c r="CB8" s="342"/>
      <c r="CC8" s="341"/>
      <c r="CD8" s="341"/>
      <c r="CE8" s="341"/>
      <c r="CF8" s="341"/>
      <c r="CG8" s="341"/>
      <c r="CH8" s="341"/>
      <c r="CI8" s="341"/>
      <c r="CJ8" s="342"/>
      <c r="CK8" s="342"/>
    </row>
    <row r="9">
      <c r="A9" s="392" t="s">
        <v>1052</v>
      </c>
      <c r="B9" s="393" t="s">
        <v>1053</v>
      </c>
      <c r="C9" s="196" t="s">
        <v>176</v>
      </c>
      <c r="D9" s="197" t="s">
        <v>203</v>
      </c>
      <c r="E9" s="199" t="s">
        <v>270</v>
      </c>
      <c r="F9" s="201" t="s">
        <v>1055</v>
      </c>
      <c r="G9" s="202" t="s">
        <v>1056</v>
      </c>
      <c r="H9" s="305" t="s">
        <v>1057</v>
      </c>
      <c r="I9" s="304" t="s">
        <v>1059</v>
      </c>
      <c r="J9" s="304" t="s">
        <v>1062</v>
      </c>
      <c r="K9" s="304" t="s">
        <v>1064</v>
      </c>
      <c r="L9" s="396" t="s">
        <v>407</v>
      </c>
      <c r="M9" s="302" t="s">
        <v>1067</v>
      </c>
      <c r="N9" s="304" t="s">
        <v>1070</v>
      </c>
      <c r="O9" s="304" t="s">
        <v>1073</v>
      </c>
      <c r="P9" s="217"/>
      <c r="Q9" s="311" t="s">
        <v>1076</v>
      </c>
      <c r="R9" s="311" t="s">
        <v>1078</v>
      </c>
      <c r="S9" s="307" t="s">
        <v>1080</v>
      </c>
      <c r="T9" s="311" t="s">
        <v>1082</v>
      </c>
      <c r="U9" s="369" t="s">
        <v>1084</v>
      </c>
      <c r="V9" s="307" t="s">
        <v>1086</v>
      </c>
      <c r="W9" s="217"/>
      <c r="X9" s="233" t="s">
        <v>1089</v>
      </c>
      <c r="Y9" s="314" t="s">
        <v>1090</v>
      </c>
      <c r="Z9" s="230" t="s">
        <v>1093</v>
      </c>
      <c r="AA9" s="230" t="s">
        <v>1096</v>
      </c>
      <c r="AB9" s="404" t="s">
        <v>1099</v>
      </c>
      <c r="AC9" s="230" t="s">
        <v>1103</v>
      </c>
      <c r="AD9" s="230" t="s">
        <v>452</v>
      </c>
      <c r="AE9" s="230" t="s">
        <v>1108</v>
      </c>
      <c r="AF9" s="250"/>
      <c r="AG9" s="315" t="s">
        <v>1112</v>
      </c>
      <c r="AH9" s="409" t="s">
        <v>1113</v>
      </c>
      <c r="AI9" s="217"/>
      <c r="AJ9" s="410"/>
      <c r="AK9" s="375" t="s">
        <v>307</v>
      </c>
      <c r="AL9" s="321" t="s">
        <v>1116</v>
      </c>
      <c r="AM9" s="355" t="s">
        <v>1119</v>
      </c>
      <c r="AN9" s="352" t="s">
        <v>1122</v>
      </c>
      <c r="AO9" s="352" t="s">
        <v>1123</v>
      </c>
      <c r="AP9" s="355" t="s">
        <v>1124</v>
      </c>
      <c r="AQ9" s="352" t="s">
        <v>1127</v>
      </c>
      <c r="AR9" s="355" t="s">
        <v>1128</v>
      </c>
      <c r="AS9" s="355" t="s">
        <v>1131</v>
      </c>
      <c r="AT9" s="375" t="s">
        <v>1134</v>
      </c>
      <c r="AU9" s="319" t="s">
        <v>1137</v>
      </c>
      <c r="AV9" s="321" t="s">
        <v>1139</v>
      </c>
      <c r="AW9" s="355" t="s">
        <v>1140</v>
      </c>
      <c r="AX9" s="375" t="s">
        <v>1142</v>
      </c>
      <c r="AY9" s="375" t="s">
        <v>1145</v>
      </c>
      <c r="AZ9" s="346"/>
      <c r="BA9" s="327" t="s">
        <v>1149</v>
      </c>
      <c r="BB9" s="325" t="s">
        <v>1152</v>
      </c>
      <c r="BC9" s="415" t="s">
        <v>1153</v>
      </c>
      <c r="BD9" s="416"/>
      <c r="BE9" s="356" t="s">
        <v>1156</v>
      </c>
      <c r="BF9" s="346"/>
      <c r="BG9" s="418" t="s">
        <v>1158</v>
      </c>
      <c r="BH9" s="419" t="s">
        <v>1161</v>
      </c>
      <c r="BI9" s="331" t="s">
        <v>1162</v>
      </c>
      <c r="BJ9" s="358" t="s">
        <v>1164</v>
      </c>
      <c r="BK9" s="331" t="s">
        <v>1166</v>
      </c>
      <c r="BL9" s="331" t="s">
        <v>1170</v>
      </c>
      <c r="BM9" s="331" t="s">
        <v>1172</v>
      </c>
      <c r="BN9" s="217"/>
      <c r="BO9" s="364" t="s">
        <v>996</v>
      </c>
      <c r="BP9" s="334" t="s">
        <v>1178</v>
      </c>
      <c r="BQ9" s="364" t="s">
        <v>1181</v>
      </c>
      <c r="BR9" s="364" t="s">
        <v>1185</v>
      </c>
      <c r="BS9" s="364" t="s">
        <v>1186</v>
      </c>
      <c r="BT9" s="364" t="s">
        <v>1187</v>
      </c>
      <c r="BU9" s="338" t="s">
        <v>1185</v>
      </c>
      <c r="BV9" s="338" t="s">
        <v>1195</v>
      </c>
      <c r="BW9" s="364" t="s">
        <v>1197</v>
      </c>
      <c r="BX9" s="217"/>
      <c r="BY9" s="391" t="s">
        <v>1200</v>
      </c>
      <c r="BZ9" s="423" t="s">
        <v>1202</v>
      </c>
      <c r="CA9" s="423" t="s">
        <v>1206</v>
      </c>
      <c r="CB9" s="425" t="s">
        <v>1210</v>
      </c>
      <c r="CC9" s="426"/>
      <c r="CD9" s="427"/>
      <c r="CE9" s="391" t="s">
        <v>1211</v>
      </c>
      <c r="CF9" s="429" t="s">
        <v>1215</v>
      </c>
      <c r="CG9" s="391" t="s">
        <v>1216</v>
      </c>
      <c r="CH9" s="391" t="s">
        <v>1221</v>
      </c>
      <c r="CI9" s="391" t="s">
        <v>1225</v>
      </c>
      <c r="CJ9" s="423" t="s">
        <v>1228</v>
      </c>
      <c r="CK9" s="425"/>
    </row>
    <row r="10">
      <c r="A10" s="240" t="s">
        <v>687</v>
      </c>
      <c r="B10" s="202" t="s">
        <v>1232</v>
      </c>
      <c r="C10" s="196" t="s">
        <v>271</v>
      </c>
      <c r="D10" s="197" t="s">
        <v>176</v>
      </c>
      <c r="E10" s="199" t="s">
        <v>274</v>
      </c>
      <c r="F10" s="201" t="s">
        <v>713</v>
      </c>
      <c r="G10" s="202" t="s">
        <v>1234</v>
      </c>
      <c r="H10" s="303"/>
      <c r="I10" s="304" t="s">
        <v>1235</v>
      </c>
      <c r="J10" s="368"/>
      <c r="K10" s="435" t="s">
        <v>1238</v>
      </c>
      <c r="L10" s="305" t="s">
        <v>1240</v>
      </c>
      <c r="M10" s="303"/>
      <c r="N10" s="303"/>
      <c r="O10" s="437" t="s">
        <v>1243</v>
      </c>
      <c r="P10" s="217"/>
      <c r="Q10" s="311" t="s">
        <v>1245</v>
      </c>
      <c r="R10" s="348"/>
      <c r="S10" s="348"/>
      <c r="T10" s="440" t="s">
        <v>1250</v>
      </c>
      <c r="U10" s="347"/>
      <c r="V10" s="442" t="s">
        <v>1251</v>
      </c>
      <c r="W10" s="217"/>
      <c r="X10" s="230" t="s">
        <v>891</v>
      </c>
      <c r="Y10" s="447" t="s">
        <v>1256</v>
      </c>
      <c r="Z10" s="371" t="s">
        <v>1258</v>
      </c>
      <c r="AA10" s="371" t="s">
        <v>1259</v>
      </c>
      <c r="AB10" s="230" t="s">
        <v>1262</v>
      </c>
      <c r="AC10" s="371" t="s">
        <v>1267</v>
      </c>
      <c r="AD10" s="452" t="s">
        <v>1268</v>
      </c>
      <c r="AE10" s="230" t="s">
        <v>1269</v>
      </c>
      <c r="AF10" s="372"/>
      <c r="AG10" s="230" t="s">
        <v>1275</v>
      </c>
      <c r="AH10" s="456" t="s">
        <v>1285</v>
      </c>
      <c r="AI10" s="280"/>
      <c r="AJ10" s="318"/>
      <c r="AK10" s="374" t="s">
        <v>1294</v>
      </c>
      <c r="AL10" s="375" t="s">
        <v>1296</v>
      </c>
      <c r="AM10" s="355" t="s">
        <v>1303</v>
      </c>
      <c r="AN10" s="459"/>
      <c r="AO10" s="355" t="s">
        <v>1316</v>
      </c>
      <c r="AP10" s="374" t="s">
        <v>1328</v>
      </c>
      <c r="AQ10" s="461" t="s">
        <v>1331</v>
      </c>
      <c r="AR10" s="318"/>
      <c r="AS10" s="318"/>
      <c r="AT10" s="318"/>
      <c r="AU10" s="318"/>
      <c r="AV10" s="374" t="s">
        <v>1344</v>
      </c>
      <c r="AW10" s="374" t="s">
        <v>1346</v>
      </c>
      <c r="AX10" s="463" t="s">
        <v>1347</v>
      </c>
      <c r="AY10" s="463" t="s">
        <v>1350</v>
      </c>
      <c r="AZ10" s="346"/>
      <c r="BA10" s="322"/>
      <c r="BB10" s="465" t="s">
        <v>1357</v>
      </c>
      <c r="BC10" s="356" t="s">
        <v>1361</v>
      </c>
      <c r="BD10" s="383"/>
      <c r="BE10" s="356" t="s">
        <v>1373</v>
      </c>
      <c r="BF10" s="346"/>
      <c r="BG10" s="331" t="s">
        <v>1384</v>
      </c>
      <c r="BH10" s="475" t="s">
        <v>1395</v>
      </c>
      <c r="BI10" s="328"/>
      <c r="BJ10" s="328"/>
      <c r="BK10" s="328"/>
      <c r="BL10" s="328"/>
      <c r="BM10" s="478" t="s">
        <v>1399</v>
      </c>
      <c r="BN10" s="280"/>
      <c r="BO10" s="364" t="s">
        <v>1403</v>
      </c>
      <c r="BP10" s="333"/>
      <c r="BQ10" s="336"/>
      <c r="BR10" s="332" t="s">
        <v>1406</v>
      </c>
      <c r="BS10" s="336"/>
      <c r="BT10" s="333" t="s">
        <v>865</v>
      </c>
      <c r="BU10" s="336"/>
      <c r="BV10" s="333" t="s">
        <v>1409</v>
      </c>
      <c r="BW10" s="364" t="s">
        <v>1410</v>
      </c>
      <c r="BX10" s="280"/>
      <c r="BY10" s="480"/>
      <c r="BZ10" s="391" t="s">
        <v>635</v>
      </c>
      <c r="CA10" s="341"/>
      <c r="CB10" s="342"/>
      <c r="CC10" s="341"/>
      <c r="CD10" s="425" t="s">
        <v>1416</v>
      </c>
      <c r="CE10" s="341"/>
      <c r="CF10" s="391" t="s">
        <v>1418</v>
      </c>
      <c r="CG10" s="482" t="s">
        <v>1421</v>
      </c>
      <c r="CH10" s="341"/>
      <c r="CI10" s="341"/>
      <c r="CJ10" s="342"/>
      <c r="CK10" s="342"/>
    </row>
    <row r="11">
      <c r="A11" s="483" t="s">
        <v>86</v>
      </c>
      <c r="B11" s="202" t="s">
        <v>1426</v>
      </c>
      <c r="C11" s="196" t="s">
        <v>176</v>
      </c>
      <c r="D11" s="197" t="s">
        <v>205</v>
      </c>
      <c r="E11" s="199" t="s">
        <v>178</v>
      </c>
      <c r="F11" s="201" t="s">
        <v>565</v>
      </c>
      <c r="G11" s="202" t="s">
        <v>1428</v>
      </c>
      <c r="H11" s="303"/>
      <c r="I11" s="305" t="s">
        <v>1429</v>
      </c>
      <c r="J11" s="344" t="s">
        <v>1433</v>
      </c>
      <c r="K11" s="344"/>
      <c r="L11" s="435" t="s">
        <v>1435</v>
      </c>
      <c r="M11" s="303"/>
      <c r="N11" s="302" t="s">
        <v>1440</v>
      </c>
      <c r="O11" s="303"/>
      <c r="P11" s="217"/>
      <c r="Q11" s="486" t="s">
        <v>1444</v>
      </c>
      <c r="R11" s="369" t="s">
        <v>1447</v>
      </c>
      <c r="S11" s="348"/>
      <c r="T11" s="348"/>
      <c r="U11" s="486" t="s">
        <v>1450</v>
      </c>
      <c r="V11" s="307" t="s">
        <v>1452</v>
      </c>
      <c r="W11" s="217"/>
      <c r="X11" s="238" t="s">
        <v>1454</v>
      </c>
      <c r="Y11" s="312"/>
      <c r="Z11" s="312" t="s">
        <v>1457</v>
      </c>
      <c r="AA11" s="404" t="s">
        <v>1459</v>
      </c>
      <c r="AB11" s="312"/>
      <c r="AC11" s="312" t="s">
        <v>1460</v>
      </c>
      <c r="AD11" s="314" t="s">
        <v>882</v>
      </c>
      <c r="AE11" s="313"/>
      <c r="AF11" s="313"/>
      <c r="AG11" s="312" t="s">
        <v>1466</v>
      </c>
      <c r="AH11" s="253"/>
      <c r="AI11" s="217"/>
      <c r="AJ11" s="318"/>
      <c r="AK11" s="318"/>
      <c r="AL11" s="318"/>
      <c r="AM11" s="355" t="s">
        <v>1468</v>
      </c>
      <c r="AN11" s="318"/>
      <c r="AO11" s="375" t="s">
        <v>1471</v>
      </c>
      <c r="AP11" s="321" t="s">
        <v>1474</v>
      </c>
      <c r="AQ11" s="319" t="s">
        <v>1477</v>
      </c>
      <c r="AR11" s="318"/>
      <c r="AS11" s="318"/>
      <c r="AT11" s="318"/>
      <c r="AU11" s="318"/>
      <c r="AV11" s="318"/>
      <c r="AW11" s="375" t="s">
        <v>1481</v>
      </c>
      <c r="AX11" s="318"/>
      <c r="AY11" s="318"/>
      <c r="AZ11" s="346"/>
      <c r="BA11" s="322"/>
      <c r="BB11" s="322"/>
      <c r="BC11" s="323" t="s">
        <v>696</v>
      </c>
      <c r="BD11" s="383"/>
      <c r="BE11" s="386" t="s">
        <v>1487</v>
      </c>
      <c r="BF11" s="346"/>
      <c r="BG11" s="360" t="s">
        <v>1488</v>
      </c>
      <c r="BH11" s="360" t="s">
        <v>1492</v>
      </c>
      <c r="BI11" s="360" t="s">
        <v>982</v>
      </c>
      <c r="BJ11" s="328"/>
      <c r="BK11" s="328"/>
      <c r="BL11" s="328"/>
      <c r="BM11" s="358" t="s">
        <v>1501</v>
      </c>
      <c r="BN11" s="217"/>
      <c r="BO11" s="338" t="s">
        <v>1502</v>
      </c>
      <c r="BP11" s="333"/>
      <c r="BQ11" s="335" t="s">
        <v>1504</v>
      </c>
      <c r="BR11" s="336"/>
      <c r="BS11" s="336"/>
      <c r="BT11" s="338" t="s">
        <v>1506</v>
      </c>
      <c r="BU11" s="336"/>
      <c r="BV11" s="335" t="s">
        <v>1507</v>
      </c>
      <c r="BW11" s="335" t="s">
        <v>1509</v>
      </c>
      <c r="BX11" s="217"/>
      <c r="BY11" s="366" t="s">
        <v>1511</v>
      </c>
      <c r="BZ11" s="340" t="s">
        <v>836</v>
      </c>
      <c r="CA11" s="341"/>
      <c r="CB11" s="342"/>
      <c r="CC11" s="341"/>
      <c r="CD11" s="341"/>
      <c r="CE11" s="341"/>
      <c r="CF11" s="341"/>
      <c r="CG11" s="341"/>
      <c r="CH11" s="341"/>
      <c r="CI11" s="341"/>
      <c r="CJ11" s="342"/>
      <c r="CK11" s="342"/>
    </row>
    <row r="12">
      <c r="A12" s="343" t="s">
        <v>1514</v>
      </c>
      <c r="B12" s="202" t="s">
        <v>1516</v>
      </c>
      <c r="C12" s="196" t="s">
        <v>271</v>
      </c>
      <c r="D12" s="197" t="s">
        <v>203</v>
      </c>
      <c r="E12" s="199" t="s">
        <v>233</v>
      </c>
      <c r="F12" s="201" t="s">
        <v>1519</v>
      </c>
      <c r="G12" s="202" t="s">
        <v>1519</v>
      </c>
      <c r="H12" s="304" t="s">
        <v>1521</v>
      </c>
      <c r="I12" s="304" t="s">
        <v>1524</v>
      </c>
      <c r="J12" s="304" t="s">
        <v>1062</v>
      </c>
      <c r="K12" s="304" t="s">
        <v>1531</v>
      </c>
      <c r="L12" s="303"/>
      <c r="M12" s="303"/>
      <c r="N12" s="303"/>
      <c r="O12" s="304" t="s">
        <v>1535</v>
      </c>
      <c r="P12" s="217"/>
      <c r="Q12" s="311" t="s">
        <v>1549</v>
      </c>
      <c r="R12" s="348"/>
      <c r="S12" s="311" t="s">
        <v>1554</v>
      </c>
      <c r="T12" s="311" t="s">
        <v>1557</v>
      </c>
      <c r="U12" s="311" t="s">
        <v>1562</v>
      </c>
      <c r="V12" s="311" t="s">
        <v>1565</v>
      </c>
      <c r="W12" s="217"/>
      <c r="X12" s="230" t="s">
        <v>1568</v>
      </c>
      <c r="Y12" s="230" t="s">
        <v>1573</v>
      </c>
      <c r="Z12" s="230" t="s">
        <v>1578</v>
      </c>
      <c r="AA12" s="230" t="s">
        <v>1096</v>
      </c>
      <c r="AB12" s="230" t="s">
        <v>1585</v>
      </c>
      <c r="AC12" s="230" t="s">
        <v>1588</v>
      </c>
      <c r="AD12" s="230" t="s">
        <v>1594</v>
      </c>
      <c r="AE12" s="230" t="s">
        <v>1598</v>
      </c>
      <c r="AF12" s="372"/>
      <c r="AG12" s="230" t="s">
        <v>1600</v>
      </c>
      <c r="AH12" s="253"/>
      <c r="AI12" s="217"/>
      <c r="AJ12" s="502"/>
      <c r="AK12" s="321" t="s">
        <v>1604</v>
      </c>
      <c r="AL12" s="318"/>
      <c r="AM12" s="355" t="s">
        <v>1607</v>
      </c>
      <c r="AN12" s="318"/>
      <c r="AO12" s="318"/>
      <c r="AP12" s="355" t="s">
        <v>1612</v>
      </c>
      <c r="AQ12" s="318"/>
      <c r="AR12" s="321" t="s">
        <v>1616</v>
      </c>
      <c r="AS12" s="355" t="s">
        <v>1618</v>
      </c>
      <c r="AT12" s="318"/>
      <c r="AU12" s="375" t="s">
        <v>1621</v>
      </c>
      <c r="AV12" s="318"/>
      <c r="AW12" s="355" t="s">
        <v>1624</v>
      </c>
      <c r="AX12" s="355" t="s">
        <v>1628</v>
      </c>
      <c r="AY12" s="355" t="s">
        <v>1630</v>
      </c>
      <c r="AZ12" s="346"/>
      <c r="BA12" s="356" t="s">
        <v>1669</v>
      </c>
      <c r="BB12" s="356" t="s">
        <v>1673</v>
      </c>
      <c r="BC12" s="356" t="s">
        <v>1678</v>
      </c>
      <c r="BD12" s="383"/>
      <c r="BE12" s="356" t="s">
        <v>1682</v>
      </c>
      <c r="BF12" s="346"/>
      <c r="BG12" s="331" t="s">
        <v>1686</v>
      </c>
      <c r="BH12" s="331" t="s">
        <v>1689</v>
      </c>
      <c r="BI12" s="331" t="s">
        <v>704</v>
      </c>
      <c r="BJ12" s="360" t="s">
        <v>1695</v>
      </c>
      <c r="BK12" s="331" t="s">
        <v>296</v>
      </c>
      <c r="BL12" s="328"/>
      <c r="BM12" s="331" t="s">
        <v>1715</v>
      </c>
      <c r="BN12" s="217"/>
      <c r="BO12" s="336"/>
      <c r="BP12" s="333"/>
      <c r="BQ12" s="364" t="s">
        <v>1727</v>
      </c>
      <c r="BR12" s="364" t="s">
        <v>1735</v>
      </c>
      <c r="BS12" s="336"/>
      <c r="BT12" s="364" t="s">
        <v>1741</v>
      </c>
      <c r="BU12" s="336"/>
      <c r="BV12" s="364" t="s">
        <v>1748</v>
      </c>
      <c r="BW12" s="364" t="s">
        <v>1754</v>
      </c>
      <c r="BX12" s="217"/>
      <c r="BY12" s="391" t="s">
        <v>995</v>
      </c>
      <c r="BZ12" s="391" t="s">
        <v>1764</v>
      </c>
      <c r="CA12" s="425" t="s">
        <v>1767</v>
      </c>
      <c r="CB12" s="342"/>
      <c r="CC12" s="341"/>
      <c r="CD12" s="425" t="s">
        <v>1416</v>
      </c>
      <c r="CE12" s="391" t="s">
        <v>1775</v>
      </c>
      <c r="CF12" s="391" t="s">
        <v>1776</v>
      </c>
      <c r="CG12" s="423" t="s">
        <v>1780</v>
      </c>
      <c r="CH12" s="341"/>
      <c r="CI12" s="391" t="s">
        <v>1784</v>
      </c>
      <c r="CJ12" s="342"/>
      <c r="CK12" s="342"/>
    </row>
    <row r="13">
      <c r="A13" s="240" t="s">
        <v>1007</v>
      </c>
      <c r="B13" s="202" t="s">
        <v>1790</v>
      </c>
      <c r="C13" s="196" t="s">
        <v>274</v>
      </c>
      <c r="D13" s="197" t="s">
        <v>176</v>
      </c>
      <c r="E13" s="199" t="s">
        <v>203</v>
      </c>
      <c r="F13" s="201" t="s">
        <v>1791</v>
      </c>
      <c r="G13" s="202" t="s">
        <v>401</v>
      </c>
      <c r="H13" s="537" t="s">
        <v>1793</v>
      </c>
      <c r="I13" s="435" t="s">
        <v>1794</v>
      </c>
      <c r="J13" s="305" t="s">
        <v>1798</v>
      </c>
      <c r="K13" s="304" t="s">
        <v>1804</v>
      </c>
      <c r="L13" s="539" t="s">
        <v>1810</v>
      </c>
      <c r="M13" s="303"/>
      <c r="N13" s="303"/>
      <c r="O13" s="437" t="s">
        <v>1813</v>
      </c>
      <c r="P13" s="217"/>
      <c r="Q13" s="311" t="s">
        <v>1814</v>
      </c>
      <c r="R13" s="348"/>
      <c r="S13" s="348"/>
      <c r="T13" s="486" t="s">
        <v>1816</v>
      </c>
      <c r="U13" s="347"/>
      <c r="V13" s="442" t="s">
        <v>1821</v>
      </c>
      <c r="W13" s="217"/>
      <c r="X13" s="313"/>
      <c r="Y13" s="371" t="s">
        <v>1826</v>
      </c>
      <c r="Z13" s="447" t="s">
        <v>1810</v>
      </c>
      <c r="AA13" s="447" t="s">
        <v>1829</v>
      </c>
      <c r="AB13" s="314" t="s">
        <v>1830</v>
      </c>
      <c r="AC13" s="371" t="s">
        <v>1832</v>
      </c>
      <c r="AD13" s="230" t="s">
        <v>1834</v>
      </c>
      <c r="AE13" s="314" t="s">
        <v>1838</v>
      </c>
      <c r="AF13" s="372"/>
      <c r="AG13" s="447" t="s">
        <v>1839</v>
      </c>
      <c r="AH13" s="253"/>
      <c r="AI13" s="217"/>
      <c r="AJ13" s="502"/>
      <c r="AK13" s="355" t="s">
        <v>1841</v>
      </c>
      <c r="AL13" s="318"/>
      <c r="AM13" s="546"/>
      <c r="AN13" s="546" t="s">
        <v>1844</v>
      </c>
      <c r="AO13" s="547" t="s">
        <v>1845</v>
      </c>
      <c r="AP13" s="548" t="s">
        <v>1850</v>
      </c>
      <c r="AQ13" s="548" t="s">
        <v>1852</v>
      </c>
      <c r="AR13" s="549"/>
      <c r="AS13" s="319" t="s">
        <v>903</v>
      </c>
      <c r="AT13" s="546"/>
      <c r="AU13" s="459"/>
      <c r="AV13" s="319" t="s">
        <v>1857</v>
      </c>
      <c r="AW13" s="355" t="s">
        <v>1861</v>
      </c>
      <c r="AX13" s="463" t="s">
        <v>1867</v>
      </c>
      <c r="AY13" s="463" t="s">
        <v>1868</v>
      </c>
      <c r="AZ13" s="346"/>
      <c r="BA13" s="326"/>
      <c r="BB13" s="356" t="s">
        <v>1869</v>
      </c>
      <c r="BC13" s="356" t="s">
        <v>1872</v>
      </c>
      <c r="BD13" s="383"/>
      <c r="BE13" s="465" t="s">
        <v>1879</v>
      </c>
      <c r="BF13" s="346"/>
      <c r="BG13" s="553" t="s">
        <v>1881</v>
      </c>
      <c r="BH13" s="331" t="s">
        <v>1883</v>
      </c>
      <c r="BI13" s="358"/>
      <c r="BJ13" s="358"/>
      <c r="BK13" s="554" t="s">
        <v>1886</v>
      </c>
      <c r="BL13" s="328"/>
      <c r="BM13" s="554" t="s">
        <v>1887</v>
      </c>
      <c r="BN13" s="217"/>
      <c r="BO13" s="364" t="s">
        <v>1890</v>
      </c>
      <c r="BP13" s="333"/>
      <c r="BQ13" s="338" t="s">
        <v>1894</v>
      </c>
      <c r="BR13" s="337" t="s">
        <v>1899</v>
      </c>
      <c r="BS13" s="336"/>
      <c r="BT13" s="364" t="s">
        <v>1901</v>
      </c>
      <c r="BU13" s="336"/>
      <c r="BV13" s="333" t="s">
        <v>1905</v>
      </c>
      <c r="BW13" s="558" t="s">
        <v>1907</v>
      </c>
      <c r="BX13" s="280"/>
      <c r="BY13" s="482" t="s">
        <v>1909</v>
      </c>
      <c r="BZ13" s="341"/>
      <c r="CA13" s="426"/>
      <c r="CB13" s="340" t="s">
        <v>1910</v>
      </c>
      <c r="CC13" s="480"/>
      <c r="CD13" s="482" t="s">
        <v>817</v>
      </c>
      <c r="CE13" s="341"/>
      <c r="CF13" s="482" t="s">
        <v>1914</v>
      </c>
      <c r="CG13" s="341"/>
      <c r="CH13" s="423" t="s">
        <v>1915</v>
      </c>
      <c r="CI13" s="341"/>
      <c r="CJ13" s="342"/>
      <c r="CK13" s="342"/>
    </row>
    <row r="14">
      <c r="A14" s="562" t="s">
        <v>68</v>
      </c>
      <c r="B14" s="202" t="s">
        <v>1919</v>
      </c>
      <c r="C14" s="196" t="s">
        <v>171</v>
      </c>
      <c r="D14" s="197" t="s">
        <v>271</v>
      </c>
      <c r="E14" s="199" t="s">
        <v>233</v>
      </c>
      <c r="F14" s="201" t="s">
        <v>361</v>
      </c>
      <c r="G14" s="202" t="s">
        <v>1920</v>
      </c>
      <c r="H14" s="304" t="s">
        <v>1921</v>
      </c>
      <c r="I14" s="566" t="s">
        <v>1929</v>
      </c>
      <c r="J14" s="344" t="s">
        <v>1933</v>
      </c>
      <c r="K14" s="344" t="s">
        <v>1934</v>
      </c>
      <c r="L14" s="344" t="s">
        <v>1935</v>
      </c>
      <c r="M14" s="236"/>
      <c r="N14" s="344" t="s">
        <v>1939</v>
      </c>
      <c r="O14" s="344" t="s">
        <v>1940</v>
      </c>
      <c r="P14" s="217"/>
      <c r="Q14" s="236"/>
      <c r="R14" s="347" t="s">
        <v>1942</v>
      </c>
      <c r="S14" s="347" t="s">
        <v>1943</v>
      </c>
      <c r="T14" s="347" t="s">
        <v>1944</v>
      </c>
      <c r="U14" s="347" t="s">
        <v>1945</v>
      </c>
      <c r="V14" s="347" t="s">
        <v>1946</v>
      </c>
      <c r="W14" s="217"/>
      <c r="X14" s="312" t="s">
        <v>1948</v>
      </c>
      <c r="Y14" s="312" t="s">
        <v>1949</v>
      </c>
      <c r="Z14" s="371" t="s">
        <v>1950</v>
      </c>
      <c r="AA14" s="568" t="s">
        <v>1951</v>
      </c>
      <c r="AB14" s="312" t="s">
        <v>1952</v>
      </c>
      <c r="AC14" s="312" t="s">
        <v>1953</v>
      </c>
      <c r="AD14" s="404" t="s">
        <v>1955</v>
      </c>
      <c r="AE14" s="569" t="s">
        <v>1958</v>
      </c>
      <c r="AF14" s="238" t="s">
        <v>307</v>
      </c>
      <c r="AG14" s="312" t="s">
        <v>1963</v>
      </c>
      <c r="AH14" s="571" t="s">
        <v>1964</v>
      </c>
      <c r="AI14" s="217"/>
      <c r="AJ14" s="410"/>
      <c r="AK14" s="353" t="s">
        <v>1966</v>
      </c>
      <c r="AL14" s="352"/>
      <c r="AM14" s="352" t="s">
        <v>1967</v>
      </c>
      <c r="AN14" s="355" t="s">
        <v>1968</v>
      </c>
      <c r="AO14" s="352" t="s">
        <v>1973</v>
      </c>
      <c r="AP14" s="353" t="s">
        <v>1974</v>
      </c>
      <c r="AQ14" s="352" t="s">
        <v>1976</v>
      </c>
      <c r="AR14" s="375" t="s">
        <v>1977</v>
      </c>
      <c r="AS14" s="352" t="s">
        <v>1980</v>
      </c>
      <c r="AT14" s="352"/>
      <c r="AU14" s="352"/>
      <c r="AV14" s="352"/>
      <c r="AW14" s="353" t="s">
        <v>901</v>
      </c>
      <c r="AX14" s="463" t="s">
        <v>1981</v>
      </c>
      <c r="AY14" s="352" t="s">
        <v>1982</v>
      </c>
      <c r="AZ14" s="346"/>
      <c r="BA14" s="386" t="s">
        <v>1984</v>
      </c>
      <c r="BB14" s="386" t="s">
        <v>1986</v>
      </c>
      <c r="BC14" s="386" t="s">
        <v>1987</v>
      </c>
      <c r="BD14" s="386" t="s">
        <v>1988</v>
      </c>
      <c r="BE14" s="356" t="s">
        <v>1990</v>
      </c>
      <c r="BF14" s="346"/>
      <c r="BG14" s="358" t="s">
        <v>1992</v>
      </c>
      <c r="BH14" s="358" t="s">
        <v>1993</v>
      </c>
      <c r="BI14" s="331" t="s">
        <v>1078</v>
      </c>
      <c r="BJ14" s="553" t="s">
        <v>1998</v>
      </c>
      <c r="BK14" s="574" t="s">
        <v>2002</v>
      </c>
      <c r="BL14" s="358"/>
      <c r="BM14" s="358" t="s">
        <v>2003</v>
      </c>
      <c r="BN14" s="217"/>
      <c r="BO14" s="364" t="s">
        <v>2004</v>
      </c>
      <c r="BP14" s="337"/>
      <c r="BQ14" s="576" t="s">
        <v>2010</v>
      </c>
      <c r="BR14" s="335" t="s">
        <v>2011</v>
      </c>
      <c r="BS14" s="335"/>
      <c r="BT14" s="578" t="s">
        <v>2013</v>
      </c>
      <c r="BU14" s="337" t="s">
        <v>2016</v>
      </c>
      <c r="BV14" s="335" t="s">
        <v>2017</v>
      </c>
      <c r="BW14" s="335" t="s">
        <v>2020</v>
      </c>
      <c r="BX14" s="217"/>
      <c r="BY14" s="366" t="s">
        <v>2022</v>
      </c>
      <c r="BZ14" s="366" t="s">
        <v>2025</v>
      </c>
      <c r="CA14" s="341"/>
      <c r="CB14" s="342"/>
      <c r="CC14" s="341"/>
      <c r="CD14" s="366" t="s">
        <v>2027</v>
      </c>
      <c r="CE14" s="366" t="s">
        <v>2028</v>
      </c>
      <c r="CF14" s="366" t="s">
        <v>2029</v>
      </c>
      <c r="CG14" s="366"/>
      <c r="CH14" s="391" t="s">
        <v>2031</v>
      </c>
      <c r="CI14" s="341"/>
      <c r="CJ14" s="342"/>
      <c r="CK14" s="342"/>
    </row>
    <row r="15">
      <c r="A15" s="343" t="s">
        <v>75</v>
      </c>
      <c r="B15" s="202" t="s">
        <v>2035</v>
      </c>
      <c r="C15" s="196" t="s">
        <v>271</v>
      </c>
      <c r="D15" s="197" t="s">
        <v>233</v>
      </c>
      <c r="E15" s="199" t="s">
        <v>274</v>
      </c>
      <c r="F15" s="201" t="s">
        <v>169</v>
      </c>
      <c r="G15" s="202" t="s">
        <v>2038</v>
      </c>
      <c r="H15" s="303"/>
      <c r="I15" s="344" t="s">
        <v>2040</v>
      </c>
      <c r="J15" s="344"/>
      <c r="K15" s="304" t="s">
        <v>2041</v>
      </c>
      <c r="L15" s="344"/>
      <c r="M15" s="344"/>
      <c r="N15" s="303"/>
      <c r="O15" s="304" t="s">
        <v>2044</v>
      </c>
      <c r="P15" s="217"/>
      <c r="Q15" s="348"/>
      <c r="R15" s="349"/>
      <c r="S15" s="311" t="s">
        <v>2050</v>
      </c>
      <c r="T15" s="348"/>
      <c r="U15" s="348"/>
      <c r="V15" s="311" t="s">
        <v>2053</v>
      </c>
      <c r="W15" s="217"/>
      <c r="X15" s="314" t="s">
        <v>2058</v>
      </c>
      <c r="Y15" s="313"/>
      <c r="Z15" s="312" t="s">
        <v>2061</v>
      </c>
      <c r="AA15" s="230" t="s">
        <v>2062</v>
      </c>
      <c r="AB15" s="312" t="s">
        <v>2066</v>
      </c>
      <c r="AC15" s="230" t="s">
        <v>923</v>
      </c>
      <c r="AD15" s="312" t="s">
        <v>2069</v>
      </c>
      <c r="AE15" s="312" t="s">
        <v>2070</v>
      </c>
      <c r="AF15" s="312"/>
      <c r="AG15" s="230" t="s">
        <v>2072</v>
      </c>
      <c r="AH15" s="253"/>
      <c r="AI15" s="217"/>
      <c r="AJ15" s="318"/>
      <c r="AK15" s="318"/>
      <c r="AL15" s="318"/>
      <c r="AM15" s="355" t="s">
        <v>2076</v>
      </c>
      <c r="AN15" s="318"/>
      <c r="AO15" s="318"/>
      <c r="AP15" s="352" t="s">
        <v>2078</v>
      </c>
      <c r="AQ15" s="318"/>
      <c r="AR15" s="318"/>
      <c r="AS15" s="318"/>
      <c r="AT15" s="318"/>
      <c r="AU15" s="318"/>
      <c r="AV15" s="318"/>
      <c r="AW15" s="318"/>
      <c r="AX15" s="355" t="s">
        <v>2081</v>
      </c>
      <c r="AY15" s="352" t="s">
        <v>2085</v>
      </c>
      <c r="AZ15" s="346"/>
      <c r="BA15" s="386"/>
      <c r="BB15" s="386"/>
      <c r="BC15" s="356" t="s">
        <v>2086</v>
      </c>
      <c r="BD15" s="326"/>
      <c r="BE15" s="386" t="s">
        <v>2090</v>
      </c>
      <c r="BF15" s="346"/>
      <c r="BG15" s="358" t="s">
        <v>2091</v>
      </c>
      <c r="BH15" s="553" t="s">
        <v>2092</v>
      </c>
      <c r="BI15" s="328"/>
      <c r="BJ15" s="328"/>
      <c r="BK15" s="553" t="s">
        <v>2097</v>
      </c>
      <c r="BL15" s="328"/>
      <c r="BM15" s="331" t="s">
        <v>2104</v>
      </c>
      <c r="BN15" s="217"/>
      <c r="BO15" s="335" t="s">
        <v>2107</v>
      </c>
      <c r="BP15" s="337"/>
      <c r="BQ15" s="335"/>
      <c r="BR15" s="364" t="s">
        <v>2108</v>
      </c>
      <c r="BS15" s="335"/>
      <c r="BT15" s="364" t="s">
        <v>2115</v>
      </c>
      <c r="BU15" s="336"/>
      <c r="BV15" s="332" t="s">
        <v>2118</v>
      </c>
      <c r="BW15" s="364" t="s">
        <v>2121</v>
      </c>
      <c r="BX15" s="217"/>
      <c r="BY15" s="423" t="s">
        <v>1083</v>
      </c>
      <c r="BZ15" s="341"/>
      <c r="CA15" s="341"/>
      <c r="CB15" s="342"/>
      <c r="CC15" s="341"/>
      <c r="CD15" s="341"/>
      <c r="CE15" s="341"/>
      <c r="CF15" s="366" t="s">
        <v>2127</v>
      </c>
      <c r="CG15" s="341"/>
      <c r="CH15" s="341"/>
      <c r="CI15" s="341"/>
      <c r="CJ15" s="342"/>
      <c r="CK15" s="342"/>
    </row>
    <row r="16">
      <c r="A16" s="343" t="s">
        <v>43</v>
      </c>
      <c r="B16" s="202" t="s">
        <v>2129</v>
      </c>
      <c r="C16" s="196" t="s">
        <v>271</v>
      </c>
      <c r="D16" s="197" t="s">
        <v>233</v>
      </c>
      <c r="E16" s="199" t="s">
        <v>171</v>
      </c>
      <c r="F16" s="201" t="s">
        <v>2132</v>
      </c>
      <c r="G16" s="202" t="s">
        <v>1234</v>
      </c>
      <c r="H16" s="304" t="s">
        <v>2134</v>
      </c>
      <c r="I16" s="304" t="s">
        <v>2137</v>
      </c>
      <c r="J16" s="303"/>
      <c r="K16" s="303"/>
      <c r="L16" s="304" t="s">
        <v>2141</v>
      </c>
      <c r="M16" s="303"/>
      <c r="N16" s="304" t="s">
        <v>2145</v>
      </c>
      <c r="O16" s="303"/>
      <c r="P16" s="217"/>
      <c r="Q16" s="311" t="s">
        <v>664</v>
      </c>
      <c r="R16" s="348"/>
      <c r="S16" s="311" t="s">
        <v>1294</v>
      </c>
      <c r="T16" s="311" t="s">
        <v>2154</v>
      </c>
      <c r="U16" s="348"/>
      <c r="V16" s="311" t="s">
        <v>2157</v>
      </c>
      <c r="W16" s="217"/>
      <c r="X16" s="230" t="s">
        <v>781</v>
      </c>
      <c r="Y16" s="230" t="s">
        <v>2161</v>
      </c>
      <c r="Z16" s="230" t="s">
        <v>2164</v>
      </c>
      <c r="AA16" s="404" t="s">
        <v>2167</v>
      </c>
      <c r="AB16" s="230" t="s">
        <v>2172</v>
      </c>
      <c r="AC16" s="230" t="s">
        <v>2173</v>
      </c>
      <c r="AD16" s="230" t="s">
        <v>2176</v>
      </c>
      <c r="AE16" s="230" t="s">
        <v>2178</v>
      </c>
      <c r="AF16" s="250"/>
      <c r="AG16" s="312" t="s">
        <v>2182</v>
      </c>
      <c r="AH16" s="253"/>
      <c r="AI16" s="217"/>
      <c r="AJ16" s="410"/>
      <c r="AK16" s="355" t="s">
        <v>2184</v>
      </c>
      <c r="AL16" s="355" t="s">
        <v>2187</v>
      </c>
      <c r="AM16" s="355" t="s">
        <v>2189</v>
      </c>
      <c r="AN16" s="352"/>
      <c r="AO16" s="318"/>
      <c r="AP16" s="355" t="s">
        <v>2191</v>
      </c>
      <c r="AQ16" s="318"/>
      <c r="AR16" s="355" t="s">
        <v>2196</v>
      </c>
      <c r="AS16" s="321" t="s">
        <v>2199</v>
      </c>
      <c r="AT16" s="355" t="s">
        <v>2204</v>
      </c>
      <c r="AU16" s="321" t="s">
        <v>2208</v>
      </c>
      <c r="AV16" s="318"/>
      <c r="AW16" s="355" t="s">
        <v>1130</v>
      </c>
      <c r="AX16" s="355" t="s">
        <v>2214</v>
      </c>
      <c r="AY16" s="355" t="s">
        <v>2217</v>
      </c>
      <c r="AZ16" s="346"/>
      <c r="BA16" s="322"/>
      <c r="BB16" s="356" t="s">
        <v>2223</v>
      </c>
      <c r="BC16" s="356" t="s">
        <v>2224</v>
      </c>
      <c r="BD16" s="326"/>
      <c r="BE16" s="356" t="s">
        <v>2229</v>
      </c>
      <c r="BF16" s="346"/>
      <c r="BG16" s="358" t="s">
        <v>2233</v>
      </c>
      <c r="BH16" s="358" t="s">
        <v>2234</v>
      </c>
      <c r="BI16" s="553" t="s">
        <v>2235</v>
      </c>
      <c r="BJ16" s="328"/>
      <c r="BK16" s="358" t="s">
        <v>2241</v>
      </c>
      <c r="BL16" s="328"/>
      <c r="BM16" s="358" t="s">
        <v>2242</v>
      </c>
      <c r="BN16" s="217"/>
      <c r="BO16" s="364" t="s">
        <v>2243</v>
      </c>
      <c r="BP16" s="333"/>
      <c r="BQ16" s="336"/>
      <c r="BR16" s="336"/>
      <c r="BS16" s="336"/>
      <c r="BT16" s="364" t="s">
        <v>2244</v>
      </c>
      <c r="BU16" s="336"/>
      <c r="BV16" s="335" t="s">
        <v>2247</v>
      </c>
      <c r="BW16" s="335" t="s">
        <v>2249</v>
      </c>
      <c r="BX16" s="217"/>
      <c r="BY16" s="391" t="s">
        <v>2252</v>
      </c>
      <c r="BZ16" s="366"/>
      <c r="CA16" s="341"/>
      <c r="CB16" s="342"/>
      <c r="CC16" s="341"/>
      <c r="CD16" s="341"/>
      <c r="CE16" s="366" t="s">
        <v>2259</v>
      </c>
      <c r="CF16" s="341"/>
      <c r="CG16" s="341"/>
      <c r="CH16" s="341"/>
      <c r="CI16" s="341"/>
      <c r="CJ16" s="342"/>
      <c r="CK16" s="342"/>
    </row>
    <row r="17">
      <c r="A17" s="343" t="s">
        <v>51</v>
      </c>
      <c r="B17" s="202" t="s">
        <v>2262</v>
      </c>
      <c r="C17" s="196" t="s">
        <v>271</v>
      </c>
      <c r="D17" s="197" t="s">
        <v>271</v>
      </c>
      <c r="E17" s="199" t="s">
        <v>271</v>
      </c>
      <c r="F17" s="201" t="s">
        <v>271</v>
      </c>
      <c r="G17" s="202" t="s">
        <v>1725</v>
      </c>
      <c r="H17" s="303"/>
      <c r="I17" s="344" t="s">
        <v>2264</v>
      </c>
      <c r="J17" s="344" t="s">
        <v>2266</v>
      </c>
      <c r="K17" s="344" t="s">
        <v>2267</v>
      </c>
      <c r="L17" s="437" t="s">
        <v>2268</v>
      </c>
      <c r="M17" s="303"/>
      <c r="N17" s="437" t="s">
        <v>2269</v>
      </c>
      <c r="O17" s="344" t="s">
        <v>2271</v>
      </c>
      <c r="P17" s="217"/>
      <c r="Q17" s="442" t="s">
        <v>2272</v>
      </c>
      <c r="R17" s="348"/>
      <c r="S17" s="348"/>
      <c r="T17" s="442" t="s">
        <v>2274</v>
      </c>
      <c r="U17" s="347"/>
      <c r="V17" s="442" t="s">
        <v>2275</v>
      </c>
      <c r="W17" s="217"/>
      <c r="X17" s="371" t="s">
        <v>2276</v>
      </c>
      <c r="Y17" s="371" t="s">
        <v>2277</v>
      </c>
      <c r="Z17" s="371" t="s">
        <v>2278</v>
      </c>
      <c r="AA17" s="371" t="s">
        <v>2280</v>
      </c>
      <c r="AB17" s="371" t="s">
        <v>2282</v>
      </c>
      <c r="AC17" s="312" t="s">
        <v>2283</v>
      </c>
      <c r="AD17" s="371" t="s">
        <v>2284</v>
      </c>
      <c r="AE17" s="371" t="s">
        <v>2286</v>
      </c>
      <c r="AF17" s="312"/>
      <c r="AG17" s="312" t="s">
        <v>2287</v>
      </c>
      <c r="AH17" s="598" t="s">
        <v>2288</v>
      </c>
      <c r="AI17" s="217"/>
      <c r="AJ17" s="318"/>
      <c r="AK17" s="318"/>
      <c r="AL17" s="318"/>
      <c r="AM17" s="352" t="s">
        <v>506</v>
      </c>
      <c r="AN17" s="318"/>
      <c r="AO17" s="463" t="s">
        <v>2292</v>
      </c>
      <c r="AP17" s="352" t="s">
        <v>2293</v>
      </c>
      <c r="AQ17" s="463" t="s">
        <v>2295</v>
      </c>
      <c r="AR17" s="318"/>
      <c r="AS17" s="318"/>
      <c r="AT17" s="318"/>
      <c r="AU17" s="318"/>
      <c r="AV17" s="318"/>
      <c r="AW17" s="463" t="s">
        <v>1892</v>
      </c>
      <c r="AX17" s="463" t="s">
        <v>1002</v>
      </c>
      <c r="AY17" s="352" t="s">
        <v>2298</v>
      </c>
      <c r="AZ17" s="346"/>
      <c r="BA17" s="322"/>
      <c r="BB17" s="322"/>
      <c r="BC17" s="600" t="s">
        <v>2299</v>
      </c>
      <c r="BD17" s="386"/>
      <c r="BE17" s="386" t="s">
        <v>2300</v>
      </c>
      <c r="BF17" s="346"/>
      <c r="BG17" s="554" t="s">
        <v>2302</v>
      </c>
      <c r="BH17" s="554" t="s">
        <v>2303</v>
      </c>
      <c r="BI17" s="328"/>
      <c r="BJ17" s="328"/>
      <c r="BK17" s="358" t="s">
        <v>2304</v>
      </c>
      <c r="BL17" s="328"/>
      <c r="BM17" s="554" t="s">
        <v>2307</v>
      </c>
      <c r="BN17" s="217"/>
      <c r="BO17" s="337" t="s">
        <v>2308</v>
      </c>
      <c r="BP17" s="333"/>
      <c r="BQ17" s="336"/>
      <c r="BR17" s="336"/>
      <c r="BS17" s="336"/>
      <c r="BT17" s="337" t="s">
        <v>1378</v>
      </c>
      <c r="BU17" s="336"/>
      <c r="BV17" s="336"/>
      <c r="BW17" s="333" t="s">
        <v>2312</v>
      </c>
      <c r="BX17" s="217"/>
      <c r="BY17" s="366" t="s">
        <v>2314</v>
      </c>
      <c r="BZ17" s="341"/>
      <c r="CA17" s="341"/>
      <c r="CB17" s="342"/>
      <c r="CC17" s="341"/>
      <c r="CD17" s="341"/>
      <c r="CE17" s="341"/>
      <c r="CF17" s="341"/>
      <c r="CG17" s="341"/>
      <c r="CH17" s="341"/>
      <c r="CI17" s="341"/>
      <c r="CJ17" s="342"/>
      <c r="CK17" s="342"/>
    </row>
    <row r="18">
      <c r="A18" s="343" t="s">
        <v>2317</v>
      </c>
      <c r="B18" s="202" t="s">
        <v>2318</v>
      </c>
      <c r="C18" s="196" t="s">
        <v>271</v>
      </c>
      <c r="D18" s="197" t="s">
        <v>271</v>
      </c>
      <c r="E18" s="199" t="s">
        <v>271</v>
      </c>
      <c r="F18" s="201" t="s">
        <v>178</v>
      </c>
      <c r="G18" s="202" t="s">
        <v>2320</v>
      </c>
      <c r="H18" s="303"/>
      <c r="I18" s="303"/>
      <c r="J18" s="344" t="s">
        <v>2321</v>
      </c>
      <c r="K18" s="344" t="s">
        <v>2322</v>
      </c>
      <c r="L18" s="304" t="s">
        <v>2325</v>
      </c>
      <c r="M18" s="303"/>
      <c r="N18" s="437" t="s">
        <v>2331</v>
      </c>
      <c r="O18" s="344" t="s">
        <v>2332</v>
      </c>
      <c r="P18" s="217"/>
      <c r="Q18" s="442" t="s">
        <v>2333</v>
      </c>
      <c r="R18" s="348"/>
      <c r="S18" s="348"/>
      <c r="T18" s="348"/>
      <c r="U18" s="347"/>
      <c r="V18" s="311" t="s">
        <v>2182</v>
      </c>
      <c r="W18" s="217"/>
      <c r="X18" s="313"/>
      <c r="Y18" s="230" t="s">
        <v>2290</v>
      </c>
      <c r="Z18" s="371" t="s">
        <v>2341</v>
      </c>
      <c r="AA18" s="602"/>
      <c r="AB18" s="313"/>
      <c r="AC18" s="371" t="s">
        <v>1186</v>
      </c>
      <c r="AD18" s="371" t="s">
        <v>2342</v>
      </c>
      <c r="AE18" s="371" t="s">
        <v>2343</v>
      </c>
      <c r="AF18" s="312"/>
      <c r="AG18" s="371" t="s">
        <v>2345</v>
      </c>
      <c r="AH18" s="253"/>
      <c r="AI18" s="217"/>
      <c r="AJ18" s="352"/>
      <c r="AK18" s="463" t="s">
        <v>2346</v>
      </c>
      <c r="AL18" s="318"/>
      <c r="AM18" s="318"/>
      <c r="AN18" s="318"/>
      <c r="AO18" s="318"/>
      <c r="AP18" s="463" t="s">
        <v>2348</v>
      </c>
      <c r="AQ18" s="318"/>
      <c r="AR18" s="318"/>
      <c r="AS18" s="318"/>
      <c r="AT18" s="318"/>
      <c r="AU18" s="318"/>
      <c r="AV18" s="318"/>
      <c r="AW18" s="355" t="s">
        <v>2352</v>
      </c>
      <c r="AX18" s="352" t="s">
        <v>2356</v>
      </c>
      <c r="AY18" s="352" t="s">
        <v>2358</v>
      </c>
      <c r="AZ18" s="346"/>
      <c r="BA18" s="386" t="s">
        <v>2359</v>
      </c>
      <c r="BB18" s="600" t="s">
        <v>2360</v>
      </c>
      <c r="BC18" s="356" t="s">
        <v>1710</v>
      </c>
      <c r="BD18" s="326"/>
      <c r="BE18" s="600" t="s">
        <v>2364</v>
      </c>
      <c r="BF18" s="346"/>
      <c r="BG18" s="358" t="s">
        <v>2365</v>
      </c>
      <c r="BH18" s="554" t="s">
        <v>2366</v>
      </c>
      <c r="BI18" s="358"/>
      <c r="BJ18" s="358"/>
      <c r="BK18" s="328"/>
      <c r="BL18" s="328"/>
      <c r="BM18" s="331" t="s">
        <v>2368</v>
      </c>
      <c r="BN18" s="217"/>
      <c r="BO18" s="337" t="s">
        <v>2371</v>
      </c>
      <c r="BP18" s="333"/>
      <c r="BQ18" s="336"/>
      <c r="BR18" s="335" t="s">
        <v>2373</v>
      </c>
      <c r="BS18" s="336"/>
      <c r="BT18" s="337" t="s">
        <v>2374</v>
      </c>
      <c r="BU18" s="336"/>
      <c r="BV18" s="335" t="s">
        <v>689</v>
      </c>
      <c r="BW18" s="335" t="s">
        <v>2375</v>
      </c>
      <c r="BX18" s="217"/>
      <c r="BY18" s="366" t="s">
        <v>821</v>
      </c>
      <c r="BZ18" s="391" t="s">
        <v>2378</v>
      </c>
      <c r="CA18" s="341"/>
      <c r="CB18" s="342"/>
      <c r="CC18" s="341"/>
      <c r="CD18" s="341"/>
      <c r="CE18" s="366" t="s">
        <v>2382</v>
      </c>
      <c r="CF18" s="482" t="s">
        <v>2383</v>
      </c>
      <c r="CG18" s="341"/>
      <c r="CH18" s="341"/>
      <c r="CI18" s="366" t="s">
        <v>2385</v>
      </c>
      <c r="CJ18" s="342"/>
      <c r="CK18" s="342"/>
    </row>
    <row r="19">
      <c r="A19" s="343" t="s">
        <v>2386</v>
      </c>
      <c r="B19" s="202" t="s">
        <v>2128</v>
      </c>
      <c r="C19" s="196" t="s">
        <v>271</v>
      </c>
      <c r="D19" s="197" t="s">
        <v>271</v>
      </c>
      <c r="E19" s="199" t="s">
        <v>271</v>
      </c>
      <c r="F19" s="201" t="s">
        <v>271</v>
      </c>
      <c r="G19" s="202" t="s">
        <v>2387</v>
      </c>
      <c r="H19" s="303"/>
      <c r="I19" s="437" t="s">
        <v>2390</v>
      </c>
      <c r="J19" s="344"/>
      <c r="K19" s="303"/>
      <c r="L19" s="303"/>
      <c r="M19" s="303"/>
      <c r="N19" s="303"/>
      <c r="O19" s="344" t="s">
        <v>2391</v>
      </c>
      <c r="P19" s="217"/>
      <c r="Q19" s="442" t="s">
        <v>2392</v>
      </c>
      <c r="R19" s="348"/>
      <c r="S19" s="348"/>
      <c r="T19" s="442" t="s">
        <v>2393</v>
      </c>
      <c r="U19" s="347"/>
      <c r="V19" s="347" t="s">
        <v>2395</v>
      </c>
      <c r="W19" s="217"/>
      <c r="X19" s="447" t="s">
        <v>2396</v>
      </c>
      <c r="Y19" s="312" t="s">
        <v>2397</v>
      </c>
      <c r="Z19" s="447" t="s">
        <v>1810</v>
      </c>
      <c r="AA19" s="371" t="s">
        <v>230</v>
      </c>
      <c r="AB19" s="371" t="s">
        <v>2398</v>
      </c>
      <c r="AC19" s="371" t="s">
        <v>388</v>
      </c>
      <c r="AD19" s="447" t="s">
        <v>541</v>
      </c>
      <c r="AE19" s="371" t="s">
        <v>2399</v>
      </c>
      <c r="AF19" s="312"/>
      <c r="AG19" s="371" t="s">
        <v>2400</v>
      </c>
      <c r="AH19" s="253"/>
      <c r="AI19" s="217"/>
      <c r="AJ19" s="318"/>
      <c r="AK19" s="374" t="s">
        <v>2401</v>
      </c>
      <c r="AL19" s="463" t="s">
        <v>2402</v>
      </c>
      <c r="AM19" s="374" t="s">
        <v>2403</v>
      </c>
      <c r="AN19" s="318"/>
      <c r="AO19" s="463" t="s">
        <v>2404</v>
      </c>
      <c r="AP19" s="374" t="s">
        <v>2405</v>
      </c>
      <c r="AQ19" s="463" t="s">
        <v>2406</v>
      </c>
      <c r="AR19" s="463" t="s">
        <v>2408</v>
      </c>
      <c r="AS19" s="318"/>
      <c r="AT19" s="318"/>
      <c r="AU19" s="318"/>
      <c r="AV19" s="318"/>
      <c r="AW19" s="374" t="s">
        <v>2409</v>
      </c>
      <c r="AX19" s="463" t="s">
        <v>2410</v>
      </c>
      <c r="AY19" s="463" t="s">
        <v>2411</v>
      </c>
      <c r="AZ19" s="346"/>
      <c r="BA19" s="386"/>
      <c r="BB19" s="600" t="s">
        <v>2412</v>
      </c>
      <c r="BC19" s="322"/>
      <c r="BD19" s="322"/>
      <c r="BE19" s="600" t="s">
        <v>2413</v>
      </c>
      <c r="BF19" s="346"/>
      <c r="BG19" s="554" t="s">
        <v>2414</v>
      </c>
      <c r="BH19" s="554" t="s">
        <v>2303</v>
      </c>
      <c r="BI19" s="328"/>
      <c r="BJ19" s="328"/>
      <c r="BK19" s="328"/>
      <c r="BL19" s="328"/>
      <c r="BM19" s="358" t="s">
        <v>2415</v>
      </c>
      <c r="BN19" s="217"/>
      <c r="BO19" s="337" t="s">
        <v>2416</v>
      </c>
      <c r="BP19" s="333"/>
      <c r="BQ19" s="336"/>
      <c r="BR19" s="337" t="s">
        <v>2417</v>
      </c>
      <c r="BS19" s="336"/>
      <c r="BT19" s="337" t="s">
        <v>2419</v>
      </c>
      <c r="BU19" s="336"/>
      <c r="BV19" s="337" t="s">
        <v>2420</v>
      </c>
      <c r="BW19" s="337" t="s">
        <v>2421</v>
      </c>
      <c r="BX19" s="217"/>
      <c r="BY19" s="482" t="s">
        <v>2423</v>
      </c>
      <c r="BZ19" s="341"/>
      <c r="CA19" s="341"/>
      <c r="CB19" s="342"/>
      <c r="CC19" s="341"/>
      <c r="CD19" s="341"/>
      <c r="CE19" s="341"/>
      <c r="CF19" s="341"/>
      <c r="CG19" s="341"/>
      <c r="CH19" s="341"/>
      <c r="CI19" s="341"/>
      <c r="CJ19" s="342"/>
      <c r="CK19" s="342"/>
    </row>
    <row r="20">
      <c r="A20" s="343" t="s">
        <v>62</v>
      </c>
      <c r="B20" s="202" t="s">
        <v>2424</v>
      </c>
      <c r="C20" s="196" t="s">
        <v>271</v>
      </c>
      <c r="D20" s="197" t="s">
        <v>171</v>
      </c>
      <c r="E20" s="199" t="s">
        <v>233</v>
      </c>
      <c r="F20" s="201" t="s">
        <v>394</v>
      </c>
      <c r="G20" s="202" t="s">
        <v>403</v>
      </c>
      <c r="H20" s="537" t="s">
        <v>759</v>
      </c>
      <c r="I20" s="303"/>
      <c r="J20" s="303"/>
      <c r="K20" s="303"/>
      <c r="L20" s="304" t="s">
        <v>2428</v>
      </c>
      <c r="M20" s="303"/>
      <c r="N20" s="304" t="s">
        <v>2429</v>
      </c>
      <c r="O20" s="303"/>
      <c r="P20" s="217"/>
      <c r="Q20" s="606" t="s">
        <v>2432</v>
      </c>
      <c r="R20" s="348"/>
      <c r="S20" s="347" t="s">
        <v>2433</v>
      </c>
      <c r="T20" s="606" t="s">
        <v>236</v>
      </c>
      <c r="U20" s="607" t="s">
        <v>2434</v>
      </c>
      <c r="V20" s="347" t="s">
        <v>2435</v>
      </c>
      <c r="W20" s="217"/>
      <c r="X20" s="230" t="s">
        <v>2436</v>
      </c>
      <c r="Y20" s="312" t="s">
        <v>2439</v>
      </c>
      <c r="Z20" s="312" t="s">
        <v>1810</v>
      </c>
      <c r="AA20" s="404" t="s">
        <v>2440</v>
      </c>
      <c r="AB20" s="312" t="s">
        <v>2444</v>
      </c>
      <c r="AC20" s="312" t="s">
        <v>2445</v>
      </c>
      <c r="AD20" s="312" t="s">
        <v>2446</v>
      </c>
      <c r="AE20" s="610" t="s">
        <v>548</v>
      </c>
      <c r="AF20" s="314" t="s">
        <v>2447</v>
      </c>
      <c r="AG20" s="312" t="s">
        <v>2449</v>
      </c>
      <c r="AH20" s="611" t="s">
        <v>2450</v>
      </c>
      <c r="AI20" s="217"/>
      <c r="AJ20" s="352"/>
      <c r="AK20" s="352" t="s">
        <v>2454</v>
      </c>
      <c r="AL20" s="352" t="s">
        <v>2456</v>
      </c>
      <c r="AM20" s="352" t="s">
        <v>2457</v>
      </c>
      <c r="AN20" s="352"/>
      <c r="AO20" s="318"/>
      <c r="AP20" s="353" t="s">
        <v>2458</v>
      </c>
      <c r="AQ20" s="318"/>
      <c r="AR20" s="352" t="s">
        <v>2459</v>
      </c>
      <c r="AS20" s="352" t="s">
        <v>2460</v>
      </c>
      <c r="AT20" s="352" t="s">
        <v>2461</v>
      </c>
      <c r="AU20" s="352" t="s">
        <v>2462</v>
      </c>
      <c r="AV20" s="318"/>
      <c r="AW20" s="353" t="s">
        <v>1310</v>
      </c>
      <c r="AX20" s="355" t="s">
        <v>2464</v>
      </c>
      <c r="AY20" s="352" t="s">
        <v>2466</v>
      </c>
      <c r="AZ20" s="346"/>
      <c r="BA20" s="386" t="s">
        <v>2469</v>
      </c>
      <c r="BB20" s="386" t="s">
        <v>2470</v>
      </c>
      <c r="BC20" s="386" t="s">
        <v>1082</v>
      </c>
      <c r="BD20" s="386" t="s">
        <v>2471</v>
      </c>
      <c r="BE20" s="386" t="s">
        <v>2472</v>
      </c>
      <c r="BF20" s="346"/>
      <c r="BG20" s="358" t="s">
        <v>2473</v>
      </c>
      <c r="BH20" s="358" t="s">
        <v>2474</v>
      </c>
      <c r="BI20" s="358" t="s">
        <v>2475</v>
      </c>
      <c r="BJ20" s="328"/>
      <c r="BK20" s="358" t="s">
        <v>2476</v>
      </c>
      <c r="BL20" s="358" t="s">
        <v>2478</v>
      </c>
      <c r="BM20" s="358" t="s">
        <v>2479</v>
      </c>
      <c r="BN20" s="217"/>
      <c r="BO20" s="337" t="s">
        <v>2480</v>
      </c>
      <c r="BP20" s="333"/>
      <c r="BQ20" s="335" t="s">
        <v>2482</v>
      </c>
      <c r="BR20" s="335" t="s">
        <v>2483</v>
      </c>
      <c r="BS20" s="338" t="s">
        <v>2484</v>
      </c>
      <c r="BT20" s="337" t="s">
        <v>2488</v>
      </c>
      <c r="BU20" s="364" t="s">
        <v>2489</v>
      </c>
      <c r="BV20" s="335" t="s">
        <v>2494</v>
      </c>
      <c r="BW20" s="335" t="s">
        <v>2495</v>
      </c>
      <c r="BX20" s="217"/>
      <c r="BY20" s="341"/>
      <c r="BZ20" s="366" t="s">
        <v>2496</v>
      </c>
      <c r="CA20" s="341"/>
      <c r="CB20" s="342"/>
      <c r="CC20" s="341"/>
      <c r="CD20" s="366" t="s">
        <v>2498</v>
      </c>
      <c r="CE20" s="366" t="s">
        <v>2499</v>
      </c>
      <c r="CF20" s="366" t="s">
        <v>2500</v>
      </c>
      <c r="CG20" s="341"/>
      <c r="CH20" s="341"/>
      <c r="CI20" s="366" t="s">
        <v>2501</v>
      </c>
      <c r="CJ20" s="342"/>
      <c r="CK20" s="342"/>
    </row>
    <row r="21">
      <c r="A21" s="343" t="s">
        <v>58</v>
      </c>
      <c r="B21" s="202" t="s">
        <v>2503</v>
      </c>
      <c r="C21" s="196" t="s">
        <v>271</v>
      </c>
      <c r="D21" s="197" t="s">
        <v>271</v>
      </c>
      <c r="E21" s="199" t="s">
        <v>171</v>
      </c>
      <c r="F21" s="201" t="s">
        <v>171</v>
      </c>
      <c r="G21" s="202" t="s">
        <v>2038</v>
      </c>
      <c r="H21" s="303"/>
      <c r="I21" s="303"/>
      <c r="J21" s="344" t="s">
        <v>2505</v>
      </c>
      <c r="K21" s="344" t="s">
        <v>2506</v>
      </c>
      <c r="L21" s="303"/>
      <c r="M21" s="303"/>
      <c r="N21" s="303"/>
      <c r="O21" s="437" t="s">
        <v>2507</v>
      </c>
      <c r="P21" s="217"/>
      <c r="Q21" s="347" t="s">
        <v>2508</v>
      </c>
      <c r="R21" s="348"/>
      <c r="S21" s="347" t="s">
        <v>234</v>
      </c>
      <c r="T21" s="347" t="s">
        <v>2509</v>
      </c>
      <c r="U21" s="347" t="s">
        <v>2510</v>
      </c>
      <c r="V21" s="442" t="s">
        <v>2511</v>
      </c>
      <c r="W21" s="217"/>
      <c r="X21" s="313"/>
      <c r="Y21" s="313"/>
      <c r="Z21" s="312" t="s">
        <v>2513</v>
      </c>
      <c r="AA21" s="602"/>
      <c r="AB21" s="312" t="s">
        <v>1647</v>
      </c>
      <c r="AC21" s="371" t="s">
        <v>2514</v>
      </c>
      <c r="AD21" s="313"/>
      <c r="AE21" s="313"/>
      <c r="AF21" s="313"/>
      <c r="AG21" s="371" t="s">
        <v>2515</v>
      </c>
      <c r="AH21" s="253"/>
      <c r="AI21" s="217"/>
      <c r="AJ21" s="318"/>
      <c r="AK21" s="318"/>
      <c r="AL21" s="318"/>
      <c r="AM21" s="352" t="s">
        <v>2517</v>
      </c>
      <c r="AN21" s="352"/>
      <c r="AO21" s="318"/>
      <c r="AP21" s="318"/>
      <c r="AQ21" s="318"/>
      <c r="AR21" s="318"/>
      <c r="AS21" s="318"/>
      <c r="AT21" s="318"/>
      <c r="AU21" s="318"/>
      <c r="AV21" s="318"/>
      <c r="AW21" s="352" t="s">
        <v>2519</v>
      </c>
      <c r="AX21" s="463" t="s">
        <v>2520</v>
      </c>
      <c r="AY21" s="318"/>
      <c r="AZ21" s="346"/>
      <c r="BA21" s="322"/>
      <c r="BB21" s="386" t="s">
        <v>2521</v>
      </c>
      <c r="BC21" s="386" t="s">
        <v>2522</v>
      </c>
      <c r="BD21" s="386"/>
      <c r="BE21" s="600" t="s">
        <v>2523</v>
      </c>
      <c r="BF21" s="346"/>
      <c r="BG21" s="358" t="s">
        <v>1804</v>
      </c>
      <c r="BH21" s="554" t="s">
        <v>2525</v>
      </c>
      <c r="BI21" s="358" t="s">
        <v>470</v>
      </c>
      <c r="BJ21" s="358" t="s">
        <v>2528</v>
      </c>
      <c r="BK21" s="358" t="s">
        <v>2529</v>
      </c>
      <c r="BL21" s="328"/>
      <c r="BM21" s="358" t="s">
        <v>2530</v>
      </c>
      <c r="BN21" s="217"/>
      <c r="BO21" s="335" t="s">
        <v>2531</v>
      </c>
      <c r="BP21" s="333"/>
      <c r="BQ21" s="336"/>
      <c r="BR21" s="338" t="s">
        <v>2532</v>
      </c>
      <c r="BS21" s="336"/>
      <c r="BT21" s="335" t="s">
        <v>2541</v>
      </c>
      <c r="BU21" s="336"/>
      <c r="BV21" s="335" t="s">
        <v>2542</v>
      </c>
      <c r="BW21" s="335" t="s">
        <v>2544</v>
      </c>
      <c r="BX21" s="217"/>
      <c r="BY21" s="366" t="s">
        <v>2545</v>
      </c>
      <c r="BZ21" s="426"/>
      <c r="CA21" s="341"/>
      <c r="CB21" s="342"/>
      <c r="CC21" s="341"/>
      <c r="CD21" s="341"/>
      <c r="CE21" s="341"/>
      <c r="CF21" s="341"/>
      <c r="CG21" s="341"/>
      <c r="CH21" s="341"/>
      <c r="CI21" s="341"/>
      <c r="CJ21" s="342"/>
      <c r="CK21" s="342"/>
    </row>
    <row r="22">
      <c r="A22" s="617" t="s">
        <v>2547</v>
      </c>
      <c r="B22" s="202" t="s">
        <v>2548</v>
      </c>
      <c r="C22" s="196" t="s">
        <v>271</v>
      </c>
      <c r="D22" s="197" t="s">
        <v>171</v>
      </c>
      <c r="E22" s="199" t="s">
        <v>271</v>
      </c>
      <c r="F22" s="201" t="s">
        <v>176</v>
      </c>
      <c r="G22" s="202" t="s">
        <v>2441</v>
      </c>
      <c r="H22" s="303"/>
      <c r="I22" s="303"/>
      <c r="J22" s="303"/>
      <c r="K22" s="303"/>
      <c r="L22" s="344" t="s">
        <v>2550</v>
      </c>
      <c r="M22" s="303"/>
      <c r="N22" s="344" t="s">
        <v>2551</v>
      </c>
      <c r="O22" s="303"/>
      <c r="P22" s="217"/>
      <c r="Q22" s="348"/>
      <c r="R22" s="348"/>
      <c r="S22" s="348"/>
      <c r="T22" s="348"/>
      <c r="U22" s="347" t="s">
        <v>2553</v>
      </c>
      <c r="V22" s="347" t="s">
        <v>2554</v>
      </c>
      <c r="W22" s="217"/>
      <c r="X22" s="312" t="s">
        <v>1171</v>
      </c>
      <c r="Y22" s="312" t="s">
        <v>2555</v>
      </c>
      <c r="Z22" s="312" t="s">
        <v>2556</v>
      </c>
      <c r="AA22" s="618" t="s">
        <v>2557</v>
      </c>
      <c r="AB22" s="312" t="s">
        <v>2552</v>
      </c>
      <c r="AC22" s="312" t="s">
        <v>2559</v>
      </c>
      <c r="AD22" s="312" t="s">
        <v>2560</v>
      </c>
      <c r="AE22" s="312" t="s">
        <v>2561</v>
      </c>
      <c r="AF22" s="312"/>
      <c r="AG22" s="312" t="s">
        <v>2562</v>
      </c>
      <c r="AH22" s="619" t="s">
        <v>2563</v>
      </c>
      <c r="AI22" s="217"/>
      <c r="AJ22" s="352"/>
      <c r="AK22" s="352" t="s">
        <v>2566</v>
      </c>
      <c r="AL22" s="318"/>
      <c r="AM22" s="352" t="s">
        <v>2567</v>
      </c>
      <c r="AN22" s="318"/>
      <c r="AO22" s="318"/>
      <c r="AP22" s="352" t="s">
        <v>2569</v>
      </c>
      <c r="AQ22" s="318"/>
      <c r="AR22" s="352" t="s">
        <v>2571</v>
      </c>
      <c r="AS22" s="352"/>
      <c r="AT22" s="236"/>
      <c r="AU22" s="318"/>
      <c r="AV22" s="463" t="s">
        <v>2572</v>
      </c>
      <c r="AW22" s="355" t="s">
        <v>2573</v>
      </c>
      <c r="AX22" s="352" t="s">
        <v>2577</v>
      </c>
      <c r="AY22" s="352" t="s">
        <v>2578</v>
      </c>
      <c r="AZ22" s="346"/>
      <c r="BA22" s="322"/>
      <c r="BB22" s="356" t="s">
        <v>2579</v>
      </c>
      <c r="BC22" s="386" t="s">
        <v>2582</v>
      </c>
      <c r="BD22" s="386"/>
      <c r="BE22" s="622" t="s">
        <v>2583</v>
      </c>
      <c r="BF22" s="346"/>
      <c r="BG22" s="328"/>
      <c r="BH22" s="328"/>
      <c r="BI22" s="328"/>
      <c r="BJ22" s="328"/>
      <c r="BK22" s="328"/>
      <c r="BL22" s="388" t="s">
        <v>2585</v>
      </c>
      <c r="BM22" s="358" t="s">
        <v>2587</v>
      </c>
      <c r="BN22" s="217"/>
      <c r="BO22" s="336"/>
      <c r="BP22" s="333"/>
      <c r="BQ22" s="336"/>
      <c r="BR22" s="336"/>
      <c r="BS22" s="332" t="s">
        <v>2588</v>
      </c>
      <c r="BT22" s="336"/>
      <c r="BU22" s="336"/>
      <c r="BV22" s="336"/>
      <c r="BW22" s="335" t="s">
        <v>2590</v>
      </c>
      <c r="BX22" s="217"/>
      <c r="BY22" s="341"/>
      <c r="BZ22" s="341"/>
      <c r="CA22" s="341"/>
      <c r="CB22" s="342"/>
      <c r="CC22" s="341"/>
      <c r="CD22" s="341"/>
      <c r="CE22" s="341"/>
      <c r="CF22" s="341"/>
      <c r="CG22" s="341"/>
      <c r="CH22" s="341"/>
      <c r="CI22" s="341"/>
      <c r="CJ22" s="342"/>
      <c r="CK22" s="342"/>
    </row>
    <row r="23">
      <c r="A23" s="343" t="s">
        <v>2596</v>
      </c>
      <c r="B23" s="202" t="s">
        <v>2597</v>
      </c>
      <c r="C23" s="196" t="s">
        <v>171</v>
      </c>
      <c r="D23" s="197" t="s">
        <v>271</v>
      </c>
      <c r="E23" s="199" t="s">
        <v>271</v>
      </c>
      <c r="F23" s="201" t="s">
        <v>171</v>
      </c>
      <c r="G23" s="202" t="s">
        <v>2064</v>
      </c>
      <c r="H23" s="303"/>
      <c r="I23" s="303"/>
      <c r="J23" s="344" t="s">
        <v>929</v>
      </c>
      <c r="K23" s="344" t="s">
        <v>2599</v>
      </c>
      <c r="L23" s="344"/>
      <c r="M23" s="303"/>
      <c r="N23" s="303"/>
      <c r="O23" s="344" t="s">
        <v>2600</v>
      </c>
      <c r="P23" s="217"/>
      <c r="Q23" s="347" t="s">
        <v>2601</v>
      </c>
      <c r="R23" s="347" t="s">
        <v>2602</v>
      </c>
      <c r="S23" s="347" t="s">
        <v>2603</v>
      </c>
      <c r="T23" s="347" t="s">
        <v>685</v>
      </c>
      <c r="U23" s="348"/>
      <c r="V23" s="347" t="s">
        <v>2605</v>
      </c>
      <c r="W23" s="217"/>
      <c r="X23" s="312" t="s">
        <v>2606</v>
      </c>
      <c r="Y23" s="313"/>
      <c r="Z23" s="312" t="s">
        <v>2607</v>
      </c>
      <c r="AA23" s="312" t="s">
        <v>2608</v>
      </c>
      <c r="AB23" s="312" t="s">
        <v>2609</v>
      </c>
      <c r="AC23" s="312" t="s">
        <v>2173</v>
      </c>
      <c r="AD23" s="312" t="s">
        <v>765</v>
      </c>
      <c r="AE23" s="312" t="s">
        <v>1572</v>
      </c>
      <c r="AF23" s="312"/>
      <c r="AG23" s="312" t="s">
        <v>2611</v>
      </c>
      <c r="AH23" s="626" t="s">
        <v>2612</v>
      </c>
      <c r="AI23" s="217"/>
      <c r="AJ23" s="318"/>
      <c r="AK23" s="318"/>
      <c r="AL23" s="319" t="s">
        <v>2614</v>
      </c>
      <c r="AM23" s="352" t="s">
        <v>2617</v>
      </c>
      <c r="AN23" s="352"/>
      <c r="AO23" s="318"/>
      <c r="AP23" s="318"/>
      <c r="AQ23" s="318"/>
      <c r="AR23" s="352" t="s">
        <v>2619</v>
      </c>
      <c r="AS23" s="352"/>
      <c r="AT23" s="318"/>
      <c r="AU23" s="352" t="s">
        <v>2620</v>
      </c>
      <c r="AV23" s="463" t="s">
        <v>2621</v>
      </c>
      <c r="AW23" s="352" t="s">
        <v>529</v>
      </c>
      <c r="AX23" s="463" t="s">
        <v>2622</v>
      </c>
      <c r="AY23" s="352" t="s">
        <v>2623</v>
      </c>
      <c r="AZ23" s="346"/>
      <c r="BA23" s="386" t="s">
        <v>2624</v>
      </c>
      <c r="BB23" s="386" t="s">
        <v>2625</v>
      </c>
      <c r="BC23" s="322"/>
      <c r="BD23" s="322"/>
      <c r="BE23" s="386" t="s">
        <v>2627</v>
      </c>
      <c r="BF23" s="346"/>
      <c r="BG23" s="358" t="s">
        <v>2091</v>
      </c>
      <c r="BH23" s="328"/>
      <c r="BI23" s="358" t="s">
        <v>1608</v>
      </c>
      <c r="BJ23" s="358" t="s">
        <v>2629</v>
      </c>
      <c r="BK23" s="358" t="s">
        <v>2630</v>
      </c>
      <c r="BL23" s="358" t="s">
        <v>2632</v>
      </c>
      <c r="BM23" s="574" t="s">
        <v>2633</v>
      </c>
      <c r="BN23" s="217"/>
      <c r="BO23" s="335" t="s">
        <v>2634</v>
      </c>
      <c r="BP23" s="335" t="s">
        <v>2635</v>
      </c>
      <c r="BQ23" s="336"/>
      <c r="BR23" s="335" t="s">
        <v>2636</v>
      </c>
      <c r="BS23" s="336"/>
      <c r="BT23" s="335" t="s">
        <v>2637</v>
      </c>
      <c r="BU23" s="335" t="s">
        <v>2639</v>
      </c>
      <c r="BV23" s="335" t="s">
        <v>2640</v>
      </c>
      <c r="BW23" s="335" t="s">
        <v>2641</v>
      </c>
      <c r="BX23" s="217"/>
      <c r="BY23" s="628" t="s">
        <v>2642</v>
      </c>
      <c r="BZ23" s="366" t="s">
        <v>1129</v>
      </c>
      <c r="CA23" s="341"/>
      <c r="CB23" s="342"/>
      <c r="CC23" s="341"/>
      <c r="CD23" s="341"/>
      <c r="CE23" s="366" t="s">
        <v>2645</v>
      </c>
      <c r="CF23" s="366" t="s">
        <v>2646</v>
      </c>
      <c r="CG23" s="341"/>
      <c r="CH23" s="341"/>
      <c r="CI23" s="341"/>
      <c r="CJ23" s="342"/>
      <c r="CK23" s="342"/>
    </row>
    <row r="24">
      <c r="A24" s="343" t="s">
        <v>2647</v>
      </c>
      <c r="B24" s="202" t="s">
        <v>2648</v>
      </c>
      <c r="C24" s="196" t="s">
        <v>271</v>
      </c>
      <c r="D24" s="197" t="s">
        <v>271</v>
      </c>
      <c r="E24" s="199" t="s">
        <v>271</v>
      </c>
      <c r="F24" s="201" t="s">
        <v>399</v>
      </c>
      <c r="G24" s="202" t="s">
        <v>1926</v>
      </c>
      <c r="H24" s="303"/>
      <c r="I24" s="303"/>
      <c r="J24" s="303"/>
      <c r="K24" s="303"/>
      <c r="L24" s="539" t="s">
        <v>2651</v>
      </c>
      <c r="M24" s="303"/>
      <c r="N24" s="437" t="s">
        <v>2653</v>
      </c>
      <c r="O24" s="303"/>
      <c r="P24" s="217"/>
      <c r="Q24" s="348"/>
      <c r="R24" s="348"/>
      <c r="S24" s="348"/>
      <c r="T24" s="348"/>
      <c r="U24" s="347"/>
      <c r="V24" s="442" t="s">
        <v>2655</v>
      </c>
      <c r="W24" s="217"/>
      <c r="X24" s="313"/>
      <c r="Y24" s="313"/>
      <c r="Z24" s="447" t="s">
        <v>2656</v>
      </c>
      <c r="AA24" s="313"/>
      <c r="AB24" s="313"/>
      <c r="AC24" s="313"/>
      <c r="AD24" s="313"/>
      <c r="AE24" s="631" t="str">
        <f>HYPERLINK("https://youtu.be/0lXotWIeH0g","49.54")</f>
        <v>49.54</v>
      </c>
      <c r="AF24" s="602"/>
      <c r="AG24" s="371" t="s">
        <v>2658</v>
      </c>
      <c r="AH24" s="409" t="s">
        <v>2659</v>
      </c>
      <c r="AI24" s="217"/>
      <c r="AJ24" s="318"/>
      <c r="AK24" s="318"/>
      <c r="AL24" s="318"/>
      <c r="AM24" s="632" t="str">
        <f>HYPERLINK("https://youtu.be/Tp8lzZy1loo","52.74")</f>
        <v>52.74</v>
      </c>
      <c r="AN24" s="459"/>
      <c r="AO24" s="459"/>
      <c r="AP24" s="318"/>
      <c r="AQ24" s="318"/>
      <c r="AR24" s="318"/>
      <c r="AS24" s="318"/>
      <c r="AT24" s="318"/>
      <c r="AU24" s="318"/>
      <c r="AV24" s="318"/>
      <c r="AW24" s="318"/>
      <c r="AX24" s="318"/>
      <c r="AY24" s="374" t="s">
        <v>2661</v>
      </c>
      <c r="AZ24" s="346"/>
      <c r="BA24" s="322"/>
      <c r="BB24" s="322"/>
      <c r="BC24" s="465" t="s">
        <v>2664</v>
      </c>
      <c r="BD24" s="322"/>
      <c r="BE24" s="600" t="s">
        <v>2665</v>
      </c>
      <c r="BF24" s="346"/>
      <c r="BG24" s="328"/>
      <c r="BH24" s="328"/>
      <c r="BI24" s="328"/>
      <c r="BJ24" s="328"/>
      <c r="BK24" s="328"/>
      <c r="BL24" s="478" t="str">
        <f>HYPERLINK("https://youtu.be/ZWHJWoriERw","3:48.70")</f>
        <v>3:48.70</v>
      </c>
      <c r="BM24" s="331" t="s">
        <v>2668</v>
      </c>
      <c r="BN24" s="217"/>
      <c r="BO24" s="333" t="s">
        <v>602</v>
      </c>
      <c r="BP24" s="333"/>
      <c r="BQ24" s="336"/>
      <c r="BR24" s="336"/>
      <c r="BS24" s="336"/>
      <c r="BT24" s="364" t="str">
        <f>HYPERLINK("https://youtu.be/-5bLlrzaDDc","27.91")</f>
        <v>27.91</v>
      </c>
      <c r="BU24" s="333" t="s">
        <v>2464</v>
      </c>
      <c r="BV24" s="336"/>
      <c r="BW24" s="634" t="str">
        <f>HYPERLINK("https://youtu.be/x9mZaYceJJ8","2:08.04")</f>
        <v>2:08.04</v>
      </c>
      <c r="BX24" s="280"/>
      <c r="BY24" s="341"/>
      <c r="BZ24" s="341"/>
      <c r="CA24" s="341"/>
      <c r="CB24" s="342"/>
      <c r="CC24" s="341"/>
      <c r="CD24" s="341"/>
      <c r="CE24" s="341"/>
      <c r="CF24" s="341"/>
      <c r="CG24" s="341"/>
      <c r="CH24" s="341"/>
      <c r="CI24" s="341"/>
      <c r="CJ24" s="342"/>
      <c r="CK24" s="342"/>
    </row>
    <row r="25">
      <c r="A25" s="343" t="s">
        <v>82</v>
      </c>
      <c r="B25" s="202" t="s">
        <v>2677</v>
      </c>
      <c r="C25" s="196" t="s">
        <v>171</v>
      </c>
      <c r="D25" s="197" t="s">
        <v>271</v>
      </c>
      <c r="E25" s="199" t="s">
        <v>271</v>
      </c>
      <c r="F25" s="201" t="s">
        <v>171</v>
      </c>
      <c r="G25" s="202" t="s">
        <v>1234</v>
      </c>
      <c r="H25" s="303"/>
      <c r="I25" s="303"/>
      <c r="J25" s="303"/>
      <c r="K25" s="344" t="s">
        <v>2681</v>
      </c>
      <c r="L25" s="344" t="s">
        <v>2682</v>
      </c>
      <c r="M25" s="303"/>
      <c r="N25" s="344" t="s">
        <v>2685</v>
      </c>
      <c r="O25" s="344" t="s">
        <v>2686</v>
      </c>
      <c r="P25" s="217"/>
      <c r="Q25" s="347" t="s">
        <v>2687</v>
      </c>
      <c r="R25" s="347" t="s">
        <v>2688</v>
      </c>
      <c r="S25" s="347" t="s">
        <v>2689</v>
      </c>
      <c r="T25" s="348"/>
      <c r="U25" s="348"/>
      <c r="V25" s="347" t="s">
        <v>2690</v>
      </c>
      <c r="W25" s="217"/>
      <c r="X25" s="312" t="s">
        <v>2693</v>
      </c>
      <c r="Y25" s="312" t="s">
        <v>2694</v>
      </c>
      <c r="Z25" s="312" t="s">
        <v>2696</v>
      </c>
      <c r="AA25" s="618" t="s">
        <v>2697</v>
      </c>
      <c r="AB25" s="313"/>
      <c r="AC25" s="312" t="s">
        <v>2698</v>
      </c>
      <c r="AD25" s="312" t="s">
        <v>545</v>
      </c>
      <c r="AE25" s="312" t="s">
        <v>212</v>
      </c>
      <c r="AF25" s="313"/>
      <c r="AG25" s="312" t="s">
        <v>2699</v>
      </c>
      <c r="AH25" s="253"/>
      <c r="AI25" s="217"/>
      <c r="AJ25" s="318"/>
      <c r="AK25" s="318"/>
      <c r="AL25" s="318"/>
      <c r="AM25" s="352" t="s">
        <v>2700</v>
      </c>
      <c r="AN25" s="318"/>
      <c r="AO25" s="318"/>
      <c r="AP25" s="352" t="s">
        <v>2702</v>
      </c>
      <c r="AQ25" s="318"/>
      <c r="AR25" s="352" t="s">
        <v>2703</v>
      </c>
      <c r="AS25" s="352" t="s">
        <v>2704</v>
      </c>
      <c r="AT25" s="463" t="s">
        <v>2705</v>
      </c>
      <c r="AU25" s="352" t="s">
        <v>2706</v>
      </c>
      <c r="AV25" s="318"/>
      <c r="AW25" s="352" t="s">
        <v>1310</v>
      </c>
      <c r="AX25" s="318"/>
      <c r="AY25" s="352" t="s">
        <v>2708</v>
      </c>
      <c r="AZ25" s="346"/>
      <c r="BA25" s="386" t="s">
        <v>2709</v>
      </c>
      <c r="BB25" s="386" t="s">
        <v>2710</v>
      </c>
      <c r="BC25" s="386" t="s">
        <v>2711</v>
      </c>
      <c r="BD25" s="322"/>
      <c r="BE25" s="386" t="s">
        <v>2712</v>
      </c>
      <c r="BF25" s="346"/>
      <c r="BG25" s="358" t="s">
        <v>1578</v>
      </c>
      <c r="BH25" s="358" t="s">
        <v>2713</v>
      </c>
      <c r="BI25" s="358" t="s">
        <v>2714</v>
      </c>
      <c r="BJ25" s="554" t="s">
        <v>2715</v>
      </c>
      <c r="BK25" s="328"/>
      <c r="BL25" s="358" t="s">
        <v>2717</v>
      </c>
      <c r="BM25" s="358" t="s">
        <v>2718</v>
      </c>
      <c r="BN25" s="217"/>
      <c r="BO25" s="335" t="s">
        <v>2719</v>
      </c>
      <c r="BP25" s="333"/>
      <c r="BQ25" s="336"/>
      <c r="BR25" s="335" t="s">
        <v>2721</v>
      </c>
      <c r="BS25" s="336"/>
      <c r="BT25" s="335" t="s">
        <v>2722</v>
      </c>
      <c r="BU25" s="336"/>
      <c r="BV25" s="335" t="s">
        <v>2723</v>
      </c>
      <c r="BW25" s="335" t="s">
        <v>2724</v>
      </c>
      <c r="BX25" s="217"/>
      <c r="BY25" s="366" t="s">
        <v>818</v>
      </c>
      <c r="BZ25" s="366"/>
      <c r="CA25" s="341"/>
      <c r="CB25" s="342"/>
      <c r="CC25" s="340" t="s">
        <v>2725</v>
      </c>
      <c r="CD25" s="341"/>
      <c r="CE25" s="341"/>
      <c r="CF25" s="366" t="s">
        <v>972</v>
      </c>
      <c r="CG25" s="341"/>
      <c r="CH25" s="341"/>
      <c r="CI25" s="341"/>
      <c r="CJ25" s="342"/>
      <c r="CK25" s="342"/>
    </row>
    <row r="26">
      <c r="A26" s="638" t="s">
        <v>536</v>
      </c>
      <c r="B26" s="202" t="s">
        <v>2733</v>
      </c>
      <c r="C26" s="196" t="s">
        <v>271</v>
      </c>
      <c r="D26" s="197" t="s">
        <v>271</v>
      </c>
      <c r="E26" s="199" t="s">
        <v>271</v>
      </c>
      <c r="F26" s="201" t="s">
        <v>178</v>
      </c>
      <c r="G26" s="202" t="s">
        <v>1791</v>
      </c>
      <c r="H26" s="304" t="s">
        <v>2735</v>
      </c>
      <c r="I26" s="304" t="s">
        <v>2738</v>
      </c>
      <c r="J26" s="639"/>
      <c r="K26" s="304" t="s">
        <v>1042</v>
      </c>
      <c r="L26" s="344"/>
      <c r="M26" s="303"/>
      <c r="N26" s="303"/>
      <c r="O26" s="437" t="s">
        <v>2746</v>
      </c>
      <c r="P26" s="217"/>
      <c r="Q26" s="442" t="s">
        <v>2747</v>
      </c>
      <c r="R26" s="348"/>
      <c r="S26" s="348"/>
      <c r="T26" s="442" t="s">
        <v>1082</v>
      </c>
      <c r="U26" s="347"/>
      <c r="V26" s="442" t="s">
        <v>2748</v>
      </c>
      <c r="W26" s="217"/>
      <c r="X26" s="371" t="s">
        <v>2751</v>
      </c>
      <c r="Y26" s="313"/>
      <c r="Z26" s="371" t="s">
        <v>2753</v>
      </c>
      <c r="AA26" s="602"/>
      <c r="AB26" s="371" t="s">
        <v>2754</v>
      </c>
      <c r="AC26" s="313"/>
      <c r="AD26" s="313"/>
      <c r="AE26" s="371" t="s">
        <v>2755</v>
      </c>
      <c r="AF26" s="312"/>
      <c r="AG26" s="371" t="s">
        <v>2756</v>
      </c>
      <c r="AH26" s="253"/>
      <c r="AI26" s="217"/>
      <c r="AJ26" s="318"/>
      <c r="AK26" s="318"/>
      <c r="AL26" s="318"/>
      <c r="AM26" s="318"/>
      <c r="AN26" s="318"/>
      <c r="AO26" s="463" t="s">
        <v>2759</v>
      </c>
      <c r="AP26" s="318"/>
      <c r="AQ26" s="355" t="s">
        <v>2760</v>
      </c>
      <c r="AR26" s="318"/>
      <c r="AS26" s="318"/>
      <c r="AT26" s="318"/>
      <c r="AU26" s="318"/>
      <c r="AV26" s="318"/>
      <c r="AW26" s="355" t="s">
        <v>2763</v>
      </c>
      <c r="AX26" s="318"/>
      <c r="AY26" s="318"/>
      <c r="AZ26" s="346"/>
      <c r="BA26" s="322"/>
      <c r="BB26" s="322"/>
      <c r="BC26" s="322"/>
      <c r="BD26" s="322"/>
      <c r="BE26" s="600" t="s">
        <v>2765</v>
      </c>
      <c r="BF26" s="346"/>
      <c r="BG26" s="554" t="s">
        <v>2766</v>
      </c>
      <c r="BH26" s="328"/>
      <c r="BI26" s="328"/>
      <c r="BJ26" s="328"/>
      <c r="BK26" s="328"/>
      <c r="BL26" s="328"/>
      <c r="BM26" s="554" t="s">
        <v>2769</v>
      </c>
      <c r="BN26" s="217"/>
      <c r="BO26" s="337" t="s">
        <v>2195</v>
      </c>
      <c r="BP26" s="333"/>
      <c r="BQ26" s="336"/>
      <c r="BR26" s="336"/>
      <c r="BS26" s="336"/>
      <c r="BT26" s="336"/>
      <c r="BU26" s="336"/>
      <c r="BV26" s="337" t="s">
        <v>2771</v>
      </c>
      <c r="BW26" s="336"/>
      <c r="BX26" s="217"/>
      <c r="BY26" s="391" t="s">
        <v>2774</v>
      </c>
      <c r="BZ26" s="341"/>
      <c r="CA26" s="341"/>
      <c r="CB26" s="342"/>
      <c r="CC26" s="341"/>
      <c r="CD26" s="341"/>
      <c r="CE26" s="391" t="s">
        <v>2484</v>
      </c>
      <c r="CF26" s="366" t="s">
        <v>2779</v>
      </c>
      <c r="CG26" s="341"/>
      <c r="CH26" s="341"/>
      <c r="CI26" s="341"/>
      <c r="CJ26" s="342"/>
      <c r="CK26" s="342"/>
    </row>
    <row r="27">
      <c r="A27" s="343" t="s">
        <v>63</v>
      </c>
      <c r="B27" s="202" t="s">
        <v>2781</v>
      </c>
      <c r="C27" s="196" t="s">
        <v>271</v>
      </c>
      <c r="D27" s="197" t="s">
        <v>271</v>
      </c>
      <c r="E27" s="199" t="s">
        <v>271</v>
      </c>
      <c r="F27" s="201" t="s">
        <v>233</v>
      </c>
      <c r="G27" s="202" t="s">
        <v>1791</v>
      </c>
      <c r="H27" s="303"/>
      <c r="I27" s="303"/>
      <c r="J27" s="303"/>
      <c r="K27" s="303"/>
      <c r="L27" s="344" t="s">
        <v>308</v>
      </c>
      <c r="M27" s="303"/>
      <c r="N27" s="344" t="s">
        <v>2783</v>
      </c>
      <c r="O27" s="344"/>
      <c r="P27" s="217"/>
      <c r="Q27" s="348"/>
      <c r="R27" s="348"/>
      <c r="S27" s="348"/>
      <c r="T27" s="348"/>
      <c r="U27" s="348"/>
      <c r="V27" s="442" t="s">
        <v>2785</v>
      </c>
      <c r="W27" s="217"/>
      <c r="X27" s="312" t="s">
        <v>2786</v>
      </c>
      <c r="Y27" s="371" t="s">
        <v>2788</v>
      </c>
      <c r="Z27" s="313"/>
      <c r="AA27" s="642" t="s">
        <v>2789</v>
      </c>
      <c r="AB27" s="313"/>
      <c r="AC27" s="230" t="s">
        <v>2791</v>
      </c>
      <c r="AD27" s="312" t="s">
        <v>2797</v>
      </c>
      <c r="AE27" s="312" t="s">
        <v>2798</v>
      </c>
      <c r="AF27" s="312"/>
      <c r="AG27" s="371" t="s">
        <v>2800</v>
      </c>
      <c r="AH27" s="253"/>
      <c r="AI27" s="217"/>
      <c r="AJ27" s="318"/>
      <c r="AK27" s="318"/>
      <c r="AL27" s="318"/>
      <c r="AM27" s="352" t="s">
        <v>2801</v>
      </c>
      <c r="AN27" s="318"/>
      <c r="AO27" s="318"/>
      <c r="AP27" s="318"/>
      <c r="AQ27" s="318"/>
      <c r="AR27" s="318"/>
      <c r="AS27" s="318"/>
      <c r="AT27" s="318"/>
      <c r="AU27" s="318"/>
      <c r="AV27" s="318"/>
      <c r="AW27" s="318"/>
      <c r="AX27" s="318"/>
      <c r="AY27" s="463" t="s">
        <v>2806</v>
      </c>
      <c r="AZ27" s="346"/>
      <c r="BA27" s="322"/>
      <c r="BB27" s="322"/>
      <c r="BC27" s="322"/>
      <c r="BD27" s="322"/>
      <c r="BE27" s="386" t="s">
        <v>2809</v>
      </c>
      <c r="BF27" s="346"/>
      <c r="BG27" s="328"/>
      <c r="BH27" s="328"/>
      <c r="BI27" s="328"/>
      <c r="BJ27" s="328"/>
      <c r="BK27" s="328"/>
      <c r="BL27" s="358" t="s">
        <v>2810</v>
      </c>
      <c r="BM27" s="328"/>
      <c r="BN27" s="217"/>
      <c r="BO27" s="335" t="s">
        <v>2812</v>
      </c>
      <c r="BP27" s="333"/>
      <c r="BQ27" s="336"/>
      <c r="BR27" s="335" t="s">
        <v>2814</v>
      </c>
      <c r="BS27" s="364" t="s">
        <v>2062</v>
      </c>
      <c r="BT27" s="335" t="s">
        <v>2819</v>
      </c>
      <c r="BU27" s="336"/>
      <c r="BV27" s="337" t="s">
        <v>2821</v>
      </c>
      <c r="BW27" s="335" t="s">
        <v>2822</v>
      </c>
      <c r="BX27" s="217"/>
      <c r="BY27" s="341"/>
      <c r="BZ27" s="341"/>
      <c r="CA27" s="341"/>
      <c r="CB27" s="342"/>
      <c r="CC27" s="341"/>
      <c r="CD27" s="341"/>
      <c r="CE27" s="366" t="s">
        <v>2823</v>
      </c>
      <c r="CF27" s="482" t="s">
        <v>2824</v>
      </c>
      <c r="CG27" s="341"/>
      <c r="CH27" s="341"/>
      <c r="CI27" s="341"/>
      <c r="CJ27" s="342"/>
      <c r="CK27" s="342"/>
    </row>
    <row r="28">
      <c r="A28" s="343" t="s">
        <v>2825</v>
      </c>
      <c r="B28" s="202" t="s">
        <v>2827</v>
      </c>
      <c r="C28" s="196" t="s">
        <v>171</v>
      </c>
      <c r="D28" s="197" t="s">
        <v>271</v>
      </c>
      <c r="E28" s="199" t="s">
        <v>171</v>
      </c>
      <c r="F28" s="201" t="s">
        <v>176</v>
      </c>
      <c r="G28" s="202" t="s">
        <v>398</v>
      </c>
      <c r="H28" s="344" t="s">
        <v>2828</v>
      </c>
      <c r="I28" s="344"/>
      <c r="J28" s="344"/>
      <c r="K28" s="303"/>
      <c r="L28" s="344" t="s">
        <v>2830</v>
      </c>
      <c r="M28" s="303"/>
      <c r="N28" s="344" t="s">
        <v>2831</v>
      </c>
      <c r="O28" s="303"/>
      <c r="P28" s="217"/>
      <c r="Q28" s="347" t="s">
        <v>2834</v>
      </c>
      <c r="R28" s="348"/>
      <c r="S28" s="348"/>
      <c r="T28" s="348"/>
      <c r="U28" s="442" t="s">
        <v>2835</v>
      </c>
      <c r="V28" s="347" t="s">
        <v>2836</v>
      </c>
      <c r="W28" s="217"/>
      <c r="X28" s="312"/>
      <c r="Y28" s="312"/>
      <c r="Z28" s="312" t="s">
        <v>314</v>
      </c>
      <c r="AA28" s="618" t="s">
        <v>2127</v>
      </c>
      <c r="AB28" s="312" t="s">
        <v>2837</v>
      </c>
      <c r="AC28" s="313"/>
      <c r="AD28" s="313"/>
      <c r="AE28" s="312" t="s">
        <v>2839</v>
      </c>
      <c r="AF28" s="312"/>
      <c r="AG28" s="372" t="s">
        <v>2841</v>
      </c>
      <c r="AH28" s="571" t="s">
        <v>2842</v>
      </c>
      <c r="AI28" s="217"/>
      <c r="AJ28" s="410"/>
      <c r="AK28" s="319" t="s">
        <v>2843</v>
      </c>
      <c r="AL28" s="318"/>
      <c r="AM28" s="318"/>
      <c r="AN28" s="318"/>
      <c r="AO28" s="318"/>
      <c r="AP28" s="318"/>
      <c r="AQ28" s="318"/>
      <c r="AR28" s="463" t="s">
        <v>2846</v>
      </c>
      <c r="AS28" s="352" t="s">
        <v>2847</v>
      </c>
      <c r="AT28" s="318"/>
      <c r="AU28" s="318"/>
      <c r="AV28" s="463" t="s">
        <v>1936</v>
      </c>
      <c r="AW28" s="352" t="s">
        <v>460</v>
      </c>
      <c r="AX28" s="318"/>
      <c r="AY28" s="352" t="s">
        <v>2850</v>
      </c>
      <c r="AZ28" s="346"/>
      <c r="BA28" s="322"/>
      <c r="BB28" s="322"/>
      <c r="BC28" s="322"/>
      <c r="BD28" s="322"/>
      <c r="BE28" s="386" t="s">
        <v>2851</v>
      </c>
      <c r="BF28" s="346"/>
      <c r="BG28" s="328"/>
      <c r="BH28" s="328"/>
      <c r="BI28" s="328"/>
      <c r="BJ28" s="358"/>
      <c r="BK28" s="328"/>
      <c r="BL28" s="553" t="s">
        <v>2853</v>
      </c>
      <c r="BM28" s="331" t="s">
        <v>2856</v>
      </c>
      <c r="BN28" s="217"/>
      <c r="BO28" s="335" t="s">
        <v>2859</v>
      </c>
      <c r="BP28" s="333"/>
      <c r="BQ28" s="336"/>
      <c r="BR28" s="335" t="s">
        <v>2860</v>
      </c>
      <c r="BS28" s="336"/>
      <c r="BT28" s="337" t="s">
        <v>2861</v>
      </c>
      <c r="BU28" s="336"/>
      <c r="BV28" s="335" t="s">
        <v>2862</v>
      </c>
      <c r="BW28" s="335" t="s">
        <v>2863</v>
      </c>
      <c r="BX28" s="217"/>
      <c r="BY28" s="341"/>
      <c r="BZ28" s="341"/>
      <c r="CA28" s="341"/>
      <c r="CB28" s="342"/>
      <c r="CC28" s="341"/>
      <c r="CD28" s="341"/>
      <c r="CE28" s="391" t="s">
        <v>2866</v>
      </c>
      <c r="CF28" s="341"/>
      <c r="CG28" s="341"/>
      <c r="CH28" s="341"/>
      <c r="CI28" s="341"/>
      <c r="CJ28" s="342"/>
      <c r="CK28" s="342"/>
    </row>
    <row r="29">
      <c r="A29" s="638" t="s">
        <v>93</v>
      </c>
      <c r="B29" s="202" t="s">
        <v>2868</v>
      </c>
      <c r="C29" s="196" t="s">
        <v>271</v>
      </c>
      <c r="D29" s="197" t="s">
        <v>274</v>
      </c>
      <c r="E29" s="199" t="s">
        <v>233</v>
      </c>
      <c r="F29" s="201" t="s">
        <v>205</v>
      </c>
      <c r="G29" s="202" t="s">
        <v>205</v>
      </c>
      <c r="H29" s="303"/>
      <c r="I29" s="303"/>
      <c r="J29" s="303"/>
      <c r="K29" s="303"/>
      <c r="L29" s="303"/>
      <c r="M29" s="303"/>
      <c r="N29" s="645" t="str">
        <f>HYPERLINK("http://www.twitch.tv/nanashi745/v/479076791?sr=a&amp;t=235s", "4:19.41")</f>
        <v>4:19.41</v>
      </c>
      <c r="O29" s="646"/>
      <c r="P29" s="280"/>
      <c r="Q29" s="348"/>
      <c r="R29" s="347"/>
      <c r="S29" s="347"/>
      <c r="T29" s="348"/>
      <c r="U29" s="647"/>
      <c r="V29" s="486" t="s">
        <v>2872</v>
      </c>
      <c r="W29" s="280"/>
      <c r="X29" s="313"/>
      <c r="Y29" s="313"/>
      <c r="Z29" s="313"/>
      <c r="AA29" s="313"/>
      <c r="AB29" s="313"/>
      <c r="AC29" s="313"/>
      <c r="AD29" s="313"/>
      <c r="AE29" s="313"/>
      <c r="AF29" s="313"/>
      <c r="AG29" s="631" t="str">
        <f>HYPERLINK("http://www.twitch.tv/nanashi745/v/479079352?sr=a&amp;t=188s", "3:14.08")</f>
        <v>3:14.08</v>
      </c>
      <c r="AH29" s="253"/>
      <c r="AI29" s="280"/>
      <c r="AJ29" s="318"/>
      <c r="AK29" s="318"/>
      <c r="AL29" s="318"/>
      <c r="AM29" s="318"/>
      <c r="AN29" s="318"/>
      <c r="AO29" s="318"/>
      <c r="AP29" s="318"/>
      <c r="AQ29" s="318"/>
      <c r="AR29" s="318"/>
      <c r="AS29" s="318"/>
      <c r="AT29" s="318"/>
      <c r="AU29" s="318"/>
      <c r="AV29" s="318"/>
      <c r="AW29" s="318"/>
      <c r="AX29" s="632" t="str">
        <f>HYPERLINK("http://www.twitch.tv/nanashi745/v/479080915?sr=a&amp;t=0s", "1:37.18")</f>
        <v>1:37.18</v>
      </c>
      <c r="AY29" s="318"/>
      <c r="AZ29" s="346"/>
      <c r="BA29" s="322"/>
      <c r="BB29" s="322"/>
      <c r="BC29" s="322"/>
      <c r="BD29" s="322"/>
      <c r="BE29" s="323" t="s">
        <v>2874</v>
      </c>
      <c r="BF29" s="346"/>
      <c r="BG29" s="328"/>
      <c r="BH29" s="328"/>
      <c r="BI29" s="328"/>
      <c r="BJ29" s="328"/>
      <c r="BK29" s="328"/>
      <c r="BL29" s="328"/>
      <c r="BM29" s="360" t="s">
        <v>2880</v>
      </c>
      <c r="BN29" s="280"/>
      <c r="BO29" s="634" t="str">
        <f>HYPERLINK("https://youtu.be/oOY4TocVyJU","1:05.01")</f>
        <v>1:05.01</v>
      </c>
      <c r="BP29" s="333"/>
      <c r="BQ29" s="336"/>
      <c r="BR29" s="335"/>
      <c r="BS29" s="335"/>
      <c r="BT29" s="336"/>
      <c r="BU29" s="336"/>
      <c r="BV29" s="336"/>
      <c r="BW29" s="332" t="s">
        <v>2885</v>
      </c>
      <c r="BX29" s="280"/>
      <c r="BY29" s="341"/>
      <c r="BZ29" s="341"/>
      <c r="CA29" s="426"/>
      <c r="CB29" s="649"/>
      <c r="CC29" s="426"/>
      <c r="CD29" s="341"/>
      <c r="CE29" s="341"/>
      <c r="CF29" s="341"/>
      <c r="CG29" s="341"/>
      <c r="CH29" s="341"/>
      <c r="CI29" s="341"/>
      <c r="CJ29" s="342"/>
      <c r="CK29" s="342"/>
    </row>
    <row r="30">
      <c r="A30" s="343" t="s">
        <v>59</v>
      </c>
      <c r="B30" s="202" t="s">
        <v>2892</v>
      </c>
      <c r="C30" s="196" t="s">
        <v>271</v>
      </c>
      <c r="D30" s="197" t="s">
        <v>271</v>
      </c>
      <c r="E30" s="199" t="s">
        <v>271</v>
      </c>
      <c r="F30" s="201" t="s">
        <v>233</v>
      </c>
      <c r="G30" s="202" t="s">
        <v>1428</v>
      </c>
      <c r="H30" s="344" t="s">
        <v>2894</v>
      </c>
      <c r="I30" s="303"/>
      <c r="J30" s="303"/>
      <c r="K30" s="303"/>
      <c r="L30" s="344" t="s">
        <v>2895</v>
      </c>
      <c r="M30" s="303"/>
      <c r="N30" s="344" t="s">
        <v>2896</v>
      </c>
      <c r="O30" s="303"/>
      <c r="P30" s="217"/>
      <c r="Q30" s="347" t="s">
        <v>2897</v>
      </c>
      <c r="R30" s="348"/>
      <c r="S30" s="348"/>
      <c r="T30" s="348"/>
      <c r="U30" s="442" t="s">
        <v>1409</v>
      </c>
      <c r="V30" s="347" t="s">
        <v>2900</v>
      </c>
      <c r="W30" s="217"/>
      <c r="X30" s="313"/>
      <c r="Y30" s="313"/>
      <c r="Z30" s="312" t="s">
        <v>2901</v>
      </c>
      <c r="AA30" s="602"/>
      <c r="AB30" s="312" t="s">
        <v>1915</v>
      </c>
      <c r="AC30" s="312" t="s">
        <v>2268</v>
      </c>
      <c r="AD30" s="313"/>
      <c r="AE30" s="312" t="s">
        <v>2567</v>
      </c>
      <c r="AF30" s="312"/>
      <c r="AG30" s="230" t="s">
        <v>2903</v>
      </c>
      <c r="AH30" s="626" t="s">
        <v>2905</v>
      </c>
      <c r="AI30" s="217"/>
      <c r="AJ30" s="352"/>
      <c r="AK30" s="352" t="s">
        <v>2907</v>
      </c>
      <c r="AL30" s="352" t="s">
        <v>2908</v>
      </c>
      <c r="AM30" s="352" t="s">
        <v>2909</v>
      </c>
      <c r="AN30" s="352"/>
      <c r="AO30" s="318"/>
      <c r="AP30" s="318"/>
      <c r="AQ30" s="318"/>
      <c r="AR30" s="352" t="s">
        <v>2910</v>
      </c>
      <c r="AS30" s="352" t="s">
        <v>2912</v>
      </c>
      <c r="AT30" s="352"/>
      <c r="AU30" s="352" t="s">
        <v>2135</v>
      </c>
      <c r="AV30" s="352"/>
      <c r="AW30" s="352" t="s">
        <v>529</v>
      </c>
      <c r="AX30" s="318"/>
      <c r="AY30" s="352" t="s">
        <v>2913</v>
      </c>
      <c r="AZ30" s="346"/>
      <c r="BA30" s="386"/>
      <c r="BB30" s="386" t="s">
        <v>2914</v>
      </c>
      <c r="BC30" s="600" t="s">
        <v>2915</v>
      </c>
      <c r="BD30" s="386"/>
      <c r="BE30" s="600" t="s">
        <v>2918</v>
      </c>
      <c r="BF30" s="346"/>
      <c r="BG30" s="358" t="s">
        <v>315</v>
      </c>
      <c r="BH30" s="328"/>
      <c r="BI30" s="328"/>
      <c r="BJ30" s="328"/>
      <c r="BK30" s="328"/>
      <c r="BL30" s="358" t="s">
        <v>2920</v>
      </c>
      <c r="BM30" s="358" t="s">
        <v>2921</v>
      </c>
      <c r="BN30" s="217"/>
      <c r="BO30" s="335" t="s">
        <v>2922</v>
      </c>
      <c r="BP30" s="333"/>
      <c r="BQ30" s="336"/>
      <c r="BR30" s="335" t="s">
        <v>2923</v>
      </c>
      <c r="BS30" s="337" t="s">
        <v>2924</v>
      </c>
      <c r="BT30" s="336"/>
      <c r="BU30" s="336"/>
      <c r="BV30" s="335" t="s">
        <v>2926</v>
      </c>
      <c r="BW30" s="335" t="s">
        <v>2928</v>
      </c>
      <c r="BX30" s="217"/>
      <c r="BY30" s="341"/>
      <c r="BZ30" s="341"/>
      <c r="CA30" s="341"/>
      <c r="CB30" s="342"/>
      <c r="CC30" s="341"/>
      <c r="CD30" s="341"/>
      <c r="CE30" s="341"/>
      <c r="CF30" s="366" t="s">
        <v>2929</v>
      </c>
      <c r="CG30" s="341"/>
      <c r="CH30" s="341"/>
      <c r="CI30" s="391" t="s">
        <v>2930</v>
      </c>
      <c r="CJ30" s="342"/>
      <c r="CK30" s="342"/>
    </row>
    <row r="31">
      <c r="A31" s="650" t="s">
        <v>54</v>
      </c>
      <c r="B31" s="202" t="s">
        <v>2933</v>
      </c>
      <c r="C31" s="196" t="s">
        <v>271</v>
      </c>
      <c r="D31" s="197" t="s">
        <v>271</v>
      </c>
      <c r="E31" s="199" t="s">
        <v>271</v>
      </c>
      <c r="F31" s="201" t="s">
        <v>178</v>
      </c>
      <c r="G31" s="202" t="s">
        <v>2441</v>
      </c>
      <c r="H31" s="537" t="s">
        <v>2936</v>
      </c>
      <c r="I31" s="344" t="s">
        <v>2937</v>
      </c>
      <c r="J31" s="344"/>
      <c r="K31" s="344"/>
      <c r="L31" s="437" t="s">
        <v>2938</v>
      </c>
      <c r="M31" s="303"/>
      <c r="N31" s="304" t="s">
        <v>2940</v>
      </c>
      <c r="O31" s="303"/>
      <c r="P31" s="217"/>
      <c r="Q31" s="348"/>
      <c r="R31" s="348"/>
      <c r="S31" s="348"/>
      <c r="T31" s="348"/>
      <c r="U31" s="311" t="s">
        <v>2942</v>
      </c>
      <c r="V31" s="311" t="s">
        <v>2947</v>
      </c>
      <c r="W31" s="217"/>
      <c r="X31" s="371" t="s">
        <v>2949</v>
      </c>
      <c r="Y31" s="312" t="s">
        <v>2950</v>
      </c>
      <c r="Z31" s="371" t="s">
        <v>2951</v>
      </c>
      <c r="AA31" s="568" t="s">
        <v>2127</v>
      </c>
      <c r="AB31" s="371" t="s">
        <v>2952</v>
      </c>
      <c r="AC31" s="230" t="s">
        <v>2953</v>
      </c>
      <c r="AD31" s="313"/>
      <c r="AE31" s="230" t="str">
        <f>HYPERLINK("https://twitter.com/Qbe_Root/status/1242884733232648192","56.04")</f>
        <v>56.04</v>
      </c>
      <c r="AF31" s="372"/>
      <c r="AG31" s="230" t="s">
        <v>2956</v>
      </c>
      <c r="AH31" s="253"/>
      <c r="AI31" s="217"/>
      <c r="AJ31" s="352"/>
      <c r="AK31" s="352" t="s">
        <v>2958</v>
      </c>
      <c r="AL31" s="352" t="s">
        <v>2959</v>
      </c>
      <c r="AM31" s="352" t="s">
        <v>2960</v>
      </c>
      <c r="AN31" s="352"/>
      <c r="AO31" s="318"/>
      <c r="AP31" s="394" t="s">
        <v>2961</v>
      </c>
      <c r="AQ31" s="318"/>
      <c r="AR31" s="318"/>
      <c r="AS31" s="318"/>
      <c r="AT31" s="318"/>
      <c r="AU31" s="318"/>
      <c r="AV31" s="318"/>
      <c r="AW31" s="352" t="s">
        <v>2963</v>
      </c>
      <c r="AX31" s="352" t="s">
        <v>2964</v>
      </c>
      <c r="AY31" s="318"/>
      <c r="AZ31" s="346"/>
      <c r="BA31" s="322"/>
      <c r="BB31" s="322"/>
      <c r="BC31" s="322"/>
      <c r="BD31" s="322"/>
      <c r="BE31" s="600" t="s">
        <v>2965</v>
      </c>
      <c r="BF31" s="346"/>
      <c r="BG31" s="358" t="s">
        <v>2966</v>
      </c>
      <c r="BH31" s="328"/>
      <c r="BI31" s="328"/>
      <c r="BJ31" s="328"/>
      <c r="BK31" s="358" t="s">
        <v>2968</v>
      </c>
      <c r="BL31" s="328"/>
      <c r="BM31" s="358" t="s">
        <v>2969</v>
      </c>
      <c r="BN31" s="217"/>
      <c r="BO31" s="335" t="s">
        <v>2970</v>
      </c>
      <c r="BP31" s="333"/>
      <c r="BQ31" s="336"/>
      <c r="BR31" s="336"/>
      <c r="BS31" s="336"/>
      <c r="BT31" s="337" t="s">
        <v>2973</v>
      </c>
      <c r="BU31" s="336"/>
      <c r="BV31" s="655" t="str">
        <f>HYPERLINK("https://twitter.com/Qbe_Root/status/1400138849058275330", "1:53.21")</f>
        <v>1:53.21</v>
      </c>
      <c r="BW31" s="335" t="s">
        <v>2975</v>
      </c>
      <c r="BX31" s="217"/>
      <c r="BY31" s="341"/>
      <c r="BZ31" s="341"/>
      <c r="CA31" s="341"/>
      <c r="CB31" s="342"/>
      <c r="CC31" s="341"/>
      <c r="CD31" s="482" t="s">
        <v>2976</v>
      </c>
      <c r="CE31" s="341"/>
      <c r="CF31" s="341"/>
      <c r="CG31" s="341"/>
      <c r="CH31" s="341"/>
      <c r="CI31" s="341"/>
      <c r="CJ31" s="342"/>
      <c r="CK31" s="342"/>
    </row>
    <row r="32">
      <c r="A32" s="343" t="s">
        <v>2977</v>
      </c>
      <c r="B32" s="202" t="s">
        <v>2978</v>
      </c>
      <c r="C32" s="196" t="s">
        <v>271</v>
      </c>
      <c r="D32" s="197" t="s">
        <v>171</v>
      </c>
      <c r="E32" s="199" t="s">
        <v>171</v>
      </c>
      <c r="F32" s="201" t="s">
        <v>176</v>
      </c>
      <c r="G32" s="202" t="s">
        <v>270</v>
      </c>
      <c r="H32" s="344"/>
      <c r="I32" s="303"/>
      <c r="J32" s="303"/>
      <c r="K32" s="303"/>
      <c r="L32" s="303"/>
      <c r="M32" s="303"/>
      <c r="N32" s="303"/>
      <c r="O32" s="303"/>
      <c r="P32" s="217"/>
      <c r="Q32" s="348"/>
      <c r="R32" s="348"/>
      <c r="S32" s="348"/>
      <c r="T32" s="347" t="s">
        <v>2983</v>
      </c>
      <c r="U32" s="311" t="s">
        <v>2984</v>
      </c>
      <c r="V32" s="347" t="s">
        <v>2986</v>
      </c>
      <c r="W32" s="217"/>
      <c r="X32" s="313"/>
      <c r="Y32" s="313"/>
      <c r="Z32" s="313"/>
      <c r="AA32" s="602"/>
      <c r="AB32" s="312"/>
      <c r="AC32" s="314" t="s">
        <v>2989</v>
      </c>
      <c r="AD32" s="312" t="s">
        <v>2995</v>
      </c>
      <c r="AE32" s="312" t="s">
        <v>2996</v>
      </c>
      <c r="AF32" s="312"/>
      <c r="AG32" s="313"/>
      <c r="AH32" s="253"/>
      <c r="AI32" s="217"/>
      <c r="AJ32" s="318"/>
      <c r="AK32" s="318"/>
      <c r="AL32" s="318"/>
      <c r="AM32" s="318"/>
      <c r="AN32" s="318"/>
      <c r="AO32" s="318"/>
      <c r="AP32" s="375" t="s">
        <v>2997</v>
      </c>
      <c r="AQ32" s="318"/>
      <c r="AR32" s="318"/>
      <c r="AS32" s="318"/>
      <c r="AT32" s="318"/>
      <c r="AU32" s="318"/>
      <c r="AV32" s="318"/>
      <c r="AW32" s="352" t="s">
        <v>1955</v>
      </c>
      <c r="AX32" s="318"/>
      <c r="AY32" s="318"/>
      <c r="AZ32" s="346"/>
      <c r="BA32" s="322"/>
      <c r="BB32" s="322"/>
      <c r="BC32" s="356" t="s">
        <v>3003</v>
      </c>
      <c r="BD32" s="326"/>
      <c r="BE32" s="386" t="s">
        <v>3008</v>
      </c>
      <c r="BF32" s="346"/>
      <c r="BG32" s="328"/>
      <c r="BH32" s="328"/>
      <c r="BI32" s="328"/>
      <c r="BJ32" s="328"/>
      <c r="BK32" s="328"/>
      <c r="BL32" s="328"/>
      <c r="BM32" s="328"/>
      <c r="BN32" s="217"/>
      <c r="BO32" s="335" t="s">
        <v>3010</v>
      </c>
      <c r="BP32" s="333"/>
      <c r="BQ32" s="336"/>
      <c r="BR32" s="336"/>
      <c r="BS32" s="336"/>
      <c r="BT32" s="336"/>
      <c r="BU32" s="336"/>
      <c r="BV32" s="335" t="s">
        <v>3012</v>
      </c>
      <c r="BW32" s="336"/>
      <c r="BX32" s="217"/>
      <c r="BY32" s="341"/>
      <c r="BZ32" s="341"/>
      <c r="CA32" s="341"/>
      <c r="CB32" s="342"/>
      <c r="CC32" s="341"/>
      <c r="CD32" s="341"/>
      <c r="CE32" s="341"/>
      <c r="CF32" s="341"/>
      <c r="CG32" s="341"/>
      <c r="CH32" s="341"/>
      <c r="CI32" s="341"/>
      <c r="CJ32" s="342"/>
      <c r="CK32" s="342"/>
    </row>
    <row r="33">
      <c r="A33" s="343" t="s">
        <v>3013</v>
      </c>
      <c r="B33" s="202" t="s">
        <v>3014</v>
      </c>
      <c r="C33" s="196" t="s">
        <v>271</v>
      </c>
      <c r="D33" s="197" t="s">
        <v>271</v>
      </c>
      <c r="E33" s="199" t="s">
        <v>271</v>
      </c>
      <c r="F33" s="201" t="s">
        <v>171</v>
      </c>
      <c r="G33" s="202" t="s">
        <v>944</v>
      </c>
      <c r="H33" s="344" t="s">
        <v>3015</v>
      </c>
      <c r="I33" s="303"/>
      <c r="J33" s="303"/>
      <c r="K33" s="303"/>
      <c r="L33" s="344" t="s">
        <v>3017</v>
      </c>
      <c r="M33" s="303"/>
      <c r="N33" s="344" t="s">
        <v>3018</v>
      </c>
      <c r="O33" s="303"/>
      <c r="P33" s="217"/>
      <c r="Q33" s="348"/>
      <c r="R33" s="348"/>
      <c r="S33" s="348"/>
      <c r="T33" s="348"/>
      <c r="U33" s="347" t="s">
        <v>3019</v>
      </c>
      <c r="V33" s="347" t="s">
        <v>3021</v>
      </c>
      <c r="W33" s="217"/>
      <c r="X33" s="313"/>
      <c r="Y33" s="312" t="s">
        <v>3022</v>
      </c>
      <c r="Z33" s="312" t="s">
        <v>3023</v>
      </c>
      <c r="AA33" s="618" t="s">
        <v>3024</v>
      </c>
      <c r="AB33" s="312" t="s">
        <v>3025</v>
      </c>
      <c r="AC33" s="312" t="s">
        <v>3027</v>
      </c>
      <c r="AD33" s="313"/>
      <c r="AE33" s="312" t="s">
        <v>3028</v>
      </c>
      <c r="AF33" s="313"/>
      <c r="AG33" s="313"/>
      <c r="AH33" s="626" t="s">
        <v>3029</v>
      </c>
      <c r="AI33" s="217"/>
      <c r="AJ33" s="318"/>
      <c r="AK33" s="355" t="s">
        <v>3030</v>
      </c>
      <c r="AL33" s="318"/>
      <c r="AM33" s="318"/>
      <c r="AN33" s="318"/>
      <c r="AO33" s="318"/>
      <c r="AP33" s="352" t="s">
        <v>3034</v>
      </c>
      <c r="AQ33" s="318"/>
      <c r="AR33" s="318"/>
      <c r="AS33" s="318"/>
      <c r="AT33" s="318"/>
      <c r="AU33" s="318"/>
      <c r="AV33" s="318"/>
      <c r="AW33" s="352" t="s">
        <v>3035</v>
      </c>
      <c r="AX33" s="318"/>
      <c r="AY33" s="318"/>
      <c r="AZ33" s="346"/>
      <c r="BA33" s="322"/>
      <c r="BB33" s="386" t="s">
        <v>2625</v>
      </c>
      <c r="BC33" s="322"/>
      <c r="BD33" s="386" t="s">
        <v>3036</v>
      </c>
      <c r="BE33" s="386" t="s">
        <v>3038</v>
      </c>
      <c r="BF33" s="346"/>
      <c r="BG33" s="328"/>
      <c r="BH33" s="328"/>
      <c r="BI33" s="358" t="s">
        <v>1690</v>
      </c>
      <c r="BJ33" s="328"/>
      <c r="BK33" s="328"/>
      <c r="BL33" s="358" t="s">
        <v>3041</v>
      </c>
      <c r="BM33" s="236"/>
      <c r="BN33" s="217"/>
      <c r="BO33" s="335" t="s">
        <v>3043</v>
      </c>
      <c r="BP33" s="333"/>
      <c r="BQ33" s="336"/>
      <c r="BR33" s="335" t="s">
        <v>3044</v>
      </c>
      <c r="BS33" s="336"/>
      <c r="BT33" s="335" t="s">
        <v>3045</v>
      </c>
      <c r="BU33" s="335" t="s">
        <v>3046</v>
      </c>
      <c r="BV33" s="336"/>
      <c r="BW33" s="335" t="s">
        <v>3047</v>
      </c>
      <c r="BX33" s="217"/>
      <c r="BY33" s="341"/>
      <c r="BZ33" s="341"/>
      <c r="CA33" s="341"/>
      <c r="CB33" s="342"/>
      <c r="CC33" s="341"/>
      <c r="CD33" s="341"/>
      <c r="CE33" s="341"/>
      <c r="CF33" s="366" t="s">
        <v>3049</v>
      </c>
      <c r="CG33" s="341"/>
      <c r="CH33" s="341"/>
      <c r="CI33" s="341"/>
      <c r="CJ33" s="342"/>
      <c r="CK33" s="342"/>
    </row>
    <row r="34">
      <c r="A34" s="343" t="s">
        <v>3051</v>
      </c>
      <c r="B34" s="202" t="s">
        <v>3052</v>
      </c>
      <c r="C34" s="196" t="s">
        <v>271</v>
      </c>
      <c r="D34" s="197" t="s">
        <v>271</v>
      </c>
      <c r="E34" s="199" t="s">
        <v>271</v>
      </c>
      <c r="F34" s="201" t="s">
        <v>271</v>
      </c>
      <c r="G34" s="202" t="s">
        <v>204</v>
      </c>
      <c r="H34" s="303"/>
      <c r="I34" s="303"/>
      <c r="J34" s="344" t="s">
        <v>3053</v>
      </c>
      <c r="K34" s="303"/>
      <c r="L34" s="303"/>
      <c r="M34" s="303"/>
      <c r="N34" s="303"/>
      <c r="O34" s="344" t="s">
        <v>3054</v>
      </c>
      <c r="P34" s="217"/>
      <c r="Q34" s="348"/>
      <c r="R34" s="348"/>
      <c r="S34" s="348"/>
      <c r="T34" s="348"/>
      <c r="U34" s="348"/>
      <c r="V34" s="347" t="s">
        <v>3055</v>
      </c>
      <c r="W34" s="217"/>
      <c r="X34" s="313"/>
      <c r="Y34" s="313"/>
      <c r="Z34" s="313"/>
      <c r="AA34" s="602"/>
      <c r="AB34" s="313"/>
      <c r="AC34" s="313"/>
      <c r="AD34" s="313"/>
      <c r="AE34" s="312" t="s">
        <v>3058</v>
      </c>
      <c r="AF34" s="312"/>
      <c r="AG34" s="312" t="s">
        <v>3059</v>
      </c>
      <c r="AH34" s="253"/>
      <c r="AI34" s="217"/>
      <c r="AJ34" s="318"/>
      <c r="AK34" s="318"/>
      <c r="AL34" s="318"/>
      <c r="AM34" s="318"/>
      <c r="AN34" s="318"/>
      <c r="AO34" s="318"/>
      <c r="AP34" s="352" t="s">
        <v>3061</v>
      </c>
      <c r="AQ34" s="318"/>
      <c r="AR34" s="318"/>
      <c r="AS34" s="318"/>
      <c r="AT34" s="318"/>
      <c r="AU34" s="318"/>
      <c r="AV34" s="318"/>
      <c r="AW34" s="318"/>
      <c r="AX34" s="318"/>
      <c r="AY34" s="318"/>
      <c r="AZ34" s="346"/>
      <c r="BA34" s="386" t="s">
        <v>3063</v>
      </c>
      <c r="BB34" s="322"/>
      <c r="BC34" s="386"/>
      <c r="BD34" s="386"/>
      <c r="BE34" s="386" t="s">
        <v>3064</v>
      </c>
      <c r="BF34" s="346"/>
      <c r="BG34" s="328"/>
      <c r="BH34" s="328"/>
      <c r="BI34" s="328"/>
      <c r="BJ34" s="328"/>
      <c r="BK34" s="328"/>
      <c r="BL34" s="328"/>
      <c r="BM34" s="358" t="s">
        <v>3065</v>
      </c>
      <c r="BN34" s="217"/>
      <c r="BO34" s="336"/>
      <c r="BP34" s="333"/>
      <c r="BQ34" s="336"/>
      <c r="BR34" s="335" t="s">
        <v>3066</v>
      </c>
      <c r="BS34" s="336"/>
      <c r="BT34" s="336"/>
      <c r="BU34" s="336"/>
      <c r="BV34" s="337" t="s">
        <v>3068</v>
      </c>
      <c r="BW34" s="335" t="s">
        <v>3070</v>
      </c>
      <c r="BX34" s="217"/>
      <c r="BY34" s="366" t="s">
        <v>3072</v>
      </c>
      <c r="BZ34" s="341"/>
      <c r="CA34" s="366"/>
      <c r="CB34" s="482"/>
      <c r="CC34" s="366"/>
      <c r="CD34" s="341"/>
      <c r="CE34" s="341"/>
      <c r="CF34" s="341"/>
      <c r="CG34" s="341"/>
      <c r="CH34" s="341"/>
      <c r="CI34" s="341"/>
      <c r="CJ34" s="342"/>
      <c r="CK34" s="342"/>
    </row>
    <row r="35">
      <c r="A35" s="343" t="s">
        <v>3074</v>
      </c>
      <c r="B35" s="202" t="s">
        <v>3075</v>
      </c>
      <c r="C35" s="196" t="s">
        <v>271</v>
      </c>
      <c r="D35" s="197" t="s">
        <v>271</v>
      </c>
      <c r="E35" s="199" t="s">
        <v>271</v>
      </c>
      <c r="F35" s="201" t="s">
        <v>271</v>
      </c>
      <c r="G35" s="202" t="s">
        <v>1791</v>
      </c>
      <c r="H35" s="303"/>
      <c r="I35" s="303"/>
      <c r="J35" s="303"/>
      <c r="K35" s="344" t="s">
        <v>3077</v>
      </c>
      <c r="L35" s="344" t="s">
        <v>3078</v>
      </c>
      <c r="M35" s="303"/>
      <c r="N35" s="344" t="s">
        <v>3079</v>
      </c>
      <c r="O35" s="344" t="s">
        <v>3080</v>
      </c>
      <c r="P35" s="217"/>
      <c r="Q35" s="348"/>
      <c r="R35" s="348"/>
      <c r="S35" s="348"/>
      <c r="T35" s="348"/>
      <c r="U35" s="347" t="s">
        <v>3082</v>
      </c>
      <c r="V35" s="347" t="s">
        <v>3083</v>
      </c>
      <c r="W35" s="217"/>
      <c r="X35" s="313"/>
      <c r="Y35" s="313"/>
      <c r="Z35" s="312" t="s">
        <v>1933</v>
      </c>
      <c r="AA35" s="602"/>
      <c r="AB35" s="313"/>
      <c r="AC35" s="313"/>
      <c r="AD35" s="312" t="s">
        <v>3085</v>
      </c>
      <c r="AE35" s="312" t="s">
        <v>3086</v>
      </c>
      <c r="AF35" s="312"/>
      <c r="AG35" s="313"/>
      <c r="AH35" s="626" t="s">
        <v>3087</v>
      </c>
      <c r="AI35" s="217"/>
      <c r="AJ35" s="318"/>
      <c r="AK35" s="318"/>
      <c r="AL35" s="318"/>
      <c r="AM35" s="352" t="s">
        <v>3088</v>
      </c>
      <c r="AN35" s="318"/>
      <c r="AO35" s="318"/>
      <c r="AP35" s="318"/>
      <c r="AQ35" s="318"/>
      <c r="AR35" s="318"/>
      <c r="AS35" s="318"/>
      <c r="AT35" s="318"/>
      <c r="AU35" s="318"/>
      <c r="AV35" s="318"/>
      <c r="AW35" s="352" t="s">
        <v>3090</v>
      </c>
      <c r="AX35" s="318"/>
      <c r="AY35" s="318"/>
      <c r="AZ35" s="346"/>
      <c r="BA35" s="322"/>
      <c r="BB35" s="322"/>
      <c r="BC35" s="322"/>
      <c r="BD35" s="322"/>
      <c r="BE35" s="386" t="s">
        <v>3091</v>
      </c>
      <c r="BF35" s="346"/>
      <c r="BG35" s="358" t="s">
        <v>3092</v>
      </c>
      <c r="BH35" s="358" t="s">
        <v>2314</v>
      </c>
      <c r="BI35" s="328"/>
      <c r="BJ35" s="328"/>
      <c r="BK35" s="358" t="s">
        <v>3094</v>
      </c>
      <c r="BL35" s="358" t="s">
        <v>3096</v>
      </c>
      <c r="BM35" s="328"/>
      <c r="BN35" s="217"/>
      <c r="BO35" s="335" t="s">
        <v>3097</v>
      </c>
      <c r="BP35" s="333"/>
      <c r="BQ35" s="336"/>
      <c r="BR35" s="336"/>
      <c r="BS35" s="336"/>
      <c r="BT35" s="335" t="s">
        <v>3099</v>
      </c>
      <c r="BU35" s="336"/>
      <c r="BV35" s="335" t="s">
        <v>3100</v>
      </c>
      <c r="BW35" s="335" t="s">
        <v>3101</v>
      </c>
      <c r="BX35" s="217"/>
      <c r="BY35" s="341"/>
      <c r="BZ35" s="341"/>
      <c r="CA35" s="341"/>
      <c r="CB35" s="342"/>
      <c r="CC35" s="341"/>
      <c r="CD35" s="341"/>
      <c r="CE35" s="341"/>
      <c r="CF35" s="341"/>
      <c r="CG35" s="341"/>
      <c r="CH35" s="482" t="s">
        <v>3103</v>
      </c>
      <c r="CI35" s="341"/>
      <c r="CJ35" s="342"/>
      <c r="CK35" s="342"/>
    </row>
    <row r="36">
      <c r="A36" s="660" t="s">
        <v>168</v>
      </c>
      <c r="B36" s="202" t="s">
        <v>569</v>
      </c>
      <c r="C36" s="196" t="s">
        <v>271</v>
      </c>
      <c r="D36" s="197" t="s">
        <v>171</v>
      </c>
      <c r="E36" s="199" t="s">
        <v>271</v>
      </c>
      <c r="F36" s="201" t="s">
        <v>394</v>
      </c>
      <c r="G36" s="202" t="s">
        <v>565</v>
      </c>
      <c r="H36" s="344" t="s">
        <v>3106</v>
      </c>
      <c r="I36" s="344"/>
      <c r="J36" s="303"/>
      <c r="K36" s="303"/>
      <c r="L36" s="344" t="s">
        <v>3107</v>
      </c>
      <c r="M36" s="303"/>
      <c r="N36" s="304" t="s">
        <v>3108</v>
      </c>
      <c r="O36" s="303"/>
      <c r="P36" s="217"/>
      <c r="Q36" s="311" t="s">
        <v>3112</v>
      </c>
      <c r="R36" s="348"/>
      <c r="S36" s="348"/>
      <c r="T36" s="348"/>
      <c r="U36" s="311" t="s">
        <v>3116</v>
      </c>
      <c r="V36" s="311" t="s">
        <v>3122</v>
      </c>
      <c r="W36" s="217"/>
      <c r="X36" s="313"/>
      <c r="Y36" s="313"/>
      <c r="Z36" s="312" t="s">
        <v>3126</v>
      </c>
      <c r="AA36" s="602"/>
      <c r="AB36" s="313"/>
      <c r="AC36" s="313"/>
      <c r="AD36" s="313"/>
      <c r="AE36" s="312" t="s">
        <v>3127</v>
      </c>
      <c r="AF36" s="312" t="s">
        <v>3129</v>
      </c>
      <c r="AG36" s="313"/>
      <c r="AH36" s="619" t="s">
        <v>3130</v>
      </c>
      <c r="AI36" s="217"/>
      <c r="AJ36" s="318"/>
      <c r="AK36" s="352" t="s">
        <v>3136</v>
      </c>
      <c r="AL36" s="318"/>
      <c r="AM36" s="318"/>
      <c r="AN36" s="318"/>
      <c r="AO36" s="318"/>
      <c r="AP36" s="318"/>
      <c r="AQ36" s="318"/>
      <c r="AR36" s="318"/>
      <c r="AS36" s="318"/>
      <c r="AT36" s="318"/>
      <c r="AU36" s="318"/>
      <c r="AV36" s="318"/>
      <c r="AW36" s="352" t="s">
        <v>3138</v>
      </c>
      <c r="AX36" s="318"/>
      <c r="AY36" s="352" t="s">
        <v>3139</v>
      </c>
      <c r="AZ36" s="346"/>
      <c r="BA36" s="322"/>
      <c r="BB36" s="322"/>
      <c r="BC36" s="386" t="s">
        <v>3140</v>
      </c>
      <c r="BD36" s="323" t="s">
        <v>3141</v>
      </c>
      <c r="BE36" s="356" t="s">
        <v>3145</v>
      </c>
      <c r="BF36" s="346"/>
      <c r="BG36" s="328"/>
      <c r="BH36" s="328"/>
      <c r="BI36" s="328"/>
      <c r="BJ36" s="328"/>
      <c r="BK36" s="328"/>
      <c r="BL36" s="328"/>
      <c r="BM36" s="358" t="s">
        <v>3149</v>
      </c>
      <c r="BN36" s="217"/>
      <c r="BO36" s="336"/>
      <c r="BP36" s="333"/>
      <c r="BQ36" s="335" t="s">
        <v>3151</v>
      </c>
      <c r="BR36" s="336"/>
      <c r="BS36" s="336"/>
      <c r="BT36" s="336"/>
      <c r="BU36" s="364" t="s">
        <v>3154</v>
      </c>
      <c r="BV36" s="336"/>
      <c r="BW36" s="335" t="s">
        <v>3159</v>
      </c>
      <c r="BX36" s="217"/>
      <c r="BY36" s="341"/>
      <c r="BZ36" s="341"/>
      <c r="CA36" s="341"/>
      <c r="CB36" s="342"/>
      <c r="CC36" s="341"/>
      <c r="CD36" s="341"/>
      <c r="CE36" s="341"/>
      <c r="CF36" s="341"/>
      <c r="CG36" s="341"/>
      <c r="CH36" s="341"/>
      <c r="CI36" s="391" t="s">
        <v>3161</v>
      </c>
      <c r="CJ36" s="342"/>
      <c r="CK36" s="342"/>
    </row>
    <row r="37">
      <c r="A37" s="343" t="s">
        <v>3164</v>
      </c>
      <c r="B37" s="202" t="s">
        <v>3165</v>
      </c>
      <c r="C37" s="196" t="s">
        <v>171</v>
      </c>
      <c r="D37" s="197" t="s">
        <v>271</v>
      </c>
      <c r="E37" s="199" t="s">
        <v>271</v>
      </c>
      <c r="F37" s="201" t="s">
        <v>171</v>
      </c>
      <c r="G37" s="202" t="s">
        <v>1926</v>
      </c>
      <c r="H37" s="344"/>
      <c r="I37" s="303"/>
      <c r="J37" s="303"/>
      <c r="K37" s="303"/>
      <c r="L37" s="344" t="s">
        <v>3166</v>
      </c>
      <c r="M37" s="303"/>
      <c r="N37" s="344" t="s">
        <v>3167</v>
      </c>
      <c r="O37" s="344"/>
      <c r="P37" s="217"/>
      <c r="Q37" s="347" t="s">
        <v>3169</v>
      </c>
      <c r="R37" s="348"/>
      <c r="S37" s="348"/>
      <c r="T37" s="348"/>
      <c r="U37" s="348"/>
      <c r="V37" s="347" t="s">
        <v>3171</v>
      </c>
      <c r="W37" s="217"/>
      <c r="X37" s="313"/>
      <c r="Y37" s="313"/>
      <c r="Z37" s="312" t="s">
        <v>3172</v>
      </c>
      <c r="AA37" s="312" t="s">
        <v>3173</v>
      </c>
      <c r="AB37" s="312" t="s">
        <v>3174</v>
      </c>
      <c r="AC37" s="312" t="s">
        <v>3175</v>
      </c>
      <c r="AD37" s="313"/>
      <c r="AE37" s="312" t="s">
        <v>3176</v>
      </c>
      <c r="AF37" s="312"/>
      <c r="AG37" s="313"/>
      <c r="AH37" s="626" t="s">
        <v>3177</v>
      </c>
      <c r="AI37" s="217"/>
      <c r="AJ37" s="318"/>
      <c r="AK37" s="318"/>
      <c r="AL37" s="318"/>
      <c r="AM37" s="318"/>
      <c r="AN37" s="318"/>
      <c r="AO37" s="318"/>
      <c r="AP37" s="352" t="s">
        <v>3179</v>
      </c>
      <c r="AQ37" s="318"/>
      <c r="AR37" s="318"/>
      <c r="AS37" s="318"/>
      <c r="AT37" s="318"/>
      <c r="AU37" s="318"/>
      <c r="AV37" s="318"/>
      <c r="AW37" s="352" t="s">
        <v>1476</v>
      </c>
      <c r="AX37" s="318"/>
      <c r="AY37" s="352" t="s">
        <v>3180</v>
      </c>
      <c r="AZ37" s="346"/>
      <c r="BA37" s="386" t="s">
        <v>3181</v>
      </c>
      <c r="BB37" s="386" t="s">
        <v>3183</v>
      </c>
      <c r="BC37" s="322"/>
      <c r="BD37" s="322"/>
      <c r="BE37" s="386" t="s">
        <v>3184</v>
      </c>
      <c r="BF37" s="346"/>
      <c r="BG37" s="328"/>
      <c r="BH37" s="328"/>
      <c r="BI37" s="328"/>
      <c r="BJ37" s="328"/>
      <c r="BK37" s="328"/>
      <c r="BL37" s="329" t="s">
        <v>3187</v>
      </c>
      <c r="BM37" s="328"/>
      <c r="BN37" s="217"/>
      <c r="BO37" s="336"/>
      <c r="BP37" s="333"/>
      <c r="BQ37" s="336"/>
      <c r="BR37" s="336"/>
      <c r="BS37" s="336"/>
      <c r="BT37" s="336"/>
      <c r="BU37" s="336"/>
      <c r="BV37" s="336"/>
      <c r="BW37" s="336"/>
      <c r="BX37" s="217"/>
      <c r="BY37" s="341"/>
      <c r="BZ37" s="341"/>
      <c r="CA37" s="341"/>
      <c r="CB37" s="342"/>
      <c r="CC37" s="341"/>
      <c r="CD37" s="341"/>
      <c r="CE37" s="341"/>
      <c r="CF37" s="341"/>
      <c r="CG37" s="341"/>
      <c r="CH37" s="341"/>
      <c r="CI37" s="341"/>
      <c r="CJ37" s="342"/>
      <c r="CK37" s="342"/>
    </row>
    <row r="38">
      <c r="A38" s="672" t="s">
        <v>3195</v>
      </c>
      <c r="B38" s="202" t="s">
        <v>3196</v>
      </c>
      <c r="C38" s="196" t="s">
        <v>271</v>
      </c>
      <c r="D38" s="197" t="s">
        <v>271</v>
      </c>
      <c r="E38" s="199" t="s">
        <v>271</v>
      </c>
      <c r="F38" s="201" t="s">
        <v>176</v>
      </c>
      <c r="G38" s="202" t="s">
        <v>169</v>
      </c>
      <c r="H38" s="344" t="s">
        <v>3198</v>
      </c>
      <c r="I38" s="303"/>
      <c r="J38" s="303"/>
      <c r="K38" s="303"/>
      <c r="L38" s="303"/>
      <c r="M38" s="303"/>
      <c r="N38" s="344" t="s">
        <v>3201</v>
      </c>
      <c r="O38" s="303"/>
      <c r="P38" s="217"/>
      <c r="Q38" s="348"/>
      <c r="R38" s="348"/>
      <c r="S38" s="347" t="s">
        <v>3204</v>
      </c>
      <c r="T38" s="347" t="s">
        <v>3205</v>
      </c>
      <c r="U38" s="347" t="s">
        <v>3206</v>
      </c>
      <c r="V38" s="347" t="s">
        <v>3207</v>
      </c>
      <c r="W38" s="217"/>
      <c r="X38" s="312" t="s">
        <v>3208</v>
      </c>
      <c r="Y38" s="313"/>
      <c r="Z38" s="313"/>
      <c r="AA38" s="602"/>
      <c r="AB38" s="313"/>
      <c r="AC38" s="313"/>
      <c r="AD38" s="313"/>
      <c r="AE38" s="313"/>
      <c r="AF38" s="312"/>
      <c r="AG38" s="313"/>
      <c r="AH38" s="253"/>
      <c r="AI38" s="217"/>
      <c r="AJ38" s="318"/>
      <c r="AK38" s="318"/>
      <c r="AL38" s="318"/>
      <c r="AM38" s="352" t="s">
        <v>2330</v>
      </c>
      <c r="AN38" s="318"/>
      <c r="AO38" s="318"/>
      <c r="AP38" s="352" t="s">
        <v>3211</v>
      </c>
      <c r="AQ38" s="318"/>
      <c r="AR38" s="355" t="s">
        <v>3213</v>
      </c>
      <c r="AS38" s="318"/>
      <c r="AT38" s="318"/>
      <c r="AU38" s="318"/>
      <c r="AV38" s="318"/>
      <c r="AW38" s="352" t="s">
        <v>3218</v>
      </c>
      <c r="AX38" s="318"/>
      <c r="AY38" s="318"/>
      <c r="AZ38" s="346"/>
      <c r="BA38" s="322"/>
      <c r="BB38" s="386" t="s">
        <v>3219</v>
      </c>
      <c r="BC38" s="386" t="s">
        <v>1411</v>
      </c>
      <c r="BD38" s="386"/>
      <c r="BE38" s="386" t="s">
        <v>3220</v>
      </c>
      <c r="BF38" s="346"/>
      <c r="BG38" s="328"/>
      <c r="BH38" s="328"/>
      <c r="BI38" s="328"/>
      <c r="BJ38" s="328"/>
      <c r="BK38" s="328"/>
      <c r="BL38" s="328"/>
      <c r="BM38" s="328"/>
      <c r="BN38" s="217"/>
      <c r="BO38" s="364" t="s">
        <v>3221</v>
      </c>
      <c r="BP38" s="333"/>
      <c r="BQ38" s="364" t="s">
        <v>3223</v>
      </c>
      <c r="BR38" s="336"/>
      <c r="BS38" s="336"/>
      <c r="BT38" s="336"/>
      <c r="BU38" s="336"/>
      <c r="BV38" s="335" t="s">
        <v>2710</v>
      </c>
      <c r="BW38" s="335" t="s">
        <v>3228</v>
      </c>
      <c r="BX38" s="217"/>
      <c r="BY38" s="341"/>
      <c r="BZ38" s="391" t="s">
        <v>588</v>
      </c>
      <c r="CA38" s="341"/>
      <c r="CB38" s="342"/>
      <c r="CC38" s="341"/>
      <c r="CD38" s="341"/>
      <c r="CE38" s="341"/>
      <c r="CF38" s="341"/>
      <c r="CG38" s="341"/>
      <c r="CH38" s="341"/>
      <c r="CI38" s="341"/>
      <c r="CJ38" s="342"/>
      <c r="CK38" s="342"/>
    </row>
    <row r="39">
      <c r="A39" s="673" t="s">
        <v>52</v>
      </c>
      <c r="B39" s="202" t="s">
        <v>3232</v>
      </c>
      <c r="C39" s="196" t="s">
        <v>271</v>
      </c>
      <c r="D39" s="197" t="s">
        <v>271</v>
      </c>
      <c r="E39" s="199" t="s">
        <v>271</v>
      </c>
      <c r="F39" s="201" t="s">
        <v>361</v>
      </c>
      <c r="G39" s="202" t="s">
        <v>361</v>
      </c>
      <c r="H39" s="303"/>
      <c r="I39" s="304" t="s">
        <v>3233</v>
      </c>
      <c r="J39" s="303"/>
      <c r="K39" s="303"/>
      <c r="L39" s="304" t="s">
        <v>3237</v>
      </c>
      <c r="M39" s="303"/>
      <c r="N39" s="304" t="s">
        <v>3238</v>
      </c>
      <c r="O39" s="303"/>
      <c r="P39" s="217"/>
      <c r="Q39" s="348"/>
      <c r="R39" s="348"/>
      <c r="S39" s="348"/>
      <c r="T39" s="348"/>
      <c r="U39" s="348"/>
      <c r="V39" s="311" t="s">
        <v>3243</v>
      </c>
      <c r="W39" s="217"/>
      <c r="X39" s="313"/>
      <c r="Y39" s="313"/>
      <c r="Z39" s="313"/>
      <c r="AA39" s="602"/>
      <c r="AB39" s="313"/>
      <c r="AC39" s="313"/>
      <c r="AD39" s="313"/>
      <c r="AE39" s="230" t="s">
        <v>2021</v>
      </c>
      <c r="AF39" s="313"/>
      <c r="AG39" s="230" t="s">
        <v>3245</v>
      </c>
      <c r="AH39" s="253"/>
      <c r="AI39" s="217"/>
      <c r="AJ39" s="318"/>
      <c r="AK39" s="318"/>
      <c r="AL39" s="318"/>
      <c r="AM39" s="355" t="s">
        <v>3248</v>
      </c>
      <c r="AN39" s="318"/>
      <c r="AO39" s="318"/>
      <c r="AP39" s="318"/>
      <c r="AQ39" s="318"/>
      <c r="AR39" s="318"/>
      <c r="AS39" s="318"/>
      <c r="AT39" s="318"/>
      <c r="AU39" s="318"/>
      <c r="AV39" s="318"/>
      <c r="AW39" s="318"/>
      <c r="AX39" s="318"/>
      <c r="AY39" s="318"/>
      <c r="AZ39" s="346"/>
      <c r="BA39" s="322"/>
      <c r="BB39" s="322"/>
      <c r="BC39" s="322"/>
      <c r="BD39" s="322"/>
      <c r="BE39" s="356" t="s">
        <v>3250</v>
      </c>
      <c r="BF39" s="346"/>
      <c r="BG39" s="328"/>
      <c r="BH39" s="328"/>
      <c r="BI39" s="328"/>
      <c r="BJ39" s="328"/>
      <c r="BK39" s="328"/>
      <c r="BL39" s="331" t="s">
        <v>3253</v>
      </c>
      <c r="BM39" s="328"/>
      <c r="BN39" s="217"/>
      <c r="BO39" s="336"/>
      <c r="BP39" s="333"/>
      <c r="BQ39" s="336"/>
      <c r="BR39" s="336"/>
      <c r="BS39" s="336"/>
      <c r="BT39" s="336"/>
      <c r="BU39" s="336"/>
      <c r="BV39" s="336"/>
      <c r="BW39" s="364" t="s">
        <v>3255</v>
      </c>
      <c r="BX39" s="217"/>
      <c r="BY39" s="341"/>
      <c r="BZ39" s="341"/>
      <c r="CA39" s="341"/>
      <c r="CB39" s="342"/>
      <c r="CC39" s="341"/>
      <c r="CD39" s="341"/>
      <c r="CE39" s="341"/>
      <c r="CF39" s="341"/>
      <c r="CG39" s="341"/>
      <c r="CH39" s="341"/>
      <c r="CI39" s="341"/>
      <c r="CJ39" s="342"/>
      <c r="CK39" s="342"/>
    </row>
    <row r="40">
      <c r="A40" s="676" t="s">
        <v>83</v>
      </c>
      <c r="B40" s="202" t="s">
        <v>3257</v>
      </c>
      <c r="C40" s="196" t="s">
        <v>171</v>
      </c>
      <c r="D40" s="197" t="s">
        <v>271</v>
      </c>
      <c r="E40" s="199" t="s">
        <v>271</v>
      </c>
      <c r="F40" s="201" t="s">
        <v>176</v>
      </c>
      <c r="G40" s="202" t="s">
        <v>568</v>
      </c>
      <c r="H40" s="344" t="s">
        <v>3259</v>
      </c>
      <c r="I40" s="303"/>
      <c r="J40" s="303"/>
      <c r="K40" s="303"/>
      <c r="L40" s="303"/>
      <c r="M40" s="303"/>
      <c r="N40" s="304" t="s">
        <v>3263</v>
      </c>
      <c r="O40" s="303"/>
      <c r="P40" s="217"/>
      <c r="Q40" s="348"/>
      <c r="R40" s="348"/>
      <c r="S40" s="308" t="s">
        <v>734</v>
      </c>
      <c r="T40" s="348"/>
      <c r="U40" s="348"/>
      <c r="V40" s="347" t="s">
        <v>3283</v>
      </c>
      <c r="W40" s="217"/>
      <c r="X40" s="313"/>
      <c r="Y40" s="313"/>
      <c r="Z40" s="312" t="s">
        <v>2505</v>
      </c>
      <c r="AA40" s="404" t="s">
        <v>2160</v>
      </c>
      <c r="AB40" s="313"/>
      <c r="AC40" s="313"/>
      <c r="AD40" s="312" t="s">
        <v>3298</v>
      </c>
      <c r="AE40" s="312" t="s">
        <v>3128</v>
      </c>
      <c r="AF40" s="313"/>
      <c r="AG40" s="313"/>
      <c r="AH40" s="619" t="s">
        <v>3300</v>
      </c>
      <c r="AI40" s="217"/>
      <c r="AJ40" s="318"/>
      <c r="AK40" s="318"/>
      <c r="AL40" s="318"/>
      <c r="AM40" s="352" t="s">
        <v>3305</v>
      </c>
      <c r="AN40" s="318"/>
      <c r="AO40" s="318"/>
      <c r="AP40" s="318"/>
      <c r="AQ40" s="318"/>
      <c r="AR40" s="318"/>
      <c r="AS40" s="318"/>
      <c r="AT40" s="318"/>
      <c r="AU40" s="318"/>
      <c r="AV40" s="318"/>
      <c r="AW40" s="318"/>
      <c r="AX40" s="318"/>
      <c r="AY40" s="352" t="s">
        <v>3306</v>
      </c>
      <c r="AZ40" s="346"/>
      <c r="BA40" s="322"/>
      <c r="BB40" s="322"/>
      <c r="BC40" s="322"/>
      <c r="BD40" s="386" t="s">
        <v>3307</v>
      </c>
      <c r="BE40" s="386" t="s">
        <v>3308</v>
      </c>
      <c r="BF40" s="346"/>
      <c r="BG40" s="358" t="s">
        <v>3309</v>
      </c>
      <c r="BH40" s="328"/>
      <c r="BI40" s="328"/>
      <c r="BJ40" s="328"/>
      <c r="BK40" s="328"/>
      <c r="BL40" s="358" t="s">
        <v>3310</v>
      </c>
      <c r="BM40" s="328"/>
      <c r="BN40" s="217"/>
      <c r="BO40" s="336"/>
      <c r="BP40" s="333"/>
      <c r="BQ40" s="336"/>
      <c r="BR40" s="336"/>
      <c r="BS40" s="336"/>
      <c r="BT40" s="336"/>
      <c r="BU40" s="336"/>
      <c r="BV40" s="336"/>
      <c r="BW40" s="335" t="s">
        <v>3315</v>
      </c>
      <c r="BX40" s="217"/>
      <c r="BY40" s="341"/>
      <c r="BZ40" s="341"/>
      <c r="CA40" s="341"/>
      <c r="CB40" s="342"/>
      <c r="CC40" s="341"/>
      <c r="CD40" s="341"/>
      <c r="CE40" s="341"/>
      <c r="CF40" s="341"/>
      <c r="CG40" s="341"/>
      <c r="CH40" s="341"/>
      <c r="CI40" s="341"/>
      <c r="CJ40" s="342"/>
      <c r="CK40" s="342"/>
    </row>
    <row r="41">
      <c r="A41" s="343" t="s">
        <v>89</v>
      </c>
      <c r="B41" s="202" t="s">
        <v>3317</v>
      </c>
      <c r="C41" s="196" t="s">
        <v>271</v>
      </c>
      <c r="D41" s="197" t="s">
        <v>271</v>
      </c>
      <c r="E41" s="199" t="s">
        <v>271</v>
      </c>
      <c r="F41" s="201" t="s">
        <v>171</v>
      </c>
      <c r="G41" s="202" t="s">
        <v>204</v>
      </c>
      <c r="H41" s="303"/>
      <c r="I41" s="303"/>
      <c r="J41" s="303"/>
      <c r="K41" s="303"/>
      <c r="L41" s="537" t="s">
        <v>849</v>
      </c>
      <c r="M41" s="303"/>
      <c r="N41" s="344" t="s">
        <v>3318</v>
      </c>
      <c r="O41" s="303"/>
      <c r="P41" s="217"/>
      <c r="Q41" s="348"/>
      <c r="R41" s="348"/>
      <c r="S41" s="347" t="s">
        <v>3319</v>
      </c>
      <c r="T41" s="348"/>
      <c r="U41" s="348"/>
      <c r="V41" s="348"/>
      <c r="W41" s="217"/>
      <c r="X41" s="313"/>
      <c r="Y41" s="313"/>
      <c r="Z41" s="313"/>
      <c r="AA41" s="618" t="s">
        <v>3322</v>
      </c>
      <c r="AB41" s="315" t="s">
        <v>3323</v>
      </c>
      <c r="AC41" s="313"/>
      <c r="AD41" s="313"/>
      <c r="AE41" s="313"/>
      <c r="AF41" s="313"/>
      <c r="AG41" s="313"/>
      <c r="AH41" s="626" t="s">
        <v>3326</v>
      </c>
      <c r="AI41" s="217"/>
      <c r="AJ41" s="318"/>
      <c r="AK41" s="318"/>
      <c r="AL41" s="318"/>
      <c r="AM41" s="318"/>
      <c r="AN41" s="318"/>
      <c r="AO41" s="318"/>
      <c r="AP41" s="318"/>
      <c r="AQ41" s="318"/>
      <c r="AR41" s="318"/>
      <c r="AS41" s="318"/>
      <c r="AT41" s="318"/>
      <c r="AU41" s="318"/>
      <c r="AV41" s="318"/>
      <c r="AW41" s="318"/>
      <c r="AX41" s="318"/>
      <c r="AY41" s="318"/>
      <c r="AZ41" s="346"/>
      <c r="BA41" s="322"/>
      <c r="BB41" s="322"/>
      <c r="BC41" s="322"/>
      <c r="BD41" s="322"/>
      <c r="BE41" s="386" t="s">
        <v>3329</v>
      </c>
      <c r="BF41" s="346"/>
      <c r="BG41" s="328"/>
      <c r="BH41" s="328"/>
      <c r="BI41" s="328"/>
      <c r="BJ41" s="328"/>
      <c r="BK41" s="328"/>
      <c r="BL41" s="328"/>
      <c r="BM41" s="328"/>
      <c r="BN41" s="217"/>
      <c r="BO41" s="336"/>
      <c r="BP41" s="333"/>
      <c r="BQ41" s="336"/>
      <c r="BR41" s="336"/>
      <c r="BS41" s="336"/>
      <c r="BT41" s="336"/>
      <c r="BU41" s="576" t="s">
        <v>3331</v>
      </c>
      <c r="BV41" s="335" t="s">
        <v>1191</v>
      </c>
      <c r="BW41" s="337" t="s">
        <v>3333</v>
      </c>
      <c r="BX41" s="217"/>
      <c r="BY41" s="341"/>
      <c r="BZ41" s="628" t="s">
        <v>3334</v>
      </c>
      <c r="CA41" s="341"/>
      <c r="CB41" s="342"/>
      <c r="CC41" s="341"/>
      <c r="CD41" s="341"/>
      <c r="CE41" s="341"/>
      <c r="CF41" s="366" t="s">
        <v>3335</v>
      </c>
      <c r="CG41" s="341"/>
      <c r="CH41" s="341"/>
      <c r="CI41" s="391" t="s">
        <v>3337</v>
      </c>
      <c r="CJ41" s="342"/>
      <c r="CK41" s="342"/>
    </row>
    <row r="42">
      <c r="A42" s="343" t="s">
        <v>3341</v>
      </c>
      <c r="B42" s="202" t="s">
        <v>3343</v>
      </c>
      <c r="C42" s="196" t="s">
        <v>171</v>
      </c>
      <c r="D42" s="197" t="s">
        <v>271</v>
      </c>
      <c r="E42" s="199" t="s">
        <v>271</v>
      </c>
      <c r="F42" s="201" t="s">
        <v>233</v>
      </c>
      <c r="G42" s="202" t="s">
        <v>176</v>
      </c>
      <c r="H42" s="303"/>
      <c r="I42" s="303"/>
      <c r="J42" s="303"/>
      <c r="K42" s="303"/>
      <c r="L42" s="303"/>
      <c r="M42" s="303"/>
      <c r="N42" s="303"/>
      <c r="O42" s="303"/>
      <c r="P42" s="217"/>
      <c r="Q42" s="678" t="str">
        <f>HYPERLINK("https://youtu.be/UsB9SYccMcU","1:32.77")</f>
        <v>1:32.77</v>
      </c>
      <c r="R42" s="647"/>
      <c r="S42" s="679" t="str">
        <f>HYPERLINK("https://youtu.be/y7apQUmx5sA","1:32.08")</f>
        <v>1:32.08</v>
      </c>
      <c r="T42" s="440" t="s">
        <v>662</v>
      </c>
      <c r="U42" s="348"/>
      <c r="V42" s="440" t="s">
        <v>3359</v>
      </c>
      <c r="W42" s="217"/>
      <c r="X42" s="680"/>
      <c r="Y42" s="313"/>
      <c r="Z42" s="313"/>
      <c r="AA42" s="313"/>
      <c r="AB42" s="313"/>
      <c r="AC42" s="313"/>
      <c r="AD42" s="313"/>
      <c r="AE42" s="313"/>
      <c r="AF42" s="313"/>
      <c r="AG42" s="313"/>
      <c r="AH42" s="253"/>
      <c r="AI42" s="217"/>
      <c r="AJ42" s="318"/>
      <c r="AK42" s="318"/>
      <c r="AL42" s="318"/>
      <c r="AM42" s="318"/>
      <c r="AN42" s="318"/>
      <c r="AO42" s="318"/>
      <c r="AP42" s="318"/>
      <c r="AQ42" s="318"/>
      <c r="AR42" s="318"/>
      <c r="AS42" s="318"/>
      <c r="AT42" s="318"/>
      <c r="AU42" s="318"/>
      <c r="AV42" s="318"/>
      <c r="AW42" s="318"/>
      <c r="AX42" s="318"/>
      <c r="AY42" s="318"/>
      <c r="AZ42" s="346"/>
      <c r="BA42" s="322"/>
      <c r="BB42" s="322"/>
      <c r="BC42" s="322"/>
      <c r="BD42" s="322"/>
      <c r="BE42" s="322"/>
      <c r="BF42" s="346"/>
      <c r="BG42" s="328"/>
      <c r="BH42" s="328"/>
      <c r="BI42" s="328"/>
      <c r="BJ42" s="328"/>
      <c r="BK42" s="328"/>
      <c r="BL42" s="328"/>
      <c r="BM42" s="328"/>
      <c r="BN42" s="217"/>
      <c r="BO42" s="336"/>
      <c r="BP42" s="333"/>
      <c r="BQ42" s="336"/>
      <c r="BR42" s="336"/>
      <c r="BS42" s="336"/>
      <c r="BT42" s="336"/>
      <c r="BU42" s="336"/>
      <c r="BV42" s="336"/>
      <c r="BW42" s="336"/>
      <c r="BX42" s="217"/>
      <c r="BY42" s="341"/>
      <c r="BZ42" s="341"/>
      <c r="CA42" s="366"/>
      <c r="CB42" s="482"/>
      <c r="CC42" s="366"/>
      <c r="CD42" s="341"/>
      <c r="CE42" s="341"/>
      <c r="CF42" s="341"/>
      <c r="CG42" s="341"/>
      <c r="CH42" s="341"/>
      <c r="CI42" s="341"/>
      <c r="CJ42" s="342"/>
      <c r="CK42" s="342"/>
    </row>
    <row r="43">
      <c r="A43" s="343" t="s">
        <v>90</v>
      </c>
      <c r="B43" s="202" t="s">
        <v>1056</v>
      </c>
      <c r="C43" s="196" t="s">
        <v>271</v>
      </c>
      <c r="D43" s="197" t="s">
        <v>271</v>
      </c>
      <c r="E43" s="199" t="s">
        <v>271</v>
      </c>
      <c r="F43" s="201" t="s">
        <v>274</v>
      </c>
      <c r="G43" s="202" t="s">
        <v>176</v>
      </c>
      <c r="H43" s="107"/>
      <c r="I43" s="107"/>
      <c r="J43" s="107"/>
      <c r="K43" s="107"/>
      <c r="L43" s="107"/>
      <c r="M43" s="104"/>
      <c r="N43" s="107"/>
      <c r="O43" s="303"/>
      <c r="P43" s="217"/>
      <c r="Q43" s="348"/>
      <c r="R43" s="104"/>
      <c r="S43" s="104"/>
      <c r="T43" s="104"/>
      <c r="U43" s="104"/>
      <c r="V43" s="104"/>
      <c r="W43" s="681"/>
      <c r="X43" s="131" t="s">
        <v>3377</v>
      </c>
      <c r="Y43" s="107" t="s">
        <v>3381</v>
      </c>
      <c r="Z43" s="107"/>
      <c r="AA43" s="107"/>
      <c r="AB43" s="131" t="s">
        <v>3383</v>
      </c>
      <c r="AC43" s="107"/>
      <c r="AD43" s="104"/>
      <c r="AE43" s="104"/>
      <c r="AF43" s="104"/>
      <c r="AG43" s="131" t="s">
        <v>3385</v>
      </c>
      <c r="AH43" s="253"/>
      <c r="AI43" s="217"/>
      <c r="AJ43" s="318"/>
      <c r="AK43" s="104"/>
      <c r="AL43" s="104"/>
      <c r="AM43" s="104"/>
      <c r="AN43" s="104"/>
      <c r="AO43" s="104"/>
      <c r="AP43" s="104"/>
      <c r="AQ43" s="104"/>
      <c r="AR43" s="104"/>
      <c r="AS43" s="104"/>
      <c r="AT43" s="104"/>
      <c r="AU43" s="104"/>
      <c r="AV43" s="104"/>
      <c r="AW43" s="107"/>
      <c r="AX43" s="104"/>
      <c r="AY43" s="318"/>
      <c r="AZ43" s="346"/>
      <c r="BA43" s="322"/>
      <c r="BB43" s="104"/>
      <c r="BC43" s="104"/>
      <c r="BD43" s="104"/>
      <c r="BE43" s="104"/>
      <c r="BF43" s="346"/>
      <c r="BG43" s="328"/>
      <c r="BH43" s="104"/>
      <c r="BI43" s="104"/>
      <c r="BJ43" s="107"/>
      <c r="BK43" s="104"/>
      <c r="BL43" s="104"/>
      <c r="BM43" s="328"/>
      <c r="BN43" s="217"/>
      <c r="BO43" s="336"/>
      <c r="BP43" s="104"/>
      <c r="BQ43" s="104"/>
      <c r="BR43" s="104"/>
      <c r="BS43" s="104"/>
      <c r="BT43" s="104"/>
      <c r="BU43" s="107"/>
      <c r="BV43" s="107"/>
      <c r="BW43" s="336"/>
      <c r="BX43" s="217"/>
      <c r="BY43" s="341"/>
      <c r="BZ43" s="104"/>
      <c r="CA43" s="104"/>
      <c r="CB43" s="104"/>
      <c r="CC43" s="104"/>
      <c r="CD43" s="104"/>
      <c r="CE43" s="104"/>
      <c r="CF43" s="104"/>
      <c r="CG43" s="104"/>
      <c r="CH43" s="104"/>
      <c r="CI43" s="104"/>
      <c r="CJ43" s="107"/>
      <c r="CK43" s="104"/>
    </row>
    <row r="44">
      <c r="A44" s="684" t="s">
        <v>3391</v>
      </c>
      <c r="B44" s="202" t="s">
        <v>3392</v>
      </c>
      <c r="C44" s="196" t="s">
        <v>271</v>
      </c>
      <c r="D44" s="197" t="s">
        <v>171</v>
      </c>
      <c r="E44" s="199" t="s">
        <v>271</v>
      </c>
      <c r="F44" s="201" t="s">
        <v>176</v>
      </c>
      <c r="G44" s="202" t="s">
        <v>176</v>
      </c>
      <c r="H44" s="303"/>
      <c r="I44" s="303"/>
      <c r="J44" s="303"/>
      <c r="K44" s="303"/>
      <c r="L44" s="303"/>
      <c r="M44" s="303"/>
      <c r="N44" s="303"/>
      <c r="O44" s="303"/>
      <c r="P44" s="217"/>
      <c r="Q44" s="348"/>
      <c r="R44" s="348"/>
      <c r="S44" s="348"/>
      <c r="T44" s="348"/>
      <c r="U44" s="348"/>
      <c r="V44" s="348"/>
      <c r="W44" s="217"/>
      <c r="X44" s="313"/>
      <c r="Y44" s="313"/>
      <c r="Z44" s="313"/>
      <c r="AA44" s="602"/>
      <c r="AB44" s="313"/>
      <c r="AC44" s="313"/>
      <c r="AD44" s="313"/>
      <c r="AE44" s="230" t="s">
        <v>3396</v>
      </c>
      <c r="AF44" s="313"/>
      <c r="AG44" s="313"/>
      <c r="AH44" s="253"/>
      <c r="AI44" s="217"/>
      <c r="AJ44" s="318"/>
      <c r="AK44" s="318"/>
      <c r="AL44" s="318"/>
      <c r="AM44" s="355" t="s">
        <v>3401</v>
      </c>
      <c r="AN44" s="321" t="s">
        <v>3404</v>
      </c>
      <c r="AO44" s="318"/>
      <c r="AP44" s="318"/>
      <c r="AQ44" s="318"/>
      <c r="AR44" s="318"/>
      <c r="AS44" s="318"/>
      <c r="AT44" s="318"/>
      <c r="AU44" s="318"/>
      <c r="AV44" s="318"/>
      <c r="AW44" s="318"/>
      <c r="AX44" s="318"/>
      <c r="AY44" s="318"/>
      <c r="AZ44" s="346"/>
      <c r="BA44" s="322"/>
      <c r="BB44" s="322"/>
      <c r="BC44" s="322"/>
      <c r="BD44" s="322"/>
      <c r="BE44" s="322"/>
      <c r="BF44" s="346"/>
      <c r="BG44" s="331" t="s">
        <v>3409</v>
      </c>
      <c r="BH44" s="328"/>
      <c r="BI44" s="328"/>
      <c r="BJ44" s="328"/>
      <c r="BK44" s="328"/>
      <c r="BL44" s="328"/>
      <c r="BM44" s="328"/>
      <c r="BN44" s="217"/>
      <c r="BO44" s="336"/>
      <c r="BP44" s="333"/>
      <c r="BQ44" s="336"/>
      <c r="BR44" s="336"/>
      <c r="BS44" s="336"/>
      <c r="BT44" s="336"/>
      <c r="BU44" s="336"/>
      <c r="BV44" s="336"/>
      <c r="BW44" s="336"/>
      <c r="BX44" s="217"/>
      <c r="BY44" s="341"/>
      <c r="BZ44" s="341"/>
      <c r="CA44" s="341"/>
      <c r="CB44" s="342"/>
      <c r="CC44" s="341"/>
      <c r="CD44" s="341"/>
      <c r="CE44" s="341"/>
      <c r="CF44" s="341"/>
      <c r="CG44" s="341"/>
      <c r="CH44" s="341"/>
      <c r="CI44" s="341"/>
      <c r="CJ44" s="342"/>
      <c r="CK44" s="342"/>
    </row>
    <row r="45">
      <c r="A45" s="343" t="s">
        <v>3414</v>
      </c>
      <c r="B45" s="202" t="s">
        <v>3415</v>
      </c>
      <c r="C45" s="196" t="s">
        <v>271</v>
      </c>
      <c r="D45" s="197" t="s">
        <v>271</v>
      </c>
      <c r="E45" s="199" t="s">
        <v>271</v>
      </c>
      <c r="F45" s="201" t="s">
        <v>271</v>
      </c>
      <c r="G45" s="202" t="s">
        <v>270</v>
      </c>
      <c r="H45" s="303"/>
      <c r="I45" s="303"/>
      <c r="J45" s="344" t="s">
        <v>3416</v>
      </c>
      <c r="K45" s="344"/>
      <c r="L45" s="344"/>
      <c r="M45" s="344" t="s">
        <v>3417</v>
      </c>
      <c r="N45" s="303"/>
      <c r="O45" s="344" t="s">
        <v>3418</v>
      </c>
      <c r="P45" s="217"/>
      <c r="Q45" s="348"/>
      <c r="R45" s="347" t="s">
        <v>3419</v>
      </c>
      <c r="S45" s="348"/>
      <c r="T45" s="348"/>
      <c r="U45" s="348"/>
      <c r="V45" s="347" t="s">
        <v>3421</v>
      </c>
      <c r="W45" s="217"/>
      <c r="X45" s="313"/>
      <c r="Y45" s="313"/>
      <c r="Z45" s="313"/>
      <c r="AA45" s="618" t="s">
        <v>3422</v>
      </c>
      <c r="AB45" s="312" t="s">
        <v>3423</v>
      </c>
      <c r="AC45" s="313"/>
      <c r="AD45" s="313"/>
      <c r="AE45" s="313"/>
      <c r="AF45" s="313"/>
      <c r="AG45" s="312" t="s">
        <v>3425</v>
      </c>
      <c r="AH45" s="253"/>
      <c r="AI45" s="217"/>
      <c r="AJ45" s="318"/>
      <c r="AK45" s="318"/>
      <c r="AL45" s="318"/>
      <c r="AM45" s="318"/>
      <c r="AN45" s="318"/>
      <c r="AO45" s="318"/>
      <c r="AP45" s="318"/>
      <c r="AQ45" s="318"/>
      <c r="AR45" s="318"/>
      <c r="AS45" s="352"/>
      <c r="AT45" s="318"/>
      <c r="AU45" s="318"/>
      <c r="AV45" s="318"/>
      <c r="AW45" s="318"/>
      <c r="AX45" s="318"/>
      <c r="AY45" s="318"/>
      <c r="AZ45" s="346"/>
      <c r="BA45" s="322"/>
      <c r="BB45" s="322"/>
      <c r="BC45" s="322"/>
      <c r="BD45" s="322"/>
      <c r="BE45" s="386" t="s">
        <v>3430</v>
      </c>
      <c r="BF45" s="346"/>
      <c r="BG45" s="328"/>
      <c r="BH45" s="328"/>
      <c r="BI45" s="328"/>
      <c r="BJ45" s="328"/>
      <c r="BK45" s="328"/>
      <c r="BL45" s="328"/>
      <c r="BM45" s="358" t="s">
        <v>3432</v>
      </c>
      <c r="BN45" s="217"/>
      <c r="BO45" s="336"/>
      <c r="BP45" s="333"/>
      <c r="BQ45" s="336"/>
      <c r="BR45" s="336"/>
      <c r="BS45" s="336"/>
      <c r="BT45" s="336"/>
      <c r="BU45" s="336"/>
      <c r="BV45" s="335" t="s">
        <v>1139</v>
      </c>
      <c r="BW45" s="335" t="s">
        <v>3433</v>
      </c>
      <c r="BX45" s="217"/>
      <c r="BY45" s="341"/>
      <c r="BZ45" s="341"/>
      <c r="CA45" s="341"/>
      <c r="CB45" s="342"/>
      <c r="CC45" s="341"/>
      <c r="CD45" s="341"/>
      <c r="CE45" s="341"/>
      <c r="CF45" s="341"/>
      <c r="CG45" s="341"/>
      <c r="CH45" s="341"/>
      <c r="CI45" s="341"/>
      <c r="CJ45" s="342"/>
      <c r="CK45" s="342"/>
    </row>
    <row r="46">
      <c r="A46" s="343" t="s">
        <v>3435</v>
      </c>
      <c r="B46" s="202" t="s">
        <v>2320</v>
      </c>
      <c r="C46" s="196" t="s">
        <v>271</v>
      </c>
      <c r="D46" s="197" t="s">
        <v>271</v>
      </c>
      <c r="E46" s="199" t="s">
        <v>271</v>
      </c>
      <c r="F46" s="201" t="s">
        <v>171</v>
      </c>
      <c r="G46" s="202" t="s">
        <v>171</v>
      </c>
      <c r="H46" s="303"/>
      <c r="I46" s="303"/>
      <c r="J46" s="303"/>
      <c r="K46" s="303"/>
      <c r="L46" s="303"/>
      <c r="M46" s="303"/>
      <c r="N46" s="303"/>
      <c r="O46" s="303"/>
      <c r="P46" s="217"/>
      <c r="Q46" s="348"/>
      <c r="R46" s="348"/>
      <c r="S46" s="348"/>
      <c r="T46" s="348"/>
      <c r="U46" s="348"/>
      <c r="V46" s="348"/>
      <c r="W46" s="217"/>
      <c r="X46" s="313"/>
      <c r="Y46" s="313"/>
      <c r="Z46" s="313"/>
      <c r="AA46" s="602"/>
      <c r="AB46" s="313"/>
      <c r="AC46" s="313"/>
      <c r="AD46" s="313"/>
      <c r="AE46" s="313"/>
      <c r="AF46" s="313"/>
      <c r="AG46" s="313"/>
      <c r="AH46" s="253"/>
      <c r="AI46" s="217"/>
      <c r="AJ46" s="318"/>
      <c r="AK46" s="318"/>
      <c r="AL46" s="318"/>
      <c r="AM46" s="318"/>
      <c r="AN46" s="318"/>
      <c r="AO46" s="318"/>
      <c r="AP46" s="318"/>
      <c r="AQ46" s="318"/>
      <c r="AR46" s="318"/>
      <c r="AS46" s="318"/>
      <c r="AT46" s="318"/>
      <c r="AU46" s="318"/>
      <c r="AV46" s="318"/>
      <c r="AW46" s="318"/>
      <c r="AX46" s="318"/>
      <c r="AY46" s="318"/>
      <c r="AZ46" s="346"/>
      <c r="BA46" s="322"/>
      <c r="BB46" s="322"/>
      <c r="BC46" s="322"/>
      <c r="BD46" s="322"/>
      <c r="BE46" s="322"/>
      <c r="BF46" s="346"/>
      <c r="BG46" s="328"/>
      <c r="BH46" s="328"/>
      <c r="BI46" s="328"/>
      <c r="BJ46" s="328"/>
      <c r="BK46" s="328"/>
      <c r="BL46" s="328"/>
      <c r="BM46" s="328"/>
      <c r="BN46" s="217"/>
      <c r="BO46" s="336"/>
      <c r="BP46" s="333"/>
      <c r="BQ46" s="336"/>
      <c r="BR46" s="336"/>
      <c r="BS46" s="336"/>
      <c r="BT46" s="336"/>
      <c r="BU46" s="336"/>
      <c r="BV46" s="336"/>
      <c r="BW46" s="364" t="s">
        <v>3442</v>
      </c>
      <c r="BX46" s="217"/>
      <c r="BY46" s="341"/>
      <c r="BZ46" s="341"/>
      <c r="CA46" s="341"/>
      <c r="CB46" s="342"/>
      <c r="CC46" s="341"/>
      <c r="CD46" s="341"/>
      <c r="CE46" s="341"/>
      <c r="CF46" s="341"/>
      <c r="CG46" s="341"/>
      <c r="CH46" s="341"/>
      <c r="CI46" s="341"/>
      <c r="CJ46" s="342"/>
      <c r="CK46" s="342"/>
    </row>
    <row r="47">
      <c r="A47" s="343" t="s">
        <v>3448</v>
      </c>
      <c r="B47" s="202" t="s">
        <v>2251</v>
      </c>
      <c r="C47" s="196" t="s">
        <v>271</v>
      </c>
      <c r="D47" s="197" t="s">
        <v>271</v>
      </c>
      <c r="E47" s="199" t="s">
        <v>271</v>
      </c>
      <c r="F47" s="201" t="s">
        <v>271</v>
      </c>
      <c r="G47" s="202" t="s">
        <v>204</v>
      </c>
      <c r="H47" s="344" t="s">
        <v>3451</v>
      </c>
      <c r="I47" s="344" t="s">
        <v>3452</v>
      </c>
      <c r="J47" s="303"/>
      <c r="K47" s="303"/>
      <c r="L47" s="303"/>
      <c r="M47" s="303"/>
      <c r="N47" s="303"/>
      <c r="O47" s="303"/>
      <c r="P47" s="217"/>
      <c r="Q47" s="347" t="s">
        <v>3454</v>
      </c>
      <c r="R47" s="348"/>
      <c r="S47" s="347"/>
      <c r="T47" s="347" t="s">
        <v>3455</v>
      </c>
      <c r="U47" s="348"/>
      <c r="V47" s="348"/>
      <c r="W47" s="217"/>
      <c r="X47" s="313"/>
      <c r="Y47" s="313"/>
      <c r="Z47" s="313"/>
      <c r="AA47" s="602"/>
      <c r="AB47" s="313"/>
      <c r="AC47" s="313"/>
      <c r="AD47" s="312" t="s">
        <v>3457</v>
      </c>
      <c r="AE47" s="312" t="s">
        <v>3458</v>
      </c>
      <c r="AF47" s="313"/>
      <c r="AG47" s="313"/>
      <c r="AH47" s="253"/>
      <c r="AI47" s="217"/>
      <c r="AJ47" s="318"/>
      <c r="AK47" s="318"/>
      <c r="AL47" s="318"/>
      <c r="AM47" s="352" t="s">
        <v>3460</v>
      </c>
      <c r="AN47" s="318"/>
      <c r="AO47" s="318"/>
      <c r="AP47" s="352" t="s">
        <v>3461</v>
      </c>
      <c r="AQ47" s="318"/>
      <c r="AR47" s="318"/>
      <c r="AS47" s="318"/>
      <c r="AT47" s="318"/>
      <c r="AU47" s="318"/>
      <c r="AV47" s="318"/>
      <c r="AW47" s="318"/>
      <c r="AX47" s="318"/>
      <c r="AY47" s="318"/>
      <c r="AZ47" s="346"/>
      <c r="BA47" s="322"/>
      <c r="BB47" s="386" t="s">
        <v>3462</v>
      </c>
      <c r="BC47" s="692">
        <v>24.62</v>
      </c>
      <c r="BD47" s="322"/>
      <c r="BE47" s="322"/>
      <c r="BF47" s="346"/>
      <c r="BG47" s="328"/>
      <c r="BH47" s="328"/>
      <c r="BI47" s="328"/>
      <c r="BJ47" s="328"/>
      <c r="BK47" s="328"/>
      <c r="BL47" s="358" t="s">
        <v>3463</v>
      </c>
      <c r="BM47" s="328"/>
      <c r="BN47" s="217"/>
      <c r="BO47" s="335" t="s">
        <v>3464</v>
      </c>
      <c r="BP47" s="333"/>
      <c r="BQ47" s="336"/>
      <c r="BR47" s="335" t="s">
        <v>3466</v>
      </c>
      <c r="BS47" s="336"/>
      <c r="BT47" s="335" t="s">
        <v>3467</v>
      </c>
      <c r="BU47" s="336"/>
      <c r="BV47" s="336"/>
      <c r="BW47" s="336"/>
      <c r="BX47" s="217"/>
      <c r="BY47" s="341"/>
      <c r="BZ47" s="341"/>
      <c r="CA47" s="341"/>
      <c r="CB47" s="342"/>
      <c r="CC47" s="341"/>
      <c r="CD47" s="341"/>
      <c r="CE47" s="341"/>
      <c r="CF47" s="341"/>
      <c r="CG47" s="341"/>
      <c r="CH47" s="341"/>
      <c r="CI47" s="341"/>
      <c r="CJ47" s="342"/>
      <c r="CK47" s="342"/>
    </row>
    <row r="48">
      <c r="A48" s="696" t="s">
        <v>84</v>
      </c>
      <c r="B48" s="202" t="s">
        <v>2441</v>
      </c>
      <c r="C48" s="196" t="s">
        <v>271</v>
      </c>
      <c r="D48" s="197" t="s">
        <v>271</v>
      </c>
      <c r="E48" s="199" t="s">
        <v>271</v>
      </c>
      <c r="F48" s="201" t="s">
        <v>271</v>
      </c>
      <c r="G48" s="202" t="s">
        <v>205</v>
      </c>
      <c r="H48" s="303"/>
      <c r="I48" s="303"/>
      <c r="J48" s="303"/>
      <c r="K48" s="303"/>
      <c r="L48" s="303"/>
      <c r="M48" s="303"/>
      <c r="N48" s="303"/>
      <c r="O48" s="303"/>
      <c r="P48" s="217"/>
      <c r="Q48" s="348"/>
      <c r="R48" s="348"/>
      <c r="S48" s="348"/>
      <c r="T48" s="348"/>
      <c r="U48" s="348"/>
      <c r="V48" s="347"/>
      <c r="W48" s="217"/>
      <c r="X48" s="313"/>
      <c r="Y48" s="313"/>
      <c r="Z48" s="313"/>
      <c r="AA48" s="602"/>
      <c r="AB48" s="313"/>
      <c r="AC48" s="313"/>
      <c r="AD48" s="312" t="s">
        <v>3480</v>
      </c>
      <c r="AE48" s="313"/>
      <c r="AF48" s="313"/>
      <c r="AG48" s="313"/>
      <c r="AH48" s="253"/>
      <c r="AI48" s="217"/>
      <c r="AJ48" s="318"/>
      <c r="AK48" s="318"/>
      <c r="AL48" s="318"/>
      <c r="AM48" s="352" t="s">
        <v>3482</v>
      </c>
      <c r="AN48" s="318"/>
      <c r="AO48" s="318"/>
      <c r="AP48" s="352" t="s">
        <v>2817</v>
      </c>
      <c r="AQ48" s="318"/>
      <c r="AR48" s="352" t="s">
        <v>3483</v>
      </c>
      <c r="AS48" s="318"/>
      <c r="AT48" s="318"/>
      <c r="AU48" s="318"/>
      <c r="AV48" s="318"/>
      <c r="AW48" s="352" t="s">
        <v>3484</v>
      </c>
      <c r="AX48" s="318"/>
      <c r="AY48" s="318"/>
      <c r="AZ48" s="346"/>
      <c r="BA48" s="322"/>
      <c r="BB48" s="322"/>
      <c r="BC48" s="386" t="s">
        <v>3485</v>
      </c>
      <c r="BD48" s="322"/>
      <c r="BE48" s="322"/>
      <c r="BF48" s="346"/>
      <c r="BG48" s="328"/>
      <c r="BH48" s="328"/>
      <c r="BI48" s="328"/>
      <c r="BJ48" s="328"/>
      <c r="BK48" s="328"/>
      <c r="BL48" s="328"/>
      <c r="BM48" s="328"/>
      <c r="BN48" s="217"/>
      <c r="BO48" s="335" t="s">
        <v>3488</v>
      </c>
      <c r="BP48" s="333"/>
      <c r="BQ48" s="336"/>
      <c r="BR48" s="336"/>
      <c r="BS48" s="336"/>
      <c r="BT48" s="335" t="s">
        <v>3489</v>
      </c>
      <c r="BU48" s="336"/>
      <c r="BV48" s="336"/>
      <c r="BW48" s="336"/>
      <c r="BX48" s="217"/>
      <c r="BY48" s="341"/>
      <c r="BZ48" s="341"/>
      <c r="CA48" s="341"/>
      <c r="CB48" s="342"/>
      <c r="CC48" s="341"/>
      <c r="CD48" s="341"/>
      <c r="CE48" s="341"/>
      <c r="CF48" s="341"/>
      <c r="CG48" s="341"/>
      <c r="CH48" s="341"/>
      <c r="CI48" s="341"/>
      <c r="CJ48" s="342"/>
      <c r="CK48" s="342"/>
    </row>
    <row r="49" ht="15.75" customHeight="1">
      <c r="A49" s="343" t="s">
        <v>3492</v>
      </c>
      <c r="B49" s="202" t="s">
        <v>3441</v>
      </c>
      <c r="C49" s="196" t="s">
        <v>271</v>
      </c>
      <c r="D49" s="197" t="s">
        <v>271</v>
      </c>
      <c r="E49" s="199" t="s">
        <v>271</v>
      </c>
      <c r="F49" s="201" t="s">
        <v>271</v>
      </c>
      <c r="G49" s="202" t="s">
        <v>274</v>
      </c>
      <c r="H49" s="303"/>
      <c r="I49" s="303"/>
      <c r="J49" s="303"/>
      <c r="K49" s="303"/>
      <c r="L49" s="703" t="s">
        <v>3493</v>
      </c>
      <c r="M49" s="437" t="s">
        <v>1211</v>
      </c>
      <c r="N49" s="303"/>
      <c r="O49" s="303"/>
      <c r="P49" s="217"/>
      <c r="Q49" s="348"/>
      <c r="R49" s="348"/>
      <c r="S49" s="348"/>
      <c r="T49" s="348"/>
      <c r="U49" s="348"/>
      <c r="V49" s="348"/>
      <c r="W49" s="217"/>
      <c r="X49" s="313"/>
      <c r="Y49" s="313"/>
      <c r="Z49" s="313"/>
      <c r="AA49" s="313"/>
      <c r="AB49" s="313"/>
      <c r="AC49" s="313"/>
      <c r="AD49" s="313"/>
      <c r="AE49" s="313"/>
      <c r="AF49" s="313"/>
      <c r="AG49" s="313"/>
      <c r="AH49" s="253"/>
      <c r="AI49" s="217"/>
      <c r="AJ49" s="318"/>
      <c r="AK49" s="318"/>
      <c r="AL49" s="318"/>
      <c r="AM49" s="318"/>
      <c r="AN49" s="318"/>
      <c r="AO49" s="318"/>
      <c r="AP49" s="318"/>
      <c r="AQ49" s="318"/>
      <c r="AR49" s="318"/>
      <c r="AS49" s="318"/>
      <c r="AT49" s="318"/>
      <c r="AU49" s="318"/>
      <c r="AV49" s="318"/>
      <c r="AW49" s="318"/>
      <c r="AX49" s="318"/>
      <c r="AY49" s="318"/>
      <c r="AZ49" s="346"/>
      <c r="BA49" s="322"/>
      <c r="BB49" s="322"/>
      <c r="BC49" s="322"/>
      <c r="BD49" s="322"/>
      <c r="BE49" s="600" t="s">
        <v>3497</v>
      </c>
      <c r="BF49" s="346"/>
      <c r="BG49" s="554" t="s">
        <v>3498</v>
      </c>
      <c r="BH49" s="328"/>
      <c r="BI49" s="328"/>
      <c r="BJ49" s="328"/>
      <c r="BK49" s="328"/>
      <c r="BL49" s="328"/>
      <c r="BM49" s="328"/>
      <c r="BN49" s="217"/>
      <c r="BO49" s="336"/>
      <c r="BP49" s="333"/>
      <c r="BQ49" s="336"/>
      <c r="BR49" s="336"/>
      <c r="BS49" s="336"/>
      <c r="BT49" s="336"/>
      <c r="BU49" s="336"/>
      <c r="BV49" s="336"/>
      <c r="BW49" s="336"/>
      <c r="BX49" s="217"/>
      <c r="BY49" s="341"/>
      <c r="BZ49" s="341"/>
      <c r="CA49" s="341"/>
      <c r="CB49" s="342"/>
      <c r="CC49" s="341"/>
      <c r="CD49" s="341"/>
      <c r="CE49" s="341"/>
      <c r="CF49" s="341"/>
      <c r="CG49" s="341"/>
      <c r="CH49" s="341"/>
      <c r="CI49" s="341"/>
      <c r="CJ49" s="342"/>
      <c r="CK49" s="342"/>
    </row>
    <row r="50">
      <c r="A50" s="193" t="s">
        <v>94</v>
      </c>
      <c r="B50" s="202" t="s">
        <v>3502</v>
      </c>
      <c r="C50" s="196" t="s">
        <v>271</v>
      </c>
      <c r="D50" s="197" t="s">
        <v>271</v>
      </c>
      <c r="E50" s="199" t="s">
        <v>271</v>
      </c>
      <c r="F50" s="201" t="s">
        <v>171</v>
      </c>
      <c r="G50" s="202" t="s">
        <v>171</v>
      </c>
      <c r="H50" s="344"/>
      <c r="I50" s="303"/>
      <c r="J50" s="303"/>
      <c r="K50" s="303"/>
      <c r="L50" s="303"/>
      <c r="M50" s="303"/>
      <c r="N50" s="303"/>
      <c r="O50" s="303"/>
      <c r="P50" s="217"/>
      <c r="Q50" s="348"/>
      <c r="R50" s="348"/>
      <c r="S50" s="348"/>
      <c r="T50" s="348"/>
      <c r="U50" s="348"/>
      <c r="V50" s="348"/>
      <c r="W50" s="217"/>
      <c r="X50" s="313"/>
      <c r="Y50" s="313"/>
      <c r="Z50" s="708" t="str">
        <f>HYPERLINK("https://www.twitch.tv/videos/943468135","1:18.80")</f>
        <v>1:18.80</v>
      </c>
      <c r="AA50" s="602"/>
      <c r="AB50" s="312"/>
      <c r="AC50" s="313"/>
      <c r="AD50" s="313"/>
      <c r="AE50" s="313"/>
      <c r="AF50" s="313"/>
      <c r="AG50" s="313"/>
      <c r="AH50" s="253"/>
      <c r="AI50" s="217"/>
      <c r="AJ50" s="318"/>
      <c r="AK50" s="318"/>
      <c r="AL50" s="318"/>
      <c r="AM50" s="318"/>
      <c r="AN50" s="318"/>
      <c r="AO50" s="318"/>
      <c r="AP50" s="318"/>
      <c r="AQ50" s="318"/>
      <c r="AR50" s="318"/>
      <c r="AS50" s="318"/>
      <c r="AT50" s="318"/>
      <c r="AU50" s="318"/>
      <c r="AV50" s="318"/>
      <c r="AW50" s="318"/>
      <c r="AX50" s="318"/>
      <c r="AY50" s="318"/>
      <c r="AZ50" s="346"/>
      <c r="BA50" s="322"/>
      <c r="BB50" s="322"/>
      <c r="BC50" s="322"/>
      <c r="BD50" s="322"/>
      <c r="BE50" s="322"/>
      <c r="BF50" s="346"/>
      <c r="BG50" s="328"/>
      <c r="BH50" s="328"/>
      <c r="BI50" s="328"/>
      <c r="BJ50" s="328"/>
      <c r="BK50" s="328"/>
      <c r="BL50" s="328"/>
      <c r="BM50" s="328"/>
      <c r="BN50" s="217"/>
      <c r="BO50" s="336"/>
      <c r="BP50" s="333"/>
      <c r="BQ50" s="336"/>
      <c r="BR50" s="336"/>
      <c r="BS50" s="336"/>
      <c r="BT50" s="336"/>
      <c r="BU50" s="336"/>
      <c r="BV50" s="336"/>
      <c r="BW50" s="336"/>
      <c r="BX50" s="217"/>
      <c r="BY50" s="341"/>
      <c r="BZ50" s="341"/>
      <c r="CA50" s="341"/>
      <c r="CB50" s="342"/>
      <c r="CC50" s="341"/>
      <c r="CD50" s="341"/>
      <c r="CE50" s="341"/>
      <c r="CF50" s="341"/>
      <c r="CG50" s="341"/>
      <c r="CH50" s="341"/>
      <c r="CI50" s="341"/>
      <c r="CJ50" s="342"/>
      <c r="CK50" s="342"/>
    </row>
    <row r="51">
      <c r="A51" s="343" t="s">
        <v>3505</v>
      </c>
      <c r="B51" s="202" t="s">
        <v>565</v>
      </c>
      <c r="C51" s="196" t="s">
        <v>271</v>
      </c>
      <c r="D51" s="197" t="s">
        <v>271</v>
      </c>
      <c r="E51" s="199" t="s">
        <v>271</v>
      </c>
      <c r="F51" s="201" t="s">
        <v>271</v>
      </c>
      <c r="G51" s="202" t="s">
        <v>394</v>
      </c>
      <c r="H51" s="303"/>
      <c r="I51" s="303"/>
      <c r="J51" s="303"/>
      <c r="K51" s="303"/>
      <c r="L51" s="344" t="s">
        <v>3506</v>
      </c>
      <c r="M51" s="303"/>
      <c r="N51" s="344" t="s">
        <v>3507</v>
      </c>
      <c r="O51" s="303"/>
      <c r="P51" s="217"/>
      <c r="Q51" s="348"/>
      <c r="R51" s="348"/>
      <c r="S51" s="348"/>
      <c r="T51" s="348"/>
      <c r="U51" s="347"/>
      <c r="V51" s="347" t="s">
        <v>3508</v>
      </c>
      <c r="W51" s="217"/>
      <c r="X51" s="313"/>
      <c r="Y51" s="313"/>
      <c r="Z51" s="371" t="s">
        <v>3509</v>
      </c>
      <c r="AA51" s="602"/>
      <c r="AB51" s="312" t="s">
        <v>1186</v>
      </c>
      <c r="AC51" s="313"/>
      <c r="AD51" s="313"/>
      <c r="AE51" s="313"/>
      <c r="AF51" s="313"/>
      <c r="AG51" s="312" t="s">
        <v>3510</v>
      </c>
      <c r="AH51" s="253"/>
      <c r="AI51" s="217"/>
      <c r="AJ51" s="318"/>
      <c r="AK51" s="318"/>
      <c r="AL51" s="318"/>
      <c r="AM51" s="318"/>
      <c r="AN51" s="318"/>
      <c r="AO51" s="318"/>
      <c r="AP51" s="318"/>
      <c r="AQ51" s="318"/>
      <c r="AR51" s="318"/>
      <c r="AS51" s="318"/>
      <c r="AT51" s="318"/>
      <c r="AU51" s="318"/>
      <c r="AV51" s="318"/>
      <c r="AW51" s="318"/>
      <c r="AX51" s="318"/>
      <c r="AY51" s="318"/>
      <c r="AZ51" s="346"/>
      <c r="BA51" s="322"/>
      <c r="BB51" s="322"/>
      <c r="BC51" s="322"/>
      <c r="BD51" s="322"/>
      <c r="BE51" s="386" t="s">
        <v>3513</v>
      </c>
      <c r="BF51" s="346"/>
      <c r="BG51" s="328"/>
      <c r="BH51" s="328"/>
      <c r="BI51" s="328"/>
      <c r="BJ51" s="328"/>
      <c r="BK51" s="328"/>
      <c r="BL51" s="328"/>
      <c r="BM51" s="328"/>
      <c r="BN51" s="217"/>
      <c r="BO51" s="335" t="s">
        <v>3515</v>
      </c>
      <c r="BP51" s="333"/>
      <c r="BQ51" s="336"/>
      <c r="BR51" s="336"/>
      <c r="BS51" s="336"/>
      <c r="BT51" s="336"/>
      <c r="BU51" s="336"/>
      <c r="BV51" s="336"/>
      <c r="BW51" s="337" t="s">
        <v>3516</v>
      </c>
      <c r="BX51" s="217"/>
      <c r="BY51" s="341"/>
      <c r="BZ51" s="341"/>
      <c r="CA51" s="341"/>
      <c r="CB51" s="342"/>
      <c r="CC51" s="341"/>
      <c r="CD51" s="341"/>
      <c r="CE51" s="341"/>
      <c r="CF51" s="341"/>
      <c r="CG51" s="341"/>
      <c r="CH51" s="341"/>
      <c r="CI51" s="341"/>
      <c r="CJ51" s="342"/>
      <c r="CK51" s="342"/>
    </row>
    <row r="52">
      <c r="A52" s="343" t="s">
        <v>95</v>
      </c>
      <c r="B52" s="202" t="s">
        <v>567</v>
      </c>
      <c r="C52" s="196" t="s">
        <v>271</v>
      </c>
      <c r="D52" s="197" t="s">
        <v>271</v>
      </c>
      <c r="E52" s="199" t="s">
        <v>271</v>
      </c>
      <c r="F52" s="201" t="s">
        <v>271</v>
      </c>
      <c r="G52" s="202" t="s">
        <v>399</v>
      </c>
      <c r="H52" s="303"/>
      <c r="I52" s="303"/>
      <c r="J52" s="303"/>
      <c r="K52" s="303"/>
      <c r="L52" s="303"/>
      <c r="M52" s="303"/>
      <c r="N52" s="303"/>
      <c r="O52" s="303"/>
      <c r="P52" s="217"/>
      <c r="Q52" s="348"/>
      <c r="R52" s="348"/>
      <c r="S52" s="348"/>
      <c r="T52" s="348"/>
      <c r="U52" s="348"/>
      <c r="V52" s="626" t="s">
        <v>3520</v>
      </c>
      <c r="W52" s="217"/>
      <c r="X52" s="313"/>
      <c r="Y52" s="313"/>
      <c r="Z52" s="313"/>
      <c r="AA52" s="602"/>
      <c r="AB52" s="313"/>
      <c r="AC52" s="313"/>
      <c r="AD52" s="313"/>
      <c r="AE52" s="313"/>
      <c r="AF52" s="313"/>
      <c r="AG52" s="313"/>
      <c r="AH52" s="626" t="s">
        <v>3521</v>
      </c>
      <c r="AI52" s="217"/>
      <c r="AJ52" s="318"/>
      <c r="AK52" s="318"/>
      <c r="AL52" s="318"/>
      <c r="AM52" s="318"/>
      <c r="AN52" s="318"/>
      <c r="AO52" s="318"/>
      <c r="AP52" s="318"/>
      <c r="AQ52" s="318"/>
      <c r="AR52" s="318"/>
      <c r="AS52" s="318"/>
      <c r="AT52" s="318"/>
      <c r="AU52" s="318"/>
      <c r="AV52" s="318"/>
      <c r="AW52" s="318"/>
      <c r="AX52" s="318"/>
      <c r="AY52" s="626" t="s">
        <v>3526</v>
      </c>
      <c r="AZ52" s="346"/>
      <c r="BA52" s="322"/>
      <c r="BB52" s="322"/>
      <c r="BC52" s="322"/>
      <c r="BD52" s="322"/>
      <c r="BE52" s="626" t="s">
        <v>3528</v>
      </c>
      <c r="BF52" s="346"/>
      <c r="BG52" s="328"/>
      <c r="BH52" s="328"/>
      <c r="BI52" s="328"/>
      <c r="BJ52" s="328"/>
      <c r="BK52" s="328"/>
      <c r="BL52" s="626" t="s">
        <v>3534</v>
      </c>
      <c r="BM52" s="358"/>
      <c r="BN52" s="217"/>
      <c r="BO52" s="336"/>
      <c r="BP52" s="333"/>
      <c r="BQ52" s="336"/>
      <c r="BR52" s="336"/>
      <c r="BS52" s="336"/>
      <c r="BT52" s="336"/>
      <c r="BU52" s="336"/>
      <c r="BV52" s="336"/>
      <c r="BW52" s="626" t="s">
        <v>3536</v>
      </c>
      <c r="BX52" s="217"/>
      <c r="BY52" s="341"/>
      <c r="BZ52" s="341"/>
      <c r="CA52" s="341"/>
      <c r="CB52" s="342"/>
      <c r="CC52" s="341"/>
      <c r="CD52" s="341"/>
      <c r="CE52" s="341"/>
      <c r="CF52" s="341"/>
      <c r="CG52" s="341"/>
      <c r="CH52" s="341"/>
      <c r="CI52" s="341"/>
      <c r="CJ52" s="342"/>
      <c r="CK52" s="342"/>
    </row>
    <row r="53">
      <c r="A53" s="638" t="s">
        <v>3537</v>
      </c>
      <c r="B53" s="202" t="s">
        <v>567</v>
      </c>
      <c r="C53" s="196" t="s">
        <v>271</v>
      </c>
      <c r="D53" s="197" t="s">
        <v>271</v>
      </c>
      <c r="E53" s="199" t="s">
        <v>271</v>
      </c>
      <c r="F53" s="201" t="s">
        <v>271</v>
      </c>
      <c r="G53" s="202" t="s">
        <v>233</v>
      </c>
      <c r="H53" s="303"/>
      <c r="I53" s="303"/>
      <c r="J53" s="303"/>
      <c r="K53" s="303"/>
      <c r="L53" s="303"/>
      <c r="M53" s="344"/>
      <c r="N53" s="303"/>
      <c r="O53" s="303"/>
      <c r="P53" s="217"/>
      <c r="Q53" s="348"/>
      <c r="R53" s="348"/>
      <c r="S53" s="348"/>
      <c r="T53" s="348"/>
      <c r="U53" s="348"/>
      <c r="V53" s="348"/>
      <c r="W53" s="217"/>
      <c r="X53" s="313"/>
      <c r="Y53" s="313"/>
      <c r="Z53" s="447" t="s">
        <v>3540</v>
      </c>
      <c r="AA53" s="313"/>
      <c r="AB53" s="447" t="s">
        <v>3542</v>
      </c>
      <c r="AC53" s="313"/>
      <c r="AD53" s="313"/>
      <c r="AE53" s="313"/>
      <c r="AF53" s="313"/>
      <c r="AG53" s="313"/>
      <c r="AH53" s="253"/>
      <c r="AI53" s="217"/>
      <c r="AJ53" s="318"/>
      <c r="AK53" s="318"/>
      <c r="AL53" s="318"/>
      <c r="AM53" s="318"/>
      <c r="AN53" s="318"/>
      <c r="AO53" s="318"/>
      <c r="AP53" s="318"/>
      <c r="AQ53" s="318"/>
      <c r="AR53" s="318"/>
      <c r="AS53" s="318"/>
      <c r="AT53" s="318"/>
      <c r="AU53" s="318"/>
      <c r="AV53" s="318"/>
      <c r="AW53" s="318"/>
      <c r="AX53" s="318"/>
      <c r="AY53" s="318"/>
      <c r="AZ53" s="346"/>
      <c r="BA53" s="322"/>
      <c r="BB53" s="322"/>
      <c r="BC53" s="322"/>
      <c r="BD53" s="322"/>
      <c r="BE53" s="386"/>
      <c r="BF53" s="346"/>
      <c r="BG53" s="358"/>
      <c r="BH53" s="328"/>
      <c r="BI53" s="328"/>
      <c r="BJ53" s="328"/>
      <c r="BK53" s="328"/>
      <c r="BL53" s="328"/>
      <c r="BM53" s="328"/>
      <c r="BN53" s="217"/>
      <c r="BO53" s="336"/>
      <c r="BP53" s="333"/>
      <c r="BQ53" s="336"/>
      <c r="BR53" s="336"/>
      <c r="BS53" s="336"/>
      <c r="BT53" s="336"/>
      <c r="BU53" s="336"/>
      <c r="BV53" s="336"/>
      <c r="BW53" s="336"/>
      <c r="BX53" s="217"/>
      <c r="BY53" s="341"/>
      <c r="BZ53" s="341"/>
      <c r="CA53" s="341"/>
      <c r="CB53" s="342"/>
      <c r="CC53" s="341"/>
      <c r="CD53" s="341"/>
      <c r="CE53" s="341"/>
      <c r="CF53" s="341"/>
      <c r="CG53" s="341"/>
      <c r="CH53" s="341"/>
      <c r="CI53" s="341"/>
      <c r="CJ53" s="342"/>
      <c r="CK53" s="342"/>
    </row>
    <row r="54">
      <c r="A54" s="343" t="s">
        <v>3549</v>
      </c>
      <c r="B54" s="202" t="s">
        <v>270</v>
      </c>
      <c r="C54" s="196" t="s">
        <v>271</v>
      </c>
      <c r="D54" s="197" t="s">
        <v>271</v>
      </c>
      <c r="E54" s="199" t="s">
        <v>271</v>
      </c>
      <c r="F54" s="201" t="s">
        <v>171</v>
      </c>
      <c r="G54" s="202" t="s">
        <v>274</v>
      </c>
      <c r="H54" s="303"/>
      <c r="I54" s="303"/>
      <c r="J54" s="303"/>
      <c r="K54" s="303"/>
      <c r="L54" s="303"/>
      <c r="M54" s="303"/>
      <c r="N54" s="303"/>
      <c r="O54" s="303"/>
      <c r="P54" s="217"/>
      <c r="Q54" s="347" t="s">
        <v>3553</v>
      </c>
      <c r="R54" s="348"/>
      <c r="S54" s="348"/>
      <c r="T54" s="348"/>
      <c r="U54" s="348"/>
      <c r="V54" s="348"/>
      <c r="W54" s="217"/>
      <c r="X54" s="313"/>
      <c r="Y54" s="313"/>
      <c r="Z54" s="371" t="s">
        <v>3554</v>
      </c>
      <c r="AA54" s="602"/>
      <c r="AB54" s="313"/>
      <c r="AC54" s="313"/>
      <c r="AD54" s="313"/>
      <c r="AE54" s="313"/>
      <c r="AF54" s="313"/>
      <c r="AG54" s="313"/>
      <c r="AH54" s="253"/>
      <c r="AI54" s="217"/>
      <c r="AJ54" s="318"/>
      <c r="AK54" s="318"/>
      <c r="AL54" s="318"/>
      <c r="AM54" s="318"/>
      <c r="AN54" s="318"/>
      <c r="AO54" s="318"/>
      <c r="AP54" s="318"/>
      <c r="AQ54" s="318"/>
      <c r="AR54" s="318"/>
      <c r="AS54" s="318"/>
      <c r="AT54" s="318"/>
      <c r="AU54" s="318"/>
      <c r="AV54" s="318"/>
      <c r="AW54" s="318"/>
      <c r="AX54" s="318"/>
      <c r="AY54" s="318"/>
      <c r="AZ54" s="346"/>
      <c r="BA54" s="322"/>
      <c r="BB54" s="322"/>
      <c r="BC54" s="322"/>
      <c r="BD54" s="322"/>
      <c r="BE54" s="356" t="s">
        <v>3558</v>
      </c>
      <c r="BF54" s="346"/>
      <c r="BG54" s="328"/>
      <c r="BH54" s="328"/>
      <c r="BI54" s="328"/>
      <c r="BJ54" s="328"/>
      <c r="BK54" s="328"/>
      <c r="BL54" s="328"/>
      <c r="BM54" s="328"/>
      <c r="BN54" s="217"/>
      <c r="BO54" s="336"/>
      <c r="BP54" s="333"/>
      <c r="BQ54" s="336"/>
      <c r="BR54" s="336"/>
      <c r="BS54" s="336"/>
      <c r="BT54" s="336"/>
      <c r="BU54" s="336"/>
      <c r="BV54" s="336"/>
      <c r="BW54" s="336"/>
      <c r="BX54" s="217"/>
      <c r="BY54" s="341"/>
      <c r="BZ54" s="341"/>
      <c r="CA54" s="341"/>
      <c r="CB54" s="342"/>
      <c r="CC54" s="341"/>
      <c r="CD54" s="341"/>
      <c r="CE54" s="341"/>
      <c r="CF54" s="341"/>
      <c r="CG54" s="341"/>
      <c r="CH54" s="341"/>
      <c r="CI54" s="341"/>
      <c r="CJ54" s="342"/>
      <c r="CK54" s="342"/>
    </row>
    <row r="55">
      <c r="A55" s="343" t="s">
        <v>3560</v>
      </c>
      <c r="B55" s="202" t="s">
        <v>270</v>
      </c>
      <c r="C55" s="196" t="s">
        <v>271</v>
      </c>
      <c r="D55" s="197" t="s">
        <v>271</v>
      </c>
      <c r="E55" s="199" t="s">
        <v>271</v>
      </c>
      <c r="F55" s="201" t="s">
        <v>271</v>
      </c>
      <c r="G55" s="202" t="s">
        <v>233</v>
      </c>
      <c r="H55" s="303"/>
      <c r="I55" s="303"/>
      <c r="J55" s="303"/>
      <c r="K55" s="303"/>
      <c r="L55" s="303"/>
      <c r="M55" s="303"/>
      <c r="N55" s="303"/>
      <c r="O55" s="303"/>
      <c r="P55" s="217"/>
      <c r="Q55" s="348"/>
      <c r="R55" s="348"/>
      <c r="S55" s="348"/>
      <c r="T55" s="348"/>
      <c r="U55" s="348"/>
      <c r="V55" s="348"/>
      <c r="W55" s="217"/>
      <c r="X55" s="371" t="s">
        <v>3564</v>
      </c>
      <c r="Y55" s="313"/>
      <c r="Z55" s="371" t="s">
        <v>3565</v>
      </c>
      <c r="AA55" s="602"/>
      <c r="AB55" s="313"/>
      <c r="AC55" s="313"/>
      <c r="AD55" s="313"/>
      <c r="AE55" s="313"/>
      <c r="AF55" s="313"/>
      <c r="AG55" s="313"/>
      <c r="AH55" s="253"/>
      <c r="AI55" s="217"/>
      <c r="AJ55" s="318"/>
      <c r="AK55" s="318"/>
      <c r="AL55" s="318"/>
      <c r="AM55" s="318"/>
      <c r="AN55" s="318"/>
      <c r="AO55" s="318"/>
      <c r="AP55" s="318"/>
      <c r="AQ55" s="318"/>
      <c r="AR55" s="318"/>
      <c r="AS55" s="318"/>
      <c r="AT55" s="318"/>
      <c r="AU55" s="318"/>
      <c r="AV55" s="318"/>
      <c r="AW55" s="318"/>
      <c r="AX55" s="318"/>
      <c r="AY55" s="318"/>
      <c r="AZ55" s="346"/>
      <c r="BA55" s="322"/>
      <c r="BB55" s="322"/>
      <c r="BC55" s="322"/>
      <c r="BD55" s="322"/>
      <c r="BE55" s="322"/>
      <c r="BF55" s="346"/>
      <c r="BG55" s="328"/>
      <c r="BH55" s="328"/>
      <c r="BI55" s="328"/>
      <c r="BJ55" s="328"/>
      <c r="BK55" s="328"/>
      <c r="BL55" s="328"/>
      <c r="BM55" s="328"/>
      <c r="BN55" s="217"/>
      <c r="BO55" s="336"/>
      <c r="BP55" s="333"/>
      <c r="BQ55" s="336"/>
      <c r="BR55" s="336"/>
      <c r="BS55" s="336"/>
      <c r="BT55" s="336"/>
      <c r="BU55" s="336"/>
      <c r="BV55" s="336"/>
      <c r="BW55" s="336"/>
      <c r="BX55" s="217"/>
      <c r="BY55" s="341"/>
      <c r="BZ55" s="341"/>
      <c r="CA55" s="341"/>
      <c r="CB55" s="342"/>
      <c r="CC55" s="341"/>
      <c r="CD55" s="341"/>
      <c r="CE55" s="341"/>
      <c r="CF55" s="341"/>
      <c r="CG55" s="341"/>
      <c r="CH55" s="341"/>
      <c r="CI55" s="341"/>
      <c r="CJ55" s="342"/>
      <c r="CK55" s="342"/>
    </row>
    <row r="56">
      <c r="A56" s="343" t="s">
        <v>393</v>
      </c>
      <c r="B56" s="202" t="s">
        <v>1010</v>
      </c>
      <c r="C56" s="196" t="s">
        <v>271</v>
      </c>
      <c r="D56" s="197" t="s">
        <v>271</v>
      </c>
      <c r="E56" s="199" t="s">
        <v>271</v>
      </c>
      <c r="F56" s="201" t="s">
        <v>271</v>
      </c>
      <c r="G56" s="202" t="s">
        <v>274</v>
      </c>
      <c r="H56" s="303"/>
      <c r="I56" s="303"/>
      <c r="J56" s="303"/>
      <c r="K56" s="303"/>
      <c r="L56" s="303"/>
      <c r="M56" s="303"/>
      <c r="N56" s="344" t="s">
        <v>3572</v>
      </c>
      <c r="O56" s="303"/>
      <c r="P56" s="217"/>
      <c r="Q56" s="348"/>
      <c r="R56" s="348"/>
      <c r="S56" s="348"/>
      <c r="T56" s="348"/>
      <c r="U56" s="348"/>
      <c r="V56" s="348"/>
      <c r="W56" s="217"/>
      <c r="X56" s="313"/>
      <c r="Y56" s="313"/>
      <c r="Z56" s="313"/>
      <c r="AA56" s="602"/>
      <c r="AB56" s="313"/>
      <c r="AC56" s="313"/>
      <c r="AD56" s="313"/>
      <c r="AE56" s="313"/>
      <c r="AF56" s="313"/>
      <c r="AG56" s="313"/>
      <c r="AH56" s="253"/>
      <c r="AI56" s="217"/>
      <c r="AJ56" s="318"/>
      <c r="AK56" s="318"/>
      <c r="AL56" s="318"/>
      <c r="AM56" s="318"/>
      <c r="AN56" s="318"/>
      <c r="AO56" s="318"/>
      <c r="AP56" s="318"/>
      <c r="AQ56" s="318"/>
      <c r="AR56" s="318"/>
      <c r="AS56" s="318"/>
      <c r="AT56" s="318"/>
      <c r="AU56" s="318"/>
      <c r="AV56" s="318"/>
      <c r="AW56" s="318"/>
      <c r="AX56" s="318"/>
      <c r="AY56" s="318"/>
      <c r="AZ56" s="346"/>
      <c r="BA56" s="322"/>
      <c r="BB56" s="322"/>
      <c r="BC56" s="322"/>
      <c r="BD56" s="322"/>
      <c r="BE56" s="386" t="s">
        <v>3578</v>
      </c>
      <c r="BF56" s="346"/>
      <c r="BG56" s="328"/>
      <c r="BH56" s="328"/>
      <c r="BI56" s="328"/>
      <c r="BJ56" s="328"/>
      <c r="BK56" s="328"/>
      <c r="BL56" s="328"/>
      <c r="BM56" s="328"/>
      <c r="BN56" s="217"/>
      <c r="BO56" s="336"/>
      <c r="BP56" s="333"/>
      <c r="BQ56" s="336"/>
      <c r="BR56" s="336"/>
      <c r="BS56" s="336"/>
      <c r="BT56" s="336"/>
      <c r="BU56" s="336"/>
      <c r="BV56" s="336"/>
      <c r="BW56" s="335" t="s">
        <v>3583</v>
      </c>
      <c r="BX56" s="217"/>
      <c r="BY56" s="341"/>
      <c r="BZ56" s="341"/>
      <c r="CA56" s="341"/>
      <c r="CB56" s="342"/>
      <c r="CC56" s="341"/>
      <c r="CD56" s="341"/>
      <c r="CE56" s="341"/>
      <c r="CF56" s="341"/>
      <c r="CG56" s="341"/>
      <c r="CH56" s="341"/>
      <c r="CI56" s="341"/>
      <c r="CJ56" s="342"/>
      <c r="CK56" s="342"/>
    </row>
    <row r="57">
      <c r="A57" s="343" t="s">
        <v>3585</v>
      </c>
      <c r="B57" s="202" t="s">
        <v>394</v>
      </c>
      <c r="C57" s="196" t="s">
        <v>271</v>
      </c>
      <c r="D57" s="197" t="s">
        <v>271</v>
      </c>
      <c r="E57" s="199" t="s">
        <v>271</v>
      </c>
      <c r="F57" s="201" t="s">
        <v>271</v>
      </c>
      <c r="G57" s="202" t="s">
        <v>178</v>
      </c>
      <c r="H57" s="303"/>
      <c r="I57" s="303"/>
      <c r="J57" s="303"/>
      <c r="K57" s="303"/>
      <c r="L57" s="303"/>
      <c r="M57" s="303"/>
      <c r="N57" s="344" t="s">
        <v>3587</v>
      </c>
      <c r="O57" s="303"/>
      <c r="P57" s="217"/>
      <c r="Q57" s="348"/>
      <c r="R57" s="348"/>
      <c r="S57" s="348"/>
      <c r="T57" s="348"/>
      <c r="U57" s="348"/>
      <c r="V57" s="347" t="s">
        <v>3589</v>
      </c>
      <c r="W57" s="217"/>
      <c r="X57" s="313"/>
      <c r="Y57" s="313"/>
      <c r="Z57" s="313"/>
      <c r="AA57" s="602"/>
      <c r="AB57" s="313"/>
      <c r="AC57" s="313"/>
      <c r="AD57" s="313"/>
      <c r="AE57" s="312" t="s">
        <v>3591</v>
      </c>
      <c r="AF57" s="313"/>
      <c r="AG57" s="313"/>
      <c r="AH57" s="626" t="s">
        <v>3594</v>
      </c>
      <c r="AI57" s="217"/>
      <c r="AJ57" s="318"/>
      <c r="AK57" s="318"/>
      <c r="AL57" s="318"/>
      <c r="AM57" s="318"/>
      <c r="AN57" s="318"/>
      <c r="AO57" s="318"/>
      <c r="AP57" s="318"/>
      <c r="AQ57" s="318"/>
      <c r="AR57" s="318"/>
      <c r="AS57" s="318"/>
      <c r="AT57" s="318"/>
      <c r="AU57" s="318"/>
      <c r="AV57" s="318"/>
      <c r="AW57" s="318"/>
      <c r="AX57" s="318"/>
      <c r="AY57" s="318"/>
      <c r="AZ57" s="346"/>
      <c r="BA57" s="322"/>
      <c r="BB57" s="322"/>
      <c r="BC57" s="322"/>
      <c r="BD57" s="386" t="s">
        <v>3596</v>
      </c>
      <c r="BE57" s="386" t="s">
        <v>3598</v>
      </c>
      <c r="BF57" s="346"/>
      <c r="BG57" s="328"/>
      <c r="BH57" s="328"/>
      <c r="BI57" s="328"/>
      <c r="BJ57" s="328"/>
      <c r="BK57" s="328"/>
      <c r="BL57" s="328"/>
      <c r="BM57" s="328"/>
      <c r="BN57" s="217"/>
      <c r="BO57" s="336"/>
      <c r="BP57" s="333"/>
      <c r="BQ57" s="336"/>
      <c r="BR57" s="336"/>
      <c r="BS57" s="336"/>
      <c r="BT57" s="336"/>
      <c r="BU57" s="336"/>
      <c r="BV57" s="336"/>
      <c r="BW57" s="335" t="s">
        <v>3601</v>
      </c>
      <c r="BX57" s="217"/>
      <c r="BY57" s="341"/>
      <c r="BZ57" s="341"/>
      <c r="CA57" s="341"/>
      <c r="CB57" s="342"/>
      <c r="CC57" s="341"/>
      <c r="CD57" s="341"/>
      <c r="CE57" s="341"/>
      <c r="CF57" s="341"/>
      <c r="CG57" s="341"/>
      <c r="CH57" s="341"/>
      <c r="CI57" s="341"/>
      <c r="CJ57" s="342"/>
      <c r="CK57" s="342"/>
    </row>
    <row r="58">
      <c r="A58" s="343" t="s">
        <v>3603</v>
      </c>
      <c r="B58" s="202" t="s">
        <v>394</v>
      </c>
      <c r="C58" s="196" t="s">
        <v>271</v>
      </c>
      <c r="D58" s="197" t="s">
        <v>271</v>
      </c>
      <c r="E58" s="199" t="s">
        <v>271</v>
      </c>
      <c r="F58" s="201" t="s">
        <v>271</v>
      </c>
      <c r="G58" s="202" t="s">
        <v>274</v>
      </c>
      <c r="H58" s="303"/>
      <c r="I58" s="303"/>
      <c r="J58" s="303"/>
      <c r="K58" s="303"/>
      <c r="L58" s="303"/>
      <c r="M58" s="303"/>
      <c r="N58" s="303"/>
      <c r="O58" s="303"/>
      <c r="P58" s="217"/>
      <c r="Q58" s="348"/>
      <c r="R58" s="348"/>
      <c r="S58" s="348"/>
      <c r="T58" s="348"/>
      <c r="U58" s="348"/>
      <c r="V58" s="348"/>
      <c r="W58" s="217"/>
      <c r="X58" s="313"/>
      <c r="Y58" s="313"/>
      <c r="Z58" s="313"/>
      <c r="AA58" s="602"/>
      <c r="AB58" s="313"/>
      <c r="AC58" s="313"/>
      <c r="AD58" s="313"/>
      <c r="AE58" s="313"/>
      <c r="AF58" s="313"/>
      <c r="AG58" s="313"/>
      <c r="AH58" s="253"/>
      <c r="AI58" s="217"/>
      <c r="AJ58" s="352"/>
      <c r="AK58" s="352" t="s">
        <v>3606</v>
      </c>
      <c r="AL58" s="352" t="s">
        <v>3608</v>
      </c>
      <c r="AM58" s="318"/>
      <c r="AN58" s="318"/>
      <c r="AO58" s="318"/>
      <c r="AP58" s="318"/>
      <c r="AQ58" s="318"/>
      <c r="AR58" s="318"/>
      <c r="AS58" s="318"/>
      <c r="AT58" s="318"/>
      <c r="AU58" s="318"/>
      <c r="AV58" s="318"/>
      <c r="AW58" s="318"/>
      <c r="AX58" s="318"/>
      <c r="AY58" s="318"/>
      <c r="AZ58" s="346"/>
      <c r="BA58" s="322"/>
      <c r="BB58" s="322"/>
      <c r="BC58" s="322"/>
      <c r="BD58" s="322"/>
      <c r="BE58" s="322"/>
      <c r="BF58" s="346"/>
      <c r="BG58" s="328"/>
      <c r="BH58" s="328"/>
      <c r="BI58" s="328"/>
      <c r="BJ58" s="328"/>
      <c r="BK58" s="328"/>
      <c r="BL58" s="328"/>
      <c r="BM58" s="328"/>
      <c r="BN58" s="217"/>
      <c r="BO58" s="337" t="s">
        <v>3610</v>
      </c>
      <c r="BP58" s="333"/>
      <c r="BQ58" s="336"/>
      <c r="BR58" s="336"/>
      <c r="BS58" s="336"/>
      <c r="BT58" s="336"/>
      <c r="BU58" s="336"/>
      <c r="BV58" s="336"/>
      <c r="BW58" s="336"/>
      <c r="BX58" s="217"/>
      <c r="BY58" s="341"/>
      <c r="BZ58" s="341"/>
      <c r="CA58" s="341"/>
      <c r="CB58" s="342"/>
      <c r="CC58" s="341"/>
      <c r="CD58" s="341"/>
      <c r="CE58" s="341"/>
      <c r="CF58" s="341"/>
      <c r="CG58" s="341"/>
      <c r="CH58" s="341"/>
      <c r="CI58" s="341"/>
      <c r="CJ58" s="342"/>
      <c r="CK58" s="342"/>
    </row>
    <row r="59">
      <c r="A59" s="343" t="s">
        <v>3611</v>
      </c>
      <c r="B59" s="202" t="s">
        <v>399</v>
      </c>
      <c r="C59" s="196" t="s">
        <v>271</v>
      </c>
      <c r="D59" s="197" t="s">
        <v>271</v>
      </c>
      <c r="E59" s="199" t="s">
        <v>271</v>
      </c>
      <c r="F59" s="201" t="s">
        <v>271</v>
      </c>
      <c r="G59" s="202" t="s">
        <v>171</v>
      </c>
      <c r="H59" s="303"/>
      <c r="I59" s="303"/>
      <c r="J59" s="303"/>
      <c r="K59" s="303"/>
      <c r="L59" s="303"/>
      <c r="M59" s="303"/>
      <c r="N59" s="303"/>
      <c r="O59" s="303"/>
      <c r="P59" s="217"/>
      <c r="Q59" s="348"/>
      <c r="R59" s="348"/>
      <c r="S59" s="348"/>
      <c r="T59" s="348"/>
      <c r="U59" s="348"/>
      <c r="V59" s="347" t="s">
        <v>3613</v>
      </c>
      <c r="W59" s="217"/>
      <c r="X59" s="313"/>
      <c r="Y59" s="313"/>
      <c r="Z59" s="313"/>
      <c r="AA59" s="602"/>
      <c r="AB59" s="313"/>
      <c r="AC59" s="313"/>
      <c r="AD59" s="313"/>
      <c r="AE59" s="313"/>
      <c r="AF59" s="313"/>
      <c r="AG59" s="313"/>
      <c r="AH59" s="253"/>
      <c r="AI59" s="217"/>
      <c r="AJ59" s="318"/>
      <c r="AK59" s="318"/>
      <c r="AL59" s="318"/>
      <c r="AM59" s="318"/>
      <c r="AN59" s="318"/>
      <c r="AO59" s="318"/>
      <c r="AP59" s="318"/>
      <c r="AQ59" s="318"/>
      <c r="AR59" s="318"/>
      <c r="AS59" s="318"/>
      <c r="AT59" s="318"/>
      <c r="AU59" s="318"/>
      <c r="AV59" s="318"/>
      <c r="AW59" s="318"/>
      <c r="AX59" s="318"/>
      <c r="AY59" s="318"/>
      <c r="AZ59" s="346"/>
      <c r="BA59" s="322"/>
      <c r="BB59" s="322"/>
      <c r="BC59" s="322"/>
      <c r="BD59" s="322"/>
      <c r="BE59" s="322"/>
      <c r="BF59" s="346"/>
      <c r="BG59" s="328"/>
      <c r="BH59" s="328"/>
      <c r="BI59" s="328"/>
      <c r="BJ59" s="328"/>
      <c r="BK59" s="328"/>
      <c r="BL59" s="328"/>
      <c r="BM59" s="328"/>
      <c r="BN59" s="217"/>
      <c r="BO59" s="336"/>
      <c r="BP59" s="333"/>
      <c r="BQ59" s="336"/>
      <c r="BR59" s="336"/>
      <c r="BS59" s="336"/>
      <c r="BT59" s="336"/>
      <c r="BU59" s="336"/>
      <c r="BV59" s="336"/>
      <c r="BW59" s="336"/>
      <c r="BX59" s="217"/>
      <c r="BY59" s="341"/>
      <c r="BZ59" s="341"/>
      <c r="CA59" s="341"/>
      <c r="CB59" s="342"/>
      <c r="CC59" s="341"/>
      <c r="CD59" s="341"/>
      <c r="CE59" s="341"/>
      <c r="CF59" s="341"/>
      <c r="CG59" s="341"/>
      <c r="CH59" s="341"/>
      <c r="CI59" s="341"/>
      <c r="CJ59" s="342"/>
      <c r="CK59" s="342"/>
    </row>
    <row r="60">
      <c r="A60" s="343" t="s">
        <v>3621</v>
      </c>
      <c r="B60" s="202" t="s">
        <v>203</v>
      </c>
      <c r="C60" s="196" t="s">
        <v>271</v>
      </c>
      <c r="D60" s="197" t="s">
        <v>271</v>
      </c>
      <c r="E60" s="199" t="s">
        <v>271</v>
      </c>
      <c r="F60" s="201" t="s">
        <v>271</v>
      </c>
      <c r="G60" s="202" t="s">
        <v>171</v>
      </c>
      <c r="H60" s="303"/>
      <c r="I60" s="303"/>
      <c r="J60" s="303"/>
      <c r="K60" s="303"/>
      <c r="L60" s="303"/>
      <c r="M60" s="303"/>
      <c r="N60" s="303"/>
      <c r="O60" s="303"/>
      <c r="P60" s="217"/>
      <c r="Q60" s="348"/>
      <c r="R60" s="348"/>
      <c r="S60" s="348"/>
      <c r="T60" s="348"/>
      <c r="U60" s="348"/>
      <c r="V60" s="348"/>
      <c r="W60" s="217"/>
      <c r="X60" s="313"/>
      <c r="Y60" s="313"/>
      <c r="Z60" s="313"/>
      <c r="AA60" s="602"/>
      <c r="AB60" s="313"/>
      <c r="AC60" s="313"/>
      <c r="AD60" s="313"/>
      <c r="AE60" s="313"/>
      <c r="AF60" s="313"/>
      <c r="AG60" s="313"/>
      <c r="AH60" s="253"/>
      <c r="AI60" s="217"/>
      <c r="AJ60" s="318"/>
      <c r="AK60" s="318"/>
      <c r="AL60" s="318"/>
      <c r="AM60" s="318"/>
      <c r="AN60" s="318"/>
      <c r="AO60" s="318"/>
      <c r="AP60" s="318"/>
      <c r="AQ60" s="318"/>
      <c r="AR60" s="318"/>
      <c r="AS60" s="318"/>
      <c r="AT60" s="318"/>
      <c r="AU60" s="318"/>
      <c r="AV60" s="318"/>
      <c r="AW60" s="318"/>
      <c r="AX60" s="318"/>
      <c r="AY60" s="318"/>
      <c r="AZ60" s="346"/>
      <c r="BA60" s="322"/>
      <c r="BB60" s="322"/>
      <c r="BC60" s="322"/>
      <c r="BD60" s="322"/>
      <c r="BE60" s="322"/>
      <c r="BF60" s="346"/>
      <c r="BG60" s="328"/>
      <c r="BH60" s="358" t="s">
        <v>3628</v>
      </c>
      <c r="BI60" s="328"/>
      <c r="BJ60" s="328"/>
      <c r="BK60" s="328"/>
      <c r="BL60" s="328"/>
      <c r="BM60" s="328"/>
      <c r="BN60" s="217"/>
      <c r="BO60" s="336"/>
      <c r="BP60" s="333"/>
      <c r="BQ60" s="336"/>
      <c r="BR60" s="336"/>
      <c r="BS60" s="336"/>
      <c r="BT60" s="336"/>
      <c r="BU60" s="336"/>
      <c r="BV60" s="336"/>
      <c r="BW60" s="336"/>
      <c r="BX60" s="217"/>
      <c r="BY60" s="341"/>
      <c r="BZ60" s="341"/>
      <c r="CA60" s="341"/>
      <c r="CB60" s="342"/>
      <c r="CC60" s="341"/>
      <c r="CD60" s="341"/>
      <c r="CE60" s="341"/>
      <c r="CF60" s="341"/>
      <c r="CG60" s="341"/>
      <c r="CH60" s="341"/>
      <c r="CI60" s="341"/>
      <c r="CJ60" s="342"/>
      <c r="CK60" s="342"/>
    </row>
    <row r="61">
      <c r="A61" s="745" t="s">
        <v>3632</v>
      </c>
      <c r="B61" s="202" t="s">
        <v>203</v>
      </c>
      <c r="C61" s="196" t="s">
        <v>271</v>
      </c>
      <c r="D61" s="197" t="s">
        <v>271</v>
      </c>
      <c r="E61" s="199" t="s">
        <v>271</v>
      </c>
      <c r="F61" s="201" t="s">
        <v>171</v>
      </c>
      <c r="G61" s="202" t="s">
        <v>171</v>
      </c>
      <c r="H61" s="303"/>
      <c r="I61" s="303"/>
      <c r="J61" s="303"/>
      <c r="K61" s="303"/>
      <c r="L61" s="303"/>
      <c r="M61" s="303"/>
      <c r="N61" s="303"/>
      <c r="O61" s="303"/>
      <c r="P61" s="217"/>
      <c r="Q61" s="348"/>
      <c r="R61" s="348"/>
      <c r="S61" s="348"/>
      <c r="T61" s="348"/>
      <c r="U61" s="348"/>
      <c r="V61" s="348"/>
      <c r="W61" s="217"/>
      <c r="X61" s="313"/>
      <c r="Y61" s="313"/>
      <c r="Z61" s="230" t="s">
        <v>3636</v>
      </c>
      <c r="AA61" s="602"/>
      <c r="AB61" s="313"/>
      <c r="AC61" s="313"/>
      <c r="AD61" s="313"/>
      <c r="AE61" s="313"/>
      <c r="AF61" s="313"/>
      <c r="AG61" s="313"/>
      <c r="AH61" s="253"/>
      <c r="AI61" s="217"/>
      <c r="AJ61" s="318"/>
      <c r="AK61" s="318"/>
      <c r="AL61" s="318"/>
      <c r="AM61" s="318"/>
      <c r="AN61" s="318"/>
      <c r="AO61" s="318"/>
      <c r="AP61" s="318"/>
      <c r="AQ61" s="318"/>
      <c r="AR61" s="318"/>
      <c r="AS61" s="318"/>
      <c r="AT61" s="318"/>
      <c r="AU61" s="318"/>
      <c r="AV61" s="318"/>
      <c r="AW61" s="318"/>
      <c r="AX61" s="318"/>
      <c r="AY61" s="318"/>
      <c r="AZ61" s="346"/>
      <c r="BA61" s="322"/>
      <c r="BB61" s="322"/>
      <c r="BC61" s="322"/>
      <c r="BD61" s="322"/>
      <c r="BE61" s="322"/>
      <c r="BF61" s="346"/>
      <c r="BG61" s="328"/>
      <c r="BH61" s="328"/>
      <c r="BI61" s="328"/>
      <c r="BJ61" s="328"/>
      <c r="BK61" s="328"/>
      <c r="BL61" s="328"/>
      <c r="BM61" s="328"/>
      <c r="BN61" s="217"/>
      <c r="BO61" s="336"/>
      <c r="BP61" s="333"/>
      <c r="BQ61" s="336"/>
      <c r="BR61" s="336"/>
      <c r="BS61" s="336"/>
      <c r="BT61" s="336"/>
      <c r="BU61" s="336"/>
      <c r="BV61" s="336"/>
      <c r="BW61" s="336"/>
      <c r="BX61" s="217"/>
      <c r="BY61" s="341"/>
      <c r="BZ61" s="341"/>
      <c r="CA61" s="341"/>
      <c r="CB61" s="342"/>
      <c r="CC61" s="341"/>
      <c r="CD61" s="341"/>
      <c r="CE61" s="341"/>
      <c r="CF61" s="341"/>
      <c r="CG61" s="341"/>
      <c r="CH61" s="341"/>
      <c r="CI61" s="341"/>
      <c r="CJ61" s="342"/>
      <c r="CK61" s="342"/>
    </row>
    <row r="62">
      <c r="A62" s="343" t="s">
        <v>3643</v>
      </c>
      <c r="B62" s="202" t="s">
        <v>176</v>
      </c>
      <c r="C62" s="196" t="s">
        <v>271</v>
      </c>
      <c r="D62" s="197" t="s">
        <v>271</v>
      </c>
      <c r="E62" s="199" t="s">
        <v>271</v>
      </c>
      <c r="F62" s="201" t="s">
        <v>271</v>
      </c>
      <c r="G62" s="202" t="s">
        <v>171</v>
      </c>
      <c r="H62" s="344"/>
      <c r="I62" s="303"/>
      <c r="J62" s="303"/>
      <c r="K62" s="303"/>
      <c r="L62" s="303"/>
      <c r="M62" s="303"/>
      <c r="N62" s="303"/>
      <c r="O62" s="303"/>
      <c r="P62" s="217"/>
      <c r="Q62" s="348"/>
      <c r="R62" s="348"/>
      <c r="S62" s="348"/>
      <c r="T62" s="348"/>
      <c r="U62" s="348"/>
      <c r="V62" s="348"/>
      <c r="W62" s="217"/>
      <c r="X62" s="313"/>
      <c r="Y62" s="313"/>
      <c r="Z62" s="313"/>
      <c r="AA62" s="602"/>
      <c r="AB62" s="371" t="s">
        <v>3646</v>
      </c>
      <c r="AC62" s="313"/>
      <c r="AD62" s="313"/>
      <c r="AE62" s="313"/>
      <c r="AF62" s="313"/>
      <c r="AG62" s="313"/>
      <c r="AH62" s="253"/>
      <c r="AI62" s="217"/>
      <c r="AJ62" s="318"/>
      <c r="AK62" s="318"/>
      <c r="AL62" s="318"/>
      <c r="AM62" s="318"/>
      <c r="AN62" s="318"/>
      <c r="AO62" s="318"/>
      <c r="AP62" s="318"/>
      <c r="AQ62" s="318"/>
      <c r="AR62" s="318"/>
      <c r="AS62" s="318"/>
      <c r="AT62" s="318"/>
      <c r="AU62" s="318"/>
      <c r="AV62" s="318"/>
      <c r="AW62" s="318"/>
      <c r="AX62" s="318"/>
      <c r="AY62" s="318"/>
      <c r="AZ62" s="346"/>
      <c r="BA62" s="322"/>
      <c r="BB62" s="322"/>
      <c r="BC62" s="322"/>
      <c r="BD62" s="322"/>
      <c r="BE62" s="322"/>
      <c r="BF62" s="346"/>
      <c r="BG62" s="328"/>
      <c r="BH62" s="328"/>
      <c r="BI62" s="328"/>
      <c r="BJ62" s="328"/>
      <c r="BK62" s="328"/>
      <c r="BL62" s="328"/>
      <c r="BM62" s="328"/>
      <c r="BN62" s="217"/>
      <c r="BO62" s="336"/>
      <c r="BP62" s="333"/>
      <c r="BQ62" s="336"/>
      <c r="BR62" s="336"/>
      <c r="BS62" s="336"/>
      <c r="BT62" s="336"/>
      <c r="BU62" s="336"/>
      <c r="BV62" s="336"/>
      <c r="BW62" s="336"/>
      <c r="BX62" s="217"/>
      <c r="BY62" s="341"/>
      <c r="BZ62" s="341"/>
      <c r="CA62" s="341"/>
      <c r="CB62" s="342"/>
      <c r="CC62" s="341"/>
      <c r="CD62" s="341"/>
      <c r="CE62" s="341"/>
      <c r="CF62" s="341"/>
      <c r="CG62" s="341"/>
      <c r="CH62" s="341"/>
      <c r="CI62" s="341"/>
      <c r="CJ62" s="342"/>
      <c r="CK62" s="342"/>
    </row>
    <row r="63">
      <c r="A63" s="343" t="s">
        <v>3651</v>
      </c>
      <c r="B63" s="202" t="s">
        <v>176</v>
      </c>
      <c r="C63" s="196" t="s">
        <v>271</v>
      </c>
      <c r="D63" s="197" t="s">
        <v>271</v>
      </c>
      <c r="E63" s="199" t="s">
        <v>271</v>
      </c>
      <c r="F63" s="201" t="s">
        <v>233</v>
      </c>
      <c r="G63" s="202" t="s">
        <v>233</v>
      </c>
      <c r="H63" s="303"/>
      <c r="I63" s="303"/>
      <c r="J63" s="303"/>
      <c r="K63" s="303"/>
      <c r="L63" s="304" t="s">
        <v>3654</v>
      </c>
      <c r="M63" s="303"/>
      <c r="N63" s="303"/>
      <c r="O63" s="303"/>
      <c r="P63" s="217"/>
      <c r="Q63" s="348"/>
      <c r="R63" s="348"/>
      <c r="S63" s="348"/>
      <c r="T63" s="348"/>
      <c r="U63" s="348"/>
      <c r="V63" s="348"/>
      <c r="W63" s="217"/>
      <c r="X63" s="313"/>
      <c r="Y63" s="313"/>
      <c r="Z63" s="313"/>
      <c r="AA63" s="602"/>
      <c r="AB63" s="313"/>
      <c r="AC63" s="313"/>
      <c r="AD63" s="313"/>
      <c r="AE63" s="313"/>
      <c r="AF63" s="313"/>
      <c r="AG63" s="313"/>
      <c r="AH63" s="253"/>
      <c r="AI63" s="217"/>
      <c r="AJ63" s="318"/>
      <c r="AK63" s="318"/>
      <c r="AL63" s="318"/>
      <c r="AM63" s="318"/>
      <c r="AN63" s="318"/>
      <c r="AO63" s="318"/>
      <c r="AP63" s="318"/>
      <c r="AQ63" s="318"/>
      <c r="AR63" s="318"/>
      <c r="AS63" s="318"/>
      <c r="AT63" s="318"/>
      <c r="AU63" s="318"/>
      <c r="AV63" s="318"/>
      <c r="AW63" s="318"/>
      <c r="AX63" s="318"/>
      <c r="AY63" s="318"/>
      <c r="AZ63" s="346"/>
      <c r="BA63" s="322"/>
      <c r="BB63" s="322"/>
      <c r="BC63" s="322"/>
      <c r="BD63" s="322"/>
      <c r="BE63" s="322"/>
      <c r="BF63" s="346"/>
      <c r="BG63" s="328"/>
      <c r="BH63" s="328"/>
      <c r="BI63" s="328"/>
      <c r="BJ63" s="328"/>
      <c r="BK63" s="328"/>
      <c r="BL63" s="328"/>
      <c r="BM63" s="328"/>
      <c r="BN63" s="217"/>
      <c r="BO63" s="336"/>
      <c r="BP63" s="333"/>
      <c r="BQ63" s="336"/>
      <c r="BR63" s="336"/>
      <c r="BS63" s="336"/>
      <c r="BT63" s="336"/>
      <c r="BU63" s="364" t="s">
        <v>1013</v>
      </c>
      <c r="BV63" s="336"/>
      <c r="BW63" s="336"/>
      <c r="BX63" s="217"/>
      <c r="BY63" s="341"/>
      <c r="BZ63" s="341"/>
      <c r="CA63" s="341"/>
      <c r="CB63" s="342"/>
      <c r="CC63" s="341"/>
      <c r="CD63" s="341"/>
      <c r="CE63" s="341"/>
      <c r="CF63" s="341"/>
      <c r="CG63" s="341"/>
      <c r="CH63" s="341"/>
      <c r="CI63" s="341"/>
      <c r="CJ63" s="342"/>
      <c r="CK63" s="342"/>
    </row>
    <row r="64">
      <c r="A64" s="343" t="s">
        <v>3678</v>
      </c>
      <c r="B64" s="202" t="s">
        <v>176</v>
      </c>
      <c r="C64" s="196" t="s">
        <v>271</v>
      </c>
      <c r="D64" s="197" t="s">
        <v>271</v>
      </c>
      <c r="E64" s="199" t="s">
        <v>271</v>
      </c>
      <c r="F64" s="201" t="s">
        <v>271</v>
      </c>
      <c r="G64" s="202" t="s">
        <v>171</v>
      </c>
      <c r="H64" s="303"/>
      <c r="I64" s="303"/>
      <c r="J64" s="303"/>
      <c r="K64" s="303"/>
      <c r="L64" s="303"/>
      <c r="M64" s="303"/>
      <c r="N64" s="303"/>
      <c r="O64" s="303"/>
      <c r="P64" s="217"/>
      <c r="Q64" s="348"/>
      <c r="R64" s="348"/>
      <c r="S64" s="348"/>
      <c r="T64" s="348"/>
      <c r="U64" s="348"/>
      <c r="V64" s="348"/>
      <c r="W64" s="217"/>
      <c r="X64" s="313"/>
      <c r="Y64" s="313"/>
      <c r="Z64" s="313"/>
      <c r="AA64" s="602"/>
      <c r="AB64" s="313"/>
      <c r="AC64" s="313"/>
      <c r="AD64" s="313"/>
      <c r="AE64" s="313"/>
      <c r="AF64" s="313"/>
      <c r="AG64" s="312" t="s">
        <v>3682</v>
      </c>
      <c r="AH64" s="253"/>
      <c r="AI64" s="217"/>
      <c r="AJ64" s="318"/>
      <c r="AK64" s="318"/>
      <c r="AL64" s="318"/>
      <c r="AM64" s="318"/>
      <c r="AN64" s="318"/>
      <c r="AO64" s="318"/>
      <c r="AP64" s="318"/>
      <c r="AQ64" s="318"/>
      <c r="AR64" s="318"/>
      <c r="AS64" s="318"/>
      <c r="AT64" s="318"/>
      <c r="AU64" s="318"/>
      <c r="AV64" s="318"/>
      <c r="AW64" s="318"/>
      <c r="AX64" s="318"/>
      <c r="AY64" s="318"/>
      <c r="AZ64" s="346"/>
      <c r="BA64" s="322"/>
      <c r="BB64" s="322"/>
      <c r="BC64" s="322"/>
      <c r="BD64" s="322"/>
      <c r="BE64" s="322"/>
      <c r="BF64" s="346"/>
      <c r="BG64" s="328"/>
      <c r="BH64" s="328"/>
      <c r="BI64" s="328"/>
      <c r="BJ64" s="328"/>
      <c r="BK64" s="328"/>
      <c r="BL64" s="328"/>
      <c r="BM64" s="328"/>
      <c r="BN64" s="217"/>
      <c r="BO64" s="336"/>
      <c r="BP64" s="333"/>
      <c r="BQ64" s="336"/>
      <c r="BR64" s="336"/>
      <c r="BS64" s="336"/>
      <c r="BT64" s="336"/>
      <c r="BU64" s="336"/>
      <c r="BV64" s="336"/>
      <c r="BW64" s="336"/>
      <c r="BX64" s="217"/>
      <c r="BY64" s="341"/>
      <c r="BZ64" s="341"/>
      <c r="CA64" s="341"/>
      <c r="CB64" s="342"/>
      <c r="CC64" s="341"/>
      <c r="CD64" s="341"/>
      <c r="CE64" s="341"/>
      <c r="CF64" s="341"/>
      <c r="CG64" s="341"/>
      <c r="CH64" s="341"/>
      <c r="CI64" s="341"/>
      <c r="CJ64" s="342"/>
      <c r="CK64" s="342"/>
    </row>
    <row r="65">
      <c r="A65" s="343" t="s">
        <v>3689</v>
      </c>
      <c r="B65" s="202" t="s">
        <v>171</v>
      </c>
      <c r="C65" s="196" t="s">
        <v>271</v>
      </c>
      <c r="D65" s="197" t="s">
        <v>271</v>
      </c>
      <c r="E65" s="199" t="s">
        <v>271</v>
      </c>
      <c r="F65" s="201" t="s">
        <v>271</v>
      </c>
      <c r="G65" s="202" t="s">
        <v>171</v>
      </c>
      <c r="H65" s="344" t="s">
        <v>3696</v>
      </c>
      <c r="I65" s="303"/>
      <c r="J65" s="303"/>
      <c r="K65" s="303"/>
      <c r="L65" s="303"/>
      <c r="M65" s="303"/>
      <c r="N65" s="303"/>
      <c r="O65" s="303"/>
      <c r="P65" s="217"/>
      <c r="Q65" s="348"/>
      <c r="R65" s="348"/>
      <c r="S65" s="348"/>
      <c r="T65" s="348"/>
      <c r="U65" s="348"/>
      <c r="V65" s="348"/>
      <c r="W65" s="217"/>
      <c r="X65" s="313"/>
      <c r="Y65" s="313"/>
      <c r="Z65" s="313"/>
      <c r="AA65" s="602"/>
      <c r="AB65" s="313"/>
      <c r="AC65" s="313"/>
      <c r="AD65" s="313"/>
      <c r="AE65" s="313"/>
      <c r="AF65" s="313"/>
      <c r="AG65" s="313"/>
      <c r="AH65" s="253"/>
      <c r="AI65" s="217"/>
      <c r="AJ65" s="318"/>
      <c r="AK65" s="318"/>
      <c r="AL65" s="318"/>
      <c r="AM65" s="318"/>
      <c r="AN65" s="318"/>
      <c r="AO65" s="318"/>
      <c r="AP65" s="318"/>
      <c r="AQ65" s="318"/>
      <c r="AR65" s="318"/>
      <c r="AS65" s="318"/>
      <c r="AT65" s="318"/>
      <c r="AU65" s="318"/>
      <c r="AV65" s="318"/>
      <c r="AW65" s="318"/>
      <c r="AX65" s="318"/>
      <c r="AY65" s="318"/>
      <c r="AZ65" s="346"/>
      <c r="BA65" s="322"/>
      <c r="BB65" s="322"/>
      <c r="BC65" s="322"/>
      <c r="BD65" s="322"/>
      <c r="BE65" s="322"/>
      <c r="BF65" s="346"/>
      <c r="BG65" s="328"/>
      <c r="BH65" s="328"/>
      <c r="BI65" s="328"/>
      <c r="BJ65" s="328"/>
      <c r="BK65" s="328"/>
      <c r="BL65" s="328"/>
      <c r="BM65" s="328"/>
      <c r="BN65" s="217"/>
      <c r="BO65" s="336"/>
      <c r="BP65" s="333"/>
      <c r="BQ65" s="336"/>
      <c r="BR65" s="336"/>
      <c r="BS65" s="336"/>
      <c r="BT65" s="336"/>
      <c r="BU65" s="336"/>
      <c r="BV65" s="336"/>
      <c r="BW65" s="336"/>
      <c r="BX65" s="217"/>
      <c r="BY65" s="341"/>
      <c r="BZ65" s="341"/>
      <c r="CA65" s="341"/>
      <c r="CB65" s="342"/>
      <c r="CC65" s="341"/>
      <c r="CD65" s="341"/>
      <c r="CE65" s="341"/>
      <c r="CF65" s="341"/>
      <c r="CG65" s="341"/>
      <c r="CH65" s="341"/>
      <c r="CI65" s="341"/>
      <c r="CJ65" s="342"/>
      <c r="CK65" s="342"/>
    </row>
    <row r="66">
      <c r="A66" s="343" t="s">
        <v>3714</v>
      </c>
      <c r="B66" s="202" t="s">
        <v>171</v>
      </c>
      <c r="C66" s="196" t="s">
        <v>271</v>
      </c>
      <c r="D66" s="197" t="s">
        <v>271</v>
      </c>
      <c r="E66" s="199" t="s">
        <v>271</v>
      </c>
      <c r="F66" s="201" t="s">
        <v>271</v>
      </c>
      <c r="G66" s="202" t="s">
        <v>171</v>
      </c>
      <c r="H66" s="303"/>
      <c r="I66" s="303"/>
      <c r="J66" s="303"/>
      <c r="K66" s="303"/>
      <c r="L66" s="303"/>
      <c r="M66" s="303"/>
      <c r="N66" s="303"/>
      <c r="O66" s="303"/>
      <c r="P66" s="217"/>
      <c r="Q66" s="348"/>
      <c r="R66" s="348"/>
      <c r="S66" s="348"/>
      <c r="T66" s="348"/>
      <c r="U66" s="348"/>
      <c r="V66" s="348"/>
      <c r="W66" s="217"/>
      <c r="X66" s="313"/>
      <c r="Y66" s="313"/>
      <c r="Z66" s="313"/>
      <c r="AA66" s="602"/>
      <c r="AB66" s="313"/>
      <c r="AC66" s="313"/>
      <c r="AD66" s="313"/>
      <c r="AE66" s="313"/>
      <c r="AF66" s="313"/>
      <c r="AG66" s="313"/>
      <c r="AH66" s="253"/>
      <c r="AI66" s="217"/>
      <c r="AJ66" s="318"/>
      <c r="AK66" s="352" t="s">
        <v>3721</v>
      </c>
      <c r="AL66" s="318"/>
      <c r="AM66" s="318"/>
      <c r="AN66" s="318"/>
      <c r="AO66" s="318"/>
      <c r="AP66" s="318"/>
      <c r="AQ66" s="318"/>
      <c r="AR66" s="318"/>
      <c r="AS66" s="318"/>
      <c r="AT66" s="318"/>
      <c r="AU66" s="318"/>
      <c r="AV66" s="318"/>
      <c r="AW66" s="318"/>
      <c r="AX66" s="318"/>
      <c r="AY66" s="318"/>
      <c r="AZ66" s="346"/>
      <c r="BA66" s="322"/>
      <c r="BB66" s="322"/>
      <c r="BC66" s="322"/>
      <c r="BD66" s="322"/>
      <c r="BE66" s="322"/>
      <c r="BF66" s="346"/>
      <c r="BG66" s="328"/>
      <c r="BH66" s="328"/>
      <c r="BI66" s="328"/>
      <c r="BJ66" s="328"/>
      <c r="BK66" s="328"/>
      <c r="BL66" s="328"/>
      <c r="BM66" s="328"/>
      <c r="BN66" s="217"/>
      <c r="BO66" s="336"/>
      <c r="BP66" s="333"/>
      <c r="BQ66" s="336"/>
      <c r="BR66" s="336"/>
      <c r="BS66" s="336"/>
      <c r="BT66" s="336"/>
      <c r="BU66" s="336"/>
      <c r="BV66" s="336"/>
      <c r="BW66" s="336"/>
      <c r="BX66" s="217"/>
      <c r="BY66" s="341"/>
      <c r="BZ66" s="341"/>
      <c r="CA66" s="341"/>
      <c r="CB66" s="342"/>
      <c r="CC66" s="341"/>
      <c r="CD66" s="341"/>
      <c r="CE66" s="341"/>
      <c r="CF66" s="341"/>
      <c r="CG66" s="341"/>
      <c r="CH66" s="341"/>
      <c r="CI66" s="341"/>
      <c r="CJ66" s="342"/>
      <c r="CK66" s="342"/>
    </row>
    <row r="67">
      <c r="A67" s="751" t="s">
        <v>3730</v>
      </c>
      <c r="B67" s="202" t="s">
        <v>271</v>
      </c>
      <c r="C67" s="196" t="s">
        <v>271</v>
      </c>
      <c r="D67" s="197" t="s">
        <v>271</v>
      </c>
      <c r="E67" s="199" t="s">
        <v>271</v>
      </c>
      <c r="F67" s="201" t="s">
        <v>271</v>
      </c>
      <c r="G67" s="202" t="s">
        <v>271</v>
      </c>
      <c r="H67" s="303"/>
      <c r="I67" s="303"/>
      <c r="J67" s="303"/>
      <c r="K67" s="303"/>
      <c r="L67" s="303"/>
      <c r="M67" s="303"/>
      <c r="N67" s="303"/>
      <c r="O67" s="303"/>
      <c r="P67" s="217"/>
      <c r="Q67" s="348"/>
      <c r="R67" s="348"/>
      <c r="S67" s="348"/>
      <c r="T67" s="348"/>
      <c r="U67" s="348"/>
      <c r="V67" s="348"/>
      <c r="W67" s="217"/>
      <c r="X67" s="313"/>
      <c r="Y67" s="313"/>
      <c r="Z67" s="313"/>
      <c r="AA67" s="602"/>
      <c r="AB67" s="313"/>
      <c r="AC67" s="313"/>
      <c r="AD67" s="313"/>
      <c r="AE67" s="313"/>
      <c r="AF67" s="313"/>
      <c r="AG67" s="313"/>
      <c r="AH67" s="253"/>
      <c r="AI67" s="217"/>
      <c r="AJ67" s="318"/>
      <c r="AK67" s="318"/>
      <c r="AL67" s="318"/>
      <c r="AM67" s="318"/>
      <c r="AN67" s="318"/>
      <c r="AO67" s="318"/>
      <c r="AP67" s="318"/>
      <c r="AQ67" s="318"/>
      <c r="AR67" s="318"/>
      <c r="AS67" s="318"/>
      <c r="AT67" s="318"/>
      <c r="AU67" s="318"/>
      <c r="AV67" s="318"/>
      <c r="AW67" s="318"/>
      <c r="AX67" s="318"/>
      <c r="AY67" s="318"/>
      <c r="AZ67" s="346"/>
      <c r="BA67" s="322"/>
      <c r="BB67" s="322"/>
      <c r="BC67" s="322"/>
      <c r="BD67" s="322"/>
      <c r="BE67" s="322"/>
      <c r="BF67" s="346"/>
      <c r="BG67" s="328"/>
      <c r="BH67" s="328"/>
      <c r="BI67" s="328"/>
      <c r="BJ67" s="328"/>
      <c r="BK67" s="328"/>
      <c r="BL67" s="328"/>
      <c r="BM67" s="328"/>
      <c r="BN67" s="217"/>
      <c r="BO67" s="336"/>
      <c r="BP67" s="333"/>
      <c r="BQ67" s="336"/>
      <c r="BR67" s="336"/>
      <c r="BS67" s="336"/>
      <c r="BT67" s="336"/>
      <c r="BU67" s="336"/>
      <c r="BV67" s="336"/>
      <c r="BW67" s="336"/>
      <c r="BX67" s="217"/>
      <c r="BY67" s="341"/>
      <c r="BZ67" s="341"/>
      <c r="CA67" s="341"/>
      <c r="CB67" s="342"/>
      <c r="CC67" s="341"/>
      <c r="CD67" s="341"/>
      <c r="CE67" s="341"/>
      <c r="CF67" s="341"/>
      <c r="CG67" s="341"/>
      <c r="CH67" s="341"/>
      <c r="CI67" s="341"/>
      <c r="CJ67" s="342"/>
      <c r="CK67" s="342"/>
    </row>
    <row r="68">
      <c r="A68" s="753"/>
      <c r="B68" s="202" t="s">
        <v>271</v>
      </c>
      <c r="C68" s="196" t="s">
        <v>271</v>
      </c>
      <c r="D68" s="197" t="s">
        <v>271</v>
      </c>
      <c r="E68" s="199" t="s">
        <v>271</v>
      </c>
      <c r="F68" s="201" t="s">
        <v>271</v>
      </c>
      <c r="G68" s="202" t="s">
        <v>271</v>
      </c>
      <c r="H68" s="303"/>
      <c r="I68" s="303"/>
      <c r="J68" s="303"/>
      <c r="K68" s="303"/>
      <c r="L68" s="303"/>
      <c r="M68" s="303"/>
      <c r="N68" s="303"/>
      <c r="O68" s="303"/>
      <c r="P68" s="217"/>
      <c r="Q68" s="348"/>
      <c r="R68" s="348"/>
      <c r="S68" s="348"/>
      <c r="T68" s="348"/>
      <c r="U68" s="348"/>
      <c r="V68" s="348"/>
      <c r="W68" s="217"/>
      <c r="X68" s="313"/>
      <c r="Y68" s="313"/>
      <c r="Z68" s="313"/>
      <c r="AA68" s="602"/>
      <c r="AB68" s="313"/>
      <c r="AC68" s="313"/>
      <c r="AD68" s="313"/>
      <c r="AE68" s="313"/>
      <c r="AF68" s="313"/>
      <c r="AG68" s="313"/>
      <c r="AH68" s="253"/>
      <c r="AI68" s="217"/>
      <c r="AJ68" s="318"/>
      <c r="AK68" s="318"/>
      <c r="AL68" s="318"/>
      <c r="AM68" s="318"/>
      <c r="AN68" s="318"/>
      <c r="AO68" s="318"/>
      <c r="AP68" s="318"/>
      <c r="AQ68" s="318"/>
      <c r="AR68" s="318"/>
      <c r="AS68" s="318"/>
      <c r="AT68" s="318"/>
      <c r="AU68" s="318"/>
      <c r="AV68" s="318"/>
      <c r="AW68" s="318"/>
      <c r="AX68" s="318"/>
      <c r="AY68" s="318"/>
      <c r="AZ68" s="346"/>
      <c r="BA68" s="322"/>
      <c r="BB68" s="322"/>
      <c r="BC68" s="322"/>
      <c r="BD68" s="322"/>
      <c r="BE68" s="322"/>
      <c r="BF68" s="346"/>
      <c r="BG68" s="328"/>
      <c r="BH68" s="328"/>
      <c r="BI68" s="328"/>
      <c r="BJ68" s="328"/>
      <c r="BK68" s="328"/>
      <c r="BL68" s="328"/>
      <c r="BM68" s="328"/>
      <c r="BN68" s="217"/>
      <c r="BO68" s="336"/>
      <c r="BP68" s="333"/>
      <c r="BQ68" s="336"/>
      <c r="BR68" s="336"/>
      <c r="BS68" s="336"/>
      <c r="BT68" s="336"/>
      <c r="BU68" s="336"/>
      <c r="BV68" s="336"/>
      <c r="BW68" s="336"/>
      <c r="BX68" s="217"/>
      <c r="BY68" s="341"/>
      <c r="BZ68" s="341"/>
      <c r="CA68" s="341"/>
      <c r="CB68" s="342"/>
      <c r="CC68" s="341"/>
      <c r="CD68" s="341"/>
      <c r="CE68" s="341"/>
      <c r="CF68" s="341"/>
      <c r="CG68" s="341"/>
      <c r="CH68" s="341"/>
      <c r="CI68" s="341"/>
      <c r="CJ68" s="342"/>
      <c r="CK68" s="342"/>
    </row>
    <row r="69">
      <c r="A69" s="753"/>
      <c r="B69" s="202" t="s">
        <v>271</v>
      </c>
      <c r="C69" s="196" t="s">
        <v>271</v>
      </c>
      <c r="D69" s="197" t="s">
        <v>271</v>
      </c>
      <c r="E69" s="199" t="s">
        <v>271</v>
      </c>
      <c r="F69" s="201" t="s">
        <v>271</v>
      </c>
      <c r="G69" s="202" t="s">
        <v>271</v>
      </c>
      <c r="H69" s="303"/>
      <c r="I69" s="303"/>
      <c r="J69" s="303"/>
      <c r="K69" s="303"/>
      <c r="L69" s="303"/>
      <c r="M69" s="303"/>
      <c r="N69" s="303"/>
      <c r="O69" s="303"/>
      <c r="P69" s="217"/>
      <c r="Q69" s="348"/>
      <c r="R69" s="348"/>
      <c r="S69" s="348"/>
      <c r="T69" s="348"/>
      <c r="U69" s="348"/>
      <c r="V69" s="348"/>
      <c r="W69" s="217"/>
      <c r="X69" s="313"/>
      <c r="Y69" s="313"/>
      <c r="Z69" s="313"/>
      <c r="AA69" s="602"/>
      <c r="AB69" s="313"/>
      <c r="AC69" s="313"/>
      <c r="AD69" s="313"/>
      <c r="AE69" s="313"/>
      <c r="AF69" s="313"/>
      <c r="AG69" s="313"/>
      <c r="AH69" s="253"/>
      <c r="AI69" s="217"/>
      <c r="AJ69" s="318"/>
      <c r="AK69" s="318"/>
      <c r="AL69" s="318"/>
      <c r="AM69" s="318"/>
      <c r="AN69" s="318"/>
      <c r="AO69" s="318"/>
      <c r="AP69" s="318"/>
      <c r="AQ69" s="318"/>
      <c r="AR69" s="318"/>
      <c r="AS69" s="318"/>
      <c r="AT69" s="318"/>
      <c r="AU69" s="318"/>
      <c r="AV69" s="318"/>
      <c r="AW69" s="318"/>
      <c r="AX69" s="318"/>
      <c r="AY69" s="318"/>
      <c r="AZ69" s="346"/>
      <c r="BA69" s="322"/>
      <c r="BB69" s="322"/>
      <c r="BC69" s="322"/>
      <c r="BD69" s="322"/>
      <c r="BE69" s="322"/>
      <c r="BF69" s="346"/>
      <c r="BG69" s="328"/>
      <c r="BH69" s="328"/>
      <c r="BI69" s="328"/>
      <c r="BJ69" s="328"/>
      <c r="BK69" s="328"/>
      <c r="BL69" s="328"/>
      <c r="BM69" s="328"/>
      <c r="BN69" s="217"/>
      <c r="BO69" s="336"/>
      <c r="BP69" s="333"/>
      <c r="BQ69" s="336"/>
      <c r="BR69" s="336"/>
      <c r="BS69" s="336"/>
      <c r="BT69" s="336"/>
      <c r="BU69" s="336"/>
      <c r="BV69" s="336"/>
      <c r="BW69" s="336"/>
      <c r="BX69" s="217"/>
      <c r="BY69" s="341"/>
      <c r="BZ69" s="341"/>
      <c r="CA69" s="341"/>
      <c r="CB69" s="342"/>
      <c r="CC69" s="341"/>
      <c r="CD69" s="341"/>
      <c r="CE69" s="341"/>
      <c r="CF69" s="341"/>
      <c r="CG69" s="341"/>
      <c r="CH69" s="341"/>
      <c r="CI69" s="341"/>
      <c r="CJ69" s="342"/>
      <c r="CK69" s="342"/>
    </row>
    <row r="70">
      <c r="A70" s="753"/>
      <c r="B70" s="202" t="s">
        <v>271</v>
      </c>
      <c r="C70" s="196" t="s">
        <v>271</v>
      </c>
      <c r="D70" s="197" t="s">
        <v>271</v>
      </c>
      <c r="E70" s="199" t="s">
        <v>271</v>
      </c>
      <c r="F70" s="201" t="s">
        <v>271</v>
      </c>
      <c r="G70" s="202" t="s">
        <v>271</v>
      </c>
      <c r="H70" s="303"/>
      <c r="I70" s="303"/>
      <c r="J70" s="303"/>
      <c r="K70" s="303"/>
      <c r="L70" s="303"/>
      <c r="M70" s="303"/>
      <c r="N70" s="303"/>
      <c r="O70" s="303"/>
      <c r="P70" s="217"/>
      <c r="Q70" s="348"/>
      <c r="R70" s="348"/>
      <c r="S70" s="348"/>
      <c r="T70" s="348"/>
      <c r="U70" s="348"/>
      <c r="V70" s="348"/>
      <c r="W70" s="217"/>
      <c r="X70" s="313"/>
      <c r="Y70" s="313"/>
      <c r="Z70" s="313"/>
      <c r="AA70" s="602"/>
      <c r="AB70" s="313"/>
      <c r="AC70" s="313"/>
      <c r="AD70" s="313"/>
      <c r="AE70" s="313"/>
      <c r="AF70" s="313"/>
      <c r="AG70" s="313"/>
      <c r="AH70" s="253"/>
      <c r="AI70" s="217"/>
      <c r="AJ70" s="318"/>
      <c r="AK70" s="318"/>
      <c r="AL70" s="318"/>
      <c r="AM70" s="318"/>
      <c r="AN70" s="318"/>
      <c r="AO70" s="318"/>
      <c r="AP70" s="318"/>
      <c r="AQ70" s="318"/>
      <c r="AR70" s="318"/>
      <c r="AS70" s="318"/>
      <c r="AT70" s="318"/>
      <c r="AU70" s="318"/>
      <c r="AV70" s="318"/>
      <c r="AW70" s="318"/>
      <c r="AX70" s="318"/>
      <c r="AY70" s="318"/>
      <c r="AZ70" s="346"/>
      <c r="BA70" s="322"/>
      <c r="BB70" s="322"/>
      <c r="BC70" s="322"/>
      <c r="BD70" s="322"/>
      <c r="BE70" s="322"/>
      <c r="BF70" s="346"/>
      <c r="BG70" s="328"/>
      <c r="BH70" s="328"/>
      <c r="BI70" s="328"/>
      <c r="BJ70" s="328"/>
      <c r="BK70" s="328"/>
      <c r="BL70" s="328"/>
      <c r="BM70" s="328"/>
      <c r="BN70" s="217"/>
      <c r="BO70" s="336"/>
      <c r="BP70" s="333"/>
      <c r="BQ70" s="336"/>
      <c r="BR70" s="336"/>
      <c r="BS70" s="336"/>
      <c r="BT70" s="336"/>
      <c r="BU70" s="336"/>
      <c r="BV70" s="336"/>
      <c r="BW70" s="336"/>
      <c r="BX70" s="217"/>
      <c r="BY70" s="341"/>
      <c r="BZ70" s="341"/>
      <c r="CA70" s="341"/>
      <c r="CB70" s="342"/>
      <c r="CC70" s="341"/>
      <c r="CD70" s="341"/>
      <c r="CE70" s="341"/>
      <c r="CF70" s="341"/>
      <c r="CG70" s="341"/>
      <c r="CH70" s="341"/>
      <c r="CI70" s="341"/>
      <c r="CJ70" s="342"/>
      <c r="CK70" s="342"/>
    </row>
    <row r="71">
      <c r="A71" s="753"/>
      <c r="B71" s="202" t="s">
        <v>271</v>
      </c>
      <c r="C71" s="196" t="s">
        <v>271</v>
      </c>
      <c r="D71" s="197" t="s">
        <v>271</v>
      </c>
      <c r="E71" s="199" t="s">
        <v>271</v>
      </c>
      <c r="F71" s="201" t="s">
        <v>271</v>
      </c>
      <c r="G71" s="202" t="s">
        <v>271</v>
      </c>
      <c r="H71" s="303"/>
      <c r="I71" s="303"/>
      <c r="J71" s="303"/>
      <c r="K71" s="303"/>
      <c r="L71" s="303"/>
      <c r="M71" s="303"/>
      <c r="N71" s="303"/>
      <c r="O71" s="303"/>
      <c r="P71" s="217"/>
      <c r="Q71" s="348"/>
      <c r="R71" s="348"/>
      <c r="S71" s="348"/>
      <c r="T71" s="348"/>
      <c r="U71" s="348"/>
      <c r="V71" s="348"/>
      <c r="W71" s="217"/>
      <c r="X71" s="313"/>
      <c r="Y71" s="313"/>
      <c r="Z71" s="313"/>
      <c r="AA71" s="602"/>
      <c r="AB71" s="313"/>
      <c r="AC71" s="313"/>
      <c r="AD71" s="313"/>
      <c r="AE71" s="313"/>
      <c r="AF71" s="313"/>
      <c r="AG71" s="313"/>
      <c r="AH71" s="253"/>
      <c r="AI71" s="217"/>
      <c r="AJ71" s="318"/>
      <c r="AK71" s="318"/>
      <c r="AL71" s="318"/>
      <c r="AM71" s="318"/>
      <c r="AN71" s="318"/>
      <c r="AO71" s="318"/>
      <c r="AP71" s="318"/>
      <c r="AQ71" s="318"/>
      <c r="AR71" s="318"/>
      <c r="AS71" s="318"/>
      <c r="AT71" s="318"/>
      <c r="AU71" s="318"/>
      <c r="AV71" s="318"/>
      <c r="AW71" s="318"/>
      <c r="AX71" s="318"/>
      <c r="AY71" s="318"/>
      <c r="AZ71" s="346"/>
      <c r="BA71" s="322"/>
      <c r="BB71" s="322"/>
      <c r="BC71" s="322"/>
      <c r="BD71" s="322"/>
      <c r="BE71" s="322"/>
      <c r="BF71" s="346"/>
      <c r="BG71" s="328"/>
      <c r="BH71" s="328"/>
      <c r="BI71" s="328"/>
      <c r="BJ71" s="328"/>
      <c r="BK71" s="328"/>
      <c r="BL71" s="328"/>
      <c r="BM71" s="328"/>
      <c r="BN71" s="217"/>
      <c r="BO71" s="336"/>
      <c r="BP71" s="333"/>
      <c r="BQ71" s="336"/>
      <c r="BR71" s="336"/>
      <c r="BS71" s="336"/>
      <c r="BT71" s="336"/>
      <c r="BU71" s="336"/>
      <c r="BV71" s="336"/>
      <c r="BW71" s="336"/>
      <c r="BX71" s="217"/>
      <c r="BY71" s="341"/>
      <c r="BZ71" s="341"/>
      <c r="CA71" s="341"/>
      <c r="CB71" s="342"/>
      <c r="CC71" s="341"/>
      <c r="CD71" s="341"/>
      <c r="CE71" s="341"/>
      <c r="CF71" s="341"/>
      <c r="CG71" s="341"/>
      <c r="CH71" s="341"/>
      <c r="CI71" s="341"/>
      <c r="CJ71" s="342"/>
      <c r="CK71" s="342"/>
    </row>
    <row r="72">
      <c r="A72" s="753"/>
      <c r="B72" s="202" t="s">
        <v>271</v>
      </c>
      <c r="C72" s="196" t="s">
        <v>271</v>
      </c>
      <c r="D72" s="197" t="s">
        <v>271</v>
      </c>
      <c r="E72" s="199" t="s">
        <v>271</v>
      </c>
      <c r="F72" s="201" t="s">
        <v>271</v>
      </c>
      <c r="G72" s="202" t="s">
        <v>271</v>
      </c>
      <c r="H72" s="303"/>
      <c r="I72" s="303"/>
      <c r="J72" s="303"/>
      <c r="K72" s="303"/>
      <c r="L72" s="303"/>
      <c r="M72" s="303"/>
      <c r="N72" s="303"/>
      <c r="O72" s="303"/>
      <c r="P72" s="217"/>
      <c r="Q72" s="348"/>
      <c r="R72" s="348"/>
      <c r="S72" s="348"/>
      <c r="T72" s="348"/>
      <c r="U72" s="348"/>
      <c r="V72" s="348"/>
      <c r="W72" s="217"/>
      <c r="X72" s="313"/>
      <c r="Y72" s="313"/>
      <c r="Z72" s="313"/>
      <c r="AA72" s="602"/>
      <c r="AB72" s="313"/>
      <c r="AC72" s="313"/>
      <c r="AD72" s="313"/>
      <c r="AE72" s="313"/>
      <c r="AF72" s="313"/>
      <c r="AG72" s="313"/>
      <c r="AH72" s="253"/>
      <c r="AI72" s="217"/>
      <c r="AJ72" s="318"/>
      <c r="AK72" s="318"/>
      <c r="AL72" s="318"/>
      <c r="AM72" s="318"/>
      <c r="AN72" s="318"/>
      <c r="AO72" s="318"/>
      <c r="AP72" s="318"/>
      <c r="AQ72" s="318"/>
      <c r="AR72" s="318"/>
      <c r="AS72" s="318"/>
      <c r="AT72" s="318"/>
      <c r="AU72" s="318"/>
      <c r="AV72" s="318"/>
      <c r="AW72" s="318"/>
      <c r="AX72" s="318"/>
      <c r="AY72" s="318"/>
      <c r="AZ72" s="346"/>
      <c r="BA72" s="322"/>
      <c r="BB72" s="322"/>
      <c r="BC72" s="322"/>
      <c r="BD72" s="322"/>
      <c r="BE72" s="322"/>
      <c r="BF72" s="346"/>
      <c r="BG72" s="328"/>
      <c r="BH72" s="328"/>
      <c r="BI72" s="328"/>
      <c r="BJ72" s="328"/>
      <c r="BK72" s="328"/>
      <c r="BL72" s="328"/>
      <c r="BM72" s="328"/>
      <c r="BN72" s="217"/>
      <c r="BO72" s="336"/>
      <c r="BP72" s="333"/>
      <c r="BQ72" s="336"/>
      <c r="BR72" s="336"/>
      <c r="BS72" s="336"/>
      <c r="BT72" s="336"/>
      <c r="BU72" s="336"/>
      <c r="BV72" s="336"/>
      <c r="BW72" s="336"/>
      <c r="BX72" s="217"/>
      <c r="BY72" s="341"/>
      <c r="BZ72" s="341"/>
      <c r="CA72" s="341"/>
      <c r="CB72" s="342"/>
      <c r="CC72" s="341"/>
      <c r="CD72" s="341"/>
      <c r="CE72" s="341"/>
      <c r="CF72" s="341"/>
      <c r="CG72" s="341"/>
      <c r="CH72" s="341"/>
      <c r="CI72" s="341"/>
      <c r="CJ72" s="342"/>
      <c r="CK72" s="342"/>
    </row>
    <row r="73">
      <c r="A73" s="753"/>
      <c r="B73" s="202" t="s">
        <v>271</v>
      </c>
      <c r="C73" s="196" t="s">
        <v>271</v>
      </c>
      <c r="D73" s="197" t="s">
        <v>271</v>
      </c>
      <c r="E73" s="199" t="s">
        <v>271</v>
      </c>
      <c r="F73" s="201" t="s">
        <v>271</v>
      </c>
      <c r="G73" s="202" t="s">
        <v>271</v>
      </c>
      <c r="H73" s="303"/>
      <c r="I73" s="303"/>
      <c r="J73" s="303"/>
      <c r="K73" s="303"/>
      <c r="L73" s="303"/>
      <c r="M73" s="303"/>
      <c r="N73" s="303"/>
      <c r="O73" s="303"/>
      <c r="P73" s="217"/>
      <c r="Q73" s="348"/>
      <c r="R73" s="348"/>
      <c r="S73" s="348"/>
      <c r="T73" s="348"/>
      <c r="U73" s="348"/>
      <c r="V73" s="348"/>
      <c r="W73" s="217"/>
      <c r="X73" s="313"/>
      <c r="Y73" s="313"/>
      <c r="Z73" s="313"/>
      <c r="AA73" s="602"/>
      <c r="AB73" s="313"/>
      <c r="AC73" s="313"/>
      <c r="AD73" s="313"/>
      <c r="AE73" s="313"/>
      <c r="AF73" s="313"/>
      <c r="AG73" s="313"/>
      <c r="AH73" s="253"/>
      <c r="AI73" s="217"/>
      <c r="AJ73" s="318"/>
      <c r="AK73" s="318"/>
      <c r="AL73" s="318"/>
      <c r="AM73" s="318"/>
      <c r="AN73" s="318"/>
      <c r="AO73" s="318"/>
      <c r="AP73" s="318"/>
      <c r="AQ73" s="318"/>
      <c r="AR73" s="318"/>
      <c r="AS73" s="318"/>
      <c r="AT73" s="318"/>
      <c r="AU73" s="318"/>
      <c r="AV73" s="318"/>
      <c r="AW73" s="318"/>
      <c r="AX73" s="318"/>
      <c r="AY73" s="318"/>
      <c r="AZ73" s="346"/>
      <c r="BA73" s="322"/>
      <c r="BB73" s="322"/>
      <c r="BC73" s="322"/>
      <c r="BD73" s="322"/>
      <c r="BE73" s="322"/>
      <c r="BF73" s="346"/>
      <c r="BG73" s="328"/>
      <c r="BH73" s="328"/>
      <c r="BI73" s="328"/>
      <c r="BJ73" s="328"/>
      <c r="BK73" s="328"/>
      <c r="BL73" s="328"/>
      <c r="BM73" s="328"/>
      <c r="BN73" s="217"/>
      <c r="BO73" s="336"/>
      <c r="BP73" s="333"/>
      <c r="BQ73" s="336"/>
      <c r="BR73" s="336"/>
      <c r="BS73" s="336"/>
      <c r="BT73" s="336"/>
      <c r="BU73" s="336"/>
      <c r="BV73" s="336"/>
      <c r="BW73" s="336"/>
      <c r="BX73" s="217"/>
      <c r="BY73" s="341"/>
      <c r="BZ73" s="341"/>
      <c r="CA73" s="341"/>
      <c r="CB73" s="342"/>
      <c r="CC73" s="341"/>
      <c r="CD73" s="341"/>
      <c r="CE73" s="341"/>
      <c r="CF73" s="341"/>
      <c r="CG73" s="341"/>
      <c r="CH73" s="341"/>
      <c r="CI73" s="341"/>
      <c r="CJ73" s="342"/>
      <c r="CK73" s="342"/>
    </row>
    <row r="74">
      <c r="A74" s="753"/>
      <c r="B74" s="202" t="s">
        <v>271</v>
      </c>
      <c r="C74" s="196" t="s">
        <v>271</v>
      </c>
      <c r="D74" s="197" t="s">
        <v>271</v>
      </c>
      <c r="E74" s="199" t="s">
        <v>271</v>
      </c>
      <c r="F74" s="201" t="s">
        <v>271</v>
      </c>
      <c r="G74" s="202" t="s">
        <v>271</v>
      </c>
      <c r="H74" s="303"/>
      <c r="I74" s="303"/>
      <c r="J74" s="303"/>
      <c r="K74" s="303"/>
      <c r="L74" s="303"/>
      <c r="M74" s="303"/>
      <c r="N74" s="303"/>
      <c r="O74" s="303"/>
      <c r="P74" s="217"/>
      <c r="Q74" s="348"/>
      <c r="R74" s="348"/>
      <c r="S74" s="348"/>
      <c r="T74" s="348"/>
      <c r="U74" s="348"/>
      <c r="V74" s="348"/>
      <c r="W74" s="217"/>
      <c r="X74" s="313"/>
      <c r="Y74" s="313"/>
      <c r="Z74" s="313"/>
      <c r="AA74" s="602"/>
      <c r="AB74" s="313"/>
      <c r="AC74" s="313"/>
      <c r="AD74" s="313"/>
      <c r="AE74" s="313"/>
      <c r="AF74" s="313"/>
      <c r="AG74" s="313"/>
      <c r="AH74" s="253"/>
      <c r="AI74" s="217"/>
      <c r="AJ74" s="318"/>
      <c r="AK74" s="318"/>
      <c r="AL74" s="318"/>
      <c r="AM74" s="318"/>
      <c r="AN74" s="318"/>
      <c r="AO74" s="318"/>
      <c r="AP74" s="318"/>
      <c r="AQ74" s="318"/>
      <c r="AR74" s="318"/>
      <c r="AS74" s="318"/>
      <c r="AT74" s="318"/>
      <c r="AU74" s="318"/>
      <c r="AV74" s="318"/>
      <c r="AW74" s="318"/>
      <c r="AX74" s="318"/>
      <c r="AY74" s="318"/>
      <c r="AZ74" s="346"/>
      <c r="BA74" s="322"/>
      <c r="BB74" s="322"/>
      <c r="BC74" s="322"/>
      <c r="BD74" s="322"/>
      <c r="BE74" s="322"/>
      <c r="BF74" s="346"/>
      <c r="BG74" s="328"/>
      <c r="BH74" s="328"/>
      <c r="BI74" s="328"/>
      <c r="BJ74" s="328"/>
      <c r="BK74" s="328"/>
      <c r="BL74" s="328"/>
      <c r="BM74" s="328"/>
      <c r="BN74" s="217"/>
      <c r="BO74" s="336"/>
      <c r="BP74" s="333"/>
      <c r="BQ74" s="336"/>
      <c r="BR74" s="336"/>
      <c r="BS74" s="336"/>
      <c r="BT74" s="336"/>
      <c r="BU74" s="336"/>
      <c r="BV74" s="336"/>
      <c r="BW74" s="336"/>
      <c r="BX74" s="217"/>
      <c r="BY74" s="341"/>
      <c r="BZ74" s="341"/>
      <c r="CA74" s="341"/>
      <c r="CB74" s="342"/>
      <c r="CC74" s="341"/>
      <c r="CD74" s="341"/>
      <c r="CE74" s="341"/>
      <c r="CF74" s="341"/>
      <c r="CG74" s="341"/>
      <c r="CH74" s="341"/>
      <c r="CI74" s="341"/>
      <c r="CJ74" s="342"/>
      <c r="CK74" s="342"/>
    </row>
    <row r="75">
      <c r="A75" s="753"/>
      <c r="B75" s="202" t="s">
        <v>271</v>
      </c>
      <c r="C75" s="196" t="s">
        <v>271</v>
      </c>
      <c r="D75" s="197" t="s">
        <v>271</v>
      </c>
      <c r="E75" s="199" t="s">
        <v>271</v>
      </c>
      <c r="F75" s="201" t="s">
        <v>271</v>
      </c>
      <c r="G75" s="202" t="s">
        <v>271</v>
      </c>
      <c r="H75" s="303"/>
      <c r="I75" s="303"/>
      <c r="J75" s="303"/>
      <c r="K75" s="303"/>
      <c r="L75" s="303"/>
      <c r="M75" s="303"/>
      <c r="N75" s="303"/>
      <c r="O75" s="303"/>
      <c r="P75" s="217"/>
      <c r="Q75" s="348"/>
      <c r="R75" s="348"/>
      <c r="S75" s="348"/>
      <c r="T75" s="348"/>
      <c r="U75" s="348"/>
      <c r="V75" s="348"/>
      <c r="W75" s="217"/>
      <c r="X75" s="313"/>
      <c r="Y75" s="313"/>
      <c r="Z75" s="313"/>
      <c r="AA75" s="602"/>
      <c r="AB75" s="313"/>
      <c r="AC75" s="313"/>
      <c r="AD75" s="313"/>
      <c r="AE75" s="313"/>
      <c r="AF75" s="313"/>
      <c r="AG75" s="313"/>
      <c r="AH75" s="253"/>
      <c r="AI75" s="217"/>
      <c r="AJ75" s="318"/>
      <c r="AK75" s="318"/>
      <c r="AL75" s="318"/>
      <c r="AM75" s="318"/>
      <c r="AN75" s="318"/>
      <c r="AO75" s="318"/>
      <c r="AP75" s="318"/>
      <c r="AQ75" s="318"/>
      <c r="AR75" s="318"/>
      <c r="AS75" s="318"/>
      <c r="AT75" s="318"/>
      <c r="AU75" s="318"/>
      <c r="AV75" s="318"/>
      <c r="AW75" s="318"/>
      <c r="AX75" s="318"/>
      <c r="AY75" s="318"/>
      <c r="AZ75" s="346"/>
      <c r="BA75" s="322"/>
      <c r="BB75" s="322"/>
      <c r="BC75" s="322"/>
      <c r="BD75" s="322"/>
      <c r="BE75" s="322"/>
      <c r="BF75" s="346"/>
      <c r="BG75" s="328"/>
      <c r="BH75" s="328"/>
      <c r="BI75" s="328"/>
      <c r="BJ75" s="328"/>
      <c r="BK75" s="328"/>
      <c r="BL75" s="328"/>
      <c r="BM75" s="328"/>
      <c r="BN75" s="217"/>
      <c r="BO75" s="336"/>
      <c r="BP75" s="333"/>
      <c r="BQ75" s="336"/>
      <c r="BR75" s="336"/>
      <c r="BS75" s="336"/>
      <c r="BT75" s="336"/>
      <c r="BU75" s="336"/>
      <c r="BV75" s="336"/>
      <c r="BW75" s="336"/>
      <c r="BX75" s="217"/>
      <c r="BY75" s="341"/>
      <c r="BZ75" s="341"/>
      <c r="CA75" s="341"/>
      <c r="CB75" s="342"/>
      <c r="CC75" s="341"/>
      <c r="CD75" s="341"/>
      <c r="CE75" s="341"/>
      <c r="CF75" s="341"/>
      <c r="CG75" s="341"/>
      <c r="CH75" s="341"/>
      <c r="CI75" s="341"/>
      <c r="CJ75" s="342"/>
      <c r="CK75" s="342"/>
    </row>
    <row r="76">
      <c r="A76" s="753"/>
      <c r="B76" s="202" t="s">
        <v>271</v>
      </c>
      <c r="C76" s="196" t="s">
        <v>271</v>
      </c>
      <c r="D76" s="197" t="s">
        <v>271</v>
      </c>
      <c r="E76" s="199" t="s">
        <v>271</v>
      </c>
      <c r="F76" s="201" t="s">
        <v>271</v>
      </c>
      <c r="G76" s="202" t="s">
        <v>271</v>
      </c>
      <c r="H76" s="303"/>
      <c r="I76" s="303"/>
      <c r="J76" s="303"/>
      <c r="K76" s="303"/>
      <c r="L76" s="303"/>
      <c r="M76" s="303"/>
      <c r="N76" s="303"/>
      <c r="O76" s="303"/>
      <c r="P76" s="217"/>
      <c r="Q76" s="348"/>
      <c r="R76" s="348"/>
      <c r="S76" s="348"/>
      <c r="T76" s="348"/>
      <c r="U76" s="348"/>
      <c r="V76" s="348"/>
      <c r="W76" s="217"/>
      <c r="X76" s="313"/>
      <c r="Y76" s="313"/>
      <c r="Z76" s="313"/>
      <c r="AA76" s="602"/>
      <c r="AB76" s="313"/>
      <c r="AC76" s="313"/>
      <c r="AD76" s="313"/>
      <c r="AE76" s="313"/>
      <c r="AF76" s="313"/>
      <c r="AG76" s="313"/>
      <c r="AH76" s="253"/>
      <c r="AI76" s="217"/>
      <c r="AJ76" s="318"/>
      <c r="AK76" s="318"/>
      <c r="AL76" s="318"/>
      <c r="AM76" s="318"/>
      <c r="AN76" s="318"/>
      <c r="AO76" s="318"/>
      <c r="AP76" s="318"/>
      <c r="AQ76" s="318"/>
      <c r="AR76" s="318"/>
      <c r="AS76" s="318"/>
      <c r="AT76" s="318"/>
      <c r="AU76" s="318"/>
      <c r="AV76" s="318"/>
      <c r="AW76" s="318"/>
      <c r="AX76" s="318"/>
      <c r="AY76" s="318"/>
      <c r="AZ76" s="346"/>
      <c r="BA76" s="322"/>
      <c r="BB76" s="322"/>
      <c r="BC76" s="322"/>
      <c r="BD76" s="322"/>
      <c r="BE76" s="322"/>
      <c r="BF76" s="346"/>
      <c r="BG76" s="328"/>
      <c r="BH76" s="328"/>
      <c r="BI76" s="328"/>
      <c r="BJ76" s="328"/>
      <c r="BK76" s="328"/>
      <c r="BL76" s="328"/>
      <c r="BM76" s="328"/>
      <c r="BN76" s="217"/>
      <c r="BO76" s="336"/>
      <c r="BP76" s="333"/>
      <c r="BQ76" s="336"/>
      <c r="BR76" s="336"/>
      <c r="BS76" s="336"/>
      <c r="BT76" s="336"/>
      <c r="BU76" s="336"/>
      <c r="BV76" s="336"/>
      <c r="BW76" s="336"/>
      <c r="BX76" s="217"/>
      <c r="BY76" s="341"/>
      <c r="BZ76" s="341"/>
      <c r="CA76" s="341"/>
      <c r="CB76" s="342"/>
      <c r="CC76" s="341"/>
      <c r="CD76" s="341"/>
      <c r="CE76" s="341"/>
      <c r="CF76" s="341"/>
      <c r="CG76" s="341"/>
      <c r="CH76" s="341"/>
      <c r="CI76" s="341"/>
      <c r="CJ76" s="342"/>
      <c r="CK76" s="342"/>
    </row>
    <row r="77">
      <c r="A77" s="753"/>
      <c r="B77" s="202" t="s">
        <v>271</v>
      </c>
      <c r="C77" s="196" t="s">
        <v>271</v>
      </c>
      <c r="D77" s="197" t="s">
        <v>271</v>
      </c>
      <c r="E77" s="199" t="s">
        <v>271</v>
      </c>
      <c r="F77" s="201" t="s">
        <v>271</v>
      </c>
      <c r="G77" s="202" t="s">
        <v>271</v>
      </c>
      <c r="H77" s="303"/>
      <c r="I77" s="303"/>
      <c r="J77" s="303"/>
      <c r="K77" s="303"/>
      <c r="L77" s="303"/>
      <c r="M77" s="303"/>
      <c r="N77" s="303"/>
      <c r="O77" s="303"/>
      <c r="P77" s="217"/>
      <c r="Q77" s="348"/>
      <c r="R77" s="348"/>
      <c r="S77" s="348"/>
      <c r="T77" s="348"/>
      <c r="U77" s="348"/>
      <c r="V77" s="348"/>
      <c r="W77" s="217"/>
      <c r="X77" s="313"/>
      <c r="Y77" s="313"/>
      <c r="Z77" s="313"/>
      <c r="AA77" s="602"/>
      <c r="AB77" s="313"/>
      <c r="AC77" s="313"/>
      <c r="AD77" s="313"/>
      <c r="AE77" s="313"/>
      <c r="AF77" s="313"/>
      <c r="AG77" s="313"/>
      <c r="AH77" s="253"/>
      <c r="AI77" s="217"/>
      <c r="AJ77" s="318"/>
      <c r="AK77" s="318"/>
      <c r="AL77" s="318"/>
      <c r="AM77" s="318"/>
      <c r="AN77" s="318"/>
      <c r="AO77" s="318"/>
      <c r="AP77" s="318"/>
      <c r="AQ77" s="318"/>
      <c r="AR77" s="318"/>
      <c r="AS77" s="318"/>
      <c r="AT77" s="318"/>
      <c r="AU77" s="318"/>
      <c r="AV77" s="318"/>
      <c r="AW77" s="318"/>
      <c r="AX77" s="318"/>
      <c r="AY77" s="318"/>
      <c r="AZ77" s="346"/>
      <c r="BA77" s="322"/>
      <c r="BB77" s="322"/>
      <c r="BC77" s="322"/>
      <c r="BD77" s="322"/>
      <c r="BE77" s="322"/>
      <c r="BF77" s="346"/>
      <c r="BG77" s="328"/>
      <c r="BH77" s="328"/>
      <c r="BI77" s="328"/>
      <c r="BJ77" s="328"/>
      <c r="BK77" s="328"/>
      <c r="BL77" s="328"/>
      <c r="BM77" s="328"/>
      <c r="BN77" s="217"/>
      <c r="BO77" s="336"/>
      <c r="BP77" s="333"/>
      <c r="BQ77" s="336"/>
      <c r="BR77" s="336"/>
      <c r="BS77" s="336"/>
      <c r="BT77" s="336"/>
      <c r="BU77" s="336"/>
      <c r="BV77" s="336"/>
      <c r="BW77" s="336"/>
      <c r="BX77" s="217"/>
      <c r="BY77" s="341"/>
      <c r="BZ77" s="341"/>
      <c r="CA77" s="341"/>
      <c r="CB77" s="342"/>
      <c r="CC77" s="341"/>
      <c r="CD77" s="341"/>
      <c r="CE77" s="341"/>
      <c r="CF77" s="341"/>
      <c r="CG77" s="341"/>
      <c r="CH77" s="341"/>
      <c r="CI77" s="341"/>
      <c r="CJ77" s="342"/>
      <c r="CK77" s="342"/>
    </row>
    <row r="78">
      <c r="A78" s="753"/>
      <c r="B78" s="202" t="s">
        <v>271</v>
      </c>
      <c r="C78" s="196" t="s">
        <v>271</v>
      </c>
      <c r="D78" s="197" t="s">
        <v>271</v>
      </c>
      <c r="E78" s="199" t="s">
        <v>271</v>
      </c>
      <c r="F78" s="201" t="s">
        <v>271</v>
      </c>
      <c r="G78" s="202" t="s">
        <v>271</v>
      </c>
      <c r="H78" s="303"/>
      <c r="I78" s="303"/>
      <c r="J78" s="303"/>
      <c r="K78" s="303"/>
      <c r="L78" s="303"/>
      <c r="M78" s="303"/>
      <c r="N78" s="303"/>
      <c r="O78" s="303"/>
      <c r="P78" s="217"/>
      <c r="Q78" s="348"/>
      <c r="R78" s="348"/>
      <c r="S78" s="348"/>
      <c r="T78" s="348"/>
      <c r="U78" s="348"/>
      <c r="V78" s="348"/>
      <c r="W78" s="217"/>
      <c r="X78" s="313"/>
      <c r="Y78" s="313"/>
      <c r="Z78" s="313"/>
      <c r="AA78" s="602"/>
      <c r="AB78" s="313"/>
      <c r="AC78" s="313"/>
      <c r="AD78" s="313"/>
      <c r="AE78" s="313"/>
      <c r="AF78" s="313"/>
      <c r="AG78" s="313"/>
      <c r="AH78" s="253"/>
      <c r="AI78" s="217"/>
      <c r="AJ78" s="318"/>
      <c r="AK78" s="318"/>
      <c r="AL78" s="318"/>
      <c r="AM78" s="318"/>
      <c r="AN78" s="318"/>
      <c r="AO78" s="318"/>
      <c r="AP78" s="318"/>
      <c r="AQ78" s="318"/>
      <c r="AR78" s="318"/>
      <c r="AS78" s="318"/>
      <c r="AT78" s="318"/>
      <c r="AU78" s="318"/>
      <c r="AV78" s="318"/>
      <c r="AW78" s="318"/>
      <c r="AX78" s="318"/>
      <c r="AY78" s="318"/>
      <c r="AZ78" s="346"/>
      <c r="BA78" s="322"/>
      <c r="BB78" s="322"/>
      <c r="BC78" s="322"/>
      <c r="BD78" s="322"/>
      <c r="BE78" s="322"/>
      <c r="BF78" s="346"/>
      <c r="BG78" s="328"/>
      <c r="BH78" s="328"/>
      <c r="BI78" s="328"/>
      <c r="BJ78" s="328"/>
      <c r="BK78" s="328"/>
      <c r="BL78" s="328"/>
      <c r="BM78" s="328"/>
      <c r="BN78" s="217"/>
      <c r="BO78" s="336"/>
      <c r="BP78" s="333"/>
      <c r="BQ78" s="336"/>
      <c r="BR78" s="336"/>
      <c r="BS78" s="336"/>
      <c r="BT78" s="336"/>
      <c r="BU78" s="336"/>
      <c r="BV78" s="336"/>
      <c r="BW78" s="336"/>
      <c r="BX78" s="217"/>
      <c r="BY78" s="341"/>
      <c r="BZ78" s="341"/>
      <c r="CA78" s="341"/>
      <c r="CB78" s="342"/>
      <c r="CC78" s="341"/>
      <c r="CD78" s="341"/>
      <c r="CE78" s="341"/>
      <c r="CF78" s="341"/>
      <c r="CG78" s="341"/>
      <c r="CH78" s="341"/>
      <c r="CI78" s="341"/>
      <c r="CJ78" s="342"/>
      <c r="CK78" s="342"/>
    </row>
    <row r="79">
      <c r="A79" s="753"/>
      <c r="B79" s="202" t="s">
        <v>271</v>
      </c>
      <c r="C79" s="196" t="s">
        <v>271</v>
      </c>
      <c r="D79" s="197" t="s">
        <v>271</v>
      </c>
      <c r="E79" s="199" t="s">
        <v>271</v>
      </c>
      <c r="F79" s="201" t="s">
        <v>271</v>
      </c>
      <c r="G79" s="202" t="s">
        <v>271</v>
      </c>
      <c r="H79" s="303"/>
      <c r="I79" s="303"/>
      <c r="J79" s="303"/>
      <c r="K79" s="303"/>
      <c r="L79" s="303"/>
      <c r="M79" s="303"/>
      <c r="N79" s="303"/>
      <c r="O79" s="303"/>
      <c r="P79" s="217"/>
      <c r="Q79" s="348"/>
      <c r="R79" s="348"/>
      <c r="S79" s="348"/>
      <c r="T79" s="348"/>
      <c r="U79" s="348"/>
      <c r="V79" s="348"/>
      <c r="W79" s="217"/>
      <c r="X79" s="313"/>
      <c r="Y79" s="313"/>
      <c r="Z79" s="313"/>
      <c r="AA79" s="602"/>
      <c r="AB79" s="313"/>
      <c r="AC79" s="313"/>
      <c r="AD79" s="313"/>
      <c r="AE79" s="313"/>
      <c r="AF79" s="313"/>
      <c r="AG79" s="313"/>
      <c r="AH79" s="253"/>
      <c r="AI79" s="217"/>
      <c r="AJ79" s="318"/>
      <c r="AK79" s="318"/>
      <c r="AL79" s="318"/>
      <c r="AM79" s="318"/>
      <c r="AN79" s="318"/>
      <c r="AO79" s="318"/>
      <c r="AP79" s="318"/>
      <c r="AQ79" s="318"/>
      <c r="AR79" s="318"/>
      <c r="AS79" s="318"/>
      <c r="AT79" s="318"/>
      <c r="AU79" s="318"/>
      <c r="AV79" s="318"/>
      <c r="AW79" s="318"/>
      <c r="AX79" s="318"/>
      <c r="AY79" s="318"/>
      <c r="AZ79" s="346"/>
      <c r="BA79" s="322"/>
      <c r="BB79" s="322"/>
      <c r="BC79" s="322"/>
      <c r="BD79" s="322"/>
      <c r="BE79" s="322"/>
      <c r="BF79" s="346"/>
      <c r="BG79" s="328"/>
      <c r="BH79" s="328"/>
      <c r="BI79" s="328"/>
      <c r="BJ79" s="328"/>
      <c r="BK79" s="328"/>
      <c r="BL79" s="328"/>
      <c r="BM79" s="328"/>
      <c r="BN79" s="217"/>
      <c r="BO79" s="336"/>
      <c r="BP79" s="333"/>
      <c r="BQ79" s="336"/>
      <c r="BR79" s="336"/>
      <c r="BS79" s="336"/>
      <c r="BT79" s="336"/>
      <c r="BU79" s="336"/>
      <c r="BV79" s="336"/>
      <c r="BW79" s="336"/>
      <c r="BX79" s="217"/>
      <c r="BY79" s="341"/>
      <c r="BZ79" s="341"/>
      <c r="CA79" s="341"/>
      <c r="CB79" s="342"/>
      <c r="CC79" s="341"/>
      <c r="CD79" s="341"/>
      <c r="CE79" s="341"/>
      <c r="CF79" s="341"/>
      <c r="CG79" s="341"/>
      <c r="CH79" s="341"/>
      <c r="CI79" s="341"/>
      <c r="CJ79" s="342"/>
      <c r="CK79" s="342"/>
    </row>
    <row r="80">
      <c r="A80" s="753"/>
      <c r="B80" s="202" t="s">
        <v>271</v>
      </c>
      <c r="C80" s="196" t="s">
        <v>271</v>
      </c>
      <c r="D80" s="197" t="s">
        <v>271</v>
      </c>
      <c r="E80" s="199" t="s">
        <v>271</v>
      </c>
      <c r="F80" s="201" t="s">
        <v>271</v>
      </c>
      <c r="G80" s="202" t="s">
        <v>271</v>
      </c>
      <c r="H80" s="303"/>
      <c r="I80" s="303"/>
      <c r="J80" s="303"/>
      <c r="K80" s="303"/>
      <c r="L80" s="303"/>
      <c r="M80" s="303"/>
      <c r="N80" s="303"/>
      <c r="O80" s="303"/>
      <c r="P80" s="217"/>
      <c r="Q80" s="348"/>
      <c r="R80" s="348"/>
      <c r="S80" s="348"/>
      <c r="T80" s="348"/>
      <c r="U80" s="348"/>
      <c r="V80" s="348"/>
      <c r="W80" s="217"/>
      <c r="X80" s="313"/>
      <c r="Y80" s="313"/>
      <c r="Z80" s="313"/>
      <c r="AA80" s="602"/>
      <c r="AB80" s="313"/>
      <c r="AC80" s="313"/>
      <c r="AD80" s="313"/>
      <c r="AE80" s="313"/>
      <c r="AF80" s="313"/>
      <c r="AG80" s="313"/>
      <c r="AH80" s="253"/>
      <c r="AI80" s="217"/>
      <c r="AJ80" s="318"/>
      <c r="AK80" s="318"/>
      <c r="AL80" s="318"/>
      <c r="AM80" s="318"/>
      <c r="AN80" s="318"/>
      <c r="AO80" s="318"/>
      <c r="AP80" s="318"/>
      <c r="AQ80" s="318"/>
      <c r="AR80" s="318"/>
      <c r="AS80" s="318"/>
      <c r="AT80" s="318"/>
      <c r="AU80" s="318"/>
      <c r="AV80" s="318"/>
      <c r="AW80" s="318"/>
      <c r="AX80" s="318"/>
      <c r="AY80" s="318"/>
      <c r="AZ80" s="346"/>
      <c r="BA80" s="322"/>
      <c r="BB80" s="322"/>
      <c r="BC80" s="322"/>
      <c r="BD80" s="322"/>
      <c r="BE80" s="322"/>
      <c r="BF80" s="346"/>
      <c r="BG80" s="328"/>
      <c r="BH80" s="328"/>
      <c r="BI80" s="328"/>
      <c r="BJ80" s="328"/>
      <c r="BK80" s="328"/>
      <c r="BL80" s="328"/>
      <c r="BM80" s="328"/>
      <c r="BN80" s="217"/>
      <c r="BO80" s="336"/>
      <c r="BP80" s="333"/>
      <c r="BQ80" s="336"/>
      <c r="BR80" s="336"/>
      <c r="BS80" s="336"/>
      <c r="BT80" s="336"/>
      <c r="BU80" s="336"/>
      <c r="BV80" s="336"/>
      <c r="BW80" s="336"/>
      <c r="BX80" s="217"/>
      <c r="BY80" s="341"/>
      <c r="BZ80" s="341"/>
      <c r="CA80" s="341"/>
      <c r="CB80" s="342"/>
      <c r="CC80" s="341"/>
      <c r="CD80" s="341"/>
      <c r="CE80" s="341"/>
      <c r="CF80" s="341"/>
      <c r="CG80" s="341"/>
      <c r="CH80" s="341"/>
      <c r="CI80" s="341"/>
      <c r="CJ80" s="342"/>
      <c r="CK80" s="342"/>
    </row>
    <row r="81">
      <c r="A81" s="753"/>
      <c r="B81" s="202" t="s">
        <v>271</v>
      </c>
      <c r="C81" s="196" t="s">
        <v>271</v>
      </c>
      <c r="D81" s="197" t="s">
        <v>271</v>
      </c>
      <c r="E81" s="199" t="s">
        <v>271</v>
      </c>
      <c r="F81" s="201" t="s">
        <v>271</v>
      </c>
      <c r="G81" s="202" t="s">
        <v>271</v>
      </c>
      <c r="H81" s="303"/>
      <c r="I81" s="303"/>
      <c r="J81" s="303"/>
      <c r="K81" s="303"/>
      <c r="L81" s="303"/>
      <c r="M81" s="303"/>
      <c r="N81" s="303"/>
      <c r="O81" s="303"/>
      <c r="P81" s="217"/>
      <c r="Q81" s="348"/>
      <c r="R81" s="348"/>
      <c r="S81" s="348"/>
      <c r="T81" s="348"/>
      <c r="U81" s="348"/>
      <c r="V81" s="348"/>
      <c r="W81" s="217"/>
      <c r="X81" s="313"/>
      <c r="Y81" s="313"/>
      <c r="Z81" s="313"/>
      <c r="AA81" s="602"/>
      <c r="AB81" s="313"/>
      <c r="AC81" s="313"/>
      <c r="AD81" s="313"/>
      <c r="AE81" s="313"/>
      <c r="AF81" s="313"/>
      <c r="AG81" s="313"/>
      <c r="AH81" s="253"/>
      <c r="AI81" s="217"/>
      <c r="AJ81" s="318"/>
      <c r="AK81" s="318"/>
      <c r="AL81" s="318"/>
      <c r="AM81" s="318"/>
      <c r="AN81" s="318"/>
      <c r="AO81" s="318"/>
      <c r="AP81" s="318"/>
      <c r="AQ81" s="318"/>
      <c r="AR81" s="318"/>
      <c r="AS81" s="318"/>
      <c r="AT81" s="318"/>
      <c r="AU81" s="318"/>
      <c r="AV81" s="318"/>
      <c r="AW81" s="318"/>
      <c r="AX81" s="318"/>
      <c r="AY81" s="318"/>
      <c r="AZ81" s="346"/>
      <c r="BA81" s="322"/>
      <c r="BB81" s="322"/>
      <c r="BC81" s="322"/>
      <c r="BD81" s="322"/>
      <c r="BE81" s="322"/>
      <c r="BF81" s="346"/>
      <c r="BG81" s="328"/>
      <c r="BH81" s="328"/>
      <c r="BI81" s="328"/>
      <c r="BJ81" s="328"/>
      <c r="BK81" s="328"/>
      <c r="BL81" s="328"/>
      <c r="BM81" s="328"/>
      <c r="BN81" s="217"/>
      <c r="BO81" s="336"/>
      <c r="BP81" s="333"/>
      <c r="BQ81" s="336"/>
      <c r="BR81" s="336"/>
      <c r="BS81" s="336"/>
      <c r="BT81" s="336"/>
      <c r="BU81" s="336"/>
      <c r="BV81" s="336"/>
      <c r="BW81" s="336"/>
      <c r="BX81" s="217"/>
      <c r="BY81" s="341"/>
      <c r="BZ81" s="341"/>
      <c r="CA81" s="341"/>
      <c r="CB81" s="342"/>
      <c r="CC81" s="341"/>
      <c r="CD81" s="341"/>
      <c r="CE81" s="341"/>
      <c r="CF81" s="341"/>
      <c r="CG81" s="341"/>
      <c r="CH81" s="341"/>
      <c r="CI81" s="341"/>
      <c r="CJ81" s="342"/>
      <c r="CK81" s="342"/>
    </row>
    <row r="82">
      <c r="A82" s="753"/>
      <c r="B82" s="202" t="s">
        <v>271</v>
      </c>
      <c r="C82" s="196" t="s">
        <v>271</v>
      </c>
      <c r="D82" s="197" t="s">
        <v>271</v>
      </c>
      <c r="E82" s="199" t="s">
        <v>271</v>
      </c>
      <c r="F82" s="201" t="s">
        <v>271</v>
      </c>
      <c r="G82" s="202" t="s">
        <v>271</v>
      </c>
      <c r="H82" s="303"/>
      <c r="I82" s="303"/>
      <c r="J82" s="303"/>
      <c r="K82" s="303"/>
      <c r="L82" s="303"/>
      <c r="M82" s="303"/>
      <c r="N82" s="303"/>
      <c r="O82" s="303"/>
      <c r="P82" s="217"/>
      <c r="Q82" s="348"/>
      <c r="R82" s="348"/>
      <c r="S82" s="348"/>
      <c r="T82" s="348"/>
      <c r="U82" s="348"/>
      <c r="V82" s="348"/>
      <c r="W82" s="217"/>
      <c r="X82" s="313"/>
      <c r="Y82" s="313"/>
      <c r="Z82" s="313"/>
      <c r="AA82" s="602"/>
      <c r="AB82" s="313"/>
      <c r="AC82" s="313"/>
      <c r="AD82" s="313"/>
      <c r="AE82" s="313"/>
      <c r="AF82" s="313"/>
      <c r="AG82" s="313"/>
      <c r="AH82" s="253"/>
      <c r="AI82" s="217"/>
      <c r="AJ82" s="318"/>
      <c r="AK82" s="318"/>
      <c r="AL82" s="318"/>
      <c r="AM82" s="318"/>
      <c r="AN82" s="318"/>
      <c r="AO82" s="318"/>
      <c r="AP82" s="318"/>
      <c r="AQ82" s="318"/>
      <c r="AR82" s="318"/>
      <c r="AS82" s="318"/>
      <c r="AT82" s="318"/>
      <c r="AU82" s="318"/>
      <c r="AV82" s="318"/>
      <c r="AW82" s="318"/>
      <c r="AX82" s="318"/>
      <c r="AY82" s="318"/>
      <c r="AZ82" s="346"/>
      <c r="BA82" s="322"/>
      <c r="BB82" s="322"/>
      <c r="BC82" s="322"/>
      <c r="BD82" s="322"/>
      <c r="BE82" s="322"/>
      <c r="BF82" s="346"/>
      <c r="BG82" s="328"/>
      <c r="BH82" s="328"/>
      <c r="BI82" s="328"/>
      <c r="BJ82" s="328"/>
      <c r="BK82" s="328"/>
      <c r="BL82" s="328"/>
      <c r="BM82" s="328"/>
      <c r="BN82" s="217"/>
      <c r="BO82" s="336"/>
      <c r="BP82" s="333"/>
      <c r="BQ82" s="336"/>
      <c r="BR82" s="336"/>
      <c r="BS82" s="336"/>
      <c r="BT82" s="336"/>
      <c r="BU82" s="336"/>
      <c r="BV82" s="336"/>
      <c r="BW82" s="336"/>
      <c r="BX82" s="217"/>
      <c r="BY82" s="341"/>
      <c r="BZ82" s="341"/>
      <c r="CA82" s="341"/>
      <c r="CB82" s="342"/>
      <c r="CC82" s="341"/>
      <c r="CD82" s="341"/>
      <c r="CE82" s="341"/>
      <c r="CF82" s="341"/>
      <c r="CG82" s="341"/>
      <c r="CH82" s="341"/>
      <c r="CI82" s="341"/>
      <c r="CJ82" s="342"/>
      <c r="CK82" s="342"/>
    </row>
    <row r="83">
      <c r="A83" s="753"/>
      <c r="B83" s="202" t="s">
        <v>271</v>
      </c>
      <c r="C83" s="196" t="s">
        <v>271</v>
      </c>
      <c r="D83" s="197" t="s">
        <v>271</v>
      </c>
      <c r="E83" s="199" t="s">
        <v>271</v>
      </c>
      <c r="F83" s="201" t="s">
        <v>271</v>
      </c>
      <c r="G83" s="202" t="s">
        <v>271</v>
      </c>
      <c r="H83" s="303"/>
      <c r="I83" s="303"/>
      <c r="J83" s="303"/>
      <c r="K83" s="303"/>
      <c r="L83" s="303"/>
      <c r="M83" s="303"/>
      <c r="N83" s="303"/>
      <c r="O83" s="303"/>
      <c r="P83" s="217"/>
      <c r="Q83" s="348"/>
      <c r="R83" s="348"/>
      <c r="S83" s="348"/>
      <c r="T83" s="348"/>
      <c r="U83" s="348"/>
      <c r="V83" s="348"/>
      <c r="W83" s="217"/>
      <c r="X83" s="313"/>
      <c r="Y83" s="313"/>
      <c r="Z83" s="313"/>
      <c r="AA83" s="602"/>
      <c r="AB83" s="313"/>
      <c r="AC83" s="313"/>
      <c r="AD83" s="313"/>
      <c r="AE83" s="313"/>
      <c r="AF83" s="313"/>
      <c r="AG83" s="313"/>
      <c r="AH83" s="253"/>
      <c r="AI83" s="217"/>
      <c r="AJ83" s="318"/>
      <c r="AK83" s="318"/>
      <c r="AL83" s="318"/>
      <c r="AM83" s="318"/>
      <c r="AN83" s="318"/>
      <c r="AO83" s="318"/>
      <c r="AP83" s="318"/>
      <c r="AQ83" s="318"/>
      <c r="AR83" s="318"/>
      <c r="AS83" s="318"/>
      <c r="AT83" s="318"/>
      <c r="AU83" s="318"/>
      <c r="AV83" s="318"/>
      <c r="AW83" s="318"/>
      <c r="AX83" s="318"/>
      <c r="AY83" s="318"/>
      <c r="AZ83" s="346"/>
      <c r="BA83" s="322"/>
      <c r="BB83" s="322"/>
      <c r="BC83" s="322"/>
      <c r="BD83" s="322"/>
      <c r="BE83" s="322"/>
      <c r="BF83" s="346"/>
      <c r="BG83" s="328"/>
      <c r="BH83" s="328"/>
      <c r="BI83" s="328"/>
      <c r="BJ83" s="328"/>
      <c r="BK83" s="328"/>
      <c r="BL83" s="328"/>
      <c r="BM83" s="328"/>
      <c r="BN83" s="217"/>
      <c r="BO83" s="336"/>
      <c r="BP83" s="333"/>
      <c r="BQ83" s="336"/>
      <c r="BR83" s="336"/>
      <c r="BS83" s="336"/>
      <c r="BT83" s="336"/>
      <c r="BU83" s="336"/>
      <c r="BV83" s="336"/>
      <c r="BW83" s="336"/>
      <c r="BX83" s="217"/>
      <c r="BY83" s="341"/>
      <c r="BZ83" s="341"/>
      <c r="CA83" s="341"/>
      <c r="CB83" s="342"/>
      <c r="CC83" s="341"/>
      <c r="CD83" s="341"/>
      <c r="CE83" s="341"/>
      <c r="CF83" s="341"/>
      <c r="CG83" s="341"/>
      <c r="CH83" s="341"/>
      <c r="CI83" s="341"/>
      <c r="CJ83" s="342"/>
      <c r="CK83" s="342"/>
    </row>
    <row r="84">
      <c r="A84" s="753"/>
      <c r="B84" s="202" t="s">
        <v>271</v>
      </c>
      <c r="C84" s="196" t="s">
        <v>271</v>
      </c>
      <c r="D84" s="197" t="s">
        <v>271</v>
      </c>
      <c r="E84" s="199" t="s">
        <v>271</v>
      </c>
      <c r="F84" s="201" t="s">
        <v>271</v>
      </c>
      <c r="G84" s="202" t="s">
        <v>271</v>
      </c>
      <c r="H84" s="303"/>
      <c r="I84" s="303"/>
      <c r="J84" s="303"/>
      <c r="K84" s="303"/>
      <c r="L84" s="303"/>
      <c r="M84" s="303"/>
      <c r="N84" s="303"/>
      <c r="O84" s="303"/>
      <c r="P84" s="217"/>
      <c r="Q84" s="348"/>
      <c r="R84" s="348"/>
      <c r="S84" s="348"/>
      <c r="T84" s="348"/>
      <c r="U84" s="348"/>
      <c r="V84" s="348"/>
      <c r="W84" s="217"/>
      <c r="X84" s="313"/>
      <c r="Y84" s="313"/>
      <c r="Z84" s="313"/>
      <c r="AA84" s="602"/>
      <c r="AB84" s="313"/>
      <c r="AC84" s="313"/>
      <c r="AD84" s="313"/>
      <c r="AE84" s="313"/>
      <c r="AF84" s="313"/>
      <c r="AG84" s="313"/>
      <c r="AH84" s="253"/>
      <c r="AI84" s="217"/>
      <c r="AJ84" s="318"/>
      <c r="AK84" s="318"/>
      <c r="AL84" s="318"/>
      <c r="AM84" s="318"/>
      <c r="AN84" s="318"/>
      <c r="AO84" s="318"/>
      <c r="AP84" s="318"/>
      <c r="AQ84" s="318"/>
      <c r="AR84" s="318"/>
      <c r="AS84" s="318"/>
      <c r="AT84" s="318"/>
      <c r="AU84" s="318"/>
      <c r="AV84" s="318"/>
      <c r="AW84" s="318"/>
      <c r="AX84" s="318"/>
      <c r="AY84" s="318"/>
      <c r="AZ84" s="346"/>
      <c r="BA84" s="322"/>
      <c r="BB84" s="322"/>
      <c r="BC84" s="322"/>
      <c r="BD84" s="322"/>
      <c r="BE84" s="322"/>
      <c r="BF84" s="346"/>
      <c r="BG84" s="328"/>
      <c r="BH84" s="328"/>
      <c r="BI84" s="328"/>
      <c r="BJ84" s="328"/>
      <c r="BK84" s="328"/>
      <c r="BL84" s="328"/>
      <c r="BM84" s="328"/>
      <c r="BN84" s="217"/>
      <c r="BO84" s="336"/>
      <c r="BP84" s="333"/>
      <c r="BQ84" s="336"/>
      <c r="BR84" s="336"/>
      <c r="BS84" s="336"/>
      <c r="BT84" s="336"/>
      <c r="BU84" s="336"/>
      <c r="BV84" s="336"/>
      <c r="BW84" s="336"/>
      <c r="BX84" s="217"/>
      <c r="BY84" s="341"/>
      <c r="BZ84" s="341"/>
      <c r="CA84" s="341"/>
      <c r="CB84" s="342"/>
      <c r="CC84" s="341"/>
      <c r="CD84" s="341"/>
      <c r="CE84" s="341"/>
      <c r="CF84" s="341"/>
      <c r="CG84" s="341"/>
      <c r="CH84" s="341"/>
      <c r="CI84" s="341"/>
      <c r="CJ84" s="342"/>
      <c r="CK84" s="342"/>
    </row>
    <row r="85">
      <c r="A85" s="753"/>
      <c r="B85" s="202" t="s">
        <v>271</v>
      </c>
      <c r="C85" s="196" t="s">
        <v>271</v>
      </c>
      <c r="D85" s="197" t="s">
        <v>271</v>
      </c>
      <c r="E85" s="199" t="s">
        <v>271</v>
      </c>
      <c r="F85" s="201" t="s">
        <v>271</v>
      </c>
      <c r="G85" s="202" t="s">
        <v>271</v>
      </c>
      <c r="H85" s="303"/>
      <c r="I85" s="303"/>
      <c r="J85" s="303"/>
      <c r="K85" s="303"/>
      <c r="L85" s="303"/>
      <c r="M85" s="303"/>
      <c r="N85" s="303"/>
      <c r="O85" s="303"/>
      <c r="P85" s="217"/>
      <c r="Q85" s="348"/>
      <c r="R85" s="348"/>
      <c r="S85" s="348"/>
      <c r="T85" s="348"/>
      <c r="U85" s="348"/>
      <c r="V85" s="348"/>
      <c r="W85" s="217"/>
      <c r="X85" s="313"/>
      <c r="Y85" s="313"/>
      <c r="Z85" s="313"/>
      <c r="AA85" s="602"/>
      <c r="AB85" s="313"/>
      <c r="AC85" s="313"/>
      <c r="AD85" s="313"/>
      <c r="AE85" s="313"/>
      <c r="AF85" s="313"/>
      <c r="AG85" s="313"/>
      <c r="AH85" s="253"/>
      <c r="AI85" s="217"/>
      <c r="AJ85" s="318"/>
      <c r="AK85" s="318"/>
      <c r="AL85" s="318"/>
      <c r="AM85" s="318"/>
      <c r="AN85" s="318"/>
      <c r="AO85" s="318"/>
      <c r="AP85" s="318"/>
      <c r="AQ85" s="318"/>
      <c r="AR85" s="318"/>
      <c r="AS85" s="318"/>
      <c r="AT85" s="318"/>
      <c r="AU85" s="318"/>
      <c r="AV85" s="318"/>
      <c r="AW85" s="318"/>
      <c r="AX85" s="318"/>
      <c r="AY85" s="318"/>
      <c r="AZ85" s="346"/>
      <c r="BA85" s="322"/>
      <c r="BB85" s="322"/>
      <c r="BC85" s="322"/>
      <c r="BD85" s="322"/>
      <c r="BE85" s="322"/>
      <c r="BF85" s="346"/>
      <c r="BG85" s="328"/>
      <c r="BH85" s="328"/>
      <c r="BI85" s="328"/>
      <c r="BJ85" s="328"/>
      <c r="BK85" s="328"/>
      <c r="BL85" s="328"/>
      <c r="BM85" s="328"/>
      <c r="BN85" s="217"/>
      <c r="BO85" s="336"/>
      <c r="BP85" s="333"/>
      <c r="BQ85" s="336"/>
      <c r="BR85" s="336"/>
      <c r="BS85" s="336"/>
      <c r="BT85" s="336"/>
      <c r="BU85" s="336"/>
      <c r="BV85" s="336"/>
      <c r="BW85" s="336"/>
      <c r="BX85" s="217"/>
      <c r="BY85" s="341"/>
      <c r="BZ85" s="341"/>
      <c r="CA85" s="341"/>
      <c r="CB85" s="342"/>
      <c r="CC85" s="341"/>
      <c r="CD85" s="341"/>
      <c r="CE85" s="341"/>
      <c r="CF85" s="341"/>
      <c r="CG85" s="341"/>
      <c r="CH85" s="341"/>
      <c r="CI85" s="341"/>
      <c r="CJ85" s="342"/>
      <c r="CK85" s="342"/>
    </row>
    <row r="86">
      <c r="A86" s="753"/>
      <c r="B86" s="202" t="s">
        <v>271</v>
      </c>
      <c r="C86" s="196" t="s">
        <v>271</v>
      </c>
      <c r="D86" s="197" t="s">
        <v>271</v>
      </c>
      <c r="E86" s="199" t="s">
        <v>271</v>
      </c>
      <c r="F86" s="201" t="s">
        <v>271</v>
      </c>
      <c r="G86" s="202" t="s">
        <v>271</v>
      </c>
      <c r="H86" s="303"/>
      <c r="I86" s="303"/>
      <c r="J86" s="303"/>
      <c r="K86" s="303"/>
      <c r="L86" s="303"/>
      <c r="M86" s="303"/>
      <c r="N86" s="303"/>
      <c r="O86" s="303"/>
      <c r="P86" s="217"/>
      <c r="Q86" s="348"/>
      <c r="R86" s="348"/>
      <c r="S86" s="348"/>
      <c r="T86" s="348"/>
      <c r="U86" s="348"/>
      <c r="V86" s="348"/>
      <c r="W86" s="217"/>
      <c r="X86" s="313"/>
      <c r="Y86" s="313"/>
      <c r="Z86" s="313"/>
      <c r="AA86" s="602"/>
      <c r="AB86" s="313"/>
      <c r="AC86" s="313"/>
      <c r="AD86" s="313"/>
      <c r="AE86" s="313"/>
      <c r="AF86" s="313"/>
      <c r="AG86" s="313"/>
      <c r="AH86" s="253"/>
      <c r="AI86" s="217"/>
      <c r="AJ86" s="318"/>
      <c r="AK86" s="318"/>
      <c r="AL86" s="318"/>
      <c r="AM86" s="318"/>
      <c r="AN86" s="318"/>
      <c r="AO86" s="318"/>
      <c r="AP86" s="318"/>
      <c r="AQ86" s="318"/>
      <c r="AR86" s="318"/>
      <c r="AS86" s="318"/>
      <c r="AT86" s="318"/>
      <c r="AU86" s="318"/>
      <c r="AV86" s="318"/>
      <c r="AW86" s="318"/>
      <c r="AX86" s="318"/>
      <c r="AY86" s="318"/>
      <c r="AZ86" s="346"/>
      <c r="BA86" s="322"/>
      <c r="BB86" s="322"/>
      <c r="BC86" s="322"/>
      <c r="BD86" s="322"/>
      <c r="BE86" s="322"/>
      <c r="BF86" s="346"/>
      <c r="BG86" s="328"/>
      <c r="BH86" s="328"/>
      <c r="BI86" s="328"/>
      <c r="BJ86" s="328"/>
      <c r="BK86" s="328"/>
      <c r="BL86" s="328"/>
      <c r="BM86" s="328"/>
      <c r="BN86" s="217"/>
      <c r="BO86" s="336"/>
      <c r="BP86" s="333"/>
      <c r="BQ86" s="336"/>
      <c r="BR86" s="336"/>
      <c r="BS86" s="336"/>
      <c r="BT86" s="336"/>
      <c r="BU86" s="336"/>
      <c r="BV86" s="336"/>
      <c r="BW86" s="336"/>
      <c r="BX86" s="217"/>
      <c r="BY86" s="341"/>
      <c r="BZ86" s="341"/>
      <c r="CA86" s="341"/>
      <c r="CB86" s="342"/>
      <c r="CC86" s="341"/>
      <c r="CD86" s="341"/>
      <c r="CE86" s="341"/>
      <c r="CF86" s="341"/>
      <c r="CG86" s="341"/>
      <c r="CH86" s="341"/>
      <c r="CI86" s="341"/>
      <c r="CJ86" s="342"/>
      <c r="CK86" s="342"/>
    </row>
    <row r="87">
      <c r="A87" s="753"/>
      <c r="B87" s="202" t="s">
        <v>271</v>
      </c>
      <c r="C87" s="196" t="s">
        <v>271</v>
      </c>
      <c r="D87" s="197" t="s">
        <v>271</v>
      </c>
      <c r="E87" s="199" t="s">
        <v>271</v>
      </c>
      <c r="F87" s="201" t="s">
        <v>271</v>
      </c>
      <c r="G87" s="202" t="s">
        <v>271</v>
      </c>
      <c r="H87" s="303"/>
      <c r="I87" s="303"/>
      <c r="J87" s="303"/>
      <c r="K87" s="303"/>
      <c r="L87" s="303"/>
      <c r="M87" s="303"/>
      <c r="N87" s="303"/>
      <c r="O87" s="303"/>
      <c r="P87" s="217"/>
      <c r="Q87" s="348"/>
      <c r="R87" s="348"/>
      <c r="S87" s="348"/>
      <c r="T87" s="348"/>
      <c r="U87" s="348"/>
      <c r="V87" s="348"/>
      <c r="W87" s="217"/>
      <c r="X87" s="313"/>
      <c r="Y87" s="313"/>
      <c r="Z87" s="313"/>
      <c r="AA87" s="602"/>
      <c r="AB87" s="313"/>
      <c r="AC87" s="313"/>
      <c r="AD87" s="313"/>
      <c r="AE87" s="313"/>
      <c r="AF87" s="313"/>
      <c r="AG87" s="313"/>
      <c r="AH87" s="253"/>
      <c r="AI87" s="217"/>
      <c r="AJ87" s="318"/>
      <c r="AK87" s="318"/>
      <c r="AL87" s="318"/>
      <c r="AM87" s="318"/>
      <c r="AN87" s="318"/>
      <c r="AO87" s="318"/>
      <c r="AP87" s="318"/>
      <c r="AQ87" s="318"/>
      <c r="AR87" s="318"/>
      <c r="AS87" s="318"/>
      <c r="AT87" s="318"/>
      <c r="AU87" s="318"/>
      <c r="AV87" s="318"/>
      <c r="AW87" s="318"/>
      <c r="AX87" s="318"/>
      <c r="AY87" s="318"/>
      <c r="AZ87" s="346"/>
      <c r="BA87" s="322"/>
      <c r="BB87" s="322"/>
      <c r="BC87" s="322"/>
      <c r="BD87" s="322"/>
      <c r="BE87" s="322"/>
      <c r="BF87" s="346"/>
      <c r="BG87" s="328"/>
      <c r="BH87" s="328"/>
      <c r="BI87" s="328"/>
      <c r="BJ87" s="328"/>
      <c r="BK87" s="328"/>
      <c r="BL87" s="328"/>
      <c r="BM87" s="328"/>
      <c r="BN87" s="217"/>
      <c r="BO87" s="336"/>
      <c r="BP87" s="333"/>
      <c r="BQ87" s="336"/>
      <c r="BR87" s="336"/>
      <c r="BS87" s="336"/>
      <c r="BT87" s="336"/>
      <c r="BU87" s="336"/>
      <c r="BV87" s="336"/>
      <c r="BW87" s="336"/>
      <c r="BX87" s="217"/>
      <c r="BY87" s="341"/>
      <c r="BZ87" s="341"/>
      <c r="CA87" s="341"/>
      <c r="CB87" s="342"/>
      <c r="CC87" s="341"/>
      <c r="CD87" s="341"/>
      <c r="CE87" s="341"/>
      <c r="CF87" s="341"/>
      <c r="CG87" s="341"/>
      <c r="CH87" s="341"/>
      <c r="CI87" s="341"/>
      <c r="CJ87" s="342"/>
      <c r="CK87" s="342"/>
    </row>
    <row r="88">
      <c r="A88" s="753"/>
      <c r="B88" s="202" t="s">
        <v>271</v>
      </c>
      <c r="C88" s="196" t="s">
        <v>271</v>
      </c>
      <c r="D88" s="197" t="s">
        <v>271</v>
      </c>
      <c r="E88" s="199" t="s">
        <v>271</v>
      </c>
      <c r="F88" s="201" t="s">
        <v>271</v>
      </c>
      <c r="G88" s="202" t="s">
        <v>271</v>
      </c>
      <c r="H88" s="303"/>
      <c r="I88" s="303"/>
      <c r="J88" s="303"/>
      <c r="K88" s="303"/>
      <c r="L88" s="303"/>
      <c r="M88" s="303"/>
      <c r="N88" s="303"/>
      <c r="O88" s="303"/>
      <c r="P88" s="217"/>
      <c r="Q88" s="348"/>
      <c r="R88" s="348"/>
      <c r="S88" s="348"/>
      <c r="T88" s="348"/>
      <c r="U88" s="348"/>
      <c r="V88" s="348"/>
      <c r="W88" s="217"/>
      <c r="X88" s="313"/>
      <c r="Y88" s="313"/>
      <c r="Z88" s="313"/>
      <c r="AA88" s="602"/>
      <c r="AB88" s="313"/>
      <c r="AC88" s="313"/>
      <c r="AD88" s="313"/>
      <c r="AE88" s="313"/>
      <c r="AF88" s="313"/>
      <c r="AG88" s="313"/>
      <c r="AH88" s="253"/>
      <c r="AI88" s="217"/>
      <c r="AJ88" s="318"/>
      <c r="AK88" s="318"/>
      <c r="AL88" s="318"/>
      <c r="AM88" s="318"/>
      <c r="AN88" s="318"/>
      <c r="AO88" s="318"/>
      <c r="AP88" s="318"/>
      <c r="AQ88" s="318"/>
      <c r="AR88" s="318"/>
      <c r="AS88" s="318"/>
      <c r="AT88" s="318"/>
      <c r="AU88" s="318"/>
      <c r="AV88" s="318"/>
      <c r="AW88" s="318"/>
      <c r="AX88" s="318"/>
      <c r="AY88" s="318"/>
      <c r="AZ88" s="346"/>
      <c r="BA88" s="322"/>
      <c r="BB88" s="322"/>
      <c r="BC88" s="322"/>
      <c r="BD88" s="322"/>
      <c r="BE88" s="322"/>
      <c r="BF88" s="346"/>
      <c r="BG88" s="328"/>
      <c r="BH88" s="328"/>
      <c r="BI88" s="328"/>
      <c r="BJ88" s="328"/>
      <c r="BK88" s="328"/>
      <c r="BL88" s="328"/>
      <c r="BM88" s="328"/>
      <c r="BN88" s="217"/>
      <c r="BO88" s="336"/>
      <c r="BP88" s="333"/>
      <c r="BQ88" s="336"/>
      <c r="BR88" s="336"/>
      <c r="BS88" s="336"/>
      <c r="BT88" s="336"/>
      <c r="BU88" s="336"/>
      <c r="BV88" s="336"/>
      <c r="BW88" s="336"/>
      <c r="BX88" s="217"/>
      <c r="BY88" s="341"/>
      <c r="BZ88" s="341"/>
      <c r="CA88" s="341"/>
      <c r="CB88" s="342"/>
      <c r="CC88" s="341"/>
      <c r="CD88" s="341"/>
      <c r="CE88" s="341"/>
      <c r="CF88" s="341"/>
      <c r="CG88" s="341"/>
      <c r="CH88" s="341"/>
      <c r="CI88" s="341"/>
      <c r="CJ88" s="342"/>
      <c r="CK88" s="342"/>
    </row>
    <row r="89">
      <c r="A89" s="753"/>
      <c r="B89" s="202" t="s">
        <v>271</v>
      </c>
      <c r="C89" s="196" t="s">
        <v>271</v>
      </c>
      <c r="D89" s="197" t="s">
        <v>271</v>
      </c>
      <c r="E89" s="199" t="s">
        <v>271</v>
      </c>
      <c r="F89" s="201" t="s">
        <v>271</v>
      </c>
      <c r="G89" s="202" t="s">
        <v>271</v>
      </c>
      <c r="H89" s="303"/>
      <c r="I89" s="303"/>
      <c r="J89" s="303"/>
      <c r="K89" s="303"/>
      <c r="L89" s="303"/>
      <c r="M89" s="303"/>
      <c r="N89" s="303"/>
      <c r="O89" s="303"/>
      <c r="P89" s="217"/>
      <c r="Q89" s="348"/>
      <c r="R89" s="348"/>
      <c r="S89" s="348"/>
      <c r="T89" s="348"/>
      <c r="U89" s="348"/>
      <c r="V89" s="348"/>
      <c r="W89" s="217"/>
      <c r="X89" s="313"/>
      <c r="Y89" s="313"/>
      <c r="Z89" s="313"/>
      <c r="AA89" s="602"/>
      <c r="AB89" s="313"/>
      <c r="AC89" s="313"/>
      <c r="AD89" s="313"/>
      <c r="AE89" s="313"/>
      <c r="AF89" s="313"/>
      <c r="AG89" s="313"/>
      <c r="AH89" s="253"/>
      <c r="AI89" s="217"/>
      <c r="AJ89" s="318"/>
      <c r="AK89" s="318"/>
      <c r="AL89" s="318"/>
      <c r="AM89" s="318"/>
      <c r="AN89" s="318"/>
      <c r="AO89" s="318"/>
      <c r="AP89" s="318"/>
      <c r="AQ89" s="318"/>
      <c r="AR89" s="318"/>
      <c r="AS89" s="318"/>
      <c r="AT89" s="318"/>
      <c r="AU89" s="318"/>
      <c r="AV89" s="318"/>
      <c r="AW89" s="318"/>
      <c r="AX89" s="318"/>
      <c r="AY89" s="318"/>
      <c r="AZ89" s="346"/>
      <c r="BA89" s="322"/>
      <c r="BB89" s="322"/>
      <c r="BC89" s="322"/>
      <c r="BD89" s="322"/>
      <c r="BE89" s="322"/>
      <c r="BF89" s="346"/>
      <c r="BG89" s="328"/>
      <c r="BH89" s="328"/>
      <c r="BI89" s="328"/>
      <c r="BJ89" s="328"/>
      <c r="BK89" s="328"/>
      <c r="BL89" s="328"/>
      <c r="BM89" s="328"/>
      <c r="BN89" s="217"/>
      <c r="BO89" s="336"/>
      <c r="BP89" s="333"/>
      <c r="BQ89" s="336"/>
      <c r="BR89" s="336"/>
      <c r="BS89" s="336"/>
      <c r="BT89" s="336"/>
      <c r="BU89" s="336"/>
      <c r="BV89" s="336"/>
      <c r="BW89" s="336"/>
      <c r="BX89" s="217"/>
      <c r="BY89" s="341"/>
      <c r="BZ89" s="341"/>
      <c r="CA89" s="341"/>
      <c r="CB89" s="342"/>
      <c r="CC89" s="341"/>
      <c r="CD89" s="341"/>
      <c r="CE89" s="341"/>
      <c r="CF89" s="341"/>
      <c r="CG89" s="341"/>
      <c r="CH89" s="341"/>
      <c r="CI89" s="341"/>
      <c r="CJ89" s="342"/>
      <c r="CK89" s="342"/>
    </row>
    <row r="90">
      <c r="A90" s="753"/>
      <c r="B90" s="202" t="s">
        <v>271</v>
      </c>
      <c r="C90" s="196" t="s">
        <v>271</v>
      </c>
      <c r="D90" s="197" t="s">
        <v>271</v>
      </c>
      <c r="E90" s="199" t="s">
        <v>271</v>
      </c>
      <c r="F90" s="201" t="s">
        <v>271</v>
      </c>
      <c r="G90" s="202" t="s">
        <v>271</v>
      </c>
      <c r="H90" s="303"/>
      <c r="I90" s="303"/>
      <c r="J90" s="303"/>
      <c r="K90" s="303"/>
      <c r="L90" s="303"/>
      <c r="M90" s="303"/>
      <c r="N90" s="303"/>
      <c r="O90" s="303"/>
      <c r="P90" s="217"/>
      <c r="Q90" s="348"/>
      <c r="R90" s="348"/>
      <c r="S90" s="348"/>
      <c r="T90" s="348"/>
      <c r="U90" s="348"/>
      <c r="V90" s="348"/>
      <c r="W90" s="217"/>
      <c r="X90" s="313"/>
      <c r="Y90" s="313"/>
      <c r="Z90" s="313"/>
      <c r="AA90" s="602"/>
      <c r="AB90" s="313"/>
      <c r="AC90" s="313"/>
      <c r="AD90" s="313"/>
      <c r="AE90" s="313"/>
      <c r="AF90" s="313"/>
      <c r="AG90" s="313"/>
      <c r="AH90" s="253"/>
      <c r="AI90" s="217"/>
      <c r="AJ90" s="318"/>
      <c r="AK90" s="318"/>
      <c r="AL90" s="318"/>
      <c r="AM90" s="318"/>
      <c r="AN90" s="318"/>
      <c r="AO90" s="318"/>
      <c r="AP90" s="318"/>
      <c r="AQ90" s="318"/>
      <c r="AR90" s="318"/>
      <c r="AS90" s="318"/>
      <c r="AT90" s="318"/>
      <c r="AU90" s="318"/>
      <c r="AV90" s="318"/>
      <c r="AW90" s="318"/>
      <c r="AX90" s="318"/>
      <c r="AY90" s="318"/>
      <c r="AZ90" s="346"/>
      <c r="BA90" s="322"/>
      <c r="BB90" s="322"/>
      <c r="BC90" s="322"/>
      <c r="BD90" s="322"/>
      <c r="BE90" s="322"/>
      <c r="BF90" s="346"/>
      <c r="BG90" s="328"/>
      <c r="BH90" s="328"/>
      <c r="BI90" s="328"/>
      <c r="BJ90" s="328"/>
      <c r="BK90" s="328"/>
      <c r="BL90" s="328"/>
      <c r="BM90" s="328"/>
      <c r="BN90" s="217"/>
      <c r="BO90" s="336"/>
      <c r="BP90" s="333"/>
      <c r="BQ90" s="336"/>
      <c r="BR90" s="336"/>
      <c r="BS90" s="336"/>
      <c r="BT90" s="336"/>
      <c r="BU90" s="336"/>
      <c r="BV90" s="336"/>
      <c r="BW90" s="336"/>
      <c r="BX90" s="217"/>
      <c r="BY90" s="341"/>
      <c r="BZ90" s="341"/>
      <c r="CA90" s="341"/>
      <c r="CB90" s="342"/>
      <c r="CC90" s="341"/>
      <c r="CD90" s="341"/>
      <c r="CE90" s="341"/>
      <c r="CF90" s="341"/>
      <c r="CG90" s="341"/>
      <c r="CH90" s="341"/>
      <c r="CI90" s="341"/>
      <c r="CJ90" s="342"/>
      <c r="CK90" s="342"/>
    </row>
    <row r="91">
      <c r="A91" s="753"/>
      <c r="B91" s="202" t="s">
        <v>271</v>
      </c>
      <c r="C91" s="196" t="s">
        <v>271</v>
      </c>
      <c r="D91" s="197" t="s">
        <v>271</v>
      </c>
      <c r="E91" s="199" t="s">
        <v>271</v>
      </c>
      <c r="F91" s="201" t="s">
        <v>271</v>
      </c>
      <c r="G91" s="202" t="s">
        <v>271</v>
      </c>
      <c r="H91" s="303"/>
      <c r="I91" s="303"/>
      <c r="J91" s="303"/>
      <c r="K91" s="303"/>
      <c r="L91" s="303"/>
      <c r="M91" s="303"/>
      <c r="N91" s="303"/>
      <c r="O91" s="303"/>
      <c r="P91" s="217"/>
      <c r="Q91" s="348"/>
      <c r="R91" s="348"/>
      <c r="S91" s="348"/>
      <c r="T91" s="348"/>
      <c r="U91" s="348"/>
      <c r="V91" s="348"/>
      <c r="W91" s="217"/>
      <c r="X91" s="313"/>
      <c r="Y91" s="313"/>
      <c r="Z91" s="313"/>
      <c r="AA91" s="602"/>
      <c r="AB91" s="313"/>
      <c r="AC91" s="313"/>
      <c r="AD91" s="313"/>
      <c r="AE91" s="313"/>
      <c r="AF91" s="313"/>
      <c r="AG91" s="313"/>
      <c r="AH91" s="253"/>
      <c r="AI91" s="217"/>
      <c r="AJ91" s="318"/>
      <c r="AK91" s="318"/>
      <c r="AL91" s="318"/>
      <c r="AM91" s="318"/>
      <c r="AN91" s="318"/>
      <c r="AO91" s="318"/>
      <c r="AP91" s="318"/>
      <c r="AQ91" s="318"/>
      <c r="AR91" s="318"/>
      <c r="AS91" s="318"/>
      <c r="AT91" s="318"/>
      <c r="AU91" s="318"/>
      <c r="AV91" s="318"/>
      <c r="AW91" s="318"/>
      <c r="AX91" s="318"/>
      <c r="AY91" s="318"/>
      <c r="AZ91" s="346"/>
      <c r="BA91" s="322"/>
      <c r="BB91" s="322"/>
      <c r="BC91" s="322"/>
      <c r="BD91" s="322"/>
      <c r="BE91" s="322"/>
      <c r="BF91" s="346"/>
      <c r="BG91" s="328"/>
      <c r="BH91" s="328"/>
      <c r="BI91" s="328"/>
      <c r="BJ91" s="328"/>
      <c r="BK91" s="328"/>
      <c r="BL91" s="328"/>
      <c r="BM91" s="328"/>
      <c r="BN91" s="217"/>
      <c r="BO91" s="336"/>
      <c r="BP91" s="333"/>
      <c r="BQ91" s="336"/>
      <c r="BR91" s="336"/>
      <c r="BS91" s="336"/>
      <c r="BT91" s="336"/>
      <c r="BU91" s="336"/>
      <c r="BV91" s="336"/>
      <c r="BW91" s="336"/>
      <c r="BX91" s="217"/>
      <c r="BY91" s="341"/>
      <c r="BZ91" s="341"/>
      <c r="CA91" s="341"/>
      <c r="CB91" s="342"/>
      <c r="CC91" s="341"/>
      <c r="CD91" s="341"/>
      <c r="CE91" s="341"/>
      <c r="CF91" s="341"/>
      <c r="CG91" s="341"/>
      <c r="CH91" s="341"/>
      <c r="CI91" s="341"/>
      <c r="CJ91" s="342"/>
      <c r="CK91" s="342"/>
    </row>
    <row r="92">
      <c r="A92" s="753"/>
      <c r="B92" s="202" t="s">
        <v>271</v>
      </c>
      <c r="C92" s="196" t="s">
        <v>271</v>
      </c>
      <c r="D92" s="197" t="s">
        <v>271</v>
      </c>
      <c r="E92" s="199" t="s">
        <v>271</v>
      </c>
      <c r="F92" s="201" t="s">
        <v>271</v>
      </c>
      <c r="G92" s="202" t="s">
        <v>271</v>
      </c>
      <c r="H92" s="303"/>
      <c r="I92" s="303"/>
      <c r="J92" s="303"/>
      <c r="K92" s="303"/>
      <c r="L92" s="303"/>
      <c r="M92" s="303"/>
      <c r="N92" s="303"/>
      <c r="O92" s="303"/>
      <c r="P92" s="217"/>
      <c r="Q92" s="348"/>
      <c r="R92" s="348"/>
      <c r="S92" s="348"/>
      <c r="T92" s="348"/>
      <c r="U92" s="348"/>
      <c r="V92" s="348"/>
      <c r="W92" s="217"/>
      <c r="X92" s="313"/>
      <c r="Y92" s="313"/>
      <c r="Z92" s="313"/>
      <c r="AA92" s="602"/>
      <c r="AB92" s="313"/>
      <c r="AC92" s="313"/>
      <c r="AD92" s="313"/>
      <c r="AE92" s="313"/>
      <c r="AF92" s="313"/>
      <c r="AG92" s="313"/>
      <c r="AH92" s="253"/>
      <c r="AI92" s="217"/>
      <c r="AJ92" s="318"/>
      <c r="AK92" s="318"/>
      <c r="AL92" s="318"/>
      <c r="AM92" s="318"/>
      <c r="AN92" s="318"/>
      <c r="AO92" s="318"/>
      <c r="AP92" s="318"/>
      <c r="AQ92" s="318"/>
      <c r="AR92" s="318"/>
      <c r="AS92" s="318"/>
      <c r="AT92" s="318"/>
      <c r="AU92" s="318"/>
      <c r="AV92" s="318"/>
      <c r="AW92" s="318"/>
      <c r="AX92" s="318"/>
      <c r="AY92" s="318"/>
      <c r="AZ92" s="346"/>
      <c r="BA92" s="322"/>
      <c r="BB92" s="322"/>
      <c r="BC92" s="322"/>
      <c r="BD92" s="322"/>
      <c r="BE92" s="322"/>
      <c r="BF92" s="346"/>
      <c r="BG92" s="328"/>
      <c r="BH92" s="328"/>
      <c r="BI92" s="328"/>
      <c r="BJ92" s="328"/>
      <c r="BK92" s="328"/>
      <c r="BL92" s="328"/>
      <c r="BM92" s="328"/>
      <c r="BN92" s="217"/>
      <c r="BO92" s="336"/>
      <c r="BP92" s="333"/>
      <c r="BQ92" s="336"/>
      <c r="BR92" s="336"/>
      <c r="BS92" s="336"/>
      <c r="BT92" s="336"/>
      <c r="BU92" s="336"/>
      <c r="BV92" s="336"/>
      <c r="BW92" s="336"/>
      <c r="BX92" s="217"/>
      <c r="BY92" s="341"/>
      <c r="BZ92" s="341"/>
      <c r="CA92" s="341"/>
      <c r="CB92" s="342"/>
      <c r="CC92" s="341"/>
      <c r="CD92" s="341"/>
      <c r="CE92" s="341"/>
      <c r="CF92" s="341"/>
      <c r="CG92" s="341"/>
      <c r="CH92" s="341"/>
      <c r="CI92" s="341"/>
      <c r="CJ92" s="342"/>
      <c r="CK92" s="342"/>
    </row>
    <row r="93">
      <c r="A93" s="753"/>
      <c r="B93" s="202" t="s">
        <v>271</v>
      </c>
      <c r="C93" s="196" t="s">
        <v>271</v>
      </c>
      <c r="D93" s="197" t="s">
        <v>271</v>
      </c>
      <c r="E93" s="199" t="s">
        <v>271</v>
      </c>
      <c r="F93" s="201" t="s">
        <v>271</v>
      </c>
      <c r="G93" s="202" t="s">
        <v>271</v>
      </c>
      <c r="H93" s="303"/>
      <c r="I93" s="303"/>
      <c r="J93" s="303"/>
      <c r="K93" s="303"/>
      <c r="L93" s="303"/>
      <c r="M93" s="303"/>
      <c r="N93" s="303"/>
      <c r="O93" s="303"/>
      <c r="P93" s="217"/>
      <c r="Q93" s="348"/>
      <c r="R93" s="348"/>
      <c r="S93" s="348"/>
      <c r="T93" s="348"/>
      <c r="U93" s="348"/>
      <c r="V93" s="348"/>
      <c r="W93" s="217"/>
      <c r="X93" s="313"/>
      <c r="Y93" s="313"/>
      <c r="Z93" s="313"/>
      <c r="AA93" s="602"/>
      <c r="AB93" s="313"/>
      <c r="AC93" s="313"/>
      <c r="AD93" s="313"/>
      <c r="AE93" s="313"/>
      <c r="AF93" s="313"/>
      <c r="AG93" s="313"/>
      <c r="AH93" s="253"/>
      <c r="AI93" s="217"/>
      <c r="AJ93" s="318"/>
      <c r="AK93" s="318"/>
      <c r="AL93" s="318"/>
      <c r="AM93" s="318"/>
      <c r="AN93" s="318"/>
      <c r="AO93" s="318"/>
      <c r="AP93" s="318"/>
      <c r="AQ93" s="318"/>
      <c r="AR93" s="318"/>
      <c r="AS93" s="318"/>
      <c r="AT93" s="318"/>
      <c r="AU93" s="318"/>
      <c r="AV93" s="318"/>
      <c r="AW93" s="318"/>
      <c r="AX93" s="318"/>
      <c r="AY93" s="318"/>
      <c r="AZ93" s="346"/>
      <c r="BA93" s="322"/>
      <c r="BB93" s="322"/>
      <c r="BC93" s="322"/>
      <c r="BD93" s="322"/>
      <c r="BE93" s="322"/>
      <c r="BF93" s="346"/>
      <c r="BG93" s="328"/>
      <c r="BH93" s="328"/>
      <c r="BI93" s="328"/>
      <c r="BJ93" s="328"/>
      <c r="BK93" s="328"/>
      <c r="BL93" s="328"/>
      <c r="BM93" s="328"/>
      <c r="BN93" s="217"/>
      <c r="BO93" s="336"/>
      <c r="BP93" s="333"/>
      <c r="BQ93" s="336"/>
      <c r="BR93" s="336"/>
      <c r="BS93" s="336"/>
      <c r="BT93" s="336"/>
      <c r="BU93" s="336"/>
      <c r="BV93" s="336"/>
      <c r="BW93" s="336"/>
      <c r="BX93" s="217"/>
      <c r="BY93" s="341"/>
      <c r="BZ93" s="341"/>
      <c r="CA93" s="341"/>
      <c r="CB93" s="342"/>
      <c r="CC93" s="341"/>
      <c r="CD93" s="341"/>
      <c r="CE93" s="341"/>
      <c r="CF93" s="341"/>
      <c r="CG93" s="341"/>
      <c r="CH93" s="341"/>
      <c r="CI93" s="341"/>
      <c r="CJ93" s="342"/>
      <c r="CK93" s="342"/>
    </row>
    <row r="94">
      <c r="A94" s="753"/>
      <c r="B94" s="202" t="s">
        <v>271</v>
      </c>
      <c r="C94" s="196" t="s">
        <v>271</v>
      </c>
      <c r="D94" s="197" t="s">
        <v>271</v>
      </c>
      <c r="E94" s="199" t="s">
        <v>271</v>
      </c>
      <c r="F94" s="201" t="s">
        <v>271</v>
      </c>
      <c r="G94" s="202" t="s">
        <v>271</v>
      </c>
      <c r="H94" s="303"/>
      <c r="I94" s="303"/>
      <c r="J94" s="303"/>
      <c r="K94" s="303"/>
      <c r="L94" s="303"/>
      <c r="M94" s="303"/>
      <c r="N94" s="303"/>
      <c r="O94" s="303"/>
      <c r="P94" s="217"/>
      <c r="Q94" s="348"/>
      <c r="R94" s="348"/>
      <c r="S94" s="348"/>
      <c r="T94" s="348"/>
      <c r="U94" s="348"/>
      <c r="V94" s="348"/>
      <c r="W94" s="217"/>
      <c r="X94" s="313"/>
      <c r="Y94" s="313"/>
      <c r="Z94" s="313"/>
      <c r="AA94" s="602"/>
      <c r="AB94" s="313"/>
      <c r="AC94" s="313"/>
      <c r="AD94" s="313"/>
      <c r="AE94" s="313"/>
      <c r="AF94" s="313"/>
      <c r="AG94" s="313"/>
      <c r="AH94" s="253"/>
      <c r="AI94" s="217"/>
      <c r="AJ94" s="318"/>
      <c r="AK94" s="318"/>
      <c r="AL94" s="318"/>
      <c r="AM94" s="318"/>
      <c r="AN94" s="318"/>
      <c r="AO94" s="318"/>
      <c r="AP94" s="318"/>
      <c r="AQ94" s="318"/>
      <c r="AR94" s="318"/>
      <c r="AS94" s="318"/>
      <c r="AT94" s="318"/>
      <c r="AU94" s="318"/>
      <c r="AV94" s="318"/>
      <c r="AW94" s="318"/>
      <c r="AX94" s="318"/>
      <c r="AY94" s="318"/>
      <c r="AZ94" s="346"/>
      <c r="BA94" s="322"/>
      <c r="BB94" s="322"/>
      <c r="BC94" s="322"/>
      <c r="BD94" s="322"/>
      <c r="BE94" s="322"/>
      <c r="BF94" s="346"/>
      <c r="BG94" s="328"/>
      <c r="BH94" s="328"/>
      <c r="BI94" s="328"/>
      <c r="BJ94" s="328"/>
      <c r="BK94" s="328"/>
      <c r="BL94" s="328"/>
      <c r="BM94" s="328"/>
      <c r="BN94" s="217"/>
      <c r="BO94" s="336"/>
      <c r="BP94" s="333"/>
      <c r="BQ94" s="336"/>
      <c r="BR94" s="336"/>
      <c r="BS94" s="336"/>
      <c r="BT94" s="336"/>
      <c r="BU94" s="336"/>
      <c r="BV94" s="336"/>
      <c r="BW94" s="336"/>
      <c r="BX94" s="217"/>
      <c r="BY94" s="341"/>
      <c r="BZ94" s="341"/>
      <c r="CA94" s="341"/>
      <c r="CB94" s="342"/>
      <c r="CC94" s="341"/>
      <c r="CD94" s="341"/>
      <c r="CE94" s="341"/>
      <c r="CF94" s="341"/>
      <c r="CG94" s="341"/>
      <c r="CH94" s="341"/>
      <c r="CI94" s="341"/>
      <c r="CJ94" s="342"/>
      <c r="CK94" s="342"/>
    </row>
    <row r="95">
      <c r="A95" s="753"/>
      <c r="B95" s="202" t="s">
        <v>271</v>
      </c>
      <c r="C95" s="196" t="s">
        <v>271</v>
      </c>
      <c r="D95" s="197" t="s">
        <v>271</v>
      </c>
      <c r="E95" s="199" t="s">
        <v>271</v>
      </c>
      <c r="F95" s="201" t="s">
        <v>271</v>
      </c>
      <c r="G95" s="202" t="s">
        <v>271</v>
      </c>
      <c r="H95" s="303"/>
      <c r="I95" s="303"/>
      <c r="J95" s="303"/>
      <c r="K95" s="303"/>
      <c r="L95" s="303"/>
      <c r="M95" s="303"/>
      <c r="N95" s="303"/>
      <c r="O95" s="303"/>
      <c r="P95" s="217"/>
      <c r="Q95" s="348"/>
      <c r="R95" s="348"/>
      <c r="S95" s="348"/>
      <c r="T95" s="348"/>
      <c r="U95" s="348"/>
      <c r="V95" s="348"/>
      <c r="W95" s="217"/>
      <c r="X95" s="313"/>
      <c r="Y95" s="313"/>
      <c r="Z95" s="313"/>
      <c r="AA95" s="602"/>
      <c r="AB95" s="313"/>
      <c r="AC95" s="313"/>
      <c r="AD95" s="313"/>
      <c r="AE95" s="313"/>
      <c r="AF95" s="313"/>
      <c r="AG95" s="313"/>
      <c r="AH95" s="253"/>
      <c r="AI95" s="217"/>
      <c r="AJ95" s="318"/>
      <c r="AK95" s="318"/>
      <c r="AL95" s="318"/>
      <c r="AM95" s="318"/>
      <c r="AN95" s="318"/>
      <c r="AO95" s="318"/>
      <c r="AP95" s="318"/>
      <c r="AQ95" s="318"/>
      <c r="AR95" s="318"/>
      <c r="AS95" s="318"/>
      <c r="AT95" s="318"/>
      <c r="AU95" s="318"/>
      <c r="AV95" s="318"/>
      <c r="AW95" s="318"/>
      <c r="AX95" s="318"/>
      <c r="AY95" s="318"/>
      <c r="AZ95" s="346"/>
      <c r="BA95" s="322"/>
      <c r="BB95" s="322"/>
      <c r="BC95" s="322"/>
      <c r="BD95" s="322"/>
      <c r="BE95" s="322"/>
      <c r="BF95" s="346"/>
      <c r="BG95" s="328"/>
      <c r="BH95" s="328"/>
      <c r="BI95" s="328"/>
      <c r="BJ95" s="328"/>
      <c r="BK95" s="328"/>
      <c r="BL95" s="328"/>
      <c r="BM95" s="328"/>
      <c r="BN95" s="217"/>
      <c r="BO95" s="336"/>
      <c r="BP95" s="333"/>
      <c r="BQ95" s="336"/>
      <c r="BR95" s="336"/>
      <c r="BS95" s="336"/>
      <c r="BT95" s="336"/>
      <c r="BU95" s="336"/>
      <c r="BV95" s="336"/>
      <c r="BW95" s="336"/>
      <c r="BX95" s="217"/>
      <c r="BY95" s="341"/>
      <c r="BZ95" s="341"/>
      <c r="CA95" s="341"/>
      <c r="CB95" s="342"/>
      <c r="CC95" s="341"/>
      <c r="CD95" s="341"/>
      <c r="CE95" s="341"/>
      <c r="CF95" s="341"/>
      <c r="CG95" s="341"/>
      <c r="CH95" s="341"/>
      <c r="CI95" s="341"/>
      <c r="CJ95" s="342"/>
      <c r="CK95" s="342"/>
    </row>
    <row r="96">
      <c r="A96" s="753"/>
      <c r="B96" s="202" t="s">
        <v>271</v>
      </c>
      <c r="C96" s="196" t="s">
        <v>271</v>
      </c>
      <c r="D96" s="197" t="s">
        <v>271</v>
      </c>
      <c r="E96" s="199" t="s">
        <v>271</v>
      </c>
      <c r="F96" s="201" t="s">
        <v>271</v>
      </c>
      <c r="G96" s="202" t="s">
        <v>271</v>
      </c>
      <c r="H96" s="303"/>
      <c r="I96" s="303"/>
      <c r="J96" s="303"/>
      <c r="K96" s="303"/>
      <c r="L96" s="303"/>
      <c r="M96" s="303"/>
      <c r="N96" s="303"/>
      <c r="O96" s="303"/>
      <c r="P96" s="217"/>
      <c r="Q96" s="348"/>
      <c r="R96" s="348"/>
      <c r="S96" s="348"/>
      <c r="T96" s="348"/>
      <c r="U96" s="348"/>
      <c r="V96" s="348"/>
      <c r="W96" s="217"/>
      <c r="X96" s="313"/>
      <c r="Y96" s="313"/>
      <c r="Z96" s="313"/>
      <c r="AA96" s="602"/>
      <c r="AB96" s="313"/>
      <c r="AC96" s="313"/>
      <c r="AD96" s="313"/>
      <c r="AE96" s="313"/>
      <c r="AF96" s="313"/>
      <c r="AG96" s="313"/>
      <c r="AH96" s="253"/>
      <c r="AI96" s="217"/>
      <c r="AJ96" s="318"/>
      <c r="AK96" s="318"/>
      <c r="AL96" s="318"/>
      <c r="AM96" s="318"/>
      <c r="AN96" s="318"/>
      <c r="AO96" s="318"/>
      <c r="AP96" s="318"/>
      <c r="AQ96" s="318"/>
      <c r="AR96" s="318"/>
      <c r="AS96" s="318"/>
      <c r="AT96" s="318"/>
      <c r="AU96" s="318"/>
      <c r="AV96" s="318"/>
      <c r="AW96" s="318"/>
      <c r="AX96" s="318"/>
      <c r="AY96" s="318"/>
      <c r="AZ96" s="346"/>
      <c r="BA96" s="322"/>
      <c r="BB96" s="322"/>
      <c r="BC96" s="322"/>
      <c r="BD96" s="322"/>
      <c r="BE96" s="322"/>
      <c r="BF96" s="346"/>
      <c r="BG96" s="328"/>
      <c r="BH96" s="328"/>
      <c r="BI96" s="328"/>
      <c r="BJ96" s="328"/>
      <c r="BK96" s="328"/>
      <c r="BL96" s="328"/>
      <c r="BM96" s="328"/>
      <c r="BN96" s="217"/>
      <c r="BO96" s="336"/>
      <c r="BP96" s="333"/>
      <c r="BQ96" s="336"/>
      <c r="BR96" s="336"/>
      <c r="BS96" s="336"/>
      <c r="BT96" s="336"/>
      <c r="BU96" s="336"/>
      <c r="BV96" s="336"/>
      <c r="BW96" s="336"/>
      <c r="BX96" s="217"/>
      <c r="BY96" s="341"/>
      <c r="BZ96" s="341"/>
      <c r="CA96" s="341"/>
      <c r="CB96" s="342"/>
      <c r="CC96" s="341"/>
      <c r="CD96" s="341"/>
      <c r="CE96" s="341"/>
      <c r="CF96" s="341"/>
      <c r="CG96" s="341"/>
      <c r="CH96" s="341"/>
      <c r="CI96" s="341"/>
      <c r="CJ96" s="342"/>
      <c r="CK96" s="342"/>
    </row>
    <row r="97">
      <c r="A97" s="753"/>
      <c r="B97" s="202" t="s">
        <v>271</v>
      </c>
      <c r="C97" s="196" t="s">
        <v>271</v>
      </c>
      <c r="D97" s="197" t="s">
        <v>271</v>
      </c>
      <c r="E97" s="199" t="s">
        <v>271</v>
      </c>
      <c r="F97" s="201" t="s">
        <v>271</v>
      </c>
      <c r="G97" s="202" t="s">
        <v>271</v>
      </c>
      <c r="H97" s="303"/>
      <c r="I97" s="303"/>
      <c r="J97" s="303"/>
      <c r="K97" s="303"/>
      <c r="L97" s="303"/>
      <c r="M97" s="303"/>
      <c r="N97" s="303"/>
      <c r="O97" s="303"/>
      <c r="P97" s="217"/>
      <c r="Q97" s="348"/>
      <c r="R97" s="348"/>
      <c r="S97" s="348"/>
      <c r="T97" s="348"/>
      <c r="U97" s="348"/>
      <c r="V97" s="348"/>
      <c r="W97" s="217"/>
      <c r="X97" s="313"/>
      <c r="Y97" s="313"/>
      <c r="Z97" s="313"/>
      <c r="AA97" s="602"/>
      <c r="AB97" s="313"/>
      <c r="AC97" s="313"/>
      <c r="AD97" s="313"/>
      <c r="AE97" s="313"/>
      <c r="AF97" s="313"/>
      <c r="AG97" s="313"/>
      <c r="AH97" s="253"/>
      <c r="AI97" s="217"/>
      <c r="AJ97" s="318"/>
      <c r="AK97" s="318"/>
      <c r="AL97" s="318"/>
      <c r="AM97" s="318"/>
      <c r="AN97" s="318"/>
      <c r="AO97" s="318"/>
      <c r="AP97" s="318"/>
      <c r="AQ97" s="318"/>
      <c r="AR97" s="318"/>
      <c r="AS97" s="318"/>
      <c r="AT97" s="318"/>
      <c r="AU97" s="318"/>
      <c r="AV97" s="318"/>
      <c r="AW97" s="318"/>
      <c r="AX97" s="318"/>
      <c r="AY97" s="318"/>
      <c r="AZ97" s="346"/>
      <c r="BA97" s="322"/>
      <c r="BB97" s="322"/>
      <c r="BC97" s="322"/>
      <c r="BD97" s="322"/>
      <c r="BE97" s="322"/>
      <c r="BF97" s="346"/>
      <c r="BG97" s="328"/>
      <c r="BH97" s="328"/>
      <c r="BI97" s="328"/>
      <c r="BJ97" s="328"/>
      <c r="BK97" s="328"/>
      <c r="BL97" s="328"/>
      <c r="BM97" s="328"/>
      <c r="BN97" s="217"/>
      <c r="BO97" s="336"/>
      <c r="BP97" s="333"/>
      <c r="BQ97" s="336"/>
      <c r="BR97" s="336"/>
      <c r="BS97" s="336"/>
      <c r="BT97" s="336"/>
      <c r="BU97" s="336"/>
      <c r="BV97" s="336"/>
      <c r="BW97" s="336"/>
      <c r="BX97" s="217"/>
      <c r="BY97" s="341"/>
      <c r="BZ97" s="341"/>
      <c r="CA97" s="341"/>
      <c r="CB97" s="342"/>
      <c r="CC97" s="341"/>
      <c r="CD97" s="341"/>
      <c r="CE97" s="341"/>
      <c r="CF97" s="341"/>
      <c r="CG97" s="341"/>
      <c r="CH97" s="341"/>
      <c r="CI97" s="341"/>
      <c r="CJ97" s="342"/>
      <c r="CK97" s="342"/>
    </row>
    <row r="98">
      <c r="A98" s="753"/>
      <c r="B98" s="202" t="s">
        <v>271</v>
      </c>
      <c r="C98" s="196" t="s">
        <v>271</v>
      </c>
      <c r="D98" s="197" t="s">
        <v>271</v>
      </c>
      <c r="E98" s="199" t="s">
        <v>271</v>
      </c>
      <c r="F98" s="201" t="s">
        <v>271</v>
      </c>
      <c r="G98" s="202" t="s">
        <v>271</v>
      </c>
      <c r="H98" s="303"/>
      <c r="I98" s="303"/>
      <c r="J98" s="303"/>
      <c r="K98" s="303"/>
      <c r="L98" s="303"/>
      <c r="M98" s="303"/>
      <c r="N98" s="303"/>
      <c r="O98" s="303"/>
      <c r="P98" s="217"/>
      <c r="Q98" s="348"/>
      <c r="R98" s="348"/>
      <c r="S98" s="348"/>
      <c r="T98" s="348"/>
      <c r="U98" s="348"/>
      <c r="V98" s="348"/>
      <c r="W98" s="217"/>
      <c r="X98" s="313"/>
      <c r="Y98" s="313"/>
      <c r="Z98" s="313"/>
      <c r="AA98" s="602"/>
      <c r="AB98" s="313"/>
      <c r="AC98" s="313"/>
      <c r="AD98" s="313"/>
      <c r="AE98" s="313"/>
      <c r="AF98" s="313"/>
      <c r="AG98" s="313"/>
      <c r="AH98" s="253"/>
      <c r="AI98" s="217"/>
      <c r="AJ98" s="318"/>
      <c r="AK98" s="318"/>
      <c r="AL98" s="318"/>
      <c r="AM98" s="318"/>
      <c r="AN98" s="318"/>
      <c r="AO98" s="318"/>
      <c r="AP98" s="318"/>
      <c r="AQ98" s="318"/>
      <c r="AR98" s="318"/>
      <c r="AS98" s="318"/>
      <c r="AT98" s="318"/>
      <c r="AU98" s="318"/>
      <c r="AV98" s="318"/>
      <c r="AW98" s="318"/>
      <c r="AX98" s="318"/>
      <c r="AY98" s="318"/>
      <c r="AZ98" s="346"/>
      <c r="BA98" s="322"/>
      <c r="BB98" s="322"/>
      <c r="BC98" s="322"/>
      <c r="BD98" s="322"/>
      <c r="BE98" s="322"/>
      <c r="BF98" s="346"/>
      <c r="BG98" s="328"/>
      <c r="BH98" s="328"/>
      <c r="BI98" s="328"/>
      <c r="BJ98" s="328"/>
      <c r="BK98" s="328"/>
      <c r="BL98" s="328"/>
      <c r="BM98" s="328"/>
      <c r="BN98" s="217"/>
      <c r="BO98" s="336"/>
      <c r="BP98" s="333"/>
      <c r="BQ98" s="336"/>
      <c r="BR98" s="336"/>
      <c r="BS98" s="336"/>
      <c r="BT98" s="336"/>
      <c r="BU98" s="336"/>
      <c r="BV98" s="336"/>
      <c r="BW98" s="336"/>
      <c r="BX98" s="217"/>
      <c r="BY98" s="341"/>
      <c r="BZ98" s="341"/>
      <c r="CA98" s="341"/>
      <c r="CB98" s="342"/>
      <c r="CC98" s="341"/>
      <c r="CD98" s="341"/>
      <c r="CE98" s="341"/>
      <c r="CF98" s="341"/>
      <c r="CG98" s="341"/>
      <c r="CH98" s="341"/>
      <c r="CI98" s="341"/>
      <c r="CJ98" s="342"/>
      <c r="CK98" s="342"/>
    </row>
    <row r="99">
      <c r="A99" s="753"/>
      <c r="B99" s="202" t="s">
        <v>271</v>
      </c>
      <c r="C99" s="196" t="s">
        <v>271</v>
      </c>
      <c r="D99" s="197" t="s">
        <v>271</v>
      </c>
      <c r="E99" s="199" t="s">
        <v>271</v>
      </c>
      <c r="F99" s="201" t="s">
        <v>271</v>
      </c>
      <c r="G99" s="202" t="s">
        <v>271</v>
      </c>
      <c r="H99" s="303"/>
      <c r="I99" s="303"/>
      <c r="J99" s="303"/>
      <c r="K99" s="303"/>
      <c r="L99" s="303"/>
      <c r="M99" s="303"/>
      <c r="N99" s="303"/>
      <c r="O99" s="303"/>
      <c r="P99" s="217"/>
      <c r="Q99" s="348"/>
      <c r="R99" s="348"/>
      <c r="S99" s="348"/>
      <c r="T99" s="348"/>
      <c r="U99" s="348"/>
      <c r="V99" s="348"/>
      <c r="W99" s="217"/>
      <c r="X99" s="313"/>
      <c r="Y99" s="313"/>
      <c r="Z99" s="313"/>
      <c r="AA99" s="602"/>
      <c r="AB99" s="313"/>
      <c r="AC99" s="313"/>
      <c r="AD99" s="313"/>
      <c r="AE99" s="313"/>
      <c r="AF99" s="313"/>
      <c r="AG99" s="313"/>
      <c r="AH99" s="253"/>
      <c r="AI99" s="217"/>
      <c r="AJ99" s="318"/>
      <c r="AK99" s="318"/>
      <c r="AL99" s="318"/>
      <c r="AM99" s="318"/>
      <c r="AN99" s="318"/>
      <c r="AO99" s="318"/>
      <c r="AP99" s="318"/>
      <c r="AQ99" s="318"/>
      <c r="AR99" s="318"/>
      <c r="AS99" s="318"/>
      <c r="AT99" s="318"/>
      <c r="AU99" s="318"/>
      <c r="AV99" s="318"/>
      <c r="AW99" s="318"/>
      <c r="AX99" s="318"/>
      <c r="AY99" s="318"/>
      <c r="AZ99" s="346"/>
      <c r="BA99" s="322"/>
      <c r="BB99" s="322"/>
      <c r="BC99" s="322"/>
      <c r="BD99" s="322"/>
      <c r="BE99" s="322"/>
      <c r="BF99" s="346"/>
      <c r="BG99" s="328"/>
      <c r="BH99" s="328"/>
      <c r="BI99" s="328"/>
      <c r="BJ99" s="328"/>
      <c r="BK99" s="328"/>
      <c r="BL99" s="328"/>
      <c r="BM99" s="328"/>
      <c r="BN99" s="217"/>
      <c r="BO99" s="336"/>
      <c r="BP99" s="333"/>
      <c r="BQ99" s="336"/>
      <c r="BR99" s="336"/>
      <c r="BS99" s="336"/>
      <c r="BT99" s="336"/>
      <c r="BU99" s="336"/>
      <c r="BV99" s="336"/>
      <c r="BW99" s="336"/>
      <c r="BX99" s="217"/>
      <c r="BY99" s="341"/>
      <c r="BZ99" s="341"/>
      <c r="CA99" s="341"/>
      <c r="CB99" s="342"/>
      <c r="CC99" s="341"/>
      <c r="CD99" s="341"/>
      <c r="CE99" s="341"/>
      <c r="CF99" s="341"/>
      <c r="CG99" s="341"/>
      <c r="CH99" s="341"/>
      <c r="CI99" s="341"/>
      <c r="CJ99" s="342"/>
      <c r="CK99" s="342"/>
    </row>
    <row r="100">
      <c r="A100" s="753"/>
      <c r="B100" s="202" t="s">
        <v>271</v>
      </c>
      <c r="C100" s="196" t="s">
        <v>271</v>
      </c>
      <c r="D100" s="197" t="s">
        <v>271</v>
      </c>
      <c r="E100" s="199" t="s">
        <v>271</v>
      </c>
      <c r="F100" s="201" t="s">
        <v>271</v>
      </c>
      <c r="G100" s="202" t="s">
        <v>271</v>
      </c>
      <c r="H100" s="303"/>
      <c r="I100" s="303"/>
      <c r="J100" s="303"/>
      <c r="K100" s="303"/>
      <c r="L100" s="303"/>
      <c r="M100" s="303"/>
      <c r="N100" s="303"/>
      <c r="O100" s="303"/>
      <c r="P100" s="217"/>
      <c r="Q100" s="348"/>
      <c r="R100" s="348"/>
      <c r="S100" s="348"/>
      <c r="T100" s="348"/>
      <c r="U100" s="348"/>
      <c r="V100" s="348"/>
      <c r="W100" s="217"/>
      <c r="X100" s="313"/>
      <c r="Y100" s="313"/>
      <c r="Z100" s="313"/>
      <c r="AA100" s="602"/>
      <c r="AB100" s="313"/>
      <c r="AC100" s="313"/>
      <c r="AD100" s="313"/>
      <c r="AE100" s="313"/>
      <c r="AF100" s="313"/>
      <c r="AG100" s="313"/>
      <c r="AH100" s="253"/>
      <c r="AI100" s="217"/>
      <c r="AJ100" s="318"/>
      <c r="AK100" s="318"/>
      <c r="AL100" s="318"/>
      <c r="AM100" s="318"/>
      <c r="AN100" s="318"/>
      <c r="AO100" s="318"/>
      <c r="AP100" s="318"/>
      <c r="AQ100" s="318"/>
      <c r="AR100" s="318"/>
      <c r="AS100" s="318"/>
      <c r="AT100" s="318"/>
      <c r="AU100" s="318"/>
      <c r="AV100" s="318"/>
      <c r="AW100" s="318"/>
      <c r="AX100" s="318"/>
      <c r="AY100" s="318"/>
      <c r="AZ100" s="346"/>
      <c r="BA100" s="322"/>
      <c r="BB100" s="322"/>
      <c r="BC100" s="322"/>
      <c r="BD100" s="322"/>
      <c r="BE100" s="322"/>
      <c r="BF100" s="346"/>
      <c r="BG100" s="328"/>
      <c r="BH100" s="328"/>
      <c r="BI100" s="328"/>
      <c r="BJ100" s="328"/>
      <c r="BK100" s="328"/>
      <c r="BL100" s="328"/>
      <c r="BM100" s="328"/>
      <c r="BN100" s="217"/>
      <c r="BO100" s="336"/>
      <c r="BP100" s="333"/>
      <c r="BQ100" s="336"/>
      <c r="BR100" s="336"/>
      <c r="BS100" s="336"/>
      <c r="BT100" s="336"/>
      <c r="BU100" s="336"/>
      <c r="BV100" s="336"/>
      <c r="BW100" s="336"/>
      <c r="BX100" s="217"/>
      <c r="BY100" s="341"/>
      <c r="BZ100" s="341"/>
      <c r="CA100" s="341"/>
      <c r="CB100" s="342"/>
      <c r="CC100" s="341"/>
      <c r="CD100" s="341"/>
      <c r="CE100" s="341"/>
      <c r="CF100" s="341"/>
      <c r="CG100" s="341"/>
      <c r="CH100" s="341"/>
      <c r="CI100" s="341"/>
      <c r="CJ100" s="342"/>
      <c r="CK100" s="342"/>
    </row>
    <row r="101">
      <c r="A101" s="753"/>
      <c r="B101" s="202" t="s">
        <v>271</v>
      </c>
      <c r="C101" s="196" t="s">
        <v>271</v>
      </c>
      <c r="D101" s="197" t="s">
        <v>271</v>
      </c>
      <c r="E101" s="199" t="s">
        <v>271</v>
      </c>
      <c r="F101" s="201" t="s">
        <v>271</v>
      </c>
      <c r="G101" s="202" t="s">
        <v>271</v>
      </c>
      <c r="H101" s="303"/>
      <c r="I101" s="303"/>
      <c r="J101" s="303"/>
      <c r="K101" s="303"/>
      <c r="L101" s="303"/>
      <c r="M101" s="303"/>
      <c r="N101" s="303"/>
      <c r="O101" s="303"/>
      <c r="P101" s="217"/>
      <c r="Q101" s="348"/>
      <c r="R101" s="348"/>
      <c r="S101" s="348"/>
      <c r="T101" s="348"/>
      <c r="U101" s="348"/>
      <c r="V101" s="348"/>
      <c r="W101" s="217"/>
      <c r="X101" s="313"/>
      <c r="Y101" s="313"/>
      <c r="Z101" s="313"/>
      <c r="AA101" s="602"/>
      <c r="AB101" s="313"/>
      <c r="AC101" s="313"/>
      <c r="AD101" s="313"/>
      <c r="AE101" s="313"/>
      <c r="AF101" s="313"/>
      <c r="AG101" s="313"/>
      <c r="AH101" s="253"/>
      <c r="AI101" s="217"/>
      <c r="AJ101" s="318"/>
      <c r="AK101" s="318"/>
      <c r="AL101" s="318"/>
      <c r="AM101" s="318"/>
      <c r="AN101" s="318"/>
      <c r="AO101" s="318"/>
      <c r="AP101" s="318"/>
      <c r="AQ101" s="318"/>
      <c r="AR101" s="318"/>
      <c r="AS101" s="318"/>
      <c r="AT101" s="318"/>
      <c r="AU101" s="318"/>
      <c r="AV101" s="318"/>
      <c r="AW101" s="318"/>
      <c r="AX101" s="318"/>
      <c r="AY101" s="318"/>
      <c r="AZ101" s="346"/>
      <c r="BA101" s="322"/>
      <c r="BB101" s="322"/>
      <c r="BC101" s="322"/>
      <c r="BD101" s="322"/>
      <c r="BE101" s="322"/>
      <c r="BF101" s="346"/>
      <c r="BG101" s="328"/>
      <c r="BH101" s="328"/>
      <c r="BI101" s="328"/>
      <c r="BJ101" s="328"/>
      <c r="BK101" s="328"/>
      <c r="BL101" s="328"/>
      <c r="BM101" s="328"/>
      <c r="BN101" s="217"/>
      <c r="BO101" s="336"/>
      <c r="BP101" s="333"/>
      <c r="BQ101" s="336"/>
      <c r="BR101" s="336"/>
      <c r="BS101" s="336"/>
      <c r="BT101" s="336"/>
      <c r="BU101" s="336"/>
      <c r="BV101" s="336"/>
      <c r="BW101" s="336"/>
      <c r="BX101" s="217"/>
      <c r="BY101" s="341"/>
      <c r="BZ101" s="341"/>
      <c r="CA101" s="341"/>
      <c r="CB101" s="342"/>
      <c r="CC101" s="341"/>
      <c r="CD101" s="341"/>
      <c r="CE101" s="341"/>
      <c r="CF101" s="341"/>
      <c r="CG101" s="341"/>
      <c r="CH101" s="341"/>
      <c r="CI101" s="341"/>
      <c r="CJ101" s="342"/>
      <c r="CK101" s="342"/>
    </row>
    <row r="102">
      <c r="A102" s="753"/>
      <c r="B102" s="202" t="s">
        <v>271</v>
      </c>
      <c r="C102" s="196" t="s">
        <v>271</v>
      </c>
      <c r="D102" s="197" t="s">
        <v>271</v>
      </c>
      <c r="E102" s="199" t="s">
        <v>271</v>
      </c>
      <c r="F102" s="201" t="s">
        <v>271</v>
      </c>
      <c r="G102" s="202" t="s">
        <v>271</v>
      </c>
      <c r="H102" s="303"/>
      <c r="I102" s="303"/>
      <c r="J102" s="303"/>
      <c r="K102" s="303"/>
      <c r="L102" s="303"/>
      <c r="M102" s="303"/>
      <c r="N102" s="303"/>
      <c r="O102" s="303"/>
      <c r="P102" s="217"/>
      <c r="Q102" s="348"/>
      <c r="R102" s="348"/>
      <c r="S102" s="348"/>
      <c r="T102" s="348"/>
      <c r="U102" s="348"/>
      <c r="V102" s="348"/>
      <c r="W102" s="217"/>
      <c r="X102" s="313"/>
      <c r="Y102" s="313"/>
      <c r="Z102" s="313"/>
      <c r="AA102" s="602"/>
      <c r="AB102" s="313"/>
      <c r="AC102" s="313"/>
      <c r="AD102" s="313"/>
      <c r="AE102" s="313"/>
      <c r="AF102" s="313"/>
      <c r="AG102" s="313"/>
      <c r="AH102" s="253"/>
      <c r="AI102" s="217"/>
      <c r="AJ102" s="318"/>
      <c r="AK102" s="318"/>
      <c r="AL102" s="318"/>
      <c r="AM102" s="318"/>
      <c r="AN102" s="318"/>
      <c r="AO102" s="318"/>
      <c r="AP102" s="318"/>
      <c r="AQ102" s="318"/>
      <c r="AR102" s="318"/>
      <c r="AS102" s="318"/>
      <c r="AT102" s="318"/>
      <c r="AU102" s="318"/>
      <c r="AV102" s="318"/>
      <c r="AW102" s="318"/>
      <c r="AX102" s="318"/>
      <c r="AY102" s="318"/>
      <c r="AZ102" s="346"/>
      <c r="BA102" s="322"/>
      <c r="BB102" s="322"/>
      <c r="BC102" s="322"/>
      <c r="BD102" s="322"/>
      <c r="BE102" s="322"/>
      <c r="BF102" s="346"/>
      <c r="BG102" s="328"/>
      <c r="BH102" s="328"/>
      <c r="BI102" s="328"/>
      <c r="BJ102" s="328"/>
      <c r="BK102" s="328"/>
      <c r="BL102" s="328"/>
      <c r="BM102" s="328"/>
      <c r="BN102" s="217"/>
      <c r="BO102" s="336"/>
      <c r="BP102" s="333"/>
      <c r="BQ102" s="336"/>
      <c r="BR102" s="336"/>
      <c r="BS102" s="336"/>
      <c r="BT102" s="336"/>
      <c r="BU102" s="336"/>
      <c r="BV102" s="336"/>
      <c r="BW102" s="336"/>
      <c r="BX102" s="217"/>
      <c r="BY102" s="341"/>
      <c r="BZ102" s="341"/>
      <c r="CA102" s="341"/>
      <c r="CB102" s="342"/>
      <c r="CC102" s="341"/>
      <c r="CD102" s="341"/>
      <c r="CE102" s="341"/>
      <c r="CF102" s="341"/>
      <c r="CG102" s="341"/>
      <c r="CH102" s="341"/>
      <c r="CI102" s="341"/>
      <c r="CJ102" s="342"/>
      <c r="CK102" s="342"/>
    </row>
    <row r="103">
      <c r="A103" s="753"/>
      <c r="B103" s="202" t="s">
        <v>271</v>
      </c>
      <c r="C103" s="196" t="s">
        <v>271</v>
      </c>
      <c r="D103" s="197" t="s">
        <v>271</v>
      </c>
      <c r="E103" s="199" t="s">
        <v>271</v>
      </c>
      <c r="F103" s="201" t="s">
        <v>271</v>
      </c>
      <c r="G103" s="202" t="s">
        <v>271</v>
      </c>
      <c r="H103" s="303"/>
      <c r="I103" s="303"/>
      <c r="J103" s="303"/>
      <c r="K103" s="303"/>
      <c r="L103" s="303"/>
      <c r="M103" s="303"/>
      <c r="N103" s="303"/>
      <c r="O103" s="303"/>
      <c r="P103" s="217"/>
      <c r="Q103" s="348"/>
      <c r="R103" s="348"/>
      <c r="S103" s="348"/>
      <c r="T103" s="348"/>
      <c r="U103" s="348"/>
      <c r="V103" s="348"/>
      <c r="W103" s="217"/>
      <c r="X103" s="313"/>
      <c r="Y103" s="313"/>
      <c r="Z103" s="313"/>
      <c r="AA103" s="602"/>
      <c r="AB103" s="313"/>
      <c r="AC103" s="313"/>
      <c r="AD103" s="313"/>
      <c r="AE103" s="313"/>
      <c r="AF103" s="313"/>
      <c r="AG103" s="313"/>
      <c r="AH103" s="253"/>
      <c r="AI103" s="217"/>
      <c r="AJ103" s="318"/>
      <c r="AK103" s="318"/>
      <c r="AL103" s="318"/>
      <c r="AM103" s="318"/>
      <c r="AN103" s="318"/>
      <c r="AO103" s="318"/>
      <c r="AP103" s="318"/>
      <c r="AQ103" s="318"/>
      <c r="AR103" s="318"/>
      <c r="AS103" s="318"/>
      <c r="AT103" s="318"/>
      <c r="AU103" s="318"/>
      <c r="AV103" s="318"/>
      <c r="AW103" s="318"/>
      <c r="AX103" s="318"/>
      <c r="AY103" s="318"/>
      <c r="AZ103" s="346"/>
      <c r="BA103" s="322"/>
      <c r="BB103" s="322"/>
      <c r="BC103" s="322"/>
      <c r="BD103" s="322"/>
      <c r="BE103" s="322"/>
      <c r="BF103" s="346"/>
      <c r="BG103" s="328"/>
      <c r="BH103" s="328"/>
      <c r="BI103" s="328"/>
      <c r="BJ103" s="328"/>
      <c r="BK103" s="328"/>
      <c r="BL103" s="328"/>
      <c r="BM103" s="328"/>
      <c r="BN103" s="217"/>
      <c r="BO103" s="336"/>
      <c r="BP103" s="333"/>
      <c r="BQ103" s="336"/>
      <c r="BR103" s="336"/>
      <c r="BS103" s="336"/>
      <c r="BT103" s="336"/>
      <c r="BU103" s="336"/>
      <c r="BV103" s="336"/>
      <c r="BW103" s="336"/>
      <c r="BX103" s="217"/>
      <c r="BY103" s="341"/>
      <c r="BZ103" s="341"/>
      <c r="CA103" s="341"/>
      <c r="CB103" s="342"/>
      <c r="CC103" s="341"/>
      <c r="CD103" s="341"/>
      <c r="CE103" s="341"/>
      <c r="CF103" s="341"/>
      <c r="CG103" s="341"/>
      <c r="CH103" s="341"/>
      <c r="CI103" s="341"/>
      <c r="CJ103" s="342"/>
      <c r="CK103" s="342"/>
    </row>
    <row r="104">
      <c r="A104" s="753"/>
      <c r="B104" s="202" t="s">
        <v>271</v>
      </c>
      <c r="C104" s="196" t="s">
        <v>271</v>
      </c>
      <c r="D104" s="197" t="s">
        <v>271</v>
      </c>
      <c r="E104" s="199" t="s">
        <v>271</v>
      </c>
      <c r="F104" s="201" t="s">
        <v>271</v>
      </c>
      <c r="G104" s="202" t="s">
        <v>271</v>
      </c>
      <c r="H104" s="303"/>
      <c r="I104" s="303"/>
      <c r="J104" s="303"/>
      <c r="K104" s="303"/>
      <c r="L104" s="303"/>
      <c r="M104" s="303"/>
      <c r="N104" s="303"/>
      <c r="O104" s="303"/>
      <c r="P104" s="217"/>
      <c r="Q104" s="348"/>
      <c r="R104" s="348"/>
      <c r="S104" s="348"/>
      <c r="T104" s="348"/>
      <c r="U104" s="348"/>
      <c r="V104" s="348"/>
      <c r="W104" s="217"/>
      <c r="X104" s="313"/>
      <c r="Y104" s="313"/>
      <c r="Z104" s="313"/>
      <c r="AA104" s="602"/>
      <c r="AB104" s="313"/>
      <c r="AC104" s="313"/>
      <c r="AD104" s="313"/>
      <c r="AE104" s="313"/>
      <c r="AF104" s="313"/>
      <c r="AG104" s="313"/>
      <c r="AH104" s="253"/>
      <c r="AI104" s="217"/>
      <c r="AJ104" s="318"/>
      <c r="AK104" s="318"/>
      <c r="AL104" s="318"/>
      <c r="AM104" s="318"/>
      <c r="AN104" s="318"/>
      <c r="AO104" s="318"/>
      <c r="AP104" s="318"/>
      <c r="AQ104" s="318"/>
      <c r="AR104" s="318"/>
      <c r="AS104" s="318"/>
      <c r="AT104" s="318"/>
      <c r="AU104" s="318"/>
      <c r="AV104" s="318"/>
      <c r="AW104" s="318"/>
      <c r="AX104" s="318"/>
      <c r="AY104" s="318"/>
      <c r="AZ104" s="346"/>
      <c r="BA104" s="322"/>
      <c r="BB104" s="322"/>
      <c r="BC104" s="322"/>
      <c r="BD104" s="322"/>
      <c r="BE104" s="322"/>
      <c r="BF104" s="346"/>
      <c r="BG104" s="328"/>
      <c r="BH104" s="328"/>
      <c r="BI104" s="328"/>
      <c r="BJ104" s="328"/>
      <c r="BK104" s="328"/>
      <c r="BL104" s="328"/>
      <c r="BM104" s="328"/>
      <c r="BN104" s="217"/>
      <c r="BO104" s="336"/>
      <c r="BP104" s="333"/>
      <c r="BQ104" s="336"/>
      <c r="BR104" s="336"/>
      <c r="BS104" s="336"/>
      <c r="BT104" s="336"/>
      <c r="BU104" s="336"/>
      <c r="BV104" s="336"/>
      <c r="BW104" s="336"/>
      <c r="BX104" s="217"/>
      <c r="BY104" s="341"/>
      <c r="BZ104" s="341"/>
      <c r="CA104" s="341"/>
      <c r="CB104" s="342"/>
      <c r="CC104" s="341"/>
      <c r="CD104" s="341"/>
      <c r="CE104" s="341"/>
      <c r="CF104" s="341"/>
      <c r="CG104" s="341"/>
      <c r="CH104" s="341"/>
      <c r="CI104" s="341"/>
      <c r="CJ104" s="342"/>
      <c r="CK104" s="342"/>
    </row>
    <row r="105">
      <c r="A105" s="753"/>
      <c r="B105" s="202" t="s">
        <v>271</v>
      </c>
      <c r="C105" s="196" t="s">
        <v>271</v>
      </c>
      <c r="D105" s="197" t="s">
        <v>271</v>
      </c>
      <c r="E105" s="199" t="s">
        <v>271</v>
      </c>
      <c r="F105" s="201" t="s">
        <v>271</v>
      </c>
      <c r="G105" s="202" t="s">
        <v>271</v>
      </c>
      <c r="H105" s="303"/>
      <c r="I105" s="303"/>
      <c r="J105" s="303"/>
      <c r="K105" s="303"/>
      <c r="L105" s="303"/>
      <c r="M105" s="303"/>
      <c r="N105" s="303"/>
      <c r="O105" s="303"/>
      <c r="P105" s="217"/>
      <c r="Q105" s="348"/>
      <c r="R105" s="348"/>
      <c r="S105" s="348"/>
      <c r="T105" s="348"/>
      <c r="U105" s="348"/>
      <c r="V105" s="348"/>
      <c r="W105" s="217"/>
      <c r="X105" s="313"/>
      <c r="Y105" s="313"/>
      <c r="Z105" s="313"/>
      <c r="AA105" s="602"/>
      <c r="AB105" s="313"/>
      <c r="AC105" s="313"/>
      <c r="AD105" s="313"/>
      <c r="AE105" s="313"/>
      <c r="AF105" s="313"/>
      <c r="AG105" s="313"/>
      <c r="AH105" s="253"/>
      <c r="AI105" s="217"/>
      <c r="AJ105" s="318"/>
      <c r="AK105" s="318"/>
      <c r="AL105" s="318"/>
      <c r="AM105" s="318"/>
      <c r="AN105" s="318"/>
      <c r="AO105" s="318"/>
      <c r="AP105" s="318"/>
      <c r="AQ105" s="318"/>
      <c r="AR105" s="318"/>
      <c r="AS105" s="318"/>
      <c r="AT105" s="318"/>
      <c r="AU105" s="318"/>
      <c r="AV105" s="318"/>
      <c r="AW105" s="318"/>
      <c r="AX105" s="318"/>
      <c r="AY105" s="318"/>
      <c r="AZ105" s="346"/>
      <c r="BA105" s="322"/>
      <c r="BB105" s="322"/>
      <c r="BC105" s="322"/>
      <c r="BD105" s="322"/>
      <c r="BE105" s="322"/>
      <c r="BF105" s="346"/>
      <c r="BG105" s="328"/>
      <c r="BH105" s="328"/>
      <c r="BI105" s="328"/>
      <c r="BJ105" s="328"/>
      <c r="BK105" s="328"/>
      <c r="BL105" s="328"/>
      <c r="BM105" s="328"/>
      <c r="BN105" s="217"/>
      <c r="BO105" s="336"/>
      <c r="BP105" s="333"/>
      <c r="BQ105" s="336"/>
      <c r="BR105" s="336"/>
      <c r="BS105" s="336"/>
      <c r="BT105" s="336"/>
      <c r="BU105" s="336"/>
      <c r="BV105" s="336"/>
      <c r="BW105" s="336"/>
      <c r="BX105" s="217"/>
      <c r="BY105" s="341"/>
      <c r="BZ105" s="341"/>
      <c r="CA105" s="341"/>
      <c r="CB105" s="342"/>
      <c r="CC105" s="341"/>
      <c r="CD105" s="341"/>
      <c r="CE105" s="341"/>
      <c r="CF105" s="341"/>
      <c r="CG105" s="341"/>
      <c r="CH105" s="341"/>
      <c r="CI105" s="341"/>
      <c r="CJ105" s="342"/>
      <c r="CK105" s="342"/>
    </row>
    <row r="106">
      <c r="A106" s="753"/>
      <c r="B106" s="202" t="s">
        <v>271</v>
      </c>
      <c r="C106" s="196" t="s">
        <v>271</v>
      </c>
      <c r="D106" s="197" t="s">
        <v>271</v>
      </c>
      <c r="E106" s="199" t="s">
        <v>271</v>
      </c>
      <c r="F106" s="201" t="s">
        <v>271</v>
      </c>
      <c r="G106" s="202" t="s">
        <v>271</v>
      </c>
      <c r="H106" s="303"/>
      <c r="I106" s="303"/>
      <c r="J106" s="303"/>
      <c r="K106" s="303"/>
      <c r="L106" s="303"/>
      <c r="M106" s="303"/>
      <c r="N106" s="303"/>
      <c r="O106" s="303"/>
      <c r="P106" s="217"/>
      <c r="Q106" s="348"/>
      <c r="R106" s="348"/>
      <c r="S106" s="348"/>
      <c r="T106" s="348"/>
      <c r="U106" s="348"/>
      <c r="V106" s="348"/>
      <c r="W106" s="217"/>
      <c r="X106" s="313"/>
      <c r="Y106" s="313"/>
      <c r="Z106" s="313"/>
      <c r="AA106" s="602"/>
      <c r="AB106" s="313"/>
      <c r="AC106" s="313"/>
      <c r="AD106" s="313"/>
      <c r="AE106" s="313"/>
      <c r="AF106" s="313"/>
      <c r="AG106" s="313"/>
      <c r="AH106" s="253"/>
      <c r="AI106" s="217"/>
      <c r="AJ106" s="318"/>
      <c r="AK106" s="318"/>
      <c r="AL106" s="318"/>
      <c r="AM106" s="318"/>
      <c r="AN106" s="318"/>
      <c r="AO106" s="318"/>
      <c r="AP106" s="318"/>
      <c r="AQ106" s="318"/>
      <c r="AR106" s="318"/>
      <c r="AS106" s="318"/>
      <c r="AT106" s="318"/>
      <c r="AU106" s="318"/>
      <c r="AV106" s="318"/>
      <c r="AW106" s="318"/>
      <c r="AX106" s="318"/>
      <c r="AY106" s="318"/>
      <c r="AZ106" s="346"/>
      <c r="BA106" s="322"/>
      <c r="BB106" s="322"/>
      <c r="BC106" s="322"/>
      <c r="BD106" s="322"/>
      <c r="BE106" s="322"/>
      <c r="BF106" s="346"/>
      <c r="BG106" s="328"/>
      <c r="BH106" s="328"/>
      <c r="BI106" s="328"/>
      <c r="BJ106" s="328"/>
      <c r="BK106" s="328"/>
      <c r="BL106" s="328"/>
      <c r="BM106" s="328"/>
      <c r="BN106" s="217"/>
      <c r="BO106" s="336"/>
      <c r="BP106" s="333"/>
      <c r="BQ106" s="336"/>
      <c r="BR106" s="336"/>
      <c r="BS106" s="336"/>
      <c r="BT106" s="336"/>
      <c r="BU106" s="336"/>
      <c r="BV106" s="336"/>
      <c r="BW106" s="336"/>
      <c r="BX106" s="217"/>
      <c r="BY106" s="341"/>
      <c r="BZ106" s="341"/>
      <c r="CA106" s="341"/>
      <c r="CB106" s="342"/>
      <c r="CC106" s="341"/>
      <c r="CD106" s="341"/>
      <c r="CE106" s="341"/>
      <c r="CF106" s="341"/>
      <c r="CG106" s="341"/>
      <c r="CH106" s="341"/>
      <c r="CI106" s="341"/>
      <c r="CJ106" s="342"/>
      <c r="CK106" s="342"/>
    </row>
    <row r="107">
      <c r="A107" s="753"/>
      <c r="B107" s="202" t="s">
        <v>271</v>
      </c>
      <c r="C107" s="196" t="s">
        <v>271</v>
      </c>
      <c r="D107" s="197" t="s">
        <v>271</v>
      </c>
      <c r="E107" s="199" t="s">
        <v>271</v>
      </c>
      <c r="F107" s="201" t="s">
        <v>271</v>
      </c>
      <c r="G107" s="202" t="s">
        <v>271</v>
      </c>
      <c r="H107" s="303"/>
      <c r="I107" s="303"/>
      <c r="J107" s="303"/>
      <c r="K107" s="303"/>
      <c r="L107" s="303"/>
      <c r="M107" s="303"/>
      <c r="N107" s="303"/>
      <c r="O107" s="303"/>
      <c r="P107" s="217"/>
      <c r="Q107" s="348"/>
      <c r="R107" s="348"/>
      <c r="S107" s="348"/>
      <c r="T107" s="348"/>
      <c r="U107" s="348"/>
      <c r="V107" s="348"/>
      <c r="W107" s="217"/>
      <c r="X107" s="313"/>
      <c r="Y107" s="313"/>
      <c r="Z107" s="313"/>
      <c r="AA107" s="602"/>
      <c r="AB107" s="313"/>
      <c r="AC107" s="313"/>
      <c r="AD107" s="313"/>
      <c r="AE107" s="313"/>
      <c r="AF107" s="313"/>
      <c r="AG107" s="313"/>
      <c r="AH107" s="253"/>
      <c r="AI107" s="217"/>
      <c r="AJ107" s="318"/>
      <c r="AK107" s="318"/>
      <c r="AL107" s="318"/>
      <c r="AM107" s="318"/>
      <c r="AN107" s="318"/>
      <c r="AO107" s="318"/>
      <c r="AP107" s="318"/>
      <c r="AQ107" s="318"/>
      <c r="AR107" s="318"/>
      <c r="AS107" s="318"/>
      <c r="AT107" s="318"/>
      <c r="AU107" s="318"/>
      <c r="AV107" s="318"/>
      <c r="AW107" s="318"/>
      <c r="AX107" s="318"/>
      <c r="AY107" s="318"/>
      <c r="AZ107" s="346"/>
      <c r="BA107" s="322"/>
      <c r="BB107" s="322"/>
      <c r="BC107" s="322"/>
      <c r="BD107" s="322"/>
      <c r="BE107" s="322"/>
      <c r="BF107" s="346"/>
      <c r="BG107" s="328"/>
      <c r="BH107" s="328"/>
      <c r="BI107" s="328"/>
      <c r="BJ107" s="328"/>
      <c r="BK107" s="328"/>
      <c r="BL107" s="328"/>
      <c r="BM107" s="328"/>
      <c r="BN107" s="217"/>
      <c r="BO107" s="336"/>
      <c r="BP107" s="333"/>
      <c r="BQ107" s="336"/>
      <c r="BR107" s="336"/>
      <c r="BS107" s="336"/>
      <c r="BT107" s="336"/>
      <c r="BU107" s="336"/>
      <c r="BV107" s="336"/>
      <c r="BW107" s="336"/>
      <c r="BX107" s="217"/>
      <c r="BY107" s="341"/>
      <c r="BZ107" s="341"/>
      <c r="CA107" s="341"/>
      <c r="CB107" s="342"/>
      <c r="CC107" s="341"/>
      <c r="CD107" s="341"/>
      <c r="CE107" s="341"/>
      <c r="CF107" s="341"/>
      <c r="CG107" s="341"/>
      <c r="CH107" s="341"/>
      <c r="CI107" s="341"/>
      <c r="CJ107" s="342"/>
      <c r="CK107" s="342"/>
    </row>
    <row r="108">
      <c r="A108" s="753"/>
      <c r="B108" s="202" t="s">
        <v>271</v>
      </c>
      <c r="C108" s="196" t="s">
        <v>271</v>
      </c>
      <c r="D108" s="197" t="s">
        <v>271</v>
      </c>
      <c r="E108" s="199" t="s">
        <v>271</v>
      </c>
      <c r="F108" s="201" t="s">
        <v>271</v>
      </c>
      <c r="G108" s="202" t="s">
        <v>271</v>
      </c>
      <c r="H108" s="303"/>
      <c r="I108" s="303"/>
      <c r="J108" s="303"/>
      <c r="K108" s="303"/>
      <c r="L108" s="303"/>
      <c r="M108" s="303"/>
      <c r="N108" s="303"/>
      <c r="O108" s="303"/>
      <c r="P108" s="217"/>
      <c r="Q108" s="348"/>
      <c r="R108" s="348"/>
      <c r="S108" s="348"/>
      <c r="T108" s="348"/>
      <c r="U108" s="348"/>
      <c r="V108" s="348"/>
      <c r="W108" s="217"/>
      <c r="X108" s="313"/>
      <c r="Y108" s="313"/>
      <c r="Z108" s="313"/>
      <c r="AA108" s="602"/>
      <c r="AB108" s="313"/>
      <c r="AC108" s="313"/>
      <c r="AD108" s="313"/>
      <c r="AE108" s="313"/>
      <c r="AF108" s="313"/>
      <c r="AG108" s="313"/>
      <c r="AH108" s="253"/>
      <c r="AI108" s="217"/>
      <c r="AJ108" s="318"/>
      <c r="AK108" s="318"/>
      <c r="AL108" s="318"/>
      <c r="AM108" s="318"/>
      <c r="AN108" s="318"/>
      <c r="AO108" s="318"/>
      <c r="AP108" s="318"/>
      <c r="AQ108" s="318"/>
      <c r="AR108" s="318"/>
      <c r="AS108" s="318"/>
      <c r="AT108" s="318"/>
      <c r="AU108" s="318"/>
      <c r="AV108" s="318"/>
      <c r="AW108" s="318"/>
      <c r="AX108" s="318"/>
      <c r="AY108" s="318"/>
      <c r="AZ108" s="346"/>
      <c r="BA108" s="322"/>
      <c r="BB108" s="322"/>
      <c r="BC108" s="322"/>
      <c r="BD108" s="322"/>
      <c r="BE108" s="322"/>
      <c r="BF108" s="346"/>
      <c r="BG108" s="328"/>
      <c r="BH108" s="328"/>
      <c r="BI108" s="328"/>
      <c r="BJ108" s="328"/>
      <c r="BK108" s="328"/>
      <c r="BL108" s="328"/>
      <c r="BM108" s="328"/>
      <c r="BN108" s="217"/>
      <c r="BO108" s="336"/>
      <c r="BP108" s="333"/>
      <c r="BQ108" s="336"/>
      <c r="BR108" s="336"/>
      <c r="BS108" s="336"/>
      <c r="BT108" s="336"/>
      <c r="BU108" s="336"/>
      <c r="BV108" s="336"/>
      <c r="BW108" s="336"/>
      <c r="BX108" s="217"/>
      <c r="BY108" s="341"/>
      <c r="BZ108" s="341"/>
      <c r="CA108" s="341"/>
      <c r="CB108" s="342"/>
      <c r="CC108" s="341"/>
      <c r="CD108" s="341"/>
      <c r="CE108" s="341"/>
      <c r="CF108" s="341"/>
      <c r="CG108" s="341"/>
      <c r="CH108" s="341"/>
      <c r="CI108" s="341"/>
      <c r="CJ108" s="342"/>
      <c r="CK108" s="342"/>
    </row>
    <row r="109">
      <c r="A109" s="753"/>
      <c r="B109" s="202" t="s">
        <v>271</v>
      </c>
      <c r="C109" s="196" t="s">
        <v>271</v>
      </c>
      <c r="D109" s="197" t="s">
        <v>271</v>
      </c>
      <c r="E109" s="199" t="s">
        <v>271</v>
      </c>
      <c r="F109" s="201" t="s">
        <v>271</v>
      </c>
      <c r="G109" s="202" t="s">
        <v>271</v>
      </c>
      <c r="H109" s="303"/>
      <c r="I109" s="303"/>
      <c r="J109" s="303"/>
      <c r="K109" s="303"/>
      <c r="L109" s="303"/>
      <c r="M109" s="303"/>
      <c r="N109" s="303"/>
      <c r="O109" s="303"/>
      <c r="P109" s="217"/>
      <c r="Q109" s="348"/>
      <c r="R109" s="348"/>
      <c r="S109" s="348"/>
      <c r="T109" s="348"/>
      <c r="U109" s="348"/>
      <c r="V109" s="348"/>
      <c r="W109" s="217"/>
      <c r="X109" s="313"/>
      <c r="Y109" s="313"/>
      <c r="Z109" s="313"/>
      <c r="AA109" s="602"/>
      <c r="AB109" s="313"/>
      <c r="AC109" s="313"/>
      <c r="AD109" s="313"/>
      <c r="AE109" s="313"/>
      <c r="AF109" s="313"/>
      <c r="AG109" s="313"/>
      <c r="AH109" s="253"/>
      <c r="AI109" s="217"/>
      <c r="AJ109" s="318"/>
      <c r="AK109" s="318"/>
      <c r="AL109" s="318"/>
      <c r="AM109" s="318"/>
      <c r="AN109" s="318"/>
      <c r="AO109" s="318"/>
      <c r="AP109" s="318"/>
      <c r="AQ109" s="318"/>
      <c r="AR109" s="318"/>
      <c r="AS109" s="318"/>
      <c r="AT109" s="318"/>
      <c r="AU109" s="318"/>
      <c r="AV109" s="318"/>
      <c r="AW109" s="318"/>
      <c r="AX109" s="318"/>
      <c r="AY109" s="318"/>
      <c r="AZ109" s="346"/>
      <c r="BA109" s="322"/>
      <c r="BB109" s="322"/>
      <c r="BC109" s="322"/>
      <c r="BD109" s="322"/>
      <c r="BE109" s="322"/>
      <c r="BF109" s="346"/>
      <c r="BG109" s="328"/>
      <c r="BH109" s="328"/>
      <c r="BI109" s="328"/>
      <c r="BJ109" s="328"/>
      <c r="BK109" s="328"/>
      <c r="BL109" s="328"/>
      <c r="BM109" s="328"/>
      <c r="BN109" s="217"/>
      <c r="BO109" s="336"/>
      <c r="BP109" s="333"/>
      <c r="BQ109" s="336"/>
      <c r="BR109" s="336"/>
      <c r="BS109" s="336"/>
      <c r="BT109" s="336"/>
      <c r="BU109" s="336"/>
      <c r="BV109" s="336"/>
      <c r="BW109" s="336"/>
      <c r="BX109" s="217"/>
      <c r="BY109" s="341"/>
      <c r="BZ109" s="341"/>
      <c r="CA109" s="341"/>
      <c r="CB109" s="342"/>
      <c r="CC109" s="341"/>
      <c r="CD109" s="341"/>
      <c r="CE109" s="341"/>
      <c r="CF109" s="341"/>
      <c r="CG109" s="341"/>
      <c r="CH109" s="341"/>
      <c r="CI109" s="341"/>
      <c r="CJ109" s="342"/>
      <c r="CK109" s="342"/>
    </row>
    <row r="110">
      <c r="A110" s="753"/>
      <c r="B110" s="202" t="s">
        <v>271</v>
      </c>
      <c r="C110" s="196" t="s">
        <v>271</v>
      </c>
      <c r="D110" s="197" t="s">
        <v>271</v>
      </c>
      <c r="E110" s="199" t="s">
        <v>271</v>
      </c>
      <c r="F110" s="201" t="s">
        <v>271</v>
      </c>
      <c r="G110" s="202" t="s">
        <v>271</v>
      </c>
      <c r="H110" s="303"/>
      <c r="I110" s="303"/>
      <c r="J110" s="303"/>
      <c r="K110" s="303"/>
      <c r="L110" s="303"/>
      <c r="M110" s="303"/>
      <c r="N110" s="303"/>
      <c r="O110" s="303"/>
      <c r="P110" s="217"/>
      <c r="Q110" s="348"/>
      <c r="R110" s="348"/>
      <c r="S110" s="348"/>
      <c r="T110" s="348"/>
      <c r="U110" s="348"/>
      <c r="V110" s="348"/>
      <c r="W110" s="217"/>
      <c r="X110" s="313"/>
      <c r="Y110" s="313"/>
      <c r="Z110" s="313"/>
      <c r="AA110" s="602"/>
      <c r="AB110" s="313"/>
      <c r="AC110" s="313"/>
      <c r="AD110" s="313"/>
      <c r="AE110" s="313"/>
      <c r="AF110" s="313"/>
      <c r="AG110" s="313"/>
      <c r="AH110" s="253"/>
      <c r="AI110" s="217"/>
      <c r="AJ110" s="318"/>
      <c r="AK110" s="318"/>
      <c r="AL110" s="318"/>
      <c r="AM110" s="318"/>
      <c r="AN110" s="318"/>
      <c r="AO110" s="318"/>
      <c r="AP110" s="318"/>
      <c r="AQ110" s="318"/>
      <c r="AR110" s="318"/>
      <c r="AS110" s="318"/>
      <c r="AT110" s="318"/>
      <c r="AU110" s="318"/>
      <c r="AV110" s="318"/>
      <c r="AW110" s="318"/>
      <c r="AX110" s="318"/>
      <c r="AY110" s="318"/>
      <c r="AZ110" s="346"/>
      <c r="BA110" s="322"/>
      <c r="BB110" s="322"/>
      <c r="BC110" s="322"/>
      <c r="BD110" s="322"/>
      <c r="BE110" s="322"/>
      <c r="BF110" s="346"/>
      <c r="BG110" s="328"/>
      <c r="BH110" s="328"/>
      <c r="BI110" s="328"/>
      <c r="BJ110" s="328"/>
      <c r="BK110" s="328"/>
      <c r="BL110" s="328"/>
      <c r="BM110" s="328"/>
      <c r="BN110" s="217"/>
      <c r="BO110" s="336"/>
      <c r="BP110" s="333"/>
      <c r="BQ110" s="336"/>
      <c r="BR110" s="336"/>
      <c r="BS110" s="336"/>
      <c r="BT110" s="336"/>
      <c r="BU110" s="336"/>
      <c r="BV110" s="336"/>
      <c r="BW110" s="336"/>
      <c r="BX110" s="217"/>
      <c r="BY110" s="341"/>
      <c r="BZ110" s="341"/>
      <c r="CA110" s="341"/>
      <c r="CB110" s="342"/>
      <c r="CC110" s="341"/>
      <c r="CD110" s="341"/>
      <c r="CE110" s="341"/>
      <c r="CF110" s="341"/>
      <c r="CG110" s="341"/>
      <c r="CH110" s="341"/>
      <c r="CI110" s="341"/>
      <c r="CJ110" s="342"/>
      <c r="CK110" s="342"/>
    </row>
    <row r="111">
      <c r="A111" s="753"/>
      <c r="B111" s="202" t="s">
        <v>271</v>
      </c>
      <c r="C111" s="196" t="s">
        <v>271</v>
      </c>
      <c r="D111" s="197" t="s">
        <v>271</v>
      </c>
      <c r="E111" s="199" t="s">
        <v>271</v>
      </c>
      <c r="F111" s="201" t="s">
        <v>271</v>
      </c>
      <c r="G111" s="202" t="s">
        <v>271</v>
      </c>
      <c r="H111" s="303"/>
      <c r="I111" s="303"/>
      <c r="J111" s="303"/>
      <c r="K111" s="303"/>
      <c r="L111" s="303"/>
      <c r="M111" s="303"/>
      <c r="N111" s="303"/>
      <c r="O111" s="303"/>
      <c r="P111" s="217"/>
      <c r="Q111" s="348"/>
      <c r="R111" s="348"/>
      <c r="S111" s="348"/>
      <c r="T111" s="348"/>
      <c r="U111" s="348"/>
      <c r="V111" s="348"/>
      <c r="W111" s="217"/>
      <c r="X111" s="313"/>
      <c r="Y111" s="313"/>
      <c r="Z111" s="313"/>
      <c r="AA111" s="602"/>
      <c r="AB111" s="313"/>
      <c r="AC111" s="313"/>
      <c r="AD111" s="313"/>
      <c r="AE111" s="313"/>
      <c r="AF111" s="313"/>
      <c r="AG111" s="313"/>
      <c r="AH111" s="253"/>
      <c r="AI111" s="217"/>
      <c r="AJ111" s="318"/>
      <c r="AK111" s="318"/>
      <c r="AL111" s="318"/>
      <c r="AM111" s="318"/>
      <c r="AN111" s="318"/>
      <c r="AO111" s="318"/>
      <c r="AP111" s="318"/>
      <c r="AQ111" s="318"/>
      <c r="AR111" s="318"/>
      <c r="AS111" s="318"/>
      <c r="AT111" s="318"/>
      <c r="AU111" s="318"/>
      <c r="AV111" s="318"/>
      <c r="AW111" s="318"/>
      <c r="AX111" s="318"/>
      <c r="AY111" s="318"/>
      <c r="AZ111" s="346"/>
      <c r="BA111" s="322"/>
      <c r="BB111" s="322"/>
      <c r="BC111" s="322"/>
      <c r="BD111" s="322"/>
      <c r="BE111" s="322"/>
      <c r="BF111" s="346"/>
      <c r="BG111" s="328"/>
      <c r="BH111" s="328"/>
      <c r="BI111" s="328"/>
      <c r="BJ111" s="328"/>
      <c r="BK111" s="328"/>
      <c r="BL111" s="328"/>
      <c r="BM111" s="328"/>
      <c r="BN111" s="217"/>
      <c r="BO111" s="336"/>
      <c r="BP111" s="333"/>
      <c r="BQ111" s="336"/>
      <c r="BR111" s="336"/>
      <c r="BS111" s="336"/>
      <c r="BT111" s="336"/>
      <c r="BU111" s="336"/>
      <c r="BV111" s="336"/>
      <c r="BW111" s="336"/>
      <c r="BX111" s="217"/>
      <c r="BY111" s="341"/>
      <c r="BZ111" s="341"/>
      <c r="CA111" s="341"/>
      <c r="CB111" s="342"/>
      <c r="CC111" s="341"/>
      <c r="CD111" s="341"/>
      <c r="CE111" s="341"/>
      <c r="CF111" s="341"/>
      <c r="CG111" s="341"/>
      <c r="CH111" s="341"/>
      <c r="CI111" s="341"/>
      <c r="CJ111" s="342"/>
      <c r="CK111" s="342"/>
    </row>
    <row r="112">
      <c r="A112" s="753"/>
      <c r="B112" s="202" t="s">
        <v>271</v>
      </c>
      <c r="C112" s="196" t="s">
        <v>271</v>
      </c>
      <c r="D112" s="197" t="s">
        <v>271</v>
      </c>
      <c r="E112" s="199" t="s">
        <v>271</v>
      </c>
      <c r="F112" s="201" t="s">
        <v>271</v>
      </c>
      <c r="G112" s="202" t="s">
        <v>271</v>
      </c>
      <c r="H112" s="303"/>
      <c r="I112" s="303"/>
      <c r="J112" s="303"/>
      <c r="K112" s="303"/>
      <c r="L112" s="303"/>
      <c r="M112" s="303"/>
      <c r="N112" s="303"/>
      <c r="O112" s="303"/>
      <c r="P112" s="217"/>
      <c r="Q112" s="348"/>
      <c r="R112" s="348"/>
      <c r="S112" s="348"/>
      <c r="T112" s="348"/>
      <c r="U112" s="348"/>
      <c r="V112" s="348"/>
      <c r="W112" s="217"/>
      <c r="X112" s="313"/>
      <c r="Y112" s="313"/>
      <c r="Z112" s="313"/>
      <c r="AA112" s="602"/>
      <c r="AB112" s="313"/>
      <c r="AC112" s="313"/>
      <c r="AD112" s="313"/>
      <c r="AE112" s="313"/>
      <c r="AF112" s="313"/>
      <c r="AG112" s="313"/>
      <c r="AH112" s="253"/>
      <c r="AI112" s="217"/>
      <c r="AJ112" s="318"/>
      <c r="AK112" s="318"/>
      <c r="AL112" s="318"/>
      <c r="AM112" s="318"/>
      <c r="AN112" s="318"/>
      <c r="AO112" s="318"/>
      <c r="AP112" s="318"/>
      <c r="AQ112" s="318"/>
      <c r="AR112" s="318"/>
      <c r="AS112" s="318"/>
      <c r="AT112" s="318"/>
      <c r="AU112" s="318"/>
      <c r="AV112" s="318"/>
      <c r="AW112" s="318"/>
      <c r="AX112" s="318"/>
      <c r="AY112" s="318"/>
      <c r="AZ112" s="346"/>
      <c r="BA112" s="322"/>
      <c r="BB112" s="322"/>
      <c r="BC112" s="322"/>
      <c r="BD112" s="322"/>
      <c r="BE112" s="322"/>
      <c r="BF112" s="346"/>
      <c r="BG112" s="328"/>
      <c r="BH112" s="328"/>
      <c r="BI112" s="328"/>
      <c r="BJ112" s="328"/>
      <c r="BK112" s="328"/>
      <c r="BL112" s="328"/>
      <c r="BM112" s="328"/>
      <c r="BN112" s="217"/>
      <c r="BO112" s="336"/>
      <c r="BP112" s="333"/>
      <c r="BQ112" s="336"/>
      <c r="BR112" s="336"/>
      <c r="BS112" s="336"/>
      <c r="BT112" s="336"/>
      <c r="BU112" s="336"/>
      <c r="BV112" s="336"/>
      <c r="BW112" s="336"/>
      <c r="BX112" s="217"/>
      <c r="BY112" s="341"/>
      <c r="BZ112" s="341"/>
      <c r="CA112" s="341"/>
      <c r="CB112" s="342"/>
      <c r="CC112" s="341"/>
      <c r="CD112" s="341"/>
      <c r="CE112" s="341"/>
      <c r="CF112" s="341"/>
      <c r="CG112" s="341"/>
      <c r="CH112" s="341"/>
      <c r="CI112" s="341"/>
      <c r="CJ112" s="342"/>
      <c r="CK112" s="342"/>
    </row>
    <row r="113">
      <c r="A113" s="753"/>
      <c r="B113" s="202" t="s">
        <v>271</v>
      </c>
      <c r="C113" s="196" t="s">
        <v>271</v>
      </c>
      <c r="D113" s="197" t="s">
        <v>271</v>
      </c>
      <c r="E113" s="199" t="s">
        <v>271</v>
      </c>
      <c r="F113" s="201" t="s">
        <v>271</v>
      </c>
      <c r="G113" s="202" t="s">
        <v>271</v>
      </c>
      <c r="H113" s="303"/>
      <c r="I113" s="303"/>
      <c r="J113" s="303"/>
      <c r="K113" s="303"/>
      <c r="L113" s="303"/>
      <c r="M113" s="303"/>
      <c r="N113" s="303"/>
      <c r="O113" s="303"/>
      <c r="P113" s="217"/>
      <c r="Q113" s="348"/>
      <c r="R113" s="348"/>
      <c r="S113" s="348"/>
      <c r="T113" s="348"/>
      <c r="U113" s="348"/>
      <c r="V113" s="348"/>
      <c r="W113" s="217"/>
      <c r="X113" s="313"/>
      <c r="Y113" s="313"/>
      <c r="Z113" s="313"/>
      <c r="AA113" s="602"/>
      <c r="AB113" s="313"/>
      <c r="AC113" s="313"/>
      <c r="AD113" s="313"/>
      <c r="AE113" s="313"/>
      <c r="AF113" s="313"/>
      <c r="AG113" s="313"/>
      <c r="AH113" s="253"/>
      <c r="AI113" s="217"/>
      <c r="AJ113" s="318"/>
      <c r="AK113" s="318"/>
      <c r="AL113" s="318"/>
      <c r="AM113" s="318"/>
      <c r="AN113" s="318"/>
      <c r="AO113" s="318"/>
      <c r="AP113" s="318"/>
      <c r="AQ113" s="318"/>
      <c r="AR113" s="318"/>
      <c r="AS113" s="318"/>
      <c r="AT113" s="318"/>
      <c r="AU113" s="318"/>
      <c r="AV113" s="318"/>
      <c r="AW113" s="318"/>
      <c r="AX113" s="318"/>
      <c r="AY113" s="318"/>
      <c r="AZ113" s="346"/>
      <c r="BA113" s="322"/>
      <c r="BB113" s="322"/>
      <c r="BC113" s="322"/>
      <c r="BD113" s="322"/>
      <c r="BE113" s="322"/>
      <c r="BF113" s="346"/>
      <c r="BG113" s="328"/>
      <c r="BH113" s="328"/>
      <c r="BI113" s="328"/>
      <c r="BJ113" s="328"/>
      <c r="BK113" s="328"/>
      <c r="BL113" s="328"/>
      <c r="BM113" s="328"/>
      <c r="BN113" s="217"/>
      <c r="BO113" s="336"/>
      <c r="BP113" s="333"/>
      <c r="BQ113" s="336"/>
      <c r="BR113" s="336"/>
      <c r="BS113" s="336"/>
      <c r="BT113" s="336"/>
      <c r="BU113" s="336"/>
      <c r="BV113" s="336"/>
      <c r="BW113" s="336"/>
      <c r="BX113" s="217"/>
      <c r="BY113" s="341"/>
      <c r="BZ113" s="341"/>
      <c r="CA113" s="341"/>
      <c r="CB113" s="342"/>
      <c r="CC113" s="341"/>
      <c r="CD113" s="341"/>
      <c r="CE113" s="341"/>
      <c r="CF113" s="341"/>
      <c r="CG113" s="341"/>
      <c r="CH113" s="341"/>
      <c r="CI113" s="341"/>
      <c r="CJ113" s="342"/>
      <c r="CK113" s="342"/>
    </row>
    <row r="114">
      <c r="A114" s="753"/>
      <c r="B114" s="202" t="s">
        <v>271</v>
      </c>
      <c r="C114" s="196" t="s">
        <v>271</v>
      </c>
      <c r="D114" s="197" t="s">
        <v>271</v>
      </c>
      <c r="E114" s="199" t="s">
        <v>271</v>
      </c>
      <c r="F114" s="201" t="s">
        <v>271</v>
      </c>
      <c r="G114" s="202" t="s">
        <v>271</v>
      </c>
      <c r="H114" s="303"/>
      <c r="I114" s="303"/>
      <c r="J114" s="303"/>
      <c r="K114" s="303"/>
      <c r="L114" s="303"/>
      <c r="M114" s="303"/>
      <c r="N114" s="303"/>
      <c r="O114" s="303"/>
      <c r="P114" s="217"/>
      <c r="Q114" s="348"/>
      <c r="R114" s="348"/>
      <c r="S114" s="348"/>
      <c r="T114" s="348"/>
      <c r="U114" s="348"/>
      <c r="V114" s="348"/>
      <c r="W114" s="217"/>
      <c r="X114" s="313"/>
      <c r="Y114" s="313"/>
      <c r="Z114" s="313"/>
      <c r="AA114" s="602"/>
      <c r="AB114" s="313"/>
      <c r="AC114" s="313"/>
      <c r="AD114" s="313"/>
      <c r="AE114" s="313"/>
      <c r="AF114" s="313"/>
      <c r="AG114" s="313"/>
      <c r="AH114" s="253"/>
      <c r="AI114" s="217"/>
      <c r="AJ114" s="318"/>
      <c r="AK114" s="318"/>
      <c r="AL114" s="318"/>
      <c r="AM114" s="318"/>
      <c r="AN114" s="318"/>
      <c r="AO114" s="318"/>
      <c r="AP114" s="318"/>
      <c r="AQ114" s="318"/>
      <c r="AR114" s="318"/>
      <c r="AS114" s="318"/>
      <c r="AT114" s="318"/>
      <c r="AU114" s="318"/>
      <c r="AV114" s="318"/>
      <c r="AW114" s="318"/>
      <c r="AX114" s="318"/>
      <c r="AY114" s="318"/>
      <c r="AZ114" s="346"/>
      <c r="BA114" s="322"/>
      <c r="BB114" s="322"/>
      <c r="BC114" s="322"/>
      <c r="BD114" s="322"/>
      <c r="BE114" s="322"/>
      <c r="BF114" s="346"/>
      <c r="BG114" s="328"/>
      <c r="BH114" s="328"/>
      <c r="BI114" s="328"/>
      <c r="BJ114" s="328"/>
      <c r="BK114" s="328"/>
      <c r="BL114" s="328"/>
      <c r="BM114" s="328"/>
      <c r="BN114" s="217"/>
      <c r="BO114" s="336"/>
      <c r="BP114" s="333"/>
      <c r="BQ114" s="336"/>
      <c r="BR114" s="336"/>
      <c r="BS114" s="336"/>
      <c r="BT114" s="336"/>
      <c r="BU114" s="336"/>
      <c r="BV114" s="336"/>
      <c r="BW114" s="336"/>
      <c r="BX114" s="217"/>
      <c r="BY114" s="341"/>
      <c r="BZ114" s="341"/>
      <c r="CA114" s="341"/>
      <c r="CB114" s="342"/>
      <c r="CC114" s="341"/>
      <c r="CD114" s="341"/>
      <c r="CE114" s="341"/>
      <c r="CF114" s="341"/>
      <c r="CG114" s="341"/>
      <c r="CH114" s="341"/>
      <c r="CI114" s="341"/>
      <c r="CJ114" s="342"/>
      <c r="CK114" s="342"/>
    </row>
    <row r="115">
      <c r="A115" s="753"/>
      <c r="B115" s="202" t="s">
        <v>271</v>
      </c>
      <c r="C115" s="196" t="s">
        <v>271</v>
      </c>
      <c r="D115" s="197" t="s">
        <v>271</v>
      </c>
      <c r="E115" s="199" t="s">
        <v>271</v>
      </c>
      <c r="F115" s="201" t="s">
        <v>271</v>
      </c>
      <c r="G115" s="202" t="s">
        <v>271</v>
      </c>
      <c r="H115" s="303"/>
      <c r="I115" s="303"/>
      <c r="J115" s="303"/>
      <c r="K115" s="303"/>
      <c r="L115" s="303"/>
      <c r="M115" s="303"/>
      <c r="N115" s="303"/>
      <c r="O115" s="303"/>
      <c r="P115" s="217"/>
      <c r="Q115" s="348"/>
      <c r="R115" s="348"/>
      <c r="S115" s="348"/>
      <c r="T115" s="348"/>
      <c r="U115" s="348"/>
      <c r="V115" s="348"/>
      <c r="W115" s="217"/>
      <c r="X115" s="313"/>
      <c r="Y115" s="313"/>
      <c r="Z115" s="313"/>
      <c r="AA115" s="602"/>
      <c r="AB115" s="313"/>
      <c r="AC115" s="313"/>
      <c r="AD115" s="313"/>
      <c r="AE115" s="313"/>
      <c r="AF115" s="313"/>
      <c r="AG115" s="313"/>
      <c r="AH115" s="253"/>
      <c r="AI115" s="217"/>
      <c r="AJ115" s="318"/>
      <c r="AK115" s="318"/>
      <c r="AL115" s="318"/>
      <c r="AM115" s="318"/>
      <c r="AN115" s="318"/>
      <c r="AO115" s="318"/>
      <c r="AP115" s="318"/>
      <c r="AQ115" s="318"/>
      <c r="AR115" s="318"/>
      <c r="AS115" s="318"/>
      <c r="AT115" s="318"/>
      <c r="AU115" s="318"/>
      <c r="AV115" s="318"/>
      <c r="AW115" s="318"/>
      <c r="AX115" s="318"/>
      <c r="AY115" s="318"/>
      <c r="AZ115" s="346"/>
      <c r="BA115" s="322"/>
      <c r="BB115" s="322"/>
      <c r="BC115" s="322"/>
      <c r="BD115" s="322"/>
      <c r="BE115" s="322"/>
      <c r="BF115" s="346"/>
      <c r="BG115" s="328"/>
      <c r="BH115" s="328"/>
      <c r="BI115" s="328"/>
      <c r="BJ115" s="328"/>
      <c r="BK115" s="328"/>
      <c r="BL115" s="328"/>
      <c r="BM115" s="328"/>
      <c r="BN115" s="217"/>
      <c r="BO115" s="336"/>
      <c r="BP115" s="333"/>
      <c r="BQ115" s="336"/>
      <c r="BR115" s="336"/>
      <c r="BS115" s="336"/>
      <c r="BT115" s="336"/>
      <c r="BU115" s="336"/>
      <c r="BV115" s="336"/>
      <c r="BW115" s="336"/>
      <c r="BX115" s="217"/>
      <c r="BY115" s="341"/>
      <c r="BZ115" s="341"/>
      <c r="CA115" s="341"/>
      <c r="CB115" s="342"/>
      <c r="CC115" s="341"/>
      <c r="CD115" s="341"/>
      <c r="CE115" s="341"/>
      <c r="CF115" s="341"/>
      <c r="CG115" s="341"/>
      <c r="CH115" s="341"/>
      <c r="CI115" s="341"/>
      <c r="CJ115" s="342"/>
      <c r="CK115" s="342"/>
    </row>
    <row r="116">
      <c r="A116" s="753"/>
      <c r="B116" s="202" t="s">
        <v>271</v>
      </c>
      <c r="C116" s="196" t="s">
        <v>271</v>
      </c>
      <c r="D116" s="197" t="s">
        <v>271</v>
      </c>
      <c r="E116" s="199" t="s">
        <v>271</v>
      </c>
      <c r="F116" s="201" t="s">
        <v>271</v>
      </c>
      <c r="G116" s="202" t="s">
        <v>271</v>
      </c>
      <c r="H116" s="303"/>
      <c r="I116" s="303"/>
      <c r="J116" s="303"/>
      <c r="K116" s="303"/>
      <c r="L116" s="303"/>
      <c r="M116" s="303"/>
      <c r="N116" s="303"/>
      <c r="O116" s="303"/>
      <c r="P116" s="217"/>
      <c r="Q116" s="348"/>
      <c r="R116" s="348"/>
      <c r="S116" s="348"/>
      <c r="T116" s="348"/>
      <c r="U116" s="348"/>
      <c r="V116" s="348"/>
      <c r="W116" s="217"/>
      <c r="X116" s="313"/>
      <c r="Y116" s="313"/>
      <c r="Z116" s="313"/>
      <c r="AA116" s="602"/>
      <c r="AB116" s="313"/>
      <c r="AC116" s="313"/>
      <c r="AD116" s="313"/>
      <c r="AE116" s="313"/>
      <c r="AF116" s="313"/>
      <c r="AG116" s="313"/>
      <c r="AH116" s="253"/>
      <c r="AI116" s="217"/>
      <c r="AJ116" s="318"/>
      <c r="AK116" s="318"/>
      <c r="AL116" s="318"/>
      <c r="AM116" s="318"/>
      <c r="AN116" s="318"/>
      <c r="AO116" s="318"/>
      <c r="AP116" s="318"/>
      <c r="AQ116" s="318"/>
      <c r="AR116" s="318"/>
      <c r="AS116" s="318"/>
      <c r="AT116" s="318"/>
      <c r="AU116" s="318"/>
      <c r="AV116" s="318"/>
      <c r="AW116" s="318"/>
      <c r="AX116" s="318"/>
      <c r="AY116" s="318"/>
      <c r="AZ116" s="346"/>
      <c r="BA116" s="322"/>
      <c r="BB116" s="322"/>
      <c r="BC116" s="322"/>
      <c r="BD116" s="322"/>
      <c r="BE116" s="322"/>
      <c r="BF116" s="346"/>
      <c r="BG116" s="328"/>
      <c r="BH116" s="328"/>
      <c r="BI116" s="328"/>
      <c r="BJ116" s="328"/>
      <c r="BK116" s="328"/>
      <c r="BL116" s="328"/>
      <c r="BM116" s="328"/>
      <c r="BN116" s="217"/>
      <c r="BO116" s="336"/>
      <c r="BP116" s="333"/>
      <c r="BQ116" s="336"/>
      <c r="BR116" s="336"/>
      <c r="BS116" s="336"/>
      <c r="BT116" s="336"/>
      <c r="BU116" s="336"/>
      <c r="BV116" s="336"/>
      <c r="BW116" s="336"/>
      <c r="BX116" s="217"/>
      <c r="BY116" s="341"/>
      <c r="BZ116" s="341"/>
      <c r="CA116" s="341"/>
      <c r="CB116" s="342"/>
      <c r="CC116" s="341"/>
      <c r="CD116" s="341"/>
      <c r="CE116" s="341"/>
      <c r="CF116" s="341"/>
      <c r="CG116" s="341"/>
      <c r="CH116" s="341"/>
      <c r="CI116" s="341"/>
      <c r="CJ116" s="342"/>
      <c r="CK116" s="342"/>
    </row>
    <row r="117">
      <c r="A117" s="753"/>
      <c r="B117" s="202" t="s">
        <v>271</v>
      </c>
      <c r="C117" s="196" t="s">
        <v>271</v>
      </c>
      <c r="D117" s="197" t="s">
        <v>271</v>
      </c>
      <c r="E117" s="199" t="s">
        <v>271</v>
      </c>
      <c r="F117" s="201" t="s">
        <v>271</v>
      </c>
      <c r="G117" s="202" t="s">
        <v>271</v>
      </c>
      <c r="H117" s="303"/>
      <c r="I117" s="303"/>
      <c r="J117" s="303"/>
      <c r="K117" s="303"/>
      <c r="L117" s="303"/>
      <c r="M117" s="303"/>
      <c r="N117" s="303"/>
      <c r="O117" s="303"/>
      <c r="P117" s="217"/>
      <c r="Q117" s="348"/>
      <c r="R117" s="348"/>
      <c r="S117" s="348"/>
      <c r="T117" s="348"/>
      <c r="U117" s="348"/>
      <c r="V117" s="348"/>
      <c r="W117" s="217"/>
      <c r="X117" s="313"/>
      <c r="Y117" s="313"/>
      <c r="Z117" s="313"/>
      <c r="AA117" s="602"/>
      <c r="AB117" s="313"/>
      <c r="AC117" s="313"/>
      <c r="AD117" s="313"/>
      <c r="AE117" s="313"/>
      <c r="AF117" s="313"/>
      <c r="AG117" s="313"/>
      <c r="AH117" s="253"/>
      <c r="AI117" s="217"/>
      <c r="AJ117" s="318"/>
      <c r="AK117" s="318"/>
      <c r="AL117" s="318"/>
      <c r="AM117" s="318"/>
      <c r="AN117" s="318"/>
      <c r="AO117" s="318"/>
      <c r="AP117" s="318"/>
      <c r="AQ117" s="318"/>
      <c r="AR117" s="318"/>
      <c r="AS117" s="318"/>
      <c r="AT117" s="318"/>
      <c r="AU117" s="318"/>
      <c r="AV117" s="318"/>
      <c r="AW117" s="318"/>
      <c r="AX117" s="318"/>
      <c r="AY117" s="318"/>
      <c r="AZ117" s="346"/>
      <c r="BA117" s="322"/>
      <c r="BB117" s="322"/>
      <c r="BC117" s="322"/>
      <c r="BD117" s="322"/>
      <c r="BE117" s="322"/>
      <c r="BF117" s="346"/>
      <c r="BG117" s="328"/>
      <c r="BH117" s="328"/>
      <c r="BI117" s="328"/>
      <c r="BJ117" s="328"/>
      <c r="BK117" s="328"/>
      <c r="BL117" s="328"/>
      <c r="BM117" s="328"/>
      <c r="BN117" s="217"/>
      <c r="BO117" s="336"/>
      <c r="BP117" s="333"/>
      <c r="BQ117" s="336"/>
      <c r="BR117" s="336"/>
      <c r="BS117" s="336"/>
      <c r="BT117" s="336"/>
      <c r="BU117" s="336"/>
      <c r="BV117" s="336"/>
      <c r="BW117" s="336"/>
      <c r="BX117" s="217"/>
      <c r="BY117" s="341"/>
      <c r="BZ117" s="341"/>
      <c r="CA117" s="341"/>
      <c r="CB117" s="342"/>
      <c r="CC117" s="341"/>
      <c r="CD117" s="341"/>
      <c r="CE117" s="341"/>
      <c r="CF117" s="341"/>
      <c r="CG117" s="341"/>
      <c r="CH117" s="341"/>
      <c r="CI117" s="341"/>
      <c r="CJ117" s="342"/>
      <c r="CK117" s="342"/>
    </row>
    <row r="118">
      <c r="A118" s="753"/>
      <c r="B118" s="202" t="s">
        <v>271</v>
      </c>
      <c r="C118" s="196" t="s">
        <v>271</v>
      </c>
      <c r="D118" s="197" t="s">
        <v>271</v>
      </c>
      <c r="E118" s="199" t="s">
        <v>271</v>
      </c>
      <c r="F118" s="201" t="s">
        <v>271</v>
      </c>
      <c r="G118" s="202" t="s">
        <v>271</v>
      </c>
      <c r="H118" s="303"/>
      <c r="I118" s="303"/>
      <c r="J118" s="303"/>
      <c r="K118" s="303"/>
      <c r="L118" s="303"/>
      <c r="M118" s="303"/>
      <c r="N118" s="303"/>
      <c r="O118" s="303"/>
      <c r="P118" s="217"/>
      <c r="Q118" s="348"/>
      <c r="R118" s="348"/>
      <c r="S118" s="348"/>
      <c r="T118" s="348"/>
      <c r="U118" s="348"/>
      <c r="V118" s="348"/>
      <c r="W118" s="217"/>
      <c r="X118" s="313"/>
      <c r="Y118" s="313"/>
      <c r="Z118" s="313"/>
      <c r="AA118" s="602"/>
      <c r="AB118" s="313"/>
      <c r="AC118" s="313"/>
      <c r="AD118" s="313"/>
      <c r="AE118" s="313"/>
      <c r="AF118" s="313"/>
      <c r="AG118" s="313"/>
      <c r="AH118" s="253"/>
      <c r="AI118" s="217"/>
      <c r="AJ118" s="318"/>
      <c r="AK118" s="318"/>
      <c r="AL118" s="318"/>
      <c r="AM118" s="318"/>
      <c r="AN118" s="318"/>
      <c r="AO118" s="318"/>
      <c r="AP118" s="318"/>
      <c r="AQ118" s="318"/>
      <c r="AR118" s="318"/>
      <c r="AS118" s="318"/>
      <c r="AT118" s="318"/>
      <c r="AU118" s="318"/>
      <c r="AV118" s="318"/>
      <c r="AW118" s="318"/>
      <c r="AX118" s="318"/>
      <c r="AY118" s="318"/>
      <c r="AZ118" s="346"/>
      <c r="BA118" s="322"/>
      <c r="BB118" s="322"/>
      <c r="BC118" s="322"/>
      <c r="BD118" s="322"/>
      <c r="BE118" s="322"/>
      <c r="BF118" s="346"/>
      <c r="BG118" s="328"/>
      <c r="BH118" s="328"/>
      <c r="BI118" s="328"/>
      <c r="BJ118" s="328"/>
      <c r="BK118" s="328"/>
      <c r="BL118" s="328"/>
      <c r="BM118" s="328"/>
      <c r="BN118" s="217"/>
      <c r="BO118" s="336"/>
      <c r="BP118" s="333"/>
      <c r="BQ118" s="336"/>
      <c r="BR118" s="336"/>
      <c r="BS118" s="336"/>
      <c r="BT118" s="336"/>
      <c r="BU118" s="336"/>
      <c r="BV118" s="336"/>
      <c r="BW118" s="336"/>
      <c r="BX118" s="217"/>
      <c r="BY118" s="341"/>
      <c r="BZ118" s="341"/>
      <c r="CA118" s="341"/>
      <c r="CB118" s="342"/>
      <c r="CC118" s="341"/>
      <c r="CD118" s="341"/>
      <c r="CE118" s="341"/>
      <c r="CF118" s="341"/>
      <c r="CG118" s="341"/>
      <c r="CH118" s="341"/>
      <c r="CI118" s="341"/>
      <c r="CJ118" s="342"/>
      <c r="CK118" s="342"/>
    </row>
    <row r="119">
      <c r="A119" s="753"/>
      <c r="B119" s="202" t="s">
        <v>271</v>
      </c>
      <c r="C119" s="196" t="s">
        <v>271</v>
      </c>
      <c r="D119" s="197" t="s">
        <v>271</v>
      </c>
      <c r="E119" s="199" t="s">
        <v>271</v>
      </c>
      <c r="F119" s="201" t="s">
        <v>271</v>
      </c>
      <c r="G119" s="202" t="s">
        <v>271</v>
      </c>
      <c r="H119" s="303"/>
      <c r="I119" s="303"/>
      <c r="J119" s="303"/>
      <c r="K119" s="303"/>
      <c r="L119" s="303"/>
      <c r="M119" s="303"/>
      <c r="N119" s="303"/>
      <c r="O119" s="303"/>
      <c r="P119" s="217"/>
      <c r="Q119" s="348"/>
      <c r="R119" s="348"/>
      <c r="S119" s="348"/>
      <c r="T119" s="348"/>
      <c r="U119" s="348"/>
      <c r="V119" s="348"/>
      <c r="W119" s="217"/>
      <c r="X119" s="313"/>
      <c r="Y119" s="313"/>
      <c r="Z119" s="313"/>
      <c r="AA119" s="602"/>
      <c r="AB119" s="313"/>
      <c r="AC119" s="313"/>
      <c r="AD119" s="313"/>
      <c r="AE119" s="313"/>
      <c r="AF119" s="313"/>
      <c r="AG119" s="313"/>
      <c r="AH119" s="253"/>
      <c r="AI119" s="217"/>
      <c r="AJ119" s="318"/>
      <c r="AK119" s="318"/>
      <c r="AL119" s="318"/>
      <c r="AM119" s="318"/>
      <c r="AN119" s="318"/>
      <c r="AO119" s="318"/>
      <c r="AP119" s="318"/>
      <c r="AQ119" s="318"/>
      <c r="AR119" s="318"/>
      <c r="AS119" s="318"/>
      <c r="AT119" s="318"/>
      <c r="AU119" s="318"/>
      <c r="AV119" s="318"/>
      <c r="AW119" s="318"/>
      <c r="AX119" s="318"/>
      <c r="AY119" s="318"/>
      <c r="AZ119" s="346"/>
      <c r="BA119" s="322"/>
      <c r="BB119" s="322"/>
      <c r="BC119" s="322"/>
      <c r="BD119" s="322"/>
      <c r="BE119" s="322"/>
      <c r="BF119" s="346"/>
      <c r="BG119" s="328"/>
      <c r="BH119" s="328"/>
      <c r="BI119" s="328"/>
      <c r="BJ119" s="328"/>
      <c r="BK119" s="328"/>
      <c r="BL119" s="328"/>
      <c r="BM119" s="328"/>
      <c r="BN119" s="217"/>
      <c r="BO119" s="336"/>
      <c r="BP119" s="333"/>
      <c r="BQ119" s="336"/>
      <c r="BR119" s="336"/>
      <c r="BS119" s="336"/>
      <c r="BT119" s="336"/>
      <c r="BU119" s="336"/>
      <c r="BV119" s="336"/>
      <c r="BW119" s="336"/>
      <c r="BX119" s="217"/>
      <c r="BY119" s="341"/>
      <c r="BZ119" s="341"/>
      <c r="CA119" s="341"/>
      <c r="CB119" s="342"/>
      <c r="CC119" s="341"/>
      <c r="CD119" s="341"/>
      <c r="CE119" s="341"/>
      <c r="CF119" s="341"/>
      <c r="CG119" s="341"/>
      <c r="CH119" s="341"/>
      <c r="CI119" s="341"/>
      <c r="CJ119" s="342"/>
      <c r="CK119" s="342"/>
    </row>
    <row r="120">
      <c r="A120" s="753"/>
      <c r="B120" s="202" t="s">
        <v>271</v>
      </c>
      <c r="C120" s="196" t="s">
        <v>271</v>
      </c>
      <c r="D120" s="197" t="s">
        <v>271</v>
      </c>
      <c r="E120" s="199" t="s">
        <v>271</v>
      </c>
      <c r="F120" s="201" t="s">
        <v>271</v>
      </c>
      <c r="G120" s="202" t="s">
        <v>271</v>
      </c>
      <c r="H120" s="303"/>
      <c r="I120" s="303"/>
      <c r="J120" s="303"/>
      <c r="K120" s="303"/>
      <c r="L120" s="303"/>
      <c r="M120" s="303"/>
      <c r="N120" s="303"/>
      <c r="O120" s="303"/>
      <c r="P120" s="217"/>
      <c r="Q120" s="348"/>
      <c r="R120" s="348"/>
      <c r="S120" s="348"/>
      <c r="T120" s="348"/>
      <c r="U120" s="348"/>
      <c r="V120" s="348"/>
      <c r="W120" s="217"/>
      <c r="X120" s="313"/>
      <c r="Y120" s="313"/>
      <c r="Z120" s="313"/>
      <c r="AA120" s="602"/>
      <c r="AB120" s="313"/>
      <c r="AC120" s="313"/>
      <c r="AD120" s="313"/>
      <c r="AE120" s="313"/>
      <c r="AF120" s="313"/>
      <c r="AG120" s="313"/>
      <c r="AH120" s="253"/>
      <c r="AI120" s="217"/>
      <c r="AJ120" s="318"/>
      <c r="AK120" s="318"/>
      <c r="AL120" s="318"/>
      <c r="AM120" s="318"/>
      <c r="AN120" s="318"/>
      <c r="AO120" s="318"/>
      <c r="AP120" s="318"/>
      <c r="AQ120" s="318"/>
      <c r="AR120" s="318"/>
      <c r="AS120" s="318"/>
      <c r="AT120" s="318"/>
      <c r="AU120" s="318"/>
      <c r="AV120" s="318"/>
      <c r="AW120" s="318"/>
      <c r="AX120" s="318"/>
      <c r="AY120" s="318"/>
      <c r="AZ120" s="346"/>
      <c r="BA120" s="322"/>
      <c r="BB120" s="322"/>
      <c r="BC120" s="322"/>
      <c r="BD120" s="322"/>
      <c r="BE120" s="322"/>
      <c r="BF120" s="346"/>
      <c r="BG120" s="328"/>
      <c r="BH120" s="328"/>
      <c r="BI120" s="328"/>
      <c r="BJ120" s="328"/>
      <c r="BK120" s="328"/>
      <c r="BL120" s="328"/>
      <c r="BM120" s="328"/>
      <c r="BN120" s="217"/>
      <c r="BO120" s="336"/>
      <c r="BP120" s="333"/>
      <c r="BQ120" s="336"/>
      <c r="BR120" s="336"/>
      <c r="BS120" s="336"/>
      <c r="BT120" s="336"/>
      <c r="BU120" s="336"/>
      <c r="BV120" s="336"/>
      <c r="BW120" s="336"/>
      <c r="BX120" s="217"/>
      <c r="BY120" s="341"/>
      <c r="BZ120" s="341"/>
      <c r="CA120" s="341"/>
      <c r="CB120" s="342"/>
      <c r="CC120" s="341"/>
      <c r="CD120" s="341"/>
      <c r="CE120" s="341"/>
      <c r="CF120" s="341"/>
      <c r="CG120" s="341"/>
      <c r="CH120" s="341"/>
      <c r="CI120" s="341"/>
      <c r="CJ120" s="342"/>
      <c r="CK120" s="342"/>
    </row>
    <row r="121">
      <c r="A121" s="753"/>
      <c r="B121" s="202" t="s">
        <v>271</v>
      </c>
      <c r="C121" s="196" t="s">
        <v>271</v>
      </c>
      <c r="D121" s="197" t="s">
        <v>271</v>
      </c>
      <c r="E121" s="199" t="s">
        <v>271</v>
      </c>
      <c r="F121" s="201" t="s">
        <v>271</v>
      </c>
      <c r="G121" s="202" t="s">
        <v>271</v>
      </c>
      <c r="H121" s="303"/>
      <c r="I121" s="303"/>
      <c r="J121" s="303"/>
      <c r="K121" s="303"/>
      <c r="L121" s="303"/>
      <c r="M121" s="303"/>
      <c r="N121" s="303"/>
      <c r="O121" s="303"/>
      <c r="P121" s="217"/>
      <c r="Q121" s="348"/>
      <c r="R121" s="348"/>
      <c r="S121" s="348"/>
      <c r="T121" s="348"/>
      <c r="U121" s="348"/>
      <c r="V121" s="348"/>
      <c r="W121" s="217"/>
      <c r="X121" s="313"/>
      <c r="Y121" s="313"/>
      <c r="Z121" s="313"/>
      <c r="AA121" s="602"/>
      <c r="AB121" s="313"/>
      <c r="AC121" s="313"/>
      <c r="AD121" s="313"/>
      <c r="AE121" s="313"/>
      <c r="AF121" s="313"/>
      <c r="AG121" s="313"/>
      <c r="AH121" s="253"/>
      <c r="AI121" s="217"/>
      <c r="AJ121" s="318"/>
      <c r="AK121" s="318"/>
      <c r="AL121" s="318"/>
      <c r="AM121" s="318"/>
      <c r="AN121" s="318"/>
      <c r="AO121" s="318"/>
      <c r="AP121" s="318"/>
      <c r="AQ121" s="318"/>
      <c r="AR121" s="318"/>
      <c r="AS121" s="318"/>
      <c r="AT121" s="318"/>
      <c r="AU121" s="318"/>
      <c r="AV121" s="318"/>
      <c r="AW121" s="318"/>
      <c r="AX121" s="318"/>
      <c r="AY121" s="318"/>
      <c r="AZ121" s="346"/>
      <c r="BA121" s="322"/>
      <c r="BB121" s="322"/>
      <c r="BC121" s="322"/>
      <c r="BD121" s="322"/>
      <c r="BE121" s="322"/>
      <c r="BF121" s="346"/>
      <c r="BG121" s="328"/>
      <c r="BH121" s="328"/>
      <c r="BI121" s="328"/>
      <c r="BJ121" s="328"/>
      <c r="BK121" s="328"/>
      <c r="BL121" s="328"/>
      <c r="BM121" s="328"/>
      <c r="BN121" s="217"/>
      <c r="BO121" s="336"/>
      <c r="BP121" s="333"/>
      <c r="BQ121" s="336"/>
      <c r="BR121" s="336"/>
      <c r="BS121" s="336"/>
      <c r="BT121" s="336"/>
      <c r="BU121" s="336"/>
      <c r="BV121" s="336"/>
      <c r="BW121" s="336"/>
      <c r="BX121" s="217"/>
      <c r="BY121" s="341"/>
      <c r="BZ121" s="341"/>
      <c r="CA121" s="341"/>
      <c r="CB121" s="342"/>
      <c r="CC121" s="341"/>
      <c r="CD121" s="341"/>
      <c r="CE121" s="341"/>
      <c r="CF121" s="341"/>
      <c r="CG121" s="341"/>
      <c r="CH121" s="341"/>
      <c r="CI121" s="341"/>
      <c r="CJ121" s="342"/>
      <c r="CK121" s="342"/>
    </row>
    <row r="122">
      <c r="A122" s="753"/>
      <c r="B122" s="202" t="s">
        <v>271</v>
      </c>
      <c r="C122" s="196" t="s">
        <v>271</v>
      </c>
      <c r="D122" s="197" t="s">
        <v>271</v>
      </c>
      <c r="E122" s="199" t="s">
        <v>271</v>
      </c>
      <c r="F122" s="201" t="s">
        <v>271</v>
      </c>
      <c r="G122" s="202" t="s">
        <v>271</v>
      </c>
      <c r="H122" s="303"/>
      <c r="I122" s="303"/>
      <c r="J122" s="303"/>
      <c r="K122" s="303"/>
      <c r="L122" s="303"/>
      <c r="M122" s="303"/>
      <c r="N122" s="303"/>
      <c r="O122" s="303"/>
      <c r="P122" s="217"/>
      <c r="Q122" s="348"/>
      <c r="R122" s="348"/>
      <c r="S122" s="348"/>
      <c r="T122" s="348"/>
      <c r="U122" s="348"/>
      <c r="V122" s="348"/>
      <c r="W122" s="217"/>
      <c r="X122" s="313"/>
      <c r="Y122" s="313"/>
      <c r="Z122" s="313"/>
      <c r="AA122" s="602"/>
      <c r="AB122" s="313"/>
      <c r="AC122" s="313"/>
      <c r="AD122" s="313"/>
      <c r="AE122" s="313"/>
      <c r="AF122" s="313"/>
      <c r="AG122" s="313"/>
      <c r="AH122" s="253"/>
      <c r="AI122" s="217"/>
      <c r="AJ122" s="318"/>
      <c r="AK122" s="318"/>
      <c r="AL122" s="318"/>
      <c r="AM122" s="318"/>
      <c r="AN122" s="318"/>
      <c r="AO122" s="318"/>
      <c r="AP122" s="318"/>
      <c r="AQ122" s="318"/>
      <c r="AR122" s="318"/>
      <c r="AS122" s="318"/>
      <c r="AT122" s="318"/>
      <c r="AU122" s="318"/>
      <c r="AV122" s="318"/>
      <c r="AW122" s="318"/>
      <c r="AX122" s="318"/>
      <c r="AY122" s="318"/>
      <c r="AZ122" s="346"/>
      <c r="BA122" s="322"/>
      <c r="BB122" s="322"/>
      <c r="BC122" s="322"/>
      <c r="BD122" s="322"/>
      <c r="BE122" s="322"/>
      <c r="BF122" s="346"/>
      <c r="BG122" s="328"/>
      <c r="BH122" s="328"/>
      <c r="BI122" s="328"/>
      <c r="BJ122" s="328"/>
      <c r="BK122" s="328"/>
      <c r="BL122" s="328"/>
      <c r="BM122" s="328"/>
      <c r="BN122" s="217"/>
      <c r="BO122" s="336"/>
      <c r="BP122" s="333"/>
      <c r="BQ122" s="336"/>
      <c r="BR122" s="336"/>
      <c r="BS122" s="336"/>
      <c r="BT122" s="336"/>
      <c r="BU122" s="336"/>
      <c r="BV122" s="336"/>
      <c r="BW122" s="336"/>
      <c r="BX122" s="217"/>
      <c r="BY122" s="341"/>
      <c r="BZ122" s="341"/>
      <c r="CA122" s="341"/>
      <c r="CB122" s="342"/>
      <c r="CC122" s="341"/>
      <c r="CD122" s="341"/>
      <c r="CE122" s="341"/>
      <c r="CF122" s="341"/>
      <c r="CG122" s="341"/>
      <c r="CH122" s="341"/>
      <c r="CI122" s="341"/>
      <c r="CJ122" s="342"/>
      <c r="CK122" s="342"/>
    </row>
    <row r="123">
      <c r="A123" s="753"/>
      <c r="B123" s="202" t="s">
        <v>271</v>
      </c>
      <c r="C123" s="196" t="s">
        <v>271</v>
      </c>
      <c r="D123" s="197" t="s">
        <v>271</v>
      </c>
      <c r="E123" s="199" t="s">
        <v>271</v>
      </c>
      <c r="F123" s="201" t="s">
        <v>271</v>
      </c>
      <c r="G123" s="202" t="s">
        <v>271</v>
      </c>
      <c r="H123" s="303"/>
      <c r="I123" s="303"/>
      <c r="J123" s="303"/>
      <c r="K123" s="303"/>
      <c r="L123" s="303"/>
      <c r="M123" s="303"/>
      <c r="N123" s="303"/>
      <c r="O123" s="303"/>
      <c r="P123" s="217"/>
      <c r="Q123" s="348"/>
      <c r="R123" s="348"/>
      <c r="S123" s="348"/>
      <c r="T123" s="348"/>
      <c r="U123" s="348"/>
      <c r="V123" s="348"/>
      <c r="W123" s="217"/>
      <c r="X123" s="313"/>
      <c r="Y123" s="313"/>
      <c r="Z123" s="313"/>
      <c r="AA123" s="602"/>
      <c r="AB123" s="313"/>
      <c r="AC123" s="313"/>
      <c r="AD123" s="313"/>
      <c r="AE123" s="313"/>
      <c r="AF123" s="313"/>
      <c r="AG123" s="313"/>
      <c r="AH123" s="253"/>
      <c r="AI123" s="217"/>
      <c r="AJ123" s="318"/>
      <c r="AK123" s="318"/>
      <c r="AL123" s="318"/>
      <c r="AM123" s="318"/>
      <c r="AN123" s="318"/>
      <c r="AO123" s="318"/>
      <c r="AP123" s="318"/>
      <c r="AQ123" s="318"/>
      <c r="AR123" s="318"/>
      <c r="AS123" s="318"/>
      <c r="AT123" s="318"/>
      <c r="AU123" s="318"/>
      <c r="AV123" s="318"/>
      <c r="AW123" s="318"/>
      <c r="AX123" s="318"/>
      <c r="AY123" s="318"/>
      <c r="AZ123" s="346"/>
      <c r="BA123" s="322"/>
      <c r="BB123" s="322"/>
      <c r="BC123" s="322"/>
      <c r="BD123" s="322"/>
      <c r="BE123" s="322"/>
      <c r="BF123" s="346"/>
      <c r="BG123" s="328"/>
      <c r="BH123" s="328"/>
      <c r="BI123" s="328"/>
      <c r="BJ123" s="328"/>
      <c r="BK123" s="328"/>
      <c r="BL123" s="328"/>
      <c r="BM123" s="328"/>
      <c r="BN123" s="217"/>
      <c r="BO123" s="336"/>
      <c r="BP123" s="333"/>
      <c r="BQ123" s="336"/>
      <c r="BR123" s="336"/>
      <c r="BS123" s="336"/>
      <c r="BT123" s="336"/>
      <c r="BU123" s="336"/>
      <c r="BV123" s="336"/>
      <c r="BW123" s="336"/>
      <c r="BX123" s="217"/>
      <c r="BY123" s="341"/>
      <c r="BZ123" s="341"/>
      <c r="CA123" s="341"/>
      <c r="CB123" s="342"/>
      <c r="CC123" s="341"/>
      <c r="CD123" s="341"/>
      <c r="CE123" s="341"/>
      <c r="CF123" s="341"/>
      <c r="CG123" s="341"/>
      <c r="CH123" s="341"/>
      <c r="CI123" s="341"/>
      <c r="CJ123" s="342"/>
      <c r="CK123" s="342"/>
    </row>
    <row r="124">
      <c r="A124" s="753"/>
      <c r="B124" s="202" t="s">
        <v>271</v>
      </c>
      <c r="C124" s="196" t="s">
        <v>271</v>
      </c>
      <c r="D124" s="197" t="s">
        <v>271</v>
      </c>
      <c r="E124" s="199" t="s">
        <v>271</v>
      </c>
      <c r="F124" s="201" t="s">
        <v>271</v>
      </c>
      <c r="G124" s="202" t="s">
        <v>271</v>
      </c>
      <c r="H124" s="303"/>
      <c r="I124" s="303"/>
      <c r="J124" s="303"/>
      <c r="K124" s="303"/>
      <c r="L124" s="303"/>
      <c r="M124" s="303"/>
      <c r="N124" s="303"/>
      <c r="O124" s="303"/>
      <c r="P124" s="217"/>
      <c r="Q124" s="348"/>
      <c r="R124" s="348"/>
      <c r="S124" s="348"/>
      <c r="T124" s="348"/>
      <c r="U124" s="348"/>
      <c r="V124" s="348"/>
      <c r="W124" s="217"/>
      <c r="X124" s="313"/>
      <c r="Y124" s="313"/>
      <c r="Z124" s="313"/>
      <c r="AA124" s="602"/>
      <c r="AB124" s="313"/>
      <c r="AC124" s="313"/>
      <c r="AD124" s="313"/>
      <c r="AE124" s="313"/>
      <c r="AF124" s="313"/>
      <c r="AG124" s="313"/>
      <c r="AH124" s="253"/>
      <c r="AI124" s="217"/>
      <c r="AJ124" s="318"/>
      <c r="AK124" s="318"/>
      <c r="AL124" s="318"/>
      <c r="AM124" s="318"/>
      <c r="AN124" s="318"/>
      <c r="AO124" s="318"/>
      <c r="AP124" s="318"/>
      <c r="AQ124" s="318"/>
      <c r="AR124" s="318"/>
      <c r="AS124" s="318"/>
      <c r="AT124" s="318"/>
      <c r="AU124" s="318"/>
      <c r="AV124" s="318"/>
      <c r="AW124" s="318"/>
      <c r="AX124" s="318"/>
      <c r="AY124" s="318"/>
      <c r="AZ124" s="346"/>
      <c r="BA124" s="322"/>
      <c r="BB124" s="322"/>
      <c r="BC124" s="322"/>
      <c r="BD124" s="322"/>
      <c r="BE124" s="322"/>
      <c r="BF124" s="346"/>
      <c r="BG124" s="328"/>
      <c r="BH124" s="328"/>
      <c r="BI124" s="328"/>
      <c r="BJ124" s="328"/>
      <c r="BK124" s="328"/>
      <c r="BL124" s="328"/>
      <c r="BM124" s="328"/>
      <c r="BN124" s="217"/>
      <c r="BO124" s="336"/>
      <c r="BP124" s="333"/>
      <c r="BQ124" s="336"/>
      <c r="BR124" s="336"/>
      <c r="BS124" s="336"/>
      <c r="BT124" s="336"/>
      <c r="BU124" s="336"/>
      <c r="BV124" s="336"/>
      <c r="BW124" s="336"/>
      <c r="BX124" s="217"/>
      <c r="BY124" s="341"/>
      <c r="BZ124" s="341"/>
      <c r="CA124" s="341"/>
      <c r="CB124" s="342"/>
      <c r="CC124" s="341"/>
      <c r="CD124" s="341"/>
      <c r="CE124" s="341"/>
      <c r="CF124" s="341"/>
      <c r="CG124" s="341"/>
      <c r="CH124" s="341"/>
      <c r="CI124" s="341"/>
      <c r="CJ124" s="342"/>
      <c r="CK124" s="342"/>
    </row>
    <row r="125">
      <c r="A125" s="753"/>
      <c r="B125" s="202" t="s">
        <v>271</v>
      </c>
      <c r="C125" s="196" t="s">
        <v>271</v>
      </c>
      <c r="D125" s="197" t="s">
        <v>271</v>
      </c>
      <c r="E125" s="199" t="s">
        <v>271</v>
      </c>
      <c r="F125" s="201" t="s">
        <v>271</v>
      </c>
      <c r="G125" s="202" t="s">
        <v>271</v>
      </c>
      <c r="H125" s="303"/>
      <c r="I125" s="303"/>
      <c r="J125" s="303"/>
      <c r="K125" s="303"/>
      <c r="L125" s="303"/>
      <c r="M125" s="303"/>
      <c r="N125" s="303"/>
      <c r="O125" s="303"/>
      <c r="P125" s="217"/>
      <c r="Q125" s="348"/>
      <c r="R125" s="348"/>
      <c r="S125" s="348"/>
      <c r="T125" s="348"/>
      <c r="U125" s="348"/>
      <c r="V125" s="348"/>
      <c r="W125" s="217"/>
      <c r="X125" s="313"/>
      <c r="Y125" s="313"/>
      <c r="Z125" s="313"/>
      <c r="AA125" s="602"/>
      <c r="AB125" s="313"/>
      <c r="AC125" s="313"/>
      <c r="AD125" s="313"/>
      <c r="AE125" s="313"/>
      <c r="AF125" s="313"/>
      <c r="AG125" s="313"/>
      <c r="AH125" s="253"/>
      <c r="AI125" s="217"/>
      <c r="AJ125" s="318"/>
      <c r="AK125" s="318"/>
      <c r="AL125" s="318"/>
      <c r="AM125" s="318"/>
      <c r="AN125" s="318"/>
      <c r="AO125" s="318"/>
      <c r="AP125" s="318"/>
      <c r="AQ125" s="318"/>
      <c r="AR125" s="318"/>
      <c r="AS125" s="318"/>
      <c r="AT125" s="318"/>
      <c r="AU125" s="318"/>
      <c r="AV125" s="318"/>
      <c r="AW125" s="318"/>
      <c r="AX125" s="318"/>
      <c r="AY125" s="318"/>
      <c r="AZ125" s="346"/>
      <c r="BA125" s="322"/>
      <c r="BB125" s="322"/>
      <c r="BC125" s="322"/>
      <c r="BD125" s="322"/>
      <c r="BE125" s="322"/>
      <c r="BF125" s="346"/>
      <c r="BG125" s="328"/>
      <c r="BH125" s="328"/>
      <c r="BI125" s="328"/>
      <c r="BJ125" s="328"/>
      <c r="BK125" s="328"/>
      <c r="BL125" s="328"/>
      <c r="BM125" s="328"/>
      <c r="BN125" s="217"/>
      <c r="BO125" s="336"/>
      <c r="BP125" s="333"/>
      <c r="BQ125" s="336"/>
      <c r="BR125" s="336"/>
      <c r="BS125" s="336"/>
      <c r="BT125" s="336"/>
      <c r="BU125" s="336"/>
      <c r="BV125" s="336"/>
      <c r="BW125" s="336"/>
      <c r="BX125" s="217"/>
      <c r="BY125" s="341"/>
      <c r="BZ125" s="341"/>
      <c r="CA125" s="341"/>
      <c r="CB125" s="342"/>
      <c r="CC125" s="341"/>
      <c r="CD125" s="341"/>
      <c r="CE125" s="341"/>
      <c r="CF125" s="341"/>
      <c r="CG125" s="341"/>
      <c r="CH125" s="341"/>
      <c r="CI125" s="341"/>
      <c r="CJ125" s="342"/>
      <c r="CK125" s="342"/>
    </row>
    <row r="126">
      <c r="A126" s="753"/>
      <c r="B126" s="202" t="s">
        <v>271</v>
      </c>
      <c r="C126" s="196" t="s">
        <v>271</v>
      </c>
      <c r="D126" s="197" t="s">
        <v>271</v>
      </c>
      <c r="E126" s="199" t="s">
        <v>271</v>
      </c>
      <c r="F126" s="201" t="s">
        <v>271</v>
      </c>
      <c r="G126" s="202" t="s">
        <v>271</v>
      </c>
      <c r="H126" s="303"/>
      <c r="I126" s="303"/>
      <c r="J126" s="303"/>
      <c r="K126" s="303"/>
      <c r="L126" s="303"/>
      <c r="M126" s="303"/>
      <c r="N126" s="303"/>
      <c r="O126" s="303"/>
      <c r="P126" s="217"/>
      <c r="Q126" s="348"/>
      <c r="R126" s="348"/>
      <c r="S126" s="348"/>
      <c r="T126" s="348"/>
      <c r="U126" s="348"/>
      <c r="V126" s="348"/>
      <c r="W126" s="217"/>
      <c r="X126" s="313"/>
      <c r="Y126" s="313"/>
      <c r="Z126" s="313"/>
      <c r="AA126" s="602"/>
      <c r="AB126" s="313"/>
      <c r="AC126" s="313"/>
      <c r="AD126" s="313"/>
      <c r="AE126" s="313"/>
      <c r="AF126" s="313"/>
      <c r="AG126" s="313"/>
      <c r="AH126" s="253"/>
      <c r="AI126" s="217"/>
      <c r="AJ126" s="318"/>
      <c r="AK126" s="318"/>
      <c r="AL126" s="318"/>
      <c r="AM126" s="318"/>
      <c r="AN126" s="318"/>
      <c r="AO126" s="318"/>
      <c r="AP126" s="318"/>
      <c r="AQ126" s="318"/>
      <c r="AR126" s="318"/>
      <c r="AS126" s="318"/>
      <c r="AT126" s="318"/>
      <c r="AU126" s="318"/>
      <c r="AV126" s="318"/>
      <c r="AW126" s="318"/>
      <c r="AX126" s="318"/>
      <c r="AY126" s="318"/>
      <c r="AZ126" s="346"/>
      <c r="BA126" s="322"/>
      <c r="BB126" s="322"/>
      <c r="BC126" s="322"/>
      <c r="BD126" s="322"/>
      <c r="BE126" s="322"/>
      <c r="BF126" s="346"/>
      <c r="BG126" s="328"/>
      <c r="BH126" s="328"/>
      <c r="BI126" s="328"/>
      <c r="BJ126" s="328"/>
      <c r="BK126" s="328"/>
      <c r="BL126" s="328"/>
      <c r="BM126" s="328"/>
      <c r="BN126" s="217"/>
      <c r="BO126" s="336"/>
      <c r="BP126" s="333"/>
      <c r="BQ126" s="336"/>
      <c r="BR126" s="336"/>
      <c r="BS126" s="336"/>
      <c r="BT126" s="336"/>
      <c r="BU126" s="336"/>
      <c r="BV126" s="336"/>
      <c r="BW126" s="336"/>
      <c r="BX126" s="217"/>
      <c r="BY126" s="341"/>
      <c r="BZ126" s="341"/>
      <c r="CA126" s="341"/>
      <c r="CB126" s="342"/>
      <c r="CC126" s="341"/>
      <c r="CD126" s="341"/>
      <c r="CE126" s="341"/>
      <c r="CF126" s="341"/>
      <c r="CG126" s="341"/>
      <c r="CH126" s="341"/>
      <c r="CI126" s="341"/>
      <c r="CJ126" s="342"/>
      <c r="CK126" s="342"/>
    </row>
    <row r="127">
      <c r="A127" s="753"/>
      <c r="B127" s="202" t="s">
        <v>271</v>
      </c>
      <c r="C127" s="196" t="s">
        <v>271</v>
      </c>
      <c r="D127" s="197" t="s">
        <v>271</v>
      </c>
      <c r="E127" s="199" t="s">
        <v>271</v>
      </c>
      <c r="F127" s="201" t="s">
        <v>271</v>
      </c>
      <c r="G127" s="202" t="s">
        <v>271</v>
      </c>
      <c r="H127" s="303"/>
      <c r="I127" s="303"/>
      <c r="J127" s="303"/>
      <c r="K127" s="303"/>
      <c r="L127" s="303"/>
      <c r="M127" s="303"/>
      <c r="N127" s="303"/>
      <c r="O127" s="303"/>
      <c r="P127" s="217"/>
      <c r="Q127" s="348"/>
      <c r="R127" s="348"/>
      <c r="S127" s="348"/>
      <c r="T127" s="348"/>
      <c r="U127" s="348"/>
      <c r="V127" s="348"/>
      <c r="W127" s="217"/>
      <c r="X127" s="313"/>
      <c r="Y127" s="313"/>
      <c r="Z127" s="313"/>
      <c r="AA127" s="602"/>
      <c r="AB127" s="313"/>
      <c r="AC127" s="313"/>
      <c r="AD127" s="313"/>
      <c r="AE127" s="313"/>
      <c r="AF127" s="313"/>
      <c r="AG127" s="313"/>
      <c r="AH127" s="253"/>
      <c r="AI127" s="217"/>
      <c r="AJ127" s="318"/>
      <c r="AK127" s="318"/>
      <c r="AL127" s="318"/>
      <c r="AM127" s="318"/>
      <c r="AN127" s="318"/>
      <c r="AO127" s="318"/>
      <c r="AP127" s="318"/>
      <c r="AQ127" s="318"/>
      <c r="AR127" s="318"/>
      <c r="AS127" s="318"/>
      <c r="AT127" s="318"/>
      <c r="AU127" s="318"/>
      <c r="AV127" s="318"/>
      <c r="AW127" s="318"/>
      <c r="AX127" s="318"/>
      <c r="AY127" s="318"/>
      <c r="AZ127" s="346"/>
      <c r="BA127" s="322"/>
      <c r="BB127" s="322"/>
      <c r="BC127" s="322"/>
      <c r="BD127" s="322"/>
      <c r="BE127" s="322"/>
      <c r="BF127" s="346"/>
      <c r="BG127" s="328"/>
      <c r="BH127" s="328"/>
      <c r="BI127" s="328"/>
      <c r="BJ127" s="328"/>
      <c r="BK127" s="328"/>
      <c r="BL127" s="328"/>
      <c r="BM127" s="328"/>
      <c r="BN127" s="217"/>
      <c r="BO127" s="336"/>
      <c r="BP127" s="333"/>
      <c r="BQ127" s="336"/>
      <c r="BR127" s="336"/>
      <c r="BS127" s="336"/>
      <c r="BT127" s="336"/>
      <c r="BU127" s="336"/>
      <c r="BV127" s="336"/>
      <c r="BW127" s="336"/>
      <c r="BX127" s="217"/>
      <c r="BY127" s="341"/>
      <c r="BZ127" s="341"/>
      <c r="CA127" s="341"/>
      <c r="CB127" s="342"/>
      <c r="CC127" s="341"/>
      <c r="CD127" s="341"/>
      <c r="CE127" s="341"/>
      <c r="CF127" s="341"/>
      <c r="CG127" s="341"/>
      <c r="CH127" s="341"/>
      <c r="CI127" s="341"/>
      <c r="CJ127" s="342"/>
      <c r="CK127" s="342"/>
    </row>
    <row r="128">
      <c r="A128" s="753"/>
      <c r="B128" s="202" t="s">
        <v>271</v>
      </c>
      <c r="C128" s="196" t="s">
        <v>271</v>
      </c>
      <c r="D128" s="197" t="s">
        <v>271</v>
      </c>
      <c r="E128" s="199" t="s">
        <v>271</v>
      </c>
      <c r="F128" s="201" t="s">
        <v>271</v>
      </c>
      <c r="G128" s="202" t="s">
        <v>271</v>
      </c>
      <c r="H128" s="303"/>
      <c r="I128" s="303"/>
      <c r="J128" s="303"/>
      <c r="K128" s="303"/>
      <c r="L128" s="303"/>
      <c r="M128" s="303"/>
      <c r="N128" s="303"/>
      <c r="O128" s="303"/>
      <c r="P128" s="217"/>
      <c r="Q128" s="348"/>
      <c r="R128" s="348"/>
      <c r="S128" s="348"/>
      <c r="T128" s="348"/>
      <c r="U128" s="348"/>
      <c r="V128" s="348"/>
      <c r="W128" s="217"/>
      <c r="X128" s="313"/>
      <c r="Y128" s="313"/>
      <c r="Z128" s="313"/>
      <c r="AA128" s="602"/>
      <c r="AB128" s="313"/>
      <c r="AC128" s="313"/>
      <c r="AD128" s="313"/>
      <c r="AE128" s="313"/>
      <c r="AF128" s="313"/>
      <c r="AG128" s="313"/>
      <c r="AH128" s="253"/>
      <c r="AI128" s="217"/>
      <c r="AJ128" s="318"/>
      <c r="AK128" s="318"/>
      <c r="AL128" s="318"/>
      <c r="AM128" s="318"/>
      <c r="AN128" s="318"/>
      <c r="AO128" s="318"/>
      <c r="AP128" s="318"/>
      <c r="AQ128" s="318"/>
      <c r="AR128" s="318"/>
      <c r="AS128" s="318"/>
      <c r="AT128" s="318"/>
      <c r="AU128" s="318"/>
      <c r="AV128" s="318"/>
      <c r="AW128" s="318"/>
      <c r="AX128" s="318"/>
      <c r="AY128" s="318"/>
      <c r="AZ128" s="346"/>
      <c r="BA128" s="322"/>
      <c r="BB128" s="322"/>
      <c r="BC128" s="322"/>
      <c r="BD128" s="322"/>
      <c r="BE128" s="322"/>
      <c r="BF128" s="346"/>
      <c r="BG128" s="328"/>
      <c r="BH128" s="328"/>
      <c r="BI128" s="328"/>
      <c r="BJ128" s="328"/>
      <c r="BK128" s="328"/>
      <c r="BL128" s="328"/>
      <c r="BM128" s="328"/>
      <c r="BN128" s="217"/>
      <c r="BO128" s="336"/>
      <c r="BP128" s="333"/>
      <c r="BQ128" s="336"/>
      <c r="BR128" s="336"/>
      <c r="BS128" s="336"/>
      <c r="BT128" s="336"/>
      <c r="BU128" s="336"/>
      <c r="BV128" s="336"/>
      <c r="BW128" s="336"/>
      <c r="BX128" s="217"/>
      <c r="BY128" s="341"/>
      <c r="BZ128" s="341"/>
      <c r="CA128" s="341"/>
      <c r="CB128" s="342"/>
      <c r="CC128" s="341"/>
      <c r="CD128" s="341"/>
      <c r="CE128" s="341"/>
      <c r="CF128" s="341"/>
      <c r="CG128" s="341"/>
      <c r="CH128" s="341"/>
      <c r="CI128" s="341"/>
      <c r="CJ128" s="342"/>
      <c r="CK128" s="342"/>
    </row>
    <row r="129">
      <c r="A129" s="753"/>
      <c r="B129" s="202" t="s">
        <v>271</v>
      </c>
      <c r="C129" s="196" t="s">
        <v>271</v>
      </c>
      <c r="D129" s="197" t="s">
        <v>271</v>
      </c>
      <c r="E129" s="199" t="s">
        <v>271</v>
      </c>
      <c r="F129" s="201" t="s">
        <v>271</v>
      </c>
      <c r="G129" s="202" t="s">
        <v>271</v>
      </c>
      <c r="H129" s="303"/>
      <c r="I129" s="303"/>
      <c r="J129" s="303"/>
      <c r="K129" s="303"/>
      <c r="L129" s="303"/>
      <c r="M129" s="303"/>
      <c r="N129" s="303"/>
      <c r="O129" s="303"/>
      <c r="P129" s="217"/>
      <c r="Q129" s="348"/>
      <c r="R129" s="348"/>
      <c r="S129" s="348"/>
      <c r="T129" s="348"/>
      <c r="U129" s="348"/>
      <c r="V129" s="348"/>
      <c r="W129" s="217"/>
      <c r="X129" s="313"/>
      <c r="Y129" s="313"/>
      <c r="Z129" s="313"/>
      <c r="AA129" s="602"/>
      <c r="AB129" s="313"/>
      <c r="AC129" s="313"/>
      <c r="AD129" s="313"/>
      <c r="AE129" s="313"/>
      <c r="AF129" s="313"/>
      <c r="AG129" s="313"/>
      <c r="AH129" s="253"/>
      <c r="AI129" s="217"/>
      <c r="AJ129" s="318"/>
      <c r="AK129" s="318"/>
      <c r="AL129" s="318"/>
      <c r="AM129" s="318"/>
      <c r="AN129" s="318"/>
      <c r="AO129" s="318"/>
      <c r="AP129" s="318"/>
      <c r="AQ129" s="318"/>
      <c r="AR129" s="318"/>
      <c r="AS129" s="318"/>
      <c r="AT129" s="318"/>
      <c r="AU129" s="318"/>
      <c r="AV129" s="318"/>
      <c r="AW129" s="318"/>
      <c r="AX129" s="318"/>
      <c r="AY129" s="318"/>
      <c r="AZ129" s="346"/>
      <c r="BA129" s="322"/>
      <c r="BB129" s="322"/>
      <c r="BC129" s="322"/>
      <c r="BD129" s="322"/>
      <c r="BE129" s="322"/>
      <c r="BF129" s="346"/>
      <c r="BG129" s="328"/>
      <c r="BH129" s="328"/>
      <c r="BI129" s="328"/>
      <c r="BJ129" s="328"/>
      <c r="BK129" s="328"/>
      <c r="BL129" s="328"/>
      <c r="BM129" s="328"/>
      <c r="BN129" s="217"/>
      <c r="BO129" s="336"/>
      <c r="BP129" s="333"/>
      <c r="BQ129" s="336"/>
      <c r="BR129" s="336"/>
      <c r="BS129" s="336"/>
      <c r="BT129" s="336"/>
      <c r="BU129" s="336"/>
      <c r="BV129" s="336"/>
      <c r="BW129" s="336"/>
      <c r="BX129" s="217"/>
      <c r="BY129" s="341"/>
      <c r="BZ129" s="341"/>
      <c r="CA129" s="341"/>
      <c r="CB129" s="342"/>
      <c r="CC129" s="341"/>
      <c r="CD129" s="341"/>
      <c r="CE129" s="341"/>
      <c r="CF129" s="341"/>
      <c r="CG129" s="341"/>
      <c r="CH129" s="341"/>
      <c r="CI129" s="341"/>
      <c r="CJ129" s="342"/>
      <c r="CK129" s="342"/>
    </row>
    <row r="130">
      <c r="A130" s="753"/>
      <c r="B130" s="202" t="s">
        <v>271</v>
      </c>
      <c r="C130" s="196" t="s">
        <v>271</v>
      </c>
      <c r="D130" s="197" t="s">
        <v>271</v>
      </c>
      <c r="E130" s="199" t="s">
        <v>271</v>
      </c>
      <c r="F130" s="201" t="s">
        <v>271</v>
      </c>
      <c r="G130" s="202" t="s">
        <v>271</v>
      </c>
      <c r="H130" s="303"/>
      <c r="I130" s="303"/>
      <c r="J130" s="303"/>
      <c r="K130" s="303"/>
      <c r="L130" s="303"/>
      <c r="M130" s="303"/>
      <c r="N130" s="303"/>
      <c r="O130" s="303"/>
      <c r="P130" s="217"/>
      <c r="Q130" s="348"/>
      <c r="R130" s="348"/>
      <c r="S130" s="348"/>
      <c r="T130" s="348"/>
      <c r="U130" s="348"/>
      <c r="V130" s="348"/>
      <c r="W130" s="217"/>
      <c r="X130" s="313"/>
      <c r="Y130" s="313"/>
      <c r="Z130" s="313"/>
      <c r="AA130" s="602"/>
      <c r="AB130" s="313"/>
      <c r="AC130" s="313"/>
      <c r="AD130" s="313"/>
      <c r="AE130" s="313"/>
      <c r="AF130" s="313"/>
      <c r="AG130" s="313"/>
      <c r="AH130" s="253"/>
      <c r="AI130" s="217"/>
      <c r="AJ130" s="318"/>
      <c r="AK130" s="318"/>
      <c r="AL130" s="318"/>
      <c r="AM130" s="318"/>
      <c r="AN130" s="318"/>
      <c r="AO130" s="318"/>
      <c r="AP130" s="318"/>
      <c r="AQ130" s="318"/>
      <c r="AR130" s="318"/>
      <c r="AS130" s="318"/>
      <c r="AT130" s="318"/>
      <c r="AU130" s="318"/>
      <c r="AV130" s="318"/>
      <c r="AW130" s="318"/>
      <c r="AX130" s="318"/>
      <c r="AY130" s="318"/>
      <c r="AZ130" s="346"/>
      <c r="BA130" s="322"/>
      <c r="BB130" s="322"/>
      <c r="BC130" s="322"/>
      <c r="BD130" s="322"/>
      <c r="BE130" s="322"/>
      <c r="BF130" s="346"/>
      <c r="BG130" s="328"/>
      <c r="BH130" s="328"/>
      <c r="BI130" s="328"/>
      <c r="BJ130" s="328"/>
      <c r="BK130" s="328"/>
      <c r="BL130" s="328"/>
      <c r="BM130" s="328"/>
      <c r="BN130" s="217"/>
      <c r="BO130" s="336"/>
      <c r="BP130" s="333"/>
      <c r="BQ130" s="336"/>
      <c r="BR130" s="336"/>
      <c r="BS130" s="336"/>
      <c r="BT130" s="336"/>
      <c r="BU130" s="336"/>
      <c r="BV130" s="336"/>
      <c r="BW130" s="336"/>
      <c r="BX130" s="217"/>
      <c r="BY130" s="341"/>
      <c r="BZ130" s="341"/>
      <c r="CA130" s="341"/>
      <c r="CB130" s="342"/>
      <c r="CC130" s="341"/>
      <c r="CD130" s="341"/>
      <c r="CE130" s="341"/>
      <c r="CF130" s="341"/>
      <c r="CG130" s="341"/>
      <c r="CH130" s="341"/>
      <c r="CI130" s="341"/>
      <c r="CJ130" s="342"/>
      <c r="CK130" s="342"/>
    </row>
    <row r="131">
      <c r="A131" s="753"/>
      <c r="B131" s="202" t="s">
        <v>271</v>
      </c>
      <c r="C131" s="196" t="s">
        <v>271</v>
      </c>
      <c r="D131" s="197" t="s">
        <v>271</v>
      </c>
      <c r="E131" s="199" t="s">
        <v>271</v>
      </c>
      <c r="F131" s="201" t="s">
        <v>271</v>
      </c>
      <c r="G131" s="202" t="s">
        <v>271</v>
      </c>
      <c r="H131" s="303"/>
      <c r="I131" s="303"/>
      <c r="J131" s="303"/>
      <c r="K131" s="303"/>
      <c r="L131" s="303"/>
      <c r="M131" s="303"/>
      <c r="N131" s="303"/>
      <c r="O131" s="303"/>
      <c r="P131" s="217"/>
      <c r="Q131" s="348"/>
      <c r="R131" s="348"/>
      <c r="S131" s="348"/>
      <c r="T131" s="348"/>
      <c r="U131" s="348"/>
      <c r="V131" s="348"/>
      <c r="W131" s="217"/>
      <c r="X131" s="313"/>
      <c r="Y131" s="313"/>
      <c r="Z131" s="313"/>
      <c r="AA131" s="602"/>
      <c r="AB131" s="313"/>
      <c r="AC131" s="313"/>
      <c r="AD131" s="313"/>
      <c r="AE131" s="313"/>
      <c r="AF131" s="313"/>
      <c r="AG131" s="313"/>
      <c r="AH131" s="253"/>
      <c r="AI131" s="217"/>
      <c r="AJ131" s="318"/>
      <c r="AK131" s="318"/>
      <c r="AL131" s="318"/>
      <c r="AM131" s="318"/>
      <c r="AN131" s="318"/>
      <c r="AO131" s="318"/>
      <c r="AP131" s="318"/>
      <c r="AQ131" s="318"/>
      <c r="AR131" s="318"/>
      <c r="AS131" s="318"/>
      <c r="AT131" s="318"/>
      <c r="AU131" s="318"/>
      <c r="AV131" s="318"/>
      <c r="AW131" s="318"/>
      <c r="AX131" s="318"/>
      <c r="AY131" s="318"/>
      <c r="AZ131" s="346"/>
      <c r="BA131" s="322"/>
      <c r="BB131" s="322"/>
      <c r="BC131" s="322"/>
      <c r="BD131" s="322"/>
      <c r="BE131" s="322"/>
      <c r="BF131" s="346"/>
      <c r="BG131" s="328"/>
      <c r="BH131" s="328"/>
      <c r="BI131" s="328"/>
      <c r="BJ131" s="328"/>
      <c r="BK131" s="328"/>
      <c r="BL131" s="328"/>
      <c r="BM131" s="328"/>
      <c r="BN131" s="217"/>
      <c r="BO131" s="336"/>
      <c r="BP131" s="333"/>
      <c r="BQ131" s="336"/>
      <c r="BR131" s="336"/>
      <c r="BS131" s="336"/>
      <c r="BT131" s="336"/>
      <c r="BU131" s="336"/>
      <c r="BV131" s="336"/>
      <c r="BW131" s="336"/>
      <c r="BX131" s="217"/>
      <c r="BY131" s="341"/>
      <c r="BZ131" s="341"/>
      <c r="CA131" s="341"/>
      <c r="CB131" s="342"/>
      <c r="CC131" s="341"/>
      <c r="CD131" s="341"/>
      <c r="CE131" s="341"/>
      <c r="CF131" s="341"/>
      <c r="CG131" s="341"/>
      <c r="CH131" s="341"/>
      <c r="CI131" s="341"/>
      <c r="CJ131" s="342"/>
      <c r="CK131" s="342"/>
    </row>
    <row r="132">
      <c r="A132" s="753"/>
      <c r="B132" s="202" t="s">
        <v>271</v>
      </c>
      <c r="C132" s="196" t="s">
        <v>271</v>
      </c>
      <c r="D132" s="197" t="s">
        <v>271</v>
      </c>
      <c r="E132" s="199" t="s">
        <v>271</v>
      </c>
      <c r="F132" s="201" t="s">
        <v>271</v>
      </c>
      <c r="G132" s="202" t="s">
        <v>271</v>
      </c>
      <c r="H132" s="303"/>
      <c r="I132" s="303"/>
      <c r="J132" s="303"/>
      <c r="K132" s="303"/>
      <c r="L132" s="303"/>
      <c r="M132" s="303"/>
      <c r="N132" s="303"/>
      <c r="O132" s="303"/>
      <c r="P132" s="217"/>
      <c r="Q132" s="348"/>
      <c r="R132" s="348"/>
      <c r="S132" s="348"/>
      <c r="T132" s="348"/>
      <c r="U132" s="348"/>
      <c r="V132" s="348"/>
      <c r="W132" s="217"/>
      <c r="X132" s="313"/>
      <c r="Y132" s="313"/>
      <c r="Z132" s="313"/>
      <c r="AA132" s="602"/>
      <c r="AB132" s="313"/>
      <c r="AC132" s="313"/>
      <c r="AD132" s="313"/>
      <c r="AE132" s="313"/>
      <c r="AF132" s="313"/>
      <c r="AG132" s="313"/>
      <c r="AH132" s="253"/>
      <c r="AI132" s="217"/>
      <c r="AJ132" s="318"/>
      <c r="AK132" s="318"/>
      <c r="AL132" s="318"/>
      <c r="AM132" s="318"/>
      <c r="AN132" s="318"/>
      <c r="AO132" s="318"/>
      <c r="AP132" s="318"/>
      <c r="AQ132" s="318"/>
      <c r="AR132" s="318"/>
      <c r="AS132" s="318"/>
      <c r="AT132" s="318"/>
      <c r="AU132" s="318"/>
      <c r="AV132" s="318"/>
      <c r="AW132" s="318"/>
      <c r="AX132" s="318"/>
      <c r="AY132" s="318"/>
      <c r="AZ132" s="346"/>
      <c r="BA132" s="322"/>
      <c r="BB132" s="322"/>
      <c r="BC132" s="322"/>
      <c r="BD132" s="322"/>
      <c r="BE132" s="322"/>
      <c r="BF132" s="346"/>
      <c r="BG132" s="328"/>
      <c r="BH132" s="328"/>
      <c r="BI132" s="328"/>
      <c r="BJ132" s="328"/>
      <c r="BK132" s="328"/>
      <c r="BL132" s="328"/>
      <c r="BM132" s="328"/>
      <c r="BN132" s="217"/>
      <c r="BO132" s="336"/>
      <c r="BP132" s="333"/>
      <c r="BQ132" s="336"/>
      <c r="BR132" s="336"/>
      <c r="BS132" s="336"/>
      <c r="BT132" s="336"/>
      <c r="BU132" s="336"/>
      <c r="BV132" s="336"/>
      <c r="BW132" s="336"/>
      <c r="BX132" s="217"/>
      <c r="BY132" s="341"/>
      <c r="BZ132" s="341"/>
      <c r="CA132" s="341"/>
      <c r="CB132" s="342"/>
      <c r="CC132" s="341"/>
      <c r="CD132" s="341"/>
      <c r="CE132" s="341"/>
      <c r="CF132" s="341"/>
      <c r="CG132" s="341"/>
      <c r="CH132" s="341"/>
      <c r="CI132" s="341"/>
      <c r="CJ132" s="342"/>
      <c r="CK132" s="342"/>
    </row>
    <row r="133">
      <c r="A133" s="753"/>
      <c r="B133" s="202" t="s">
        <v>271</v>
      </c>
      <c r="C133" s="196" t="s">
        <v>271</v>
      </c>
      <c r="D133" s="197" t="s">
        <v>271</v>
      </c>
      <c r="E133" s="199" t="s">
        <v>271</v>
      </c>
      <c r="F133" s="201" t="s">
        <v>271</v>
      </c>
      <c r="G133" s="202" t="s">
        <v>271</v>
      </c>
      <c r="H133" s="303"/>
      <c r="I133" s="303"/>
      <c r="J133" s="303"/>
      <c r="K133" s="303"/>
      <c r="L133" s="303"/>
      <c r="M133" s="303"/>
      <c r="N133" s="303"/>
      <c r="O133" s="303"/>
      <c r="P133" s="217"/>
      <c r="Q133" s="348"/>
      <c r="R133" s="348"/>
      <c r="S133" s="348"/>
      <c r="T133" s="348"/>
      <c r="U133" s="348"/>
      <c r="V133" s="348"/>
      <c r="W133" s="217"/>
      <c r="X133" s="313"/>
      <c r="Y133" s="313"/>
      <c r="Z133" s="313"/>
      <c r="AA133" s="602"/>
      <c r="AB133" s="313"/>
      <c r="AC133" s="313"/>
      <c r="AD133" s="313"/>
      <c r="AE133" s="313"/>
      <c r="AF133" s="313"/>
      <c r="AG133" s="313"/>
      <c r="AH133" s="253"/>
      <c r="AI133" s="217"/>
      <c r="AJ133" s="318"/>
      <c r="AK133" s="318"/>
      <c r="AL133" s="318"/>
      <c r="AM133" s="318"/>
      <c r="AN133" s="318"/>
      <c r="AO133" s="318"/>
      <c r="AP133" s="318"/>
      <c r="AQ133" s="318"/>
      <c r="AR133" s="318"/>
      <c r="AS133" s="318"/>
      <c r="AT133" s="318"/>
      <c r="AU133" s="318"/>
      <c r="AV133" s="318"/>
      <c r="AW133" s="318"/>
      <c r="AX133" s="318"/>
      <c r="AY133" s="318"/>
      <c r="AZ133" s="346"/>
      <c r="BA133" s="322"/>
      <c r="BB133" s="322"/>
      <c r="BC133" s="322"/>
      <c r="BD133" s="322"/>
      <c r="BE133" s="322"/>
      <c r="BF133" s="346"/>
      <c r="BG133" s="328"/>
      <c r="BH133" s="328"/>
      <c r="BI133" s="328"/>
      <c r="BJ133" s="328"/>
      <c r="BK133" s="328"/>
      <c r="BL133" s="328"/>
      <c r="BM133" s="328"/>
      <c r="BN133" s="217"/>
      <c r="BO133" s="336"/>
      <c r="BP133" s="333"/>
      <c r="BQ133" s="336"/>
      <c r="BR133" s="336"/>
      <c r="BS133" s="336"/>
      <c r="BT133" s="336"/>
      <c r="BU133" s="336"/>
      <c r="BV133" s="336"/>
      <c r="BW133" s="336"/>
      <c r="BX133" s="217"/>
      <c r="BY133" s="341"/>
      <c r="BZ133" s="341"/>
      <c r="CA133" s="341"/>
      <c r="CB133" s="342"/>
      <c r="CC133" s="341"/>
      <c r="CD133" s="341"/>
      <c r="CE133" s="341"/>
      <c r="CF133" s="341"/>
      <c r="CG133" s="341"/>
      <c r="CH133" s="341"/>
      <c r="CI133" s="341"/>
      <c r="CJ133" s="342"/>
      <c r="CK133" s="342"/>
    </row>
    <row r="134">
      <c r="A134" s="753"/>
      <c r="B134" s="202" t="s">
        <v>271</v>
      </c>
      <c r="C134" s="196" t="s">
        <v>271</v>
      </c>
      <c r="D134" s="197" t="s">
        <v>271</v>
      </c>
      <c r="E134" s="199" t="s">
        <v>271</v>
      </c>
      <c r="F134" s="201" t="s">
        <v>271</v>
      </c>
      <c r="G134" s="202" t="s">
        <v>271</v>
      </c>
      <c r="H134" s="303"/>
      <c r="I134" s="303"/>
      <c r="J134" s="303"/>
      <c r="K134" s="303"/>
      <c r="L134" s="303"/>
      <c r="M134" s="303"/>
      <c r="N134" s="303"/>
      <c r="O134" s="303"/>
      <c r="P134" s="217"/>
      <c r="Q134" s="348"/>
      <c r="R134" s="348"/>
      <c r="S134" s="348"/>
      <c r="T134" s="348"/>
      <c r="U134" s="348"/>
      <c r="V134" s="348"/>
      <c r="W134" s="217"/>
      <c r="X134" s="313"/>
      <c r="Y134" s="313"/>
      <c r="Z134" s="313"/>
      <c r="AA134" s="602"/>
      <c r="AB134" s="313"/>
      <c r="AC134" s="313"/>
      <c r="AD134" s="313"/>
      <c r="AE134" s="313"/>
      <c r="AF134" s="313"/>
      <c r="AG134" s="313"/>
      <c r="AH134" s="253"/>
      <c r="AI134" s="217"/>
      <c r="AJ134" s="318"/>
      <c r="AK134" s="318"/>
      <c r="AL134" s="318"/>
      <c r="AM134" s="318"/>
      <c r="AN134" s="318"/>
      <c r="AO134" s="318"/>
      <c r="AP134" s="318"/>
      <c r="AQ134" s="318"/>
      <c r="AR134" s="318"/>
      <c r="AS134" s="318"/>
      <c r="AT134" s="318"/>
      <c r="AU134" s="318"/>
      <c r="AV134" s="318"/>
      <c r="AW134" s="318"/>
      <c r="AX134" s="318"/>
      <c r="AY134" s="318"/>
      <c r="AZ134" s="346"/>
      <c r="BA134" s="322"/>
      <c r="BB134" s="322"/>
      <c r="BC134" s="322"/>
      <c r="BD134" s="322"/>
      <c r="BE134" s="322"/>
      <c r="BF134" s="346"/>
      <c r="BG134" s="328"/>
      <c r="BH134" s="328"/>
      <c r="BI134" s="328"/>
      <c r="BJ134" s="328"/>
      <c r="BK134" s="328"/>
      <c r="BL134" s="328"/>
      <c r="BM134" s="328"/>
      <c r="BN134" s="217"/>
      <c r="BO134" s="336"/>
      <c r="BP134" s="333"/>
      <c r="BQ134" s="336"/>
      <c r="BR134" s="336"/>
      <c r="BS134" s="336"/>
      <c r="BT134" s="336"/>
      <c r="BU134" s="336"/>
      <c r="BV134" s="336"/>
      <c r="BW134" s="336"/>
      <c r="BX134" s="217"/>
      <c r="BY134" s="341"/>
      <c r="BZ134" s="341"/>
      <c r="CA134" s="341"/>
      <c r="CB134" s="342"/>
      <c r="CC134" s="341"/>
      <c r="CD134" s="341"/>
      <c r="CE134" s="341"/>
      <c r="CF134" s="341"/>
      <c r="CG134" s="341"/>
      <c r="CH134" s="341"/>
      <c r="CI134" s="341"/>
      <c r="CJ134" s="342"/>
      <c r="CK134" s="342"/>
    </row>
    <row r="135">
      <c r="A135" s="753"/>
      <c r="B135" s="202" t="s">
        <v>271</v>
      </c>
      <c r="C135" s="196" t="s">
        <v>271</v>
      </c>
      <c r="D135" s="197" t="s">
        <v>271</v>
      </c>
      <c r="E135" s="199" t="s">
        <v>271</v>
      </c>
      <c r="F135" s="201" t="s">
        <v>271</v>
      </c>
      <c r="G135" s="202" t="s">
        <v>271</v>
      </c>
      <c r="H135" s="303"/>
      <c r="I135" s="303"/>
      <c r="J135" s="303"/>
      <c r="K135" s="303"/>
      <c r="L135" s="303"/>
      <c r="M135" s="303"/>
      <c r="N135" s="303"/>
      <c r="O135" s="303"/>
      <c r="P135" s="217"/>
      <c r="Q135" s="348"/>
      <c r="R135" s="348"/>
      <c r="S135" s="348"/>
      <c r="T135" s="348"/>
      <c r="U135" s="348"/>
      <c r="V135" s="348"/>
      <c r="W135" s="217"/>
      <c r="X135" s="313"/>
      <c r="Y135" s="313"/>
      <c r="Z135" s="313"/>
      <c r="AA135" s="602"/>
      <c r="AB135" s="313"/>
      <c r="AC135" s="313"/>
      <c r="AD135" s="313"/>
      <c r="AE135" s="313"/>
      <c r="AF135" s="313"/>
      <c r="AG135" s="313"/>
      <c r="AH135" s="253"/>
      <c r="AI135" s="217"/>
      <c r="AJ135" s="318"/>
      <c r="AK135" s="318"/>
      <c r="AL135" s="318"/>
      <c r="AM135" s="318"/>
      <c r="AN135" s="318"/>
      <c r="AO135" s="318"/>
      <c r="AP135" s="318"/>
      <c r="AQ135" s="318"/>
      <c r="AR135" s="318"/>
      <c r="AS135" s="318"/>
      <c r="AT135" s="318"/>
      <c r="AU135" s="318"/>
      <c r="AV135" s="318"/>
      <c r="AW135" s="318"/>
      <c r="AX135" s="318"/>
      <c r="AY135" s="318"/>
      <c r="AZ135" s="346"/>
      <c r="BA135" s="322"/>
      <c r="BB135" s="322"/>
      <c r="BC135" s="322"/>
      <c r="BD135" s="322"/>
      <c r="BE135" s="322"/>
      <c r="BF135" s="346"/>
      <c r="BG135" s="328"/>
      <c r="BH135" s="328"/>
      <c r="BI135" s="328"/>
      <c r="BJ135" s="328"/>
      <c r="BK135" s="328"/>
      <c r="BL135" s="328"/>
      <c r="BM135" s="328"/>
      <c r="BN135" s="217"/>
      <c r="BO135" s="336"/>
      <c r="BP135" s="333"/>
      <c r="BQ135" s="336"/>
      <c r="BR135" s="336"/>
      <c r="BS135" s="336"/>
      <c r="BT135" s="336"/>
      <c r="BU135" s="336"/>
      <c r="BV135" s="336"/>
      <c r="BW135" s="336"/>
      <c r="BX135" s="217"/>
      <c r="BY135" s="341"/>
      <c r="BZ135" s="341"/>
      <c r="CA135" s="341"/>
      <c r="CB135" s="342"/>
      <c r="CC135" s="341"/>
      <c r="CD135" s="341"/>
      <c r="CE135" s="341"/>
      <c r="CF135" s="341"/>
      <c r="CG135" s="341"/>
      <c r="CH135" s="341"/>
      <c r="CI135" s="341"/>
      <c r="CJ135" s="342"/>
      <c r="CK135" s="342"/>
    </row>
    <row r="136">
      <c r="A136" s="753"/>
      <c r="B136" s="202" t="s">
        <v>271</v>
      </c>
      <c r="C136" s="196" t="s">
        <v>271</v>
      </c>
      <c r="D136" s="197" t="s">
        <v>271</v>
      </c>
      <c r="E136" s="199" t="s">
        <v>271</v>
      </c>
      <c r="F136" s="201" t="s">
        <v>271</v>
      </c>
      <c r="G136" s="202" t="s">
        <v>271</v>
      </c>
      <c r="H136" s="303"/>
      <c r="I136" s="303"/>
      <c r="J136" s="303"/>
      <c r="K136" s="303"/>
      <c r="L136" s="303"/>
      <c r="M136" s="303"/>
      <c r="N136" s="303"/>
      <c r="O136" s="303"/>
      <c r="P136" s="217"/>
      <c r="Q136" s="348"/>
      <c r="R136" s="348"/>
      <c r="S136" s="348"/>
      <c r="T136" s="348"/>
      <c r="U136" s="348"/>
      <c r="V136" s="348"/>
      <c r="W136" s="217"/>
      <c r="X136" s="313"/>
      <c r="Y136" s="313"/>
      <c r="Z136" s="313"/>
      <c r="AA136" s="602"/>
      <c r="AB136" s="313"/>
      <c r="AC136" s="313"/>
      <c r="AD136" s="313"/>
      <c r="AE136" s="313"/>
      <c r="AF136" s="313"/>
      <c r="AG136" s="313"/>
      <c r="AH136" s="253"/>
      <c r="AI136" s="217"/>
      <c r="AJ136" s="318"/>
      <c r="AK136" s="318"/>
      <c r="AL136" s="318"/>
      <c r="AM136" s="318"/>
      <c r="AN136" s="318"/>
      <c r="AO136" s="318"/>
      <c r="AP136" s="318"/>
      <c r="AQ136" s="318"/>
      <c r="AR136" s="318"/>
      <c r="AS136" s="318"/>
      <c r="AT136" s="318"/>
      <c r="AU136" s="318"/>
      <c r="AV136" s="318"/>
      <c r="AW136" s="318"/>
      <c r="AX136" s="318"/>
      <c r="AY136" s="318"/>
      <c r="AZ136" s="346"/>
      <c r="BA136" s="322"/>
      <c r="BB136" s="322"/>
      <c r="BC136" s="322"/>
      <c r="BD136" s="322"/>
      <c r="BE136" s="322"/>
      <c r="BF136" s="346"/>
      <c r="BG136" s="328"/>
      <c r="BH136" s="328"/>
      <c r="BI136" s="328"/>
      <c r="BJ136" s="328"/>
      <c r="BK136" s="328"/>
      <c r="BL136" s="328"/>
      <c r="BM136" s="328"/>
      <c r="BN136" s="217"/>
      <c r="BO136" s="336"/>
      <c r="BP136" s="333"/>
      <c r="BQ136" s="336"/>
      <c r="BR136" s="336"/>
      <c r="BS136" s="336"/>
      <c r="BT136" s="336"/>
      <c r="BU136" s="336"/>
      <c r="BV136" s="336"/>
      <c r="BW136" s="336"/>
      <c r="BX136" s="217"/>
      <c r="BY136" s="341"/>
      <c r="BZ136" s="341"/>
      <c r="CA136" s="341"/>
      <c r="CB136" s="342"/>
      <c r="CC136" s="341"/>
      <c r="CD136" s="341"/>
      <c r="CE136" s="341"/>
      <c r="CF136" s="341"/>
      <c r="CG136" s="341"/>
      <c r="CH136" s="341"/>
      <c r="CI136" s="341"/>
      <c r="CJ136" s="342"/>
      <c r="CK136" s="342"/>
    </row>
    <row r="137">
      <c r="A137" s="753"/>
      <c r="B137" s="202" t="s">
        <v>271</v>
      </c>
      <c r="C137" s="196" t="s">
        <v>271</v>
      </c>
      <c r="D137" s="197" t="s">
        <v>271</v>
      </c>
      <c r="E137" s="199" t="s">
        <v>271</v>
      </c>
      <c r="F137" s="201" t="s">
        <v>271</v>
      </c>
      <c r="G137" s="202" t="s">
        <v>271</v>
      </c>
      <c r="H137" s="303"/>
      <c r="I137" s="303"/>
      <c r="J137" s="303"/>
      <c r="K137" s="303"/>
      <c r="L137" s="303"/>
      <c r="M137" s="303"/>
      <c r="N137" s="303"/>
      <c r="O137" s="303"/>
      <c r="P137" s="217"/>
      <c r="Q137" s="348"/>
      <c r="R137" s="348"/>
      <c r="S137" s="348"/>
      <c r="T137" s="348"/>
      <c r="U137" s="348"/>
      <c r="V137" s="348"/>
      <c r="W137" s="217"/>
      <c r="X137" s="313"/>
      <c r="Y137" s="313"/>
      <c r="Z137" s="313"/>
      <c r="AA137" s="602"/>
      <c r="AB137" s="313"/>
      <c r="AC137" s="313"/>
      <c r="AD137" s="313"/>
      <c r="AE137" s="313"/>
      <c r="AF137" s="313"/>
      <c r="AG137" s="313"/>
      <c r="AH137" s="253"/>
      <c r="AI137" s="217"/>
      <c r="AJ137" s="318"/>
      <c r="AK137" s="318"/>
      <c r="AL137" s="318"/>
      <c r="AM137" s="318"/>
      <c r="AN137" s="318"/>
      <c r="AO137" s="318"/>
      <c r="AP137" s="318"/>
      <c r="AQ137" s="318"/>
      <c r="AR137" s="318"/>
      <c r="AS137" s="318"/>
      <c r="AT137" s="318"/>
      <c r="AU137" s="318"/>
      <c r="AV137" s="318"/>
      <c r="AW137" s="318"/>
      <c r="AX137" s="318"/>
      <c r="AY137" s="318"/>
      <c r="AZ137" s="346"/>
      <c r="BA137" s="322"/>
      <c r="BB137" s="322"/>
      <c r="BC137" s="322"/>
      <c r="BD137" s="322"/>
      <c r="BE137" s="322"/>
      <c r="BF137" s="346"/>
      <c r="BG137" s="328"/>
      <c r="BH137" s="328"/>
      <c r="BI137" s="328"/>
      <c r="BJ137" s="328"/>
      <c r="BK137" s="328"/>
      <c r="BL137" s="328"/>
      <c r="BM137" s="328"/>
      <c r="BN137" s="217"/>
      <c r="BO137" s="336"/>
      <c r="BP137" s="333"/>
      <c r="BQ137" s="336"/>
      <c r="BR137" s="336"/>
      <c r="BS137" s="336"/>
      <c r="BT137" s="336"/>
      <c r="BU137" s="336"/>
      <c r="BV137" s="336"/>
      <c r="BW137" s="336"/>
      <c r="BX137" s="217"/>
      <c r="BY137" s="341"/>
      <c r="BZ137" s="341"/>
      <c r="CA137" s="341"/>
      <c r="CB137" s="342"/>
      <c r="CC137" s="341"/>
      <c r="CD137" s="341"/>
      <c r="CE137" s="341"/>
      <c r="CF137" s="341"/>
      <c r="CG137" s="341"/>
      <c r="CH137" s="341"/>
      <c r="CI137" s="341"/>
      <c r="CJ137" s="342"/>
      <c r="CK137" s="342"/>
    </row>
    <row r="138">
      <c r="A138" s="753"/>
      <c r="B138" s="202" t="s">
        <v>271</v>
      </c>
      <c r="C138" s="196" t="s">
        <v>271</v>
      </c>
      <c r="D138" s="197" t="s">
        <v>271</v>
      </c>
      <c r="E138" s="199" t="s">
        <v>271</v>
      </c>
      <c r="F138" s="201" t="s">
        <v>271</v>
      </c>
      <c r="G138" s="202" t="s">
        <v>271</v>
      </c>
      <c r="H138" s="303"/>
      <c r="I138" s="303"/>
      <c r="J138" s="303"/>
      <c r="K138" s="303"/>
      <c r="L138" s="303"/>
      <c r="M138" s="303"/>
      <c r="N138" s="303"/>
      <c r="O138" s="303"/>
      <c r="P138" s="217"/>
      <c r="Q138" s="348"/>
      <c r="R138" s="348"/>
      <c r="S138" s="348"/>
      <c r="T138" s="348"/>
      <c r="U138" s="348"/>
      <c r="V138" s="348"/>
      <c r="W138" s="217"/>
      <c r="X138" s="313"/>
      <c r="Y138" s="313"/>
      <c r="Z138" s="313"/>
      <c r="AA138" s="602"/>
      <c r="AB138" s="313"/>
      <c r="AC138" s="313"/>
      <c r="AD138" s="313"/>
      <c r="AE138" s="313"/>
      <c r="AF138" s="313"/>
      <c r="AG138" s="313"/>
      <c r="AH138" s="253"/>
      <c r="AI138" s="217"/>
      <c r="AJ138" s="318"/>
      <c r="AK138" s="318"/>
      <c r="AL138" s="318"/>
      <c r="AM138" s="318"/>
      <c r="AN138" s="318"/>
      <c r="AO138" s="318"/>
      <c r="AP138" s="318"/>
      <c r="AQ138" s="318"/>
      <c r="AR138" s="318"/>
      <c r="AS138" s="318"/>
      <c r="AT138" s="318"/>
      <c r="AU138" s="318"/>
      <c r="AV138" s="318"/>
      <c r="AW138" s="318"/>
      <c r="AX138" s="318"/>
      <c r="AY138" s="318"/>
      <c r="AZ138" s="346"/>
      <c r="BA138" s="322"/>
      <c r="BB138" s="322"/>
      <c r="BC138" s="322"/>
      <c r="BD138" s="322"/>
      <c r="BE138" s="322"/>
      <c r="BF138" s="346"/>
      <c r="BG138" s="328"/>
      <c r="BH138" s="328"/>
      <c r="BI138" s="328"/>
      <c r="BJ138" s="328"/>
      <c r="BK138" s="328"/>
      <c r="BL138" s="328"/>
      <c r="BM138" s="328"/>
      <c r="BN138" s="217"/>
      <c r="BO138" s="336"/>
      <c r="BP138" s="333"/>
      <c r="BQ138" s="336"/>
      <c r="BR138" s="336"/>
      <c r="BS138" s="336"/>
      <c r="BT138" s="336"/>
      <c r="BU138" s="336"/>
      <c r="BV138" s="336"/>
      <c r="BW138" s="336"/>
      <c r="BX138" s="217"/>
      <c r="BY138" s="341"/>
      <c r="BZ138" s="341"/>
      <c r="CA138" s="341"/>
      <c r="CB138" s="342"/>
      <c r="CC138" s="341"/>
      <c r="CD138" s="341"/>
      <c r="CE138" s="341"/>
      <c r="CF138" s="341"/>
      <c r="CG138" s="341"/>
      <c r="CH138" s="341"/>
      <c r="CI138" s="341"/>
      <c r="CJ138" s="342"/>
      <c r="CK138" s="342"/>
    </row>
    <row r="139">
      <c r="A139" s="753"/>
      <c r="B139" s="202" t="s">
        <v>271</v>
      </c>
      <c r="C139" s="196" t="s">
        <v>271</v>
      </c>
      <c r="D139" s="197" t="s">
        <v>271</v>
      </c>
      <c r="E139" s="199" t="s">
        <v>271</v>
      </c>
      <c r="F139" s="201" t="s">
        <v>271</v>
      </c>
      <c r="G139" s="202" t="s">
        <v>271</v>
      </c>
      <c r="H139" s="303"/>
      <c r="I139" s="303"/>
      <c r="J139" s="303"/>
      <c r="K139" s="303"/>
      <c r="L139" s="303"/>
      <c r="M139" s="303"/>
      <c r="N139" s="303"/>
      <c r="O139" s="303"/>
      <c r="P139" s="217"/>
      <c r="Q139" s="348"/>
      <c r="R139" s="348"/>
      <c r="S139" s="348"/>
      <c r="T139" s="348"/>
      <c r="U139" s="348"/>
      <c r="V139" s="348"/>
      <c r="W139" s="217"/>
      <c r="X139" s="313"/>
      <c r="Y139" s="313"/>
      <c r="Z139" s="313"/>
      <c r="AA139" s="602"/>
      <c r="AB139" s="313"/>
      <c r="AC139" s="313"/>
      <c r="AD139" s="313"/>
      <c r="AE139" s="313"/>
      <c r="AF139" s="313"/>
      <c r="AG139" s="313"/>
      <c r="AH139" s="253"/>
      <c r="AI139" s="217"/>
      <c r="AJ139" s="318"/>
      <c r="AK139" s="318"/>
      <c r="AL139" s="318"/>
      <c r="AM139" s="318"/>
      <c r="AN139" s="318"/>
      <c r="AO139" s="318"/>
      <c r="AP139" s="318"/>
      <c r="AQ139" s="318"/>
      <c r="AR139" s="318"/>
      <c r="AS139" s="318"/>
      <c r="AT139" s="318"/>
      <c r="AU139" s="318"/>
      <c r="AV139" s="318"/>
      <c r="AW139" s="318"/>
      <c r="AX139" s="318"/>
      <c r="AY139" s="318"/>
      <c r="AZ139" s="346"/>
      <c r="BA139" s="322"/>
      <c r="BB139" s="322"/>
      <c r="BC139" s="322"/>
      <c r="BD139" s="322"/>
      <c r="BE139" s="322"/>
      <c r="BF139" s="346"/>
      <c r="BG139" s="328"/>
      <c r="BH139" s="328"/>
      <c r="BI139" s="328"/>
      <c r="BJ139" s="328"/>
      <c r="BK139" s="328"/>
      <c r="BL139" s="328"/>
      <c r="BM139" s="328"/>
      <c r="BN139" s="217"/>
      <c r="BO139" s="336"/>
      <c r="BP139" s="333"/>
      <c r="BQ139" s="336"/>
      <c r="BR139" s="336"/>
      <c r="BS139" s="336"/>
      <c r="BT139" s="336"/>
      <c r="BU139" s="336"/>
      <c r="BV139" s="336"/>
      <c r="BW139" s="336"/>
      <c r="BX139" s="217"/>
      <c r="BY139" s="341"/>
      <c r="BZ139" s="341"/>
      <c r="CA139" s="341"/>
      <c r="CB139" s="342"/>
      <c r="CC139" s="341"/>
      <c r="CD139" s="341"/>
      <c r="CE139" s="341"/>
      <c r="CF139" s="341"/>
      <c r="CG139" s="341"/>
      <c r="CH139" s="341"/>
      <c r="CI139" s="341"/>
      <c r="CJ139" s="342"/>
      <c r="CK139" s="342"/>
    </row>
    <row r="140">
      <c r="A140" s="753"/>
      <c r="B140" s="202" t="s">
        <v>271</v>
      </c>
      <c r="C140" s="196" t="s">
        <v>271</v>
      </c>
      <c r="D140" s="197" t="s">
        <v>271</v>
      </c>
      <c r="E140" s="199" t="s">
        <v>271</v>
      </c>
      <c r="F140" s="201" t="s">
        <v>271</v>
      </c>
      <c r="G140" s="202" t="s">
        <v>271</v>
      </c>
      <c r="H140" s="303"/>
      <c r="I140" s="303"/>
      <c r="J140" s="303"/>
      <c r="K140" s="303"/>
      <c r="L140" s="303"/>
      <c r="M140" s="303"/>
      <c r="N140" s="303"/>
      <c r="O140" s="303"/>
      <c r="P140" s="217"/>
      <c r="Q140" s="348"/>
      <c r="R140" s="348"/>
      <c r="S140" s="348"/>
      <c r="T140" s="348"/>
      <c r="U140" s="348"/>
      <c r="V140" s="348"/>
      <c r="W140" s="217"/>
      <c r="X140" s="313"/>
      <c r="Y140" s="313"/>
      <c r="Z140" s="313"/>
      <c r="AA140" s="602"/>
      <c r="AB140" s="313"/>
      <c r="AC140" s="313"/>
      <c r="AD140" s="313"/>
      <c r="AE140" s="313"/>
      <c r="AF140" s="313"/>
      <c r="AG140" s="313"/>
      <c r="AH140" s="253"/>
      <c r="AI140" s="217"/>
      <c r="AJ140" s="318"/>
      <c r="AK140" s="318"/>
      <c r="AL140" s="318"/>
      <c r="AM140" s="318"/>
      <c r="AN140" s="318"/>
      <c r="AO140" s="318"/>
      <c r="AP140" s="318"/>
      <c r="AQ140" s="318"/>
      <c r="AR140" s="318"/>
      <c r="AS140" s="318"/>
      <c r="AT140" s="318"/>
      <c r="AU140" s="318"/>
      <c r="AV140" s="318"/>
      <c r="AW140" s="318"/>
      <c r="AX140" s="318"/>
      <c r="AY140" s="318"/>
      <c r="AZ140" s="346"/>
      <c r="BA140" s="322"/>
      <c r="BB140" s="322"/>
      <c r="BC140" s="322"/>
      <c r="BD140" s="322"/>
      <c r="BE140" s="322"/>
      <c r="BF140" s="346"/>
      <c r="BG140" s="328"/>
      <c r="BH140" s="328"/>
      <c r="BI140" s="328"/>
      <c r="BJ140" s="328"/>
      <c r="BK140" s="328"/>
      <c r="BL140" s="328"/>
      <c r="BM140" s="328"/>
      <c r="BN140" s="217"/>
      <c r="BO140" s="336"/>
      <c r="BP140" s="333"/>
      <c r="BQ140" s="336"/>
      <c r="BR140" s="336"/>
      <c r="BS140" s="336"/>
      <c r="BT140" s="336"/>
      <c r="BU140" s="336"/>
      <c r="BV140" s="336"/>
      <c r="BW140" s="336"/>
      <c r="BX140" s="217"/>
      <c r="BY140" s="341"/>
      <c r="BZ140" s="341"/>
      <c r="CA140" s="341"/>
      <c r="CB140" s="342"/>
      <c r="CC140" s="341"/>
      <c r="CD140" s="341"/>
      <c r="CE140" s="341"/>
      <c r="CF140" s="341"/>
      <c r="CG140" s="341"/>
      <c r="CH140" s="341"/>
      <c r="CI140" s="341"/>
      <c r="CJ140" s="342"/>
      <c r="CK140" s="342"/>
    </row>
    <row r="141">
      <c r="A141" s="753"/>
      <c r="B141" s="202" t="s">
        <v>271</v>
      </c>
      <c r="C141" s="196" t="s">
        <v>271</v>
      </c>
      <c r="D141" s="197" t="s">
        <v>271</v>
      </c>
      <c r="E141" s="199" t="s">
        <v>271</v>
      </c>
      <c r="F141" s="201" t="s">
        <v>271</v>
      </c>
      <c r="G141" s="202" t="s">
        <v>271</v>
      </c>
      <c r="H141" s="303"/>
      <c r="I141" s="303"/>
      <c r="J141" s="303"/>
      <c r="K141" s="303"/>
      <c r="L141" s="303"/>
      <c r="M141" s="303"/>
      <c r="N141" s="303"/>
      <c r="O141" s="303"/>
      <c r="P141" s="217"/>
      <c r="Q141" s="348"/>
      <c r="R141" s="348"/>
      <c r="S141" s="348"/>
      <c r="T141" s="348"/>
      <c r="U141" s="348"/>
      <c r="V141" s="348"/>
      <c r="W141" s="217"/>
      <c r="X141" s="313"/>
      <c r="Y141" s="313"/>
      <c r="Z141" s="313"/>
      <c r="AA141" s="602"/>
      <c r="AB141" s="313"/>
      <c r="AC141" s="313"/>
      <c r="AD141" s="313"/>
      <c r="AE141" s="313"/>
      <c r="AF141" s="313"/>
      <c r="AG141" s="313"/>
      <c r="AH141" s="253"/>
      <c r="AI141" s="217"/>
      <c r="AJ141" s="318"/>
      <c r="AK141" s="318"/>
      <c r="AL141" s="318"/>
      <c r="AM141" s="318"/>
      <c r="AN141" s="318"/>
      <c r="AO141" s="318"/>
      <c r="AP141" s="318"/>
      <c r="AQ141" s="318"/>
      <c r="AR141" s="318"/>
      <c r="AS141" s="318"/>
      <c r="AT141" s="318"/>
      <c r="AU141" s="318"/>
      <c r="AV141" s="318"/>
      <c r="AW141" s="318"/>
      <c r="AX141" s="318"/>
      <c r="AY141" s="318"/>
      <c r="AZ141" s="346"/>
      <c r="BA141" s="322"/>
      <c r="BB141" s="322"/>
      <c r="BC141" s="322"/>
      <c r="BD141" s="322"/>
      <c r="BE141" s="322"/>
      <c r="BF141" s="346"/>
      <c r="BG141" s="328"/>
      <c r="BH141" s="328"/>
      <c r="BI141" s="328"/>
      <c r="BJ141" s="328"/>
      <c r="BK141" s="328"/>
      <c r="BL141" s="328"/>
      <c r="BM141" s="328"/>
      <c r="BN141" s="217"/>
      <c r="BO141" s="336"/>
      <c r="BP141" s="333"/>
      <c r="BQ141" s="336"/>
      <c r="BR141" s="336"/>
      <c r="BS141" s="336"/>
      <c r="BT141" s="336"/>
      <c r="BU141" s="336"/>
      <c r="BV141" s="336"/>
      <c r="BW141" s="336"/>
      <c r="BX141" s="217"/>
      <c r="BY141" s="341"/>
      <c r="BZ141" s="341"/>
      <c r="CA141" s="341"/>
      <c r="CB141" s="342"/>
      <c r="CC141" s="341"/>
      <c r="CD141" s="341"/>
      <c r="CE141" s="341"/>
      <c r="CF141" s="341"/>
      <c r="CG141" s="341"/>
      <c r="CH141" s="341"/>
      <c r="CI141" s="341"/>
      <c r="CJ141" s="342"/>
      <c r="CK141" s="342"/>
    </row>
    <row r="142">
      <c r="A142" s="753"/>
      <c r="B142" s="202" t="s">
        <v>271</v>
      </c>
      <c r="C142" s="196" t="s">
        <v>271</v>
      </c>
      <c r="D142" s="197" t="s">
        <v>271</v>
      </c>
      <c r="E142" s="199" t="s">
        <v>271</v>
      </c>
      <c r="F142" s="201" t="s">
        <v>271</v>
      </c>
      <c r="G142" s="202" t="s">
        <v>271</v>
      </c>
      <c r="H142" s="303"/>
      <c r="I142" s="303"/>
      <c r="J142" s="303"/>
      <c r="K142" s="303"/>
      <c r="L142" s="303"/>
      <c r="M142" s="303"/>
      <c r="N142" s="303"/>
      <c r="O142" s="303"/>
      <c r="P142" s="217"/>
      <c r="Q142" s="348"/>
      <c r="R142" s="348"/>
      <c r="S142" s="348"/>
      <c r="T142" s="348"/>
      <c r="U142" s="348"/>
      <c r="V142" s="348"/>
      <c r="W142" s="217"/>
      <c r="X142" s="313"/>
      <c r="Y142" s="313"/>
      <c r="Z142" s="313"/>
      <c r="AA142" s="602"/>
      <c r="AB142" s="313"/>
      <c r="AC142" s="313"/>
      <c r="AD142" s="313"/>
      <c r="AE142" s="313"/>
      <c r="AF142" s="313"/>
      <c r="AG142" s="313"/>
      <c r="AH142" s="253"/>
      <c r="AI142" s="217"/>
      <c r="AJ142" s="318"/>
      <c r="AK142" s="318"/>
      <c r="AL142" s="318"/>
      <c r="AM142" s="318"/>
      <c r="AN142" s="318"/>
      <c r="AO142" s="318"/>
      <c r="AP142" s="318"/>
      <c r="AQ142" s="318"/>
      <c r="AR142" s="318"/>
      <c r="AS142" s="318"/>
      <c r="AT142" s="318"/>
      <c r="AU142" s="318"/>
      <c r="AV142" s="318"/>
      <c r="AW142" s="318"/>
      <c r="AX142" s="318"/>
      <c r="AY142" s="318"/>
      <c r="AZ142" s="346"/>
      <c r="BA142" s="322"/>
      <c r="BB142" s="322"/>
      <c r="BC142" s="322"/>
      <c r="BD142" s="322"/>
      <c r="BE142" s="322"/>
      <c r="BF142" s="346"/>
      <c r="BG142" s="328"/>
      <c r="BH142" s="328"/>
      <c r="BI142" s="328"/>
      <c r="BJ142" s="328"/>
      <c r="BK142" s="328"/>
      <c r="BL142" s="328"/>
      <c r="BM142" s="328"/>
      <c r="BN142" s="217"/>
      <c r="BO142" s="336"/>
      <c r="BP142" s="333"/>
      <c r="BQ142" s="336"/>
      <c r="BR142" s="336"/>
      <c r="BS142" s="336"/>
      <c r="BT142" s="336"/>
      <c r="BU142" s="336"/>
      <c r="BV142" s="336"/>
      <c r="BW142" s="336"/>
      <c r="BX142" s="217"/>
      <c r="BY142" s="341"/>
      <c r="BZ142" s="341"/>
      <c r="CA142" s="341"/>
      <c r="CB142" s="342"/>
      <c r="CC142" s="341"/>
      <c r="CD142" s="341"/>
      <c r="CE142" s="341"/>
      <c r="CF142" s="341"/>
      <c r="CG142" s="341"/>
      <c r="CH142" s="341"/>
      <c r="CI142" s="341"/>
      <c r="CJ142" s="342"/>
      <c r="CK142" s="342"/>
    </row>
    <row r="143">
      <c r="A143" s="753"/>
      <c r="B143" s="202" t="s">
        <v>271</v>
      </c>
      <c r="C143" s="196" t="s">
        <v>271</v>
      </c>
      <c r="D143" s="197" t="s">
        <v>271</v>
      </c>
      <c r="E143" s="199" t="s">
        <v>271</v>
      </c>
      <c r="F143" s="201" t="s">
        <v>271</v>
      </c>
      <c r="G143" s="202" t="s">
        <v>271</v>
      </c>
      <c r="H143" s="303"/>
      <c r="I143" s="303"/>
      <c r="J143" s="303"/>
      <c r="K143" s="303"/>
      <c r="L143" s="303"/>
      <c r="M143" s="303"/>
      <c r="N143" s="303"/>
      <c r="O143" s="303"/>
      <c r="P143" s="217"/>
      <c r="Q143" s="348"/>
      <c r="R143" s="348"/>
      <c r="S143" s="348"/>
      <c r="T143" s="348"/>
      <c r="U143" s="348"/>
      <c r="V143" s="348"/>
      <c r="W143" s="217"/>
      <c r="X143" s="313"/>
      <c r="Y143" s="313"/>
      <c r="Z143" s="313"/>
      <c r="AA143" s="602"/>
      <c r="AB143" s="313"/>
      <c r="AC143" s="313"/>
      <c r="AD143" s="313"/>
      <c r="AE143" s="313"/>
      <c r="AF143" s="313"/>
      <c r="AG143" s="313"/>
      <c r="AH143" s="253"/>
      <c r="AI143" s="217"/>
      <c r="AJ143" s="318"/>
      <c r="AK143" s="318"/>
      <c r="AL143" s="318"/>
      <c r="AM143" s="318"/>
      <c r="AN143" s="318"/>
      <c r="AO143" s="318"/>
      <c r="AP143" s="318"/>
      <c r="AQ143" s="318"/>
      <c r="AR143" s="318"/>
      <c r="AS143" s="318"/>
      <c r="AT143" s="318"/>
      <c r="AU143" s="318"/>
      <c r="AV143" s="318"/>
      <c r="AW143" s="318"/>
      <c r="AX143" s="318"/>
      <c r="AY143" s="318"/>
      <c r="AZ143" s="346"/>
      <c r="BA143" s="322"/>
      <c r="BB143" s="322"/>
      <c r="BC143" s="322"/>
      <c r="BD143" s="322"/>
      <c r="BE143" s="322"/>
      <c r="BF143" s="346"/>
      <c r="BG143" s="328"/>
      <c r="BH143" s="328"/>
      <c r="BI143" s="328"/>
      <c r="BJ143" s="328"/>
      <c r="BK143" s="328"/>
      <c r="BL143" s="328"/>
      <c r="BM143" s="328"/>
      <c r="BN143" s="217"/>
      <c r="BO143" s="336"/>
      <c r="BP143" s="333"/>
      <c r="BQ143" s="336"/>
      <c r="BR143" s="336"/>
      <c r="BS143" s="336"/>
      <c r="BT143" s="336"/>
      <c r="BU143" s="336"/>
      <c r="BV143" s="336"/>
      <c r="BW143" s="336"/>
      <c r="BX143" s="217"/>
      <c r="BY143" s="341"/>
      <c r="BZ143" s="341"/>
      <c r="CA143" s="341"/>
      <c r="CB143" s="342"/>
      <c r="CC143" s="341"/>
      <c r="CD143" s="341"/>
      <c r="CE143" s="341"/>
      <c r="CF143" s="341"/>
      <c r="CG143" s="341"/>
      <c r="CH143" s="341"/>
      <c r="CI143" s="341"/>
      <c r="CJ143" s="342"/>
      <c r="CK143" s="342"/>
    </row>
    <row r="144">
      <c r="A144" s="753"/>
      <c r="B144" s="202" t="s">
        <v>271</v>
      </c>
      <c r="C144" s="196" t="s">
        <v>271</v>
      </c>
      <c r="D144" s="197" t="s">
        <v>271</v>
      </c>
      <c r="E144" s="199" t="s">
        <v>271</v>
      </c>
      <c r="F144" s="201" t="s">
        <v>271</v>
      </c>
      <c r="G144" s="202" t="s">
        <v>271</v>
      </c>
      <c r="H144" s="303"/>
      <c r="I144" s="303"/>
      <c r="J144" s="303"/>
      <c r="K144" s="303"/>
      <c r="L144" s="303"/>
      <c r="M144" s="303"/>
      <c r="N144" s="303"/>
      <c r="O144" s="303"/>
      <c r="P144" s="217"/>
      <c r="Q144" s="348"/>
      <c r="R144" s="348"/>
      <c r="S144" s="348"/>
      <c r="T144" s="348"/>
      <c r="U144" s="348"/>
      <c r="V144" s="348"/>
      <c r="W144" s="217"/>
      <c r="X144" s="313"/>
      <c r="Y144" s="313"/>
      <c r="Z144" s="313"/>
      <c r="AA144" s="602"/>
      <c r="AB144" s="313"/>
      <c r="AC144" s="313"/>
      <c r="AD144" s="313"/>
      <c r="AE144" s="313"/>
      <c r="AF144" s="313"/>
      <c r="AG144" s="313"/>
      <c r="AH144" s="253"/>
      <c r="AI144" s="217"/>
      <c r="AJ144" s="318"/>
      <c r="AK144" s="318"/>
      <c r="AL144" s="318"/>
      <c r="AM144" s="318"/>
      <c r="AN144" s="318"/>
      <c r="AO144" s="318"/>
      <c r="AP144" s="318"/>
      <c r="AQ144" s="318"/>
      <c r="AR144" s="318"/>
      <c r="AS144" s="318"/>
      <c r="AT144" s="318"/>
      <c r="AU144" s="318"/>
      <c r="AV144" s="318"/>
      <c r="AW144" s="318"/>
      <c r="AX144" s="318"/>
      <c r="AY144" s="318"/>
      <c r="AZ144" s="346"/>
      <c r="BA144" s="322"/>
      <c r="BB144" s="322"/>
      <c r="BC144" s="322"/>
      <c r="BD144" s="322"/>
      <c r="BE144" s="322"/>
      <c r="BF144" s="346"/>
      <c r="BG144" s="328"/>
      <c r="BH144" s="328"/>
      <c r="BI144" s="328"/>
      <c r="BJ144" s="328"/>
      <c r="BK144" s="328"/>
      <c r="BL144" s="328"/>
      <c r="BM144" s="328"/>
      <c r="BN144" s="217"/>
      <c r="BO144" s="336"/>
      <c r="BP144" s="333"/>
      <c r="BQ144" s="336"/>
      <c r="BR144" s="336"/>
      <c r="BS144" s="336"/>
      <c r="BT144" s="336"/>
      <c r="BU144" s="336"/>
      <c r="BV144" s="336"/>
      <c r="BW144" s="336"/>
      <c r="BX144" s="217"/>
      <c r="BY144" s="341"/>
      <c r="BZ144" s="341"/>
      <c r="CA144" s="341"/>
      <c r="CB144" s="342"/>
      <c r="CC144" s="341"/>
      <c r="CD144" s="341"/>
      <c r="CE144" s="341"/>
      <c r="CF144" s="341"/>
      <c r="CG144" s="341"/>
      <c r="CH144" s="341"/>
      <c r="CI144" s="341"/>
      <c r="CJ144" s="342"/>
      <c r="CK144" s="342"/>
    </row>
    <row r="145">
      <c r="A145" s="753"/>
      <c r="B145" s="202" t="s">
        <v>271</v>
      </c>
      <c r="C145" s="196" t="s">
        <v>271</v>
      </c>
      <c r="D145" s="197" t="s">
        <v>271</v>
      </c>
      <c r="E145" s="199" t="s">
        <v>271</v>
      </c>
      <c r="F145" s="201" t="s">
        <v>271</v>
      </c>
      <c r="G145" s="202" t="s">
        <v>271</v>
      </c>
      <c r="H145" s="303"/>
      <c r="I145" s="303"/>
      <c r="J145" s="303"/>
      <c r="K145" s="303"/>
      <c r="L145" s="303"/>
      <c r="M145" s="303"/>
      <c r="N145" s="303"/>
      <c r="O145" s="303"/>
      <c r="P145" s="217"/>
      <c r="Q145" s="348"/>
      <c r="R145" s="348"/>
      <c r="S145" s="348"/>
      <c r="T145" s="348"/>
      <c r="U145" s="348"/>
      <c r="V145" s="348"/>
      <c r="W145" s="217"/>
      <c r="X145" s="313"/>
      <c r="Y145" s="313"/>
      <c r="Z145" s="313"/>
      <c r="AA145" s="602"/>
      <c r="AB145" s="313"/>
      <c r="AC145" s="313"/>
      <c r="AD145" s="313"/>
      <c r="AE145" s="313"/>
      <c r="AF145" s="313"/>
      <c r="AG145" s="313"/>
      <c r="AH145" s="253"/>
      <c r="AI145" s="217"/>
      <c r="AJ145" s="318"/>
      <c r="AK145" s="318"/>
      <c r="AL145" s="318"/>
      <c r="AM145" s="318"/>
      <c r="AN145" s="318"/>
      <c r="AO145" s="318"/>
      <c r="AP145" s="318"/>
      <c r="AQ145" s="318"/>
      <c r="AR145" s="318"/>
      <c r="AS145" s="318"/>
      <c r="AT145" s="318"/>
      <c r="AU145" s="318"/>
      <c r="AV145" s="318"/>
      <c r="AW145" s="318"/>
      <c r="AX145" s="318"/>
      <c r="AY145" s="318"/>
      <c r="AZ145" s="346"/>
      <c r="BA145" s="322"/>
      <c r="BB145" s="322"/>
      <c r="BC145" s="322"/>
      <c r="BD145" s="322"/>
      <c r="BE145" s="322"/>
      <c r="BF145" s="346"/>
      <c r="BG145" s="328"/>
      <c r="BH145" s="328"/>
      <c r="BI145" s="328"/>
      <c r="BJ145" s="328"/>
      <c r="BK145" s="328"/>
      <c r="BL145" s="328"/>
      <c r="BM145" s="328"/>
      <c r="BN145" s="217"/>
      <c r="BO145" s="336"/>
      <c r="BP145" s="333"/>
      <c r="BQ145" s="336"/>
      <c r="BR145" s="336"/>
      <c r="BS145" s="336"/>
      <c r="BT145" s="336"/>
      <c r="BU145" s="336"/>
      <c r="BV145" s="336"/>
      <c r="BW145" s="336"/>
      <c r="BX145" s="217"/>
      <c r="BY145" s="341"/>
      <c r="BZ145" s="341"/>
      <c r="CA145" s="341"/>
      <c r="CB145" s="342"/>
      <c r="CC145" s="341"/>
      <c r="CD145" s="341"/>
      <c r="CE145" s="341"/>
      <c r="CF145" s="341"/>
      <c r="CG145" s="341"/>
      <c r="CH145" s="341"/>
      <c r="CI145" s="341"/>
      <c r="CJ145" s="342"/>
      <c r="CK145" s="342"/>
    </row>
    <row r="146">
      <c r="A146" s="753"/>
      <c r="B146" s="202" t="s">
        <v>271</v>
      </c>
      <c r="C146" s="196" t="s">
        <v>271</v>
      </c>
      <c r="D146" s="197" t="s">
        <v>271</v>
      </c>
      <c r="E146" s="199" t="s">
        <v>271</v>
      </c>
      <c r="F146" s="201" t="s">
        <v>271</v>
      </c>
      <c r="G146" s="202" t="s">
        <v>271</v>
      </c>
      <c r="H146" s="303"/>
      <c r="I146" s="303"/>
      <c r="J146" s="303"/>
      <c r="K146" s="303"/>
      <c r="L146" s="303"/>
      <c r="M146" s="303"/>
      <c r="N146" s="303"/>
      <c r="O146" s="303"/>
      <c r="P146" s="217"/>
      <c r="Q146" s="348"/>
      <c r="R146" s="348"/>
      <c r="S146" s="348"/>
      <c r="T146" s="348"/>
      <c r="U146" s="348"/>
      <c r="V146" s="348"/>
      <c r="W146" s="217"/>
      <c r="X146" s="313"/>
      <c r="Y146" s="313"/>
      <c r="Z146" s="313"/>
      <c r="AA146" s="602"/>
      <c r="AB146" s="313"/>
      <c r="AC146" s="313"/>
      <c r="AD146" s="313"/>
      <c r="AE146" s="313"/>
      <c r="AF146" s="313"/>
      <c r="AG146" s="313"/>
      <c r="AH146" s="253"/>
      <c r="AI146" s="217"/>
      <c r="AJ146" s="318"/>
      <c r="AK146" s="318"/>
      <c r="AL146" s="318"/>
      <c r="AM146" s="318"/>
      <c r="AN146" s="318"/>
      <c r="AO146" s="318"/>
      <c r="AP146" s="318"/>
      <c r="AQ146" s="318"/>
      <c r="AR146" s="318"/>
      <c r="AS146" s="318"/>
      <c r="AT146" s="318"/>
      <c r="AU146" s="318"/>
      <c r="AV146" s="318"/>
      <c r="AW146" s="318"/>
      <c r="AX146" s="318"/>
      <c r="AY146" s="318"/>
      <c r="AZ146" s="346"/>
      <c r="BA146" s="322"/>
      <c r="BB146" s="322"/>
      <c r="BC146" s="322"/>
      <c r="BD146" s="322"/>
      <c r="BE146" s="322"/>
      <c r="BF146" s="346"/>
      <c r="BG146" s="328"/>
      <c r="BH146" s="328"/>
      <c r="BI146" s="328"/>
      <c r="BJ146" s="328"/>
      <c r="BK146" s="328"/>
      <c r="BL146" s="328"/>
      <c r="BM146" s="328"/>
      <c r="BN146" s="217"/>
      <c r="BO146" s="336"/>
      <c r="BP146" s="333"/>
      <c r="BQ146" s="336"/>
      <c r="BR146" s="336"/>
      <c r="BS146" s="336"/>
      <c r="BT146" s="336"/>
      <c r="BU146" s="336"/>
      <c r="BV146" s="336"/>
      <c r="BW146" s="336"/>
      <c r="BX146" s="217"/>
      <c r="BY146" s="341"/>
      <c r="BZ146" s="341"/>
      <c r="CA146" s="341"/>
      <c r="CB146" s="342"/>
      <c r="CC146" s="341"/>
      <c r="CD146" s="341"/>
      <c r="CE146" s="341"/>
      <c r="CF146" s="341"/>
      <c r="CG146" s="341"/>
      <c r="CH146" s="341"/>
      <c r="CI146" s="341"/>
      <c r="CJ146" s="342"/>
      <c r="CK146" s="342"/>
    </row>
    <row r="147">
      <c r="A147" s="753"/>
      <c r="B147" s="202" t="s">
        <v>271</v>
      </c>
      <c r="C147" s="196" t="s">
        <v>271</v>
      </c>
      <c r="D147" s="197" t="s">
        <v>271</v>
      </c>
      <c r="E147" s="199" t="s">
        <v>271</v>
      </c>
      <c r="F147" s="201" t="s">
        <v>271</v>
      </c>
      <c r="G147" s="202" t="s">
        <v>271</v>
      </c>
      <c r="H147" s="303"/>
      <c r="I147" s="303"/>
      <c r="J147" s="303"/>
      <c r="K147" s="303"/>
      <c r="L147" s="303"/>
      <c r="M147" s="303"/>
      <c r="N147" s="303"/>
      <c r="O147" s="303"/>
      <c r="P147" s="217"/>
      <c r="Q147" s="348"/>
      <c r="R147" s="348"/>
      <c r="S147" s="348"/>
      <c r="T147" s="348"/>
      <c r="U147" s="348"/>
      <c r="V147" s="348"/>
      <c r="W147" s="217"/>
      <c r="X147" s="313"/>
      <c r="Y147" s="313"/>
      <c r="Z147" s="313"/>
      <c r="AA147" s="602"/>
      <c r="AB147" s="313"/>
      <c r="AC147" s="313"/>
      <c r="AD147" s="313"/>
      <c r="AE147" s="313"/>
      <c r="AF147" s="313"/>
      <c r="AG147" s="313"/>
      <c r="AH147" s="253"/>
      <c r="AI147" s="217"/>
      <c r="AJ147" s="318"/>
      <c r="AK147" s="318"/>
      <c r="AL147" s="318"/>
      <c r="AM147" s="318"/>
      <c r="AN147" s="318"/>
      <c r="AO147" s="318"/>
      <c r="AP147" s="318"/>
      <c r="AQ147" s="318"/>
      <c r="AR147" s="318"/>
      <c r="AS147" s="318"/>
      <c r="AT147" s="318"/>
      <c r="AU147" s="318"/>
      <c r="AV147" s="318"/>
      <c r="AW147" s="318"/>
      <c r="AX147" s="318"/>
      <c r="AY147" s="318"/>
      <c r="AZ147" s="346"/>
      <c r="BA147" s="322"/>
      <c r="BB147" s="322"/>
      <c r="BC147" s="322"/>
      <c r="BD147" s="322"/>
      <c r="BE147" s="322"/>
      <c r="BF147" s="346"/>
      <c r="BG147" s="328"/>
      <c r="BH147" s="328"/>
      <c r="BI147" s="328"/>
      <c r="BJ147" s="328"/>
      <c r="BK147" s="328"/>
      <c r="BL147" s="328"/>
      <c r="BM147" s="328"/>
      <c r="BN147" s="217"/>
      <c r="BO147" s="336"/>
      <c r="BP147" s="333"/>
      <c r="BQ147" s="336"/>
      <c r="BR147" s="336"/>
      <c r="BS147" s="336"/>
      <c r="BT147" s="336"/>
      <c r="BU147" s="336"/>
      <c r="BV147" s="336"/>
      <c r="BW147" s="336"/>
      <c r="BX147" s="217"/>
      <c r="BY147" s="341"/>
      <c r="BZ147" s="341"/>
      <c r="CA147" s="341"/>
      <c r="CB147" s="342"/>
      <c r="CC147" s="341"/>
      <c r="CD147" s="341"/>
      <c r="CE147" s="341"/>
      <c r="CF147" s="341"/>
      <c r="CG147" s="341"/>
      <c r="CH147" s="341"/>
      <c r="CI147" s="341"/>
      <c r="CJ147" s="342"/>
      <c r="CK147" s="342"/>
    </row>
    <row r="148">
      <c r="A148" s="753"/>
      <c r="B148" s="202" t="s">
        <v>271</v>
      </c>
      <c r="C148" s="196" t="s">
        <v>271</v>
      </c>
      <c r="D148" s="197" t="s">
        <v>271</v>
      </c>
      <c r="E148" s="199" t="s">
        <v>271</v>
      </c>
      <c r="F148" s="201" t="s">
        <v>271</v>
      </c>
      <c r="G148" s="202" t="s">
        <v>271</v>
      </c>
      <c r="H148" s="303"/>
      <c r="I148" s="303"/>
      <c r="J148" s="303"/>
      <c r="K148" s="303"/>
      <c r="L148" s="303"/>
      <c r="M148" s="303"/>
      <c r="N148" s="303"/>
      <c r="O148" s="303"/>
      <c r="P148" s="217"/>
      <c r="Q148" s="348"/>
      <c r="R148" s="348"/>
      <c r="S148" s="348"/>
      <c r="T148" s="348"/>
      <c r="U148" s="348"/>
      <c r="V148" s="348"/>
      <c r="W148" s="217"/>
      <c r="X148" s="313"/>
      <c r="Y148" s="313"/>
      <c r="Z148" s="313"/>
      <c r="AA148" s="602"/>
      <c r="AB148" s="313"/>
      <c r="AC148" s="313"/>
      <c r="AD148" s="313"/>
      <c r="AE148" s="313"/>
      <c r="AF148" s="313"/>
      <c r="AG148" s="313"/>
      <c r="AH148" s="253"/>
      <c r="AI148" s="217"/>
      <c r="AJ148" s="318"/>
      <c r="AK148" s="318"/>
      <c r="AL148" s="318"/>
      <c r="AM148" s="318"/>
      <c r="AN148" s="318"/>
      <c r="AO148" s="318"/>
      <c r="AP148" s="318"/>
      <c r="AQ148" s="318"/>
      <c r="AR148" s="318"/>
      <c r="AS148" s="318"/>
      <c r="AT148" s="318"/>
      <c r="AU148" s="318"/>
      <c r="AV148" s="318"/>
      <c r="AW148" s="318"/>
      <c r="AX148" s="318"/>
      <c r="AY148" s="318"/>
      <c r="AZ148" s="346"/>
      <c r="BA148" s="322"/>
      <c r="BB148" s="322"/>
      <c r="BC148" s="322"/>
      <c r="BD148" s="322"/>
      <c r="BE148" s="322"/>
      <c r="BF148" s="346"/>
      <c r="BG148" s="328"/>
      <c r="BH148" s="328"/>
      <c r="BI148" s="328"/>
      <c r="BJ148" s="328"/>
      <c r="BK148" s="328"/>
      <c r="BL148" s="328"/>
      <c r="BM148" s="328"/>
      <c r="BN148" s="217"/>
      <c r="BO148" s="336"/>
      <c r="BP148" s="333"/>
      <c r="BQ148" s="336"/>
      <c r="BR148" s="336"/>
      <c r="BS148" s="336"/>
      <c r="BT148" s="336"/>
      <c r="BU148" s="336"/>
      <c r="BV148" s="336"/>
      <c r="BW148" s="336"/>
      <c r="BX148" s="217"/>
      <c r="BY148" s="341"/>
      <c r="BZ148" s="341"/>
      <c r="CA148" s="341"/>
      <c r="CB148" s="342"/>
      <c r="CC148" s="341"/>
      <c r="CD148" s="341"/>
      <c r="CE148" s="341"/>
      <c r="CF148" s="341"/>
      <c r="CG148" s="341"/>
      <c r="CH148" s="341"/>
      <c r="CI148" s="341"/>
      <c r="CJ148" s="342"/>
      <c r="CK148" s="342"/>
    </row>
    <row r="149">
      <c r="A149" s="753"/>
      <c r="B149" s="202" t="s">
        <v>271</v>
      </c>
      <c r="C149" s="196" t="s">
        <v>271</v>
      </c>
      <c r="D149" s="197" t="s">
        <v>271</v>
      </c>
      <c r="E149" s="199" t="s">
        <v>271</v>
      </c>
      <c r="F149" s="201" t="s">
        <v>271</v>
      </c>
      <c r="G149" s="202" t="s">
        <v>271</v>
      </c>
      <c r="H149" s="303"/>
      <c r="I149" s="303"/>
      <c r="J149" s="303"/>
      <c r="K149" s="303"/>
      <c r="L149" s="303"/>
      <c r="M149" s="303"/>
      <c r="N149" s="303"/>
      <c r="O149" s="303"/>
      <c r="P149" s="217"/>
      <c r="Q149" s="348"/>
      <c r="R149" s="348"/>
      <c r="S149" s="348"/>
      <c r="T149" s="348"/>
      <c r="U149" s="348"/>
      <c r="V149" s="348"/>
      <c r="W149" s="217"/>
      <c r="X149" s="313"/>
      <c r="Y149" s="313"/>
      <c r="Z149" s="313"/>
      <c r="AA149" s="602"/>
      <c r="AB149" s="313"/>
      <c r="AC149" s="313"/>
      <c r="AD149" s="313"/>
      <c r="AE149" s="313"/>
      <c r="AF149" s="313"/>
      <c r="AG149" s="313"/>
      <c r="AH149" s="253"/>
      <c r="AI149" s="217"/>
      <c r="AJ149" s="318"/>
      <c r="AK149" s="318"/>
      <c r="AL149" s="318"/>
      <c r="AM149" s="318"/>
      <c r="AN149" s="318"/>
      <c r="AO149" s="318"/>
      <c r="AP149" s="318"/>
      <c r="AQ149" s="318"/>
      <c r="AR149" s="318"/>
      <c r="AS149" s="318"/>
      <c r="AT149" s="318"/>
      <c r="AU149" s="318"/>
      <c r="AV149" s="318"/>
      <c r="AW149" s="318"/>
      <c r="AX149" s="318"/>
      <c r="AY149" s="318"/>
      <c r="AZ149" s="346"/>
      <c r="BA149" s="322"/>
      <c r="BB149" s="322"/>
      <c r="BC149" s="322"/>
      <c r="BD149" s="322"/>
      <c r="BE149" s="322"/>
      <c r="BF149" s="346"/>
      <c r="BG149" s="328"/>
      <c r="BH149" s="328"/>
      <c r="BI149" s="328"/>
      <c r="BJ149" s="328"/>
      <c r="BK149" s="328"/>
      <c r="BL149" s="328"/>
      <c r="BM149" s="328"/>
      <c r="BN149" s="217"/>
      <c r="BO149" s="336"/>
      <c r="BP149" s="333"/>
      <c r="BQ149" s="336"/>
      <c r="BR149" s="336"/>
      <c r="BS149" s="336"/>
      <c r="BT149" s="336"/>
      <c r="BU149" s="336"/>
      <c r="BV149" s="336"/>
      <c r="BW149" s="336"/>
      <c r="BX149" s="217"/>
      <c r="BY149" s="341"/>
      <c r="BZ149" s="341"/>
      <c r="CA149" s="341"/>
      <c r="CB149" s="342"/>
      <c r="CC149" s="341"/>
      <c r="CD149" s="341"/>
      <c r="CE149" s="341"/>
      <c r="CF149" s="341"/>
      <c r="CG149" s="341"/>
      <c r="CH149" s="341"/>
      <c r="CI149" s="341"/>
      <c r="CJ149" s="342"/>
      <c r="CK149" s="342"/>
    </row>
    <row r="150">
      <c r="A150" s="753"/>
      <c r="B150" s="202" t="s">
        <v>271</v>
      </c>
      <c r="C150" s="196" t="s">
        <v>271</v>
      </c>
      <c r="D150" s="197" t="s">
        <v>271</v>
      </c>
      <c r="E150" s="199" t="s">
        <v>271</v>
      </c>
      <c r="F150" s="201" t="s">
        <v>271</v>
      </c>
      <c r="G150" s="202" t="s">
        <v>271</v>
      </c>
      <c r="H150" s="303"/>
      <c r="I150" s="303"/>
      <c r="J150" s="303"/>
      <c r="K150" s="303"/>
      <c r="L150" s="303"/>
      <c r="M150" s="303"/>
      <c r="N150" s="303"/>
      <c r="O150" s="303"/>
      <c r="P150" s="217"/>
      <c r="Q150" s="348"/>
      <c r="R150" s="348"/>
      <c r="S150" s="348"/>
      <c r="T150" s="348"/>
      <c r="U150" s="348"/>
      <c r="V150" s="348"/>
      <c r="W150" s="217"/>
      <c r="X150" s="313"/>
      <c r="Y150" s="313"/>
      <c r="Z150" s="313"/>
      <c r="AA150" s="602"/>
      <c r="AB150" s="313"/>
      <c r="AC150" s="313"/>
      <c r="AD150" s="313"/>
      <c r="AE150" s="313"/>
      <c r="AF150" s="313"/>
      <c r="AG150" s="313"/>
      <c r="AH150" s="253"/>
      <c r="AI150" s="217"/>
      <c r="AJ150" s="318"/>
      <c r="AK150" s="318"/>
      <c r="AL150" s="318"/>
      <c r="AM150" s="318"/>
      <c r="AN150" s="318"/>
      <c r="AO150" s="318"/>
      <c r="AP150" s="318"/>
      <c r="AQ150" s="318"/>
      <c r="AR150" s="318"/>
      <c r="AS150" s="318"/>
      <c r="AT150" s="318"/>
      <c r="AU150" s="318"/>
      <c r="AV150" s="318"/>
      <c r="AW150" s="318"/>
      <c r="AX150" s="318"/>
      <c r="AY150" s="318"/>
      <c r="AZ150" s="346"/>
      <c r="BA150" s="322"/>
      <c r="BB150" s="322"/>
      <c r="BC150" s="322"/>
      <c r="BD150" s="322"/>
      <c r="BE150" s="322"/>
      <c r="BF150" s="346"/>
      <c r="BG150" s="328"/>
      <c r="BH150" s="328"/>
      <c r="BI150" s="328"/>
      <c r="BJ150" s="328"/>
      <c r="BK150" s="328"/>
      <c r="BL150" s="328"/>
      <c r="BM150" s="328"/>
      <c r="BN150" s="217"/>
      <c r="BO150" s="336"/>
      <c r="BP150" s="333"/>
      <c r="BQ150" s="336"/>
      <c r="BR150" s="336"/>
      <c r="BS150" s="336"/>
      <c r="BT150" s="336"/>
      <c r="BU150" s="336"/>
      <c r="BV150" s="336"/>
      <c r="BW150" s="336"/>
      <c r="BX150" s="217"/>
      <c r="BY150" s="341"/>
      <c r="BZ150" s="341"/>
      <c r="CA150" s="341"/>
      <c r="CB150" s="342"/>
      <c r="CC150" s="341"/>
      <c r="CD150" s="341"/>
      <c r="CE150" s="341"/>
      <c r="CF150" s="341"/>
      <c r="CG150" s="341"/>
      <c r="CH150" s="341"/>
      <c r="CI150" s="341"/>
      <c r="CJ150" s="342"/>
      <c r="CK150" s="342"/>
    </row>
    <row r="151">
      <c r="A151" s="753"/>
      <c r="B151" s="202" t="s">
        <v>271</v>
      </c>
      <c r="C151" s="196" t="s">
        <v>271</v>
      </c>
      <c r="D151" s="197" t="s">
        <v>271</v>
      </c>
      <c r="E151" s="199" t="s">
        <v>271</v>
      </c>
      <c r="F151" s="201" t="s">
        <v>271</v>
      </c>
      <c r="G151" s="202" t="s">
        <v>271</v>
      </c>
      <c r="H151" s="303"/>
      <c r="I151" s="303"/>
      <c r="J151" s="303"/>
      <c r="K151" s="303"/>
      <c r="L151" s="303"/>
      <c r="M151" s="303"/>
      <c r="N151" s="303"/>
      <c r="O151" s="303"/>
      <c r="P151" s="217"/>
      <c r="Q151" s="348"/>
      <c r="R151" s="348"/>
      <c r="S151" s="348"/>
      <c r="T151" s="348"/>
      <c r="U151" s="348"/>
      <c r="V151" s="348"/>
      <c r="W151" s="217"/>
      <c r="X151" s="313"/>
      <c r="Y151" s="313"/>
      <c r="Z151" s="313"/>
      <c r="AA151" s="602"/>
      <c r="AB151" s="313"/>
      <c r="AC151" s="313"/>
      <c r="AD151" s="313"/>
      <c r="AE151" s="313"/>
      <c r="AF151" s="313"/>
      <c r="AG151" s="313"/>
      <c r="AH151" s="253"/>
      <c r="AI151" s="217"/>
      <c r="AJ151" s="318"/>
      <c r="AK151" s="318"/>
      <c r="AL151" s="318"/>
      <c r="AM151" s="318"/>
      <c r="AN151" s="318"/>
      <c r="AO151" s="318"/>
      <c r="AP151" s="318"/>
      <c r="AQ151" s="318"/>
      <c r="AR151" s="318"/>
      <c r="AS151" s="318"/>
      <c r="AT151" s="318"/>
      <c r="AU151" s="318"/>
      <c r="AV151" s="318"/>
      <c r="AW151" s="318"/>
      <c r="AX151" s="318"/>
      <c r="AY151" s="318"/>
      <c r="AZ151" s="346"/>
      <c r="BA151" s="322"/>
      <c r="BB151" s="322"/>
      <c r="BC151" s="322"/>
      <c r="BD151" s="322"/>
      <c r="BE151" s="322"/>
      <c r="BF151" s="346"/>
      <c r="BG151" s="328"/>
      <c r="BH151" s="328"/>
      <c r="BI151" s="328"/>
      <c r="BJ151" s="328"/>
      <c r="BK151" s="328"/>
      <c r="BL151" s="328"/>
      <c r="BM151" s="328"/>
      <c r="BN151" s="217"/>
      <c r="BO151" s="336"/>
      <c r="BP151" s="333"/>
      <c r="BQ151" s="336"/>
      <c r="BR151" s="336"/>
      <c r="BS151" s="336"/>
      <c r="BT151" s="336"/>
      <c r="BU151" s="336"/>
      <c r="BV151" s="336"/>
      <c r="BW151" s="336"/>
      <c r="BX151" s="217"/>
      <c r="BY151" s="341"/>
      <c r="BZ151" s="341"/>
      <c r="CA151" s="341"/>
      <c r="CB151" s="342"/>
      <c r="CC151" s="341"/>
      <c r="CD151" s="341"/>
      <c r="CE151" s="341"/>
      <c r="CF151" s="341"/>
      <c r="CG151" s="341"/>
      <c r="CH151" s="341"/>
      <c r="CI151" s="341"/>
      <c r="CJ151" s="342"/>
      <c r="CK151" s="342"/>
    </row>
    <row r="152">
      <c r="A152" s="753"/>
      <c r="B152" s="202" t="s">
        <v>271</v>
      </c>
      <c r="C152" s="196" t="s">
        <v>271</v>
      </c>
      <c r="D152" s="197" t="s">
        <v>271</v>
      </c>
      <c r="E152" s="199" t="s">
        <v>271</v>
      </c>
      <c r="F152" s="201" t="s">
        <v>271</v>
      </c>
      <c r="G152" s="202" t="s">
        <v>271</v>
      </c>
      <c r="H152" s="303"/>
      <c r="I152" s="303"/>
      <c r="J152" s="303"/>
      <c r="K152" s="303"/>
      <c r="L152" s="303"/>
      <c r="M152" s="303"/>
      <c r="N152" s="303"/>
      <c r="O152" s="303"/>
      <c r="P152" s="217"/>
      <c r="Q152" s="348"/>
      <c r="R152" s="348"/>
      <c r="S152" s="348"/>
      <c r="T152" s="348"/>
      <c r="U152" s="348"/>
      <c r="V152" s="348"/>
      <c r="W152" s="217"/>
      <c r="X152" s="313"/>
      <c r="Y152" s="313"/>
      <c r="Z152" s="313"/>
      <c r="AA152" s="602"/>
      <c r="AB152" s="313"/>
      <c r="AC152" s="313"/>
      <c r="AD152" s="313"/>
      <c r="AE152" s="313"/>
      <c r="AF152" s="313"/>
      <c r="AG152" s="313"/>
      <c r="AH152" s="253"/>
      <c r="AI152" s="217"/>
      <c r="AJ152" s="318"/>
      <c r="AK152" s="318"/>
      <c r="AL152" s="318"/>
      <c r="AM152" s="318"/>
      <c r="AN152" s="318"/>
      <c r="AO152" s="318"/>
      <c r="AP152" s="318"/>
      <c r="AQ152" s="318"/>
      <c r="AR152" s="318"/>
      <c r="AS152" s="318"/>
      <c r="AT152" s="318"/>
      <c r="AU152" s="318"/>
      <c r="AV152" s="318"/>
      <c r="AW152" s="318"/>
      <c r="AX152" s="318"/>
      <c r="AY152" s="318"/>
      <c r="AZ152" s="346"/>
      <c r="BA152" s="322"/>
      <c r="BB152" s="322"/>
      <c r="BC152" s="322"/>
      <c r="BD152" s="322"/>
      <c r="BE152" s="322"/>
      <c r="BF152" s="346"/>
      <c r="BG152" s="328"/>
      <c r="BH152" s="328"/>
      <c r="BI152" s="328"/>
      <c r="BJ152" s="328"/>
      <c r="BK152" s="328"/>
      <c r="BL152" s="328"/>
      <c r="BM152" s="328"/>
      <c r="BN152" s="217"/>
      <c r="BO152" s="336"/>
      <c r="BP152" s="333"/>
      <c r="BQ152" s="336"/>
      <c r="BR152" s="336"/>
      <c r="BS152" s="336"/>
      <c r="BT152" s="336"/>
      <c r="BU152" s="336"/>
      <c r="BV152" s="336"/>
      <c r="BW152" s="336"/>
      <c r="BX152" s="217"/>
      <c r="BY152" s="341"/>
      <c r="BZ152" s="341"/>
      <c r="CA152" s="341"/>
      <c r="CB152" s="342"/>
      <c r="CC152" s="341"/>
      <c r="CD152" s="341"/>
      <c r="CE152" s="341"/>
      <c r="CF152" s="341"/>
      <c r="CG152" s="341"/>
      <c r="CH152" s="341"/>
      <c r="CI152" s="341"/>
      <c r="CJ152" s="342"/>
      <c r="CK152" s="342"/>
    </row>
    <row r="153">
      <c r="A153" s="753"/>
      <c r="B153" s="202" t="s">
        <v>271</v>
      </c>
      <c r="C153" s="196" t="s">
        <v>271</v>
      </c>
      <c r="D153" s="197" t="s">
        <v>271</v>
      </c>
      <c r="E153" s="199" t="s">
        <v>271</v>
      </c>
      <c r="F153" s="201" t="s">
        <v>271</v>
      </c>
      <c r="G153" s="202" t="s">
        <v>271</v>
      </c>
      <c r="H153" s="303"/>
      <c r="I153" s="303"/>
      <c r="J153" s="303"/>
      <c r="K153" s="303"/>
      <c r="L153" s="303"/>
      <c r="M153" s="303"/>
      <c r="N153" s="303"/>
      <c r="O153" s="303"/>
      <c r="P153" s="217"/>
      <c r="Q153" s="348"/>
      <c r="R153" s="348"/>
      <c r="S153" s="348"/>
      <c r="T153" s="348"/>
      <c r="U153" s="348"/>
      <c r="V153" s="348"/>
      <c r="W153" s="217"/>
      <c r="X153" s="313"/>
      <c r="Y153" s="313"/>
      <c r="Z153" s="313"/>
      <c r="AA153" s="602"/>
      <c r="AB153" s="313"/>
      <c r="AC153" s="313"/>
      <c r="AD153" s="313"/>
      <c r="AE153" s="313"/>
      <c r="AF153" s="313"/>
      <c r="AG153" s="313"/>
      <c r="AH153" s="253"/>
      <c r="AI153" s="217"/>
      <c r="AJ153" s="318"/>
      <c r="AK153" s="318"/>
      <c r="AL153" s="318"/>
      <c r="AM153" s="318"/>
      <c r="AN153" s="318"/>
      <c r="AO153" s="318"/>
      <c r="AP153" s="318"/>
      <c r="AQ153" s="318"/>
      <c r="AR153" s="318"/>
      <c r="AS153" s="318"/>
      <c r="AT153" s="318"/>
      <c r="AU153" s="318"/>
      <c r="AV153" s="318"/>
      <c r="AW153" s="318"/>
      <c r="AX153" s="318"/>
      <c r="AY153" s="318"/>
      <c r="AZ153" s="346"/>
      <c r="BA153" s="322"/>
      <c r="BB153" s="322"/>
      <c r="BC153" s="322"/>
      <c r="BD153" s="322"/>
      <c r="BE153" s="322"/>
      <c r="BF153" s="346"/>
      <c r="BG153" s="328"/>
      <c r="BH153" s="328"/>
      <c r="BI153" s="328"/>
      <c r="BJ153" s="328"/>
      <c r="BK153" s="328"/>
      <c r="BL153" s="328"/>
      <c r="BM153" s="328"/>
      <c r="BN153" s="217"/>
      <c r="BO153" s="336"/>
      <c r="BP153" s="333"/>
      <c r="BQ153" s="336"/>
      <c r="BR153" s="336"/>
      <c r="BS153" s="336"/>
      <c r="BT153" s="336"/>
      <c r="BU153" s="336"/>
      <c r="BV153" s="336"/>
      <c r="BW153" s="336"/>
      <c r="BX153" s="217"/>
      <c r="BY153" s="341"/>
      <c r="BZ153" s="341"/>
      <c r="CA153" s="341"/>
      <c r="CB153" s="342"/>
      <c r="CC153" s="341"/>
      <c r="CD153" s="341"/>
      <c r="CE153" s="341"/>
      <c r="CF153" s="341"/>
      <c r="CG153" s="341"/>
      <c r="CH153" s="341"/>
      <c r="CI153" s="341"/>
      <c r="CJ153" s="342"/>
      <c r="CK153" s="342"/>
    </row>
    <row r="154">
      <c r="A154" s="753"/>
      <c r="B154" s="202" t="s">
        <v>271</v>
      </c>
      <c r="C154" s="196" t="s">
        <v>271</v>
      </c>
      <c r="D154" s="197" t="s">
        <v>271</v>
      </c>
      <c r="E154" s="199" t="s">
        <v>271</v>
      </c>
      <c r="F154" s="201" t="s">
        <v>271</v>
      </c>
      <c r="G154" s="202" t="s">
        <v>271</v>
      </c>
      <c r="H154" s="303"/>
      <c r="I154" s="303"/>
      <c r="J154" s="303"/>
      <c r="K154" s="303"/>
      <c r="L154" s="303"/>
      <c r="M154" s="303"/>
      <c r="N154" s="303"/>
      <c r="O154" s="303"/>
      <c r="P154" s="217"/>
      <c r="Q154" s="348"/>
      <c r="R154" s="348"/>
      <c r="S154" s="348"/>
      <c r="T154" s="348"/>
      <c r="U154" s="348"/>
      <c r="V154" s="348"/>
      <c r="W154" s="217"/>
      <c r="X154" s="313"/>
      <c r="Y154" s="313"/>
      <c r="Z154" s="313"/>
      <c r="AA154" s="602"/>
      <c r="AB154" s="313"/>
      <c r="AC154" s="313"/>
      <c r="AD154" s="313"/>
      <c r="AE154" s="313"/>
      <c r="AF154" s="313"/>
      <c r="AG154" s="313"/>
      <c r="AH154" s="253"/>
      <c r="AI154" s="217"/>
      <c r="AJ154" s="318"/>
      <c r="AK154" s="318"/>
      <c r="AL154" s="318"/>
      <c r="AM154" s="318"/>
      <c r="AN154" s="318"/>
      <c r="AO154" s="318"/>
      <c r="AP154" s="318"/>
      <c r="AQ154" s="318"/>
      <c r="AR154" s="318"/>
      <c r="AS154" s="318"/>
      <c r="AT154" s="318"/>
      <c r="AU154" s="318"/>
      <c r="AV154" s="318"/>
      <c r="AW154" s="318"/>
      <c r="AX154" s="318"/>
      <c r="AY154" s="318"/>
      <c r="AZ154" s="346"/>
      <c r="BA154" s="322"/>
      <c r="BB154" s="322"/>
      <c r="BC154" s="322"/>
      <c r="BD154" s="322"/>
      <c r="BE154" s="322"/>
      <c r="BF154" s="346"/>
      <c r="BG154" s="328"/>
      <c r="BH154" s="328"/>
      <c r="BI154" s="328"/>
      <c r="BJ154" s="328"/>
      <c r="BK154" s="328"/>
      <c r="BL154" s="328"/>
      <c r="BM154" s="328"/>
      <c r="BN154" s="217"/>
      <c r="BO154" s="336"/>
      <c r="BP154" s="333"/>
      <c r="BQ154" s="336"/>
      <c r="BR154" s="336"/>
      <c r="BS154" s="336"/>
      <c r="BT154" s="336"/>
      <c r="BU154" s="336"/>
      <c r="BV154" s="336"/>
      <c r="BW154" s="336"/>
      <c r="BX154" s="217"/>
      <c r="BY154" s="341"/>
      <c r="BZ154" s="341"/>
      <c r="CA154" s="341"/>
      <c r="CB154" s="342"/>
      <c r="CC154" s="341"/>
      <c r="CD154" s="341"/>
      <c r="CE154" s="341"/>
      <c r="CF154" s="341"/>
      <c r="CG154" s="341"/>
      <c r="CH154" s="341"/>
      <c r="CI154" s="341"/>
      <c r="CJ154" s="342"/>
      <c r="CK154" s="342"/>
    </row>
    <row r="155">
      <c r="A155" s="753"/>
      <c r="B155" s="202" t="s">
        <v>271</v>
      </c>
      <c r="C155" s="196" t="s">
        <v>271</v>
      </c>
      <c r="D155" s="197" t="s">
        <v>271</v>
      </c>
      <c r="E155" s="199" t="s">
        <v>271</v>
      </c>
      <c r="F155" s="201" t="s">
        <v>271</v>
      </c>
      <c r="G155" s="202" t="s">
        <v>271</v>
      </c>
      <c r="H155" s="303"/>
      <c r="I155" s="303"/>
      <c r="J155" s="303"/>
      <c r="K155" s="303"/>
      <c r="L155" s="303"/>
      <c r="M155" s="303"/>
      <c r="N155" s="303"/>
      <c r="O155" s="303"/>
      <c r="P155" s="217"/>
      <c r="Q155" s="348"/>
      <c r="R155" s="348"/>
      <c r="S155" s="348"/>
      <c r="T155" s="348"/>
      <c r="U155" s="348"/>
      <c r="V155" s="348"/>
      <c r="W155" s="217"/>
      <c r="X155" s="313"/>
      <c r="Y155" s="313"/>
      <c r="Z155" s="313"/>
      <c r="AA155" s="602"/>
      <c r="AB155" s="313"/>
      <c r="AC155" s="313"/>
      <c r="AD155" s="313"/>
      <c r="AE155" s="313"/>
      <c r="AF155" s="313"/>
      <c r="AG155" s="313"/>
      <c r="AH155" s="253"/>
      <c r="AI155" s="217"/>
      <c r="AJ155" s="318"/>
      <c r="AK155" s="318"/>
      <c r="AL155" s="318"/>
      <c r="AM155" s="318"/>
      <c r="AN155" s="318"/>
      <c r="AO155" s="318"/>
      <c r="AP155" s="318"/>
      <c r="AQ155" s="318"/>
      <c r="AR155" s="318"/>
      <c r="AS155" s="318"/>
      <c r="AT155" s="318"/>
      <c r="AU155" s="318"/>
      <c r="AV155" s="318"/>
      <c r="AW155" s="318"/>
      <c r="AX155" s="318"/>
      <c r="AY155" s="318"/>
      <c r="AZ155" s="346"/>
      <c r="BA155" s="322"/>
      <c r="BB155" s="322"/>
      <c r="BC155" s="322"/>
      <c r="BD155" s="322"/>
      <c r="BE155" s="322"/>
      <c r="BF155" s="346"/>
      <c r="BG155" s="328"/>
      <c r="BH155" s="328"/>
      <c r="BI155" s="328"/>
      <c r="BJ155" s="328"/>
      <c r="BK155" s="328"/>
      <c r="BL155" s="328"/>
      <c r="BM155" s="328"/>
      <c r="BN155" s="217"/>
      <c r="BO155" s="336"/>
      <c r="BP155" s="333"/>
      <c r="BQ155" s="336"/>
      <c r="BR155" s="336"/>
      <c r="BS155" s="336"/>
      <c r="BT155" s="336"/>
      <c r="BU155" s="336"/>
      <c r="BV155" s="336"/>
      <c r="BW155" s="336"/>
      <c r="BX155" s="217"/>
      <c r="BY155" s="341"/>
      <c r="BZ155" s="341"/>
      <c r="CA155" s="341"/>
      <c r="CB155" s="342"/>
      <c r="CC155" s="341"/>
      <c r="CD155" s="341"/>
      <c r="CE155" s="341"/>
      <c r="CF155" s="341"/>
      <c r="CG155" s="341"/>
      <c r="CH155" s="341"/>
      <c r="CI155" s="341"/>
      <c r="CJ155" s="342"/>
      <c r="CK155" s="342"/>
    </row>
    <row r="156">
      <c r="A156" s="753"/>
      <c r="B156" s="202" t="s">
        <v>271</v>
      </c>
      <c r="C156" s="196" t="s">
        <v>271</v>
      </c>
      <c r="D156" s="197" t="s">
        <v>271</v>
      </c>
      <c r="E156" s="199" t="s">
        <v>271</v>
      </c>
      <c r="F156" s="201" t="s">
        <v>271</v>
      </c>
      <c r="G156" s="202" t="s">
        <v>271</v>
      </c>
      <c r="H156" s="303"/>
      <c r="I156" s="303"/>
      <c r="J156" s="303"/>
      <c r="K156" s="303"/>
      <c r="L156" s="303"/>
      <c r="M156" s="303"/>
      <c r="N156" s="303"/>
      <c r="O156" s="303"/>
      <c r="P156" s="217"/>
      <c r="Q156" s="348"/>
      <c r="R156" s="348"/>
      <c r="S156" s="348"/>
      <c r="T156" s="348"/>
      <c r="U156" s="348"/>
      <c r="V156" s="348"/>
      <c r="W156" s="217"/>
      <c r="X156" s="313"/>
      <c r="Y156" s="313"/>
      <c r="Z156" s="313"/>
      <c r="AA156" s="602"/>
      <c r="AB156" s="313"/>
      <c r="AC156" s="313"/>
      <c r="AD156" s="313"/>
      <c r="AE156" s="313"/>
      <c r="AF156" s="313"/>
      <c r="AG156" s="313"/>
      <c r="AH156" s="253"/>
      <c r="AI156" s="217"/>
      <c r="AJ156" s="318"/>
      <c r="AK156" s="318"/>
      <c r="AL156" s="318"/>
      <c r="AM156" s="318"/>
      <c r="AN156" s="318"/>
      <c r="AO156" s="318"/>
      <c r="AP156" s="318"/>
      <c r="AQ156" s="318"/>
      <c r="AR156" s="318"/>
      <c r="AS156" s="318"/>
      <c r="AT156" s="318"/>
      <c r="AU156" s="318"/>
      <c r="AV156" s="318"/>
      <c r="AW156" s="318"/>
      <c r="AX156" s="318"/>
      <c r="AY156" s="318"/>
      <c r="AZ156" s="346"/>
      <c r="BA156" s="322"/>
      <c r="BB156" s="322"/>
      <c r="BC156" s="322"/>
      <c r="BD156" s="322"/>
      <c r="BE156" s="322"/>
      <c r="BF156" s="346"/>
      <c r="BG156" s="328"/>
      <c r="BH156" s="328"/>
      <c r="BI156" s="328"/>
      <c r="BJ156" s="328"/>
      <c r="BK156" s="328"/>
      <c r="BL156" s="328"/>
      <c r="BM156" s="328"/>
      <c r="BN156" s="217"/>
      <c r="BO156" s="336"/>
      <c r="BP156" s="333"/>
      <c r="BQ156" s="336"/>
      <c r="BR156" s="336"/>
      <c r="BS156" s="336"/>
      <c r="BT156" s="336"/>
      <c r="BU156" s="336"/>
      <c r="BV156" s="336"/>
      <c r="BW156" s="336"/>
      <c r="BX156" s="217"/>
      <c r="BY156" s="341"/>
      <c r="BZ156" s="341"/>
      <c r="CA156" s="341"/>
      <c r="CB156" s="342"/>
      <c r="CC156" s="341"/>
      <c r="CD156" s="341"/>
      <c r="CE156" s="341"/>
      <c r="CF156" s="341"/>
      <c r="CG156" s="341"/>
      <c r="CH156" s="341"/>
      <c r="CI156" s="341"/>
      <c r="CJ156" s="342"/>
      <c r="CK156" s="342"/>
    </row>
    <row r="157">
      <c r="A157" s="753"/>
      <c r="B157" s="202" t="s">
        <v>271</v>
      </c>
      <c r="C157" s="196" t="s">
        <v>271</v>
      </c>
      <c r="D157" s="197" t="s">
        <v>271</v>
      </c>
      <c r="E157" s="199" t="s">
        <v>271</v>
      </c>
      <c r="F157" s="201" t="s">
        <v>271</v>
      </c>
      <c r="G157" s="202" t="s">
        <v>271</v>
      </c>
      <c r="H157" s="303"/>
      <c r="I157" s="303"/>
      <c r="J157" s="303"/>
      <c r="K157" s="303"/>
      <c r="L157" s="303"/>
      <c r="M157" s="303"/>
      <c r="N157" s="303"/>
      <c r="O157" s="303"/>
      <c r="P157" s="217"/>
      <c r="Q157" s="348"/>
      <c r="R157" s="348"/>
      <c r="S157" s="348"/>
      <c r="T157" s="348"/>
      <c r="U157" s="348"/>
      <c r="V157" s="348"/>
      <c r="W157" s="217"/>
      <c r="X157" s="313"/>
      <c r="Y157" s="313"/>
      <c r="Z157" s="313"/>
      <c r="AA157" s="602"/>
      <c r="AB157" s="313"/>
      <c r="AC157" s="313"/>
      <c r="AD157" s="313"/>
      <c r="AE157" s="313"/>
      <c r="AF157" s="313"/>
      <c r="AG157" s="313"/>
      <c r="AH157" s="253"/>
      <c r="AI157" s="217"/>
      <c r="AJ157" s="318"/>
      <c r="AK157" s="318"/>
      <c r="AL157" s="318"/>
      <c r="AM157" s="318"/>
      <c r="AN157" s="318"/>
      <c r="AO157" s="318"/>
      <c r="AP157" s="318"/>
      <c r="AQ157" s="318"/>
      <c r="AR157" s="318"/>
      <c r="AS157" s="318"/>
      <c r="AT157" s="318"/>
      <c r="AU157" s="318"/>
      <c r="AV157" s="318"/>
      <c r="AW157" s="318"/>
      <c r="AX157" s="318"/>
      <c r="AY157" s="318"/>
      <c r="AZ157" s="346"/>
      <c r="BA157" s="322"/>
      <c r="BB157" s="322"/>
      <c r="BC157" s="322"/>
      <c r="BD157" s="322"/>
      <c r="BE157" s="322"/>
      <c r="BF157" s="346"/>
      <c r="BG157" s="328"/>
      <c r="BH157" s="328"/>
      <c r="BI157" s="328"/>
      <c r="BJ157" s="328"/>
      <c r="BK157" s="328"/>
      <c r="BL157" s="328"/>
      <c r="BM157" s="328"/>
      <c r="BN157" s="217"/>
      <c r="BO157" s="336"/>
      <c r="BP157" s="333"/>
      <c r="BQ157" s="336"/>
      <c r="BR157" s="336"/>
      <c r="BS157" s="336"/>
      <c r="BT157" s="336"/>
      <c r="BU157" s="336"/>
      <c r="BV157" s="336"/>
      <c r="BW157" s="336"/>
      <c r="BX157" s="217"/>
      <c r="BY157" s="341"/>
      <c r="BZ157" s="341"/>
      <c r="CA157" s="341"/>
      <c r="CB157" s="342"/>
      <c r="CC157" s="341"/>
      <c r="CD157" s="341"/>
      <c r="CE157" s="341"/>
      <c r="CF157" s="341"/>
      <c r="CG157" s="341"/>
      <c r="CH157" s="341"/>
      <c r="CI157" s="341"/>
      <c r="CJ157" s="342"/>
      <c r="CK157" s="342"/>
    </row>
    <row r="158">
      <c r="A158" s="753"/>
      <c r="B158" s="202" t="s">
        <v>271</v>
      </c>
      <c r="C158" s="196" t="s">
        <v>271</v>
      </c>
      <c r="D158" s="197" t="s">
        <v>271</v>
      </c>
      <c r="E158" s="199" t="s">
        <v>271</v>
      </c>
      <c r="F158" s="201" t="s">
        <v>271</v>
      </c>
      <c r="G158" s="202" t="s">
        <v>271</v>
      </c>
      <c r="H158" s="303"/>
      <c r="I158" s="303"/>
      <c r="J158" s="303"/>
      <c r="K158" s="303"/>
      <c r="L158" s="303"/>
      <c r="M158" s="303"/>
      <c r="N158" s="303"/>
      <c r="O158" s="303"/>
      <c r="P158" s="217"/>
      <c r="Q158" s="348"/>
      <c r="R158" s="348"/>
      <c r="S158" s="348"/>
      <c r="T158" s="348"/>
      <c r="U158" s="348"/>
      <c r="V158" s="348"/>
      <c r="W158" s="217"/>
      <c r="X158" s="313"/>
      <c r="Y158" s="313"/>
      <c r="Z158" s="313"/>
      <c r="AA158" s="602"/>
      <c r="AB158" s="313"/>
      <c r="AC158" s="313"/>
      <c r="AD158" s="313"/>
      <c r="AE158" s="313"/>
      <c r="AF158" s="313"/>
      <c r="AG158" s="313"/>
      <c r="AH158" s="253"/>
      <c r="AI158" s="217"/>
      <c r="AJ158" s="318"/>
      <c r="AK158" s="318"/>
      <c r="AL158" s="318"/>
      <c r="AM158" s="318"/>
      <c r="AN158" s="318"/>
      <c r="AO158" s="318"/>
      <c r="AP158" s="318"/>
      <c r="AQ158" s="318"/>
      <c r="AR158" s="318"/>
      <c r="AS158" s="318"/>
      <c r="AT158" s="318"/>
      <c r="AU158" s="318"/>
      <c r="AV158" s="318"/>
      <c r="AW158" s="318"/>
      <c r="AX158" s="318"/>
      <c r="AY158" s="318"/>
      <c r="AZ158" s="346"/>
      <c r="BA158" s="322"/>
      <c r="BB158" s="322"/>
      <c r="BC158" s="322"/>
      <c r="BD158" s="322"/>
      <c r="BE158" s="322"/>
      <c r="BF158" s="346"/>
      <c r="BG158" s="328"/>
      <c r="BH158" s="328"/>
      <c r="BI158" s="328"/>
      <c r="BJ158" s="328"/>
      <c r="BK158" s="328"/>
      <c r="BL158" s="328"/>
      <c r="BM158" s="328"/>
      <c r="BN158" s="217"/>
      <c r="BO158" s="336"/>
      <c r="BP158" s="333"/>
      <c r="BQ158" s="336"/>
      <c r="BR158" s="336"/>
      <c r="BS158" s="336"/>
      <c r="BT158" s="336"/>
      <c r="BU158" s="336"/>
      <c r="BV158" s="336"/>
      <c r="BW158" s="336"/>
      <c r="BX158" s="217"/>
      <c r="BY158" s="341"/>
      <c r="BZ158" s="341"/>
      <c r="CA158" s="341"/>
      <c r="CB158" s="342"/>
      <c r="CC158" s="341"/>
      <c r="CD158" s="341"/>
      <c r="CE158" s="341"/>
      <c r="CF158" s="341"/>
      <c r="CG158" s="341"/>
      <c r="CH158" s="341"/>
      <c r="CI158" s="341"/>
      <c r="CJ158" s="342"/>
      <c r="CK158" s="342"/>
    </row>
    <row r="159">
      <c r="A159" s="753"/>
      <c r="B159" s="202" t="s">
        <v>271</v>
      </c>
      <c r="C159" s="196" t="s">
        <v>271</v>
      </c>
      <c r="D159" s="197" t="s">
        <v>271</v>
      </c>
      <c r="E159" s="199" t="s">
        <v>271</v>
      </c>
      <c r="F159" s="201" t="s">
        <v>271</v>
      </c>
      <c r="G159" s="202" t="s">
        <v>271</v>
      </c>
      <c r="H159" s="303"/>
      <c r="I159" s="303"/>
      <c r="J159" s="303"/>
      <c r="K159" s="303"/>
      <c r="L159" s="303"/>
      <c r="M159" s="303"/>
      <c r="N159" s="303"/>
      <c r="O159" s="303"/>
      <c r="P159" s="217"/>
      <c r="Q159" s="348"/>
      <c r="R159" s="348"/>
      <c r="S159" s="348"/>
      <c r="T159" s="348"/>
      <c r="U159" s="348"/>
      <c r="V159" s="348"/>
      <c r="W159" s="217"/>
      <c r="X159" s="313"/>
      <c r="Y159" s="313"/>
      <c r="Z159" s="313"/>
      <c r="AA159" s="602"/>
      <c r="AB159" s="313"/>
      <c r="AC159" s="313"/>
      <c r="AD159" s="313"/>
      <c r="AE159" s="313"/>
      <c r="AF159" s="313"/>
      <c r="AG159" s="313"/>
      <c r="AH159" s="253"/>
      <c r="AI159" s="217"/>
      <c r="AJ159" s="318"/>
      <c r="AK159" s="318"/>
      <c r="AL159" s="318"/>
      <c r="AM159" s="318"/>
      <c r="AN159" s="318"/>
      <c r="AO159" s="318"/>
      <c r="AP159" s="318"/>
      <c r="AQ159" s="318"/>
      <c r="AR159" s="318"/>
      <c r="AS159" s="318"/>
      <c r="AT159" s="318"/>
      <c r="AU159" s="318"/>
      <c r="AV159" s="318"/>
      <c r="AW159" s="318"/>
      <c r="AX159" s="318"/>
      <c r="AY159" s="318"/>
      <c r="AZ159" s="346"/>
      <c r="BA159" s="322"/>
      <c r="BB159" s="322"/>
      <c r="BC159" s="322"/>
      <c r="BD159" s="322"/>
      <c r="BE159" s="322"/>
      <c r="BF159" s="346"/>
      <c r="BG159" s="328"/>
      <c r="BH159" s="328"/>
      <c r="BI159" s="328"/>
      <c r="BJ159" s="328"/>
      <c r="BK159" s="328"/>
      <c r="BL159" s="328"/>
      <c r="BM159" s="328"/>
      <c r="BN159" s="217"/>
      <c r="BO159" s="336"/>
      <c r="BP159" s="333"/>
      <c r="BQ159" s="336"/>
      <c r="BR159" s="336"/>
      <c r="BS159" s="336"/>
      <c r="BT159" s="336"/>
      <c r="BU159" s="336"/>
      <c r="BV159" s="336"/>
      <c r="BW159" s="336"/>
      <c r="BX159" s="217"/>
      <c r="BY159" s="341"/>
      <c r="BZ159" s="341"/>
      <c r="CA159" s="341"/>
      <c r="CB159" s="342"/>
      <c r="CC159" s="341"/>
      <c r="CD159" s="341"/>
      <c r="CE159" s="341"/>
      <c r="CF159" s="341"/>
      <c r="CG159" s="341"/>
      <c r="CH159" s="341"/>
      <c r="CI159" s="341"/>
      <c r="CJ159" s="342"/>
      <c r="CK159" s="342"/>
    </row>
    <row r="160">
      <c r="A160" s="753"/>
      <c r="B160" s="202" t="s">
        <v>271</v>
      </c>
      <c r="C160" s="196" t="s">
        <v>271</v>
      </c>
      <c r="D160" s="197" t="s">
        <v>271</v>
      </c>
      <c r="E160" s="199" t="s">
        <v>271</v>
      </c>
      <c r="F160" s="201" t="s">
        <v>271</v>
      </c>
      <c r="G160" s="202" t="s">
        <v>271</v>
      </c>
      <c r="H160" s="303"/>
      <c r="I160" s="303"/>
      <c r="J160" s="303"/>
      <c r="K160" s="303"/>
      <c r="L160" s="303"/>
      <c r="M160" s="303"/>
      <c r="N160" s="303"/>
      <c r="O160" s="303"/>
      <c r="P160" s="217"/>
      <c r="Q160" s="348"/>
      <c r="R160" s="348"/>
      <c r="S160" s="348"/>
      <c r="T160" s="348"/>
      <c r="U160" s="348"/>
      <c r="V160" s="348"/>
      <c r="W160" s="217"/>
      <c r="X160" s="313"/>
      <c r="Y160" s="313"/>
      <c r="Z160" s="313"/>
      <c r="AA160" s="602"/>
      <c r="AB160" s="313"/>
      <c r="AC160" s="313"/>
      <c r="AD160" s="313"/>
      <c r="AE160" s="313"/>
      <c r="AF160" s="313"/>
      <c r="AG160" s="313"/>
      <c r="AH160" s="253"/>
      <c r="AI160" s="217"/>
      <c r="AJ160" s="318"/>
      <c r="AK160" s="318"/>
      <c r="AL160" s="318"/>
      <c r="AM160" s="318"/>
      <c r="AN160" s="318"/>
      <c r="AO160" s="318"/>
      <c r="AP160" s="318"/>
      <c r="AQ160" s="318"/>
      <c r="AR160" s="318"/>
      <c r="AS160" s="318"/>
      <c r="AT160" s="318"/>
      <c r="AU160" s="318"/>
      <c r="AV160" s="318"/>
      <c r="AW160" s="318"/>
      <c r="AX160" s="318"/>
      <c r="AY160" s="318"/>
      <c r="AZ160" s="346"/>
      <c r="BA160" s="322"/>
      <c r="BB160" s="322"/>
      <c r="BC160" s="322"/>
      <c r="BD160" s="322"/>
      <c r="BE160" s="322"/>
      <c r="BF160" s="346"/>
      <c r="BG160" s="328"/>
      <c r="BH160" s="328"/>
      <c r="BI160" s="328"/>
      <c r="BJ160" s="328"/>
      <c r="BK160" s="328"/>
      <c r="BL160" s="328"/>
      <c r="BM160" s="328"/>
      <c r="BN160" s="217"/>
      <c r="BO160" s="336"/>
      <c r="BP160" s="333"/>
      <c r="BQ160" s="336"/>
      <c r="BR160" s="336"/>
      <c r="BS160" s="336"/>
      <c r="BT160" s="336"/>
      <c r="BU160" s="336"/>
      <c r="BV160" s="336"/>
      <c r="BW160" s="336"/>
      <c r="BX160" s="217"/>
      <c r="BY160" s="341"/>
      <c r="BZ160" s="341"/>
      <c r="CA160" s="341"/>
      <c r="CB160" s="342"/>
      <c r="CC160" s="341"/>
      <c r="CD160" s="341"/>
      <c r="CE160" s="341"/>
      <c r="CF160" s="341"/>
      <c r="CG160" s="341"/>
      <c r="CH160" s="341"/>
      <c r="CI160" s="341"/>
      <c r="CJ160" s="342"/>
      <c r="CK160" s="342"/>
    </row>
    <row r="161">
      <c r="A161" s="753"/>
      <c r="B161" s="202" t="s">
        <v>271</v>
      </c>
      <c r="C161" s="196" t="s">
        <v>271</v>
      </c>
      <c r="D161" s="197" t="s">
        <v>271</v>
      </c>
      <c r="E161" s="199" t="s">
        <v>271</v>
      </c>
      <c r="F161" s="201" t="s">
        <v>271</v>
      </c>
      <c r="G161" s="202" t="s">
        <v>271</v>
      </c>
      <c r="H161" s="303"/>
      <c r="I161" s="303"/>
      <c r="J161" s="303"/>
      <c r="K161" s="303"/>
      <c r="L161" s="303"/>
      <c r="M161" s="303"/>
      <c r="N161" s="303"/>
      <c r="O161" s="303"/>
      <c r="P161" s="217"/>
      <c r="Q161" s="348"/>
      <c r="R161" s="348"/>
      <c r="S161" s="348"/>
      <c r="T161" s="348"/>
      <c r="U161" s="348"/>
      <c r="V161" s="348"/>
      <c r="W161" s="217"/>
      <c r="X161" s="313"/>
      <c r="Y161" s="313"/>
      <c r="Z161" s="313"/>
      <c r="AA161" s="602"/>
      <c r="AB161" s="313"/>
      <c r="AC161" s="313"/>
      <c r="AD161" s="313"/>
      <c r="AE161" s="313"/>
      <c r="AF161" s="313"/>
      <c r="AG161" s="313"/>
      <c r="AH161" s="253"/>
      <c r="AI161" s="217"/>
      <c r="AJ161" s="318"/>
      <c r="AK161" s="318"/>
      <c r="AL161" s="318"/>
      <c r="AM161" s="318"/>
      <c r="AN161" s="318"/>
      <c r="AO161" s="318"/>
      <c r="AP161" s="318"/>
      <c r="AQ161" s="318"/>
      <c r="AR161" s="318"/>
      <c r="AS161" s="318"/>
      <c r="AT161" s="318"/>
      <c r="AU161" s="318"/>
      <c r="AV161" s="318"/>
      <c r="AW161" s="318"/>
      <c r="AX161" s="318"/>
      <c r="AY161" s="318"/>
      <c r="AZ161" s="346"/>
      <c r="BA161" s="322"/>
      <c r="BB161" s="322"/>
      <c r="BC161" s="322"/>
      <c r="BD161" s="322"/>
      <c r="BE161" s="322"/>
      <c r="BF161" s="346"/>
      <c r="BG161" s="328"/>
      <c r="BH161" s="328"/>
      <c r="BI161" s="328"/>
      <c r="BJ161" s="328"/>
      <c r="BK161" s="328"/>
      <c r="BL161" s="328"/>
      <c r="BM161" s="328"/>
      <c r="BN161" s="217"/>
      <c r="BO161" s="336"/>
      <c r="BP161" s="333"/>
      <c r="BQ161" s="336"/>
      <c r="BR161" s="336"/>
      <c r="BS161" s="336"/>
      <c r="BT161" s="336"/>
      <c r="BU161" s="336"/>
      <c r="BV161" s="336"/>
      <c r="BW161" s="336"/>
      <c r="BX161" s="217"/>
      <c r="BY161" s="341"/>
      <c r="BZ161" s="341"/>
      <c r="CA161" s="341"/>
      <c r="CB161" s="342"/>
      <c r="CC161" s="341"/>
      <c r="CD161" s="341"/>
      <c r="CE161" s="341"/>
      <c r="CF161" s="341"/>
      <c r="CG161" s="341"/>
      <c r="CH161" s="341"/>
      <c r="CI161" s="341"/>
      <c r="CJ161" s="342"/>
      <c r="CK161" s="342"/>
    </row>
    <row r="162">
      <c r="A162" s="753"/>
      <c r="B162" s="202" t="s">
        <v>271</v>
      </c>
      <c r="C162" s="196" t="s">
        <v>271</v>
      </c>
      <c r="D162" s="197" t="s">
        <v>271</v>
      </c>
      <c r="E162" s="199" t="s">
        <v>271</v>
      </c>
      <c r="F162" s="201" t="s">
        <v>271</v>
      </c>
      <c r="G162" s="202" t="s">
        <v>271</v>
      </c>
      <c r="H162" s="303"/>
      <c r="I162" s="303"/>
      <c r="J162" s="303"/>
      <c r="K162" s="303"/>
      <c r="L162" s="303"/>
      <c r="M162" s="303"/>
      <c r="N162" s="303"/>
      <c r="O162" s="303"/>
      <c r="P162" s="217"/>
      <c r="Q162" s="348"/>
      <c r="R162" s="348"/>
      <c r="S162" s="348"/>
      <c r="T162" s="348"/>
      <c r="U162" s="348"/>
      <c r="V162" s="348"/>
      <c r="W162" s="217"/>
      <c r="X162" s="313"/>
      <c r="Y162" s="313"/>
      <c r="Z162" s="313"/>
      <c r="AA162" s="602"/>
      <c r="AB162" s="313"/>
      <c r="AC162" s="313"/>
      <c r="AD162" s="313"/>
      <c r="AE162" s="313"/>
      <c r="AF162" s="313"/>
      <c r="AG162" s="313"/>
      <c r="AH162" s="253"/>
      <c r="AI162" s="217"/>
      <c r="AJ162" s="318"/>
      <c r="AK162" s="318"/>
      <c r="AL162" s="318"/>
      <c r="AM162" s="318"/>
      <c r="AN162" s="318"/>
      <c r="AO162" s="318"/>
      <c r="AP162" s="318"/>
      <c r="AQ162" s="318"/>
      <c r="AR162" s="318"/>
      <c r="AS162" s="318"/>
      <c r="AT162" s="318"/>
      <c r="AU162" s="318"/>
      <c r="AV162" s="318"/>
      <c r="AW162" s="318"/>
      <c r="AX162" s="318"/>
      <c r="AY162" s="318"/>
      <c r="AZ162" s="346"/>
      <c r="BA162" s="322"/>
      <c r="BB162" s="322"/>
      <c r="BC162" s="322"/>
      <c r="BD162" s="322"/>
      <c r="BE162" s="322"/>
      <c r="BF162" s="346"/>
      <c r="BG162" s="328"/>
      <c r="BH162" s="328"/>
      <c r="BI162" s="328"/>
      <c r="BJ162" s="328"/>
      <c r="BK162" s="328"/>
      <c r="BL162" s="328"/>
      <c r="BM162" s="328"/>
      <c r="BN162" s="217"/>
      <c r="BO162" s="336"/>
      <c r="BP162" s="333"/>
      <c r="BQ162" s="336"/>
      <c r="BR162" s="336"/>
      <c r="BS162" s="336"/>
      <c r="BT162" s="336"/>
      <c r="BU162" s="336"/>
      <c r="BV162" s="336"/>
      <c r="BW162" s="336"/>
      <c r="BX162" s="217"/>
      <c r="BY162" s="341"/>
      <c r="BZ162" s="341"/>
      <c r="CA162" s="341"/>
      <c r="CB162" s="342"/>
      <c r="CC162" s="341"/>
      <c r="CD162" s="341"/>
      <c r="CE162" s="341"/>
      <c r="CF162" s="341"/>
      <c r="CG162" s="341"/>
      <c r="CH162" s="341"/>
      <c r="CI162" s="341"/>
      <c r="CJ162" s="342"/>
      <c r="CK162" s="342"/>
    </row>
    <row r="163">
      <c r="A163" s="753"/>
      <c r="B163" s="202" t="s">
        <v>271</v>
      </c>
      <c r="C163" s="196" t="s">
        <v>271</v>
      </c>
      <c r="D163" s="197" t="s">
        <v>271</v>
      </c>
      <c r="E163" s="199" t="s">
        <v>271</v>
      </c>
      <c r="F163" s="201" t="s">
        <v>271</v>
      </c>
      <c r="G163" s="202" t="s">
        <v>271</v>
      </c>
      <c r="H163" s="303"/>
      <c r="I163" s="303"/>
      <c r="J163" s="303"/>
      <c r="K163" s="303"/>
      <c r="L163" s="303"/>
      <c r="M163" s="303"/>
      <c r="N163" s="303"/>
      <c r="O163" s="303"/>
      <c r="P163" s="217"/>
      <c r="Q163" s="348"/>
      <c r="R163" s="348"/>
      <c r="S163" s="348"/>
      <c r="T163" s="348"/>
      <c r="U163" s="348"/>
      <c r="V163" s="348"/>
      <c r="W163" s="217"/>
      <c r="X163" s="313"/>
      <c r="Y163" s="313"/>
      <c r="Z163" s="313"/>
      <c r="AA163" s="602"/>
      <c r="AB163" s="313"/>
      <c r="AC163" s="313"/>
      <c r="AD163" s="313"/>
      <c r="AE163" s="313"/>
      <c r="AF163" s="313"/>
      <c r="AG163" s="313"/>
      <c r="AH163" s="253"/>
      <c r="AI163" s="217"/>
      <c r="AJ163" s="318"/>
      <c r="AK163" s="318"/>
      <c r="AL163" s="318"/>
      <c r="AM163" s="318"/>
      <c r="AN163" s="318"/>
      <c r="AO163" s="318"/>
      <c r="AP163" s="318"/>
      <c r="AQ163" s="318"/>
      <c r="AR163" s="318"/>
      <c r="AS163" s="318"/>
      <c r="AT163" s="318"/>
      <c r="AU163" s="318"/>
      <c r="AV163" s="318"/>
      <c r="AW163" s="318"/>
      <c r="AX163" s="318"/>
      <c r="AY163" s="318"/>
      <c r="AZ163" s="346"/>
      <c r="BA163" s="322"/>
      <c r="BB163" s="322"/>
      <c r="BC163" s="322"/>
      <c r="BD163" s="322"/>
      <c r="BE163" s="322"/>
      <c r="BF163" s="346"/>
      <c r="BG163" s="328"/>
      <c r="BH163" s="328"/>
      <c r="BI163" s="328"/>
      <c r="BJ163" s="328"/>
      <c r="BK163" s="328"/>
      <c r="BL163" s="328"/>
      <c r="BM163" s="328"/>
      <c r="BN163" s="217"/>
      <c r="BO163" s="336"/>
      <c r="BP163" s="333"/>
      <c r="BQ163" s="336"/>
      <c r="BR163" s="336"/>
      <c r="BS163" s="336"/>
      <c r="BT163" s="336"/>
      <c r="BU163" s="336"/>
      <c r="BV163" s="336"/>
      <c r="BW163" s="336"/>
      <c r="BX163" s="217"/>
      <c r="BY163" s="341"/>
      <c r="BZ163" s="341"/>
      <c r="CA163" s="341"/>
      <c r="CB163" s="342"/>
      <c r="CC163" s="341"/>
      <c r="CD163" s="341"/>
      <c r="CE163" s="341"/>
      <c r="CF163" s="341"/>
      <c r="CG163" s="341"/>
      <c r="CH163" s="341"/>
      <c r="CI163" s="341"/>
      <c r="CJ163" s="342"/>
      <c r="CK163" s="342"/>
    </row>
    <row r="164">
      <c r="A164" s="753"/>
      <c r="B164" s="202" t="s">
        <v>271</v>
      </c>
      <c r="C164" s="196" t="s">
        <v>271</v>
      </c>
      <c r="D164" s="197" t="s">
        <v>271</v>
      </c>
      <c r="E164" s="199" t="s">
        <v>271</v>
      </c>
      <c r="F164" s="201" t="s">
        <v>271</v>
      </c>
      <c r="G164" s="202" t="s">
        <v>271</v>
      </c>
      <c r="H164" s="303"/>
      <c r="I164" s="303"/>
      <c r="J164" s="303"/>
      <c r="K164" s="303"/>
      <c r="L164" s="303"/>
      <c r="M164" s="303"/>
      <c r="N164" s="303"/>
      <c r="O164" s="303"/>
      <c r="P164" s="217"/>
      <c r="Q164" s="348"/>
      <c r="R164" s="348"/>
      <c r="S164" s="348"/>
      <c r="T164" s="348"/>
      <c r="U164" s="348"/>
      <c r="V164" s="348"/>
      <c r="W164" s="217"/>
      <c r="X164" s="313"/>
      <c r="Y164" s="313"/>
      <c r="Z164" s="313"/>
      <c r="AA164" s="602"/>
      <c r="AB164" s="313"/>
      <c r="AC164" s="313"/>
      <c r="AD164" s="313"/>
      <c r="AE164" s="313"/>
      <c r="AF164" s="313"/>
      <c r="AG164" s="313"/>
      <c r="AH164" s="253"/>
      <c r="AI164" s="217"/>
      <c r="AJ164" s="318"/>
      <c r="AK164" s="318"/>
      <c r="AL164" s="318"/>
      <c r="AM164" s="318"/>
      <c r="AN164" s="318"/>
      <c r="AO164" s="318"/>
      <c r="AP164" s="318"/>
      <c r="AQ164" s="318"/>
      <c r="AR164" s="318"/>
      <c r="AS164" s="318"/>
      <c r="AT164" s="318"/>
      <c r="AU164" s="318"/>
      <c r="AV164" s="318"/>
      <c r="AW164" s="318"/>
      <c r="AX164" s="318"/>
      <c r="AY164" s="318"/>
      <c r="AZ164" s="346"/>
      <c r="BA164" s="322"/>
      <c r="BB164" s="322"/>
      <c r="BC164" s="322"/>
      <c r="BD164" s="322"/>
      <c r="BE164" s="322"/>
      <c r="BF164" s="346"/>
      <c r="BG164" s="328"/>
      <c r="BH164" s="328"/>
      <c r="BI164" s="328"/>
      <c r="BJ164" s="328"/>
      <c r="BK164" s="328"/>
      <c r="BL164" s="328"/>
      <c r="BM164" s="328"/>
      <c r="BN164" s="217"/>
      <c r="BO164" s="336"/>
      <c r="BP164" s="333"/>
      <c r="BQ164" s="336"/>
      <c r="BR164" s="336"/>
      <c r="BS164" s="336"/>
      <c r="BT164" s="336"/>
      <c r="BU164" s="336"/>
      <c r="BV164" s="336"/>
      <c r="BW164" s="336"/>
      <c r="BX164" s="217"/>
      <c r="BY164" s="341"/>
      <c r="BZ164" s="341"/>
      <c r="CA164" s="341"/>
      <c r="CB164" s="342"/>
      <c r="CC164" s="341"/>
      <c r="CD164" s="341"/>
      <c r="CE164" s="341"/>
      <c r="CF164" s="341"/>
      <c r="CG164" s="341"/>
      <c r="CH164" s="341"/>
      <c r="CI164" s="341"/>
      <c r="CJ164" s="342"/>
      <c r="CK164" s="342"/>
    </row>
    <row r="165">
      <c r="A165" s="753"/>
      <c r="B165" s="202" t="s">
        <v>271</v>
      </c>
      <c r="C165" s="196" t="s">
        <v>271</v>
      </c>
      <c r="D165" s="197" t="s">
        <v>271</v>
      </c>
      <c r="E165" s="199" t="s">
        <v>271</v>
      </c>
      <c r="F165" s="201" t="s">
        <v>271</v>
      </c>
      <c r="G165" s="202" t="s">
        <v>271</v>
      </c>
      <c r="H165" s="303"/>
      <c r="I165" s="303"/>
      <c r="J165" s="303"/>
      <c r="K165" s="303"/>
      <c r="L165" s="303"/>
      <c r="M165" s="303"/>
      <c r="N165" s="303"/>
      <c r="O165" s="303"/>
      <c r="P165" s="217"/>
      <c r="Q165" s="348"/>
      <c r="R165" s="348"/>
      <c r="S165" s="348"/>
      <c r="T165" s="348"/>
      <c r="U165" s="348"/>
      <c r="V165" s="348"/>
      <c r="W165" s="217"/>
      <c r="X165" s="313"/>
      <c r="Y165" s="313"/>
      <c r="Z165" s="313"/>
      <c r="AA165" s="602"/>
      <c r="AB165" s="313"/>
      <c r="AC165" s="313"/>
      <c r="AD165" s="313"/>
      <c r="AE165" s="313"/>
      <c r="AF165" s="313"/>
      <c r="AG165" s="313"/>
      <c r="AH165" s="253"/>
      <c r="AI165" s="217"/>
      <c r="AJ165" s="318"/>
      <c r="AK165" s="318"/>
      <c r="AL165" s="318"/>
      <c r="AM165" s="318"/>
      <c r="AN165" s="318"/>
      <c r="AO165" s="318"/>
      <c r="AP165" s="318"/>
      <c r="AQ165" s="318"/>
      <c r="AR165" s="318"/>
      <c r="AS165" s="318"/>
      <c r="AT165" s="318"/>
      <c r="AU165" s="318"/>
      <c r="AV165" s="318"/>
      <c r="AW165" s="318"/>
      <c r="AX165" s="318"/>
      <c r="AY165" s="318"/>
      <c r="AZ165" s="346"/>
      <c r="BA165" s="322"/>
      <c r="BB165" s="322"/>
      <c r="BC165" s="322"/>
      <c r="BD165" s="322"/>
      <c r="BE165" s="322"/>
      <c r="BF165" s="346"/>
      <c r="BG165" s="328"/>
      <c r="BH165" s="328"/>
      <c r="BI165" s="328"/>
      <c r="BJ165" s="328"/>
      <c r="BK165" s="328"/>
      <c r="BL165" s="328"/>
      <c r="BM165" s="328"/>
      <c r="BN165" s="217"/>
      <c r="BO165" s="336"/>
      <c r="BP165" s="333"/>
      <c r="BQ165" s="336"/>
      <c r="BR165" s="336"/>
      <c r="BS165" s="336"/>
      <c r="BT165" s="336"/>
      <c r="BU165" s="336"/>
      <c r="BV165" s="336"/>
      <c r="BW165" s="336"/>
      <c r="BX165" s="217"/>
      <c r="BY165" s="341"/>
      <c r="BZ165" s="341"/>
      <c r="CA165" s="341"/>
      <c r="CB165" s="342"/>
      <c r="CC165" s="341"/>
      <c r="CD165" s="341"/>
      <c r="CE165" s="341"/>
      <c r="CF165" s="341"/>
      <c r="CG165" s="341"/>
      <c r="CH165" s="341"/>
      <c r="CI165" s="341"/>
      <c r="CJ165" s="342"/>
      <c r="CK165" s="342"/>
    </row>
    <row r="166">
      <c r="A166" s="753"/>
      <c r="B166" s="202" t="s">
        <v>271</v>
      </c>
      <c r="C166" s="196" t="s">
        <v>271</v>
      </c>
      <c r="D166" s="197" t="s">
        <v>271</v>
      </c>
      <c r="E166" s="199" t="s">
        <v>271</v>
      </c>
      <c r="F166" s="201" t="s">
        <v>271</v>
      </c>
      <c r="G166" s="202" t="s">
        <v>271</v>
      </c>
      <c r="H166" s="303"/>
      <c r="I166" s="303"/>
      <c r="J166" s="303"/>
      <c r="K166" s="303"/>
      <c r="L166" s="303"/>
      <c r="M166" s="303"/>
      <c r="N166" s="303"/>
      <c r="O166" s="303"/>
      <c r="P166" s="217"/>
      <c r="Q166" s="348"/>
      <c r="R166" s="348"/>
      <c r="S166" s="348"/>
      <c r="T166" s="348"/>
      <c r="U166" s="348"/>
      <c r="V166" s="348"/>
      <c r="W166" s="217"/>
      <c r="X166" s="313"/>
      <c r="Y166" s="313"/>
      <c r="Z166" s="313"/>
      <c r="AA166" s="602"/>
      <c r="AB166" s="313"/>
      <c r="AC166" s="313"/>
      <c r="AD166" s="313"/>
      <c r="AE166" s="313"/>
      <c r="AF166" s="313"/>
      <c r="AG166" s="313"/>
      <c r="AH166" s="253"/>
      <c r="AI166" s="217"/>
      <c r="AJ166" s="318"/>
      <c r="AK166" s="318"/>
      <c r="AL166" s="318"/>
      <c r="AM166" s="318"/>
      <c r="AN166" s="318"/>
      <c r="AO166" s="318"/>
      <c r="AP166" s="318"/>
      <c r="AQ166" s="318"/>
      <c r="AR166" s="318"/>
      <c r="AS166" s="318"/>
      <c r="AT166" s="318"/>
      <c r="AU166" s="318"/>
      <c r="AV166" s="318"/>
      <c r="AW166" s="318"/>
      <c r="AX166" s="318"/>
      <c r="AY166" s="318"/>
      <c r="AZ166" s="346"/>
      <c r="BA166" s="322"/>
      <c r="BB166" s="322"/>
      <c r="BC166" s="322"/>
      <c r="BD166" s="322"/>
      <c r="BE166" s="322"/>
      <c r="BF166" s="346"/>
      <c r="BG166" s="328"/>
      <c r="BH166" s="328"/>
      <c r="BI166" s="328"/>
      <c r="BJ166" s="328"/>
      <c r="BK166" s="328"/>
      <c r="BL166" s="328"/>
      <c r="BM166" s="328"/>
      <c r="BN166" s="217"/>
      <c r="BO166" s="336"/>
      <c r="BP166" s="333"/>
      <c r="BQ166" s="336"/>
      <c r="BR166" s="336"/>
      <c r="BS166" s="336"/>
      <c r="BT166" s="336"/>
      <c r="BU166" s="336"/>
      <c r="BV166" s="336"/>
      <c r="BW166" s="336"/>
      <c r="BX166" s="217"/>
      <c r="BY166" s="341"/>
      <c r="BZ166" s="341"/>
      <c r="CA166" s="341"/>
      <c r="CB166" s="342"/>
      <c r="CC166" s="341"/>
      <c r="CD166" s="341"/>
      <c r="CE166" s="341"/>
      <c r="CF166" s="341"/>
      <c r="CG166" s="341"/>
      <c r="CH166" s="341"/>
      <c r="CI166" s="341"/>
      <c r="CJ166" s="342"/>
      <c r="CK166" s="342"/>
    </row>
    <row r="167">
      <c r="A167" s="753"/>
      <c r="B167" s="202" t="s">
        <v>271</v>
      </c>
      <c r="C167" s="196" t="s">
        <v>271</v>
      </c>
      <c r="D167" s="197" t="s">
        <v>271</v>
      </c>
      <c r="E167" s="199" t="s">
        <v>271</v>
      </c>
      <c r="F167" s="201" t="s">
        <v>271</v>
      </c>
      <c r="G167" s="202" t="s">
        <v>271</v>
      </c>
      <c r="H167" s="303"/>
      <c r="I167" s="303"/>
      <c r="J167" s="303"/>
      <c r="K167" s="303"/>
      <c r="L167" s="303"/>
      <c r="M167" s="303"/>
      <c r="N167" s="303"/>
      <c r="O167" s="303"/>
      <c r="P167" s="217"/>
      <c r="Q167" s="348"/>
      <c r="R167" s="348"/>
      <c r="S167" s="348"/>
      <c r="T167" s="348"/>
      <c r="U167" s="348"/>
      <c r="V167" s="348"/>
      <c r="W167" s="217"/>
      <c r="X167" s="313"/>
      <c r="Y167" s="313"/>
      <c r="Z167" s="313"/>
      <c r="AA167" s="602"/>
      <c r="AB167" s="313"/>
      <c r="AC167" s="313"/>
      <c r="AD167" s="313"/>
      <c r="AE167" s="313"/>
      <c r="AF167" s="313"/>
      <c r="AG167" s="313"/>
      <c r="AH167" s="253"/>
      <c r="AI167" s="217"/>
      <c r="AJ167" s="318"/>
      <c r="AK167" s="318"/>
      <c r="AL167" s="318"/>
      <c r="AM167" s="318"/>
      <c r="AN167" s="318"/>
      <c r="AO167" s="318"/>
      <c r="AP167" s="318"/>
      <c r="AQ167" s="318"/>
      <c r="AR167" s="318"/>
      <c r="AS167" s="318"/>
      <c r="AT167" s="318"/>
      <c r="AU167" s="318"/>
      <c r="AV167" s="318"/>
      <c r="AW167" s="318"/>
      <c r="AX167" s="318"/>
      <c r="AY167" s="318"/>
      <c r="AZ167" s="346"/>
      <c r="BA167" s="322"/>
      <c r="BB167" s="322"/>
      <c r="BC167" s="322"/>
      <c r="BD167" s="322"/>
      <c r="BE167" s="322"/>
      <c r="BF167" s="346"/>
      <c r="BG167" s="328"/>
      <c r="BH167" s="328"/>
      <c r="BI167" s="328"/>
      <c r="BJ167" s="328"/>
      <c r="BK167" s="328"/>
      <c r="BL167" s="328"/>
      <c r="BM167" s="328"/>
      <c r="BN167" s="217"/>
      <c r="BO167" s="336"/>
      <c r="BP167" s="333"/>
      <c r="BQ167" s="336"/>
      <c r="BR167" s="336"/>
      <c r="BS167" s="336"/>
      <c r="BT167" s="336"/>
      <c r="BU167" s="336"/>
      <c r="BV167" s="336"/>
      <c r="BW167" s="336"/>
      <c r="BX167" s="217"/>
      <c r="BY167" s="341"/>
      <c r="BZ167" s="341"/>
      <c r="CA167" s="341"/>
      <c r="CB167" s="342"/>
      <c r="CC167" s="341"/>
      <c r="CD167" s="341"/>
      <c r="CE167" s="341"/>
      <c r="CF167" s="341"/>
      <c r="CG167" s="341"/>
      <c r="CH167" s="341"/>
      <c r="CI167" s="341"/>
      <c r="CJ167" s="342"/>
      <c r="CK167" s="342"/>
    </row>
    <row r="168">
      <c r="A168" s="753"/>
      <c r="B168" s="202" t="s">
        <v>271</v>
      </c>
      <c r="C168" s="196" t="s">
        <v>271</v>
      </c>
      <c r="D168" s="197" t="s">
        <v>271</v>
      </c>
      <c r="E168" s="199" t="s">
        <v>271</v>
      </c>
      <c r="F168" s="201" t="s">
        <v>271</v>
      </c>
      <c r="G168" s="202" t="s">
        <v>271</v>
      </c>
      <c r="H168" s="303"/>
      <c r="I168" s="303"/>
      <c r="J168" s="303"/>
      <c r="K168" s="303"/>
      <c r="L168" s="303"/>
      <c r="M168" s="303"/>
      <c r="N168" s="303"/>
      <c r="O168" s="303"/>
      <c r="P168" s="217"/>
      <c r="Q168" s="348"/>
      <c r="R168" s="348"/>
      <c r="S168" s="348"/>
      <c r="T168" s="348"/>
      <c r="U168" s="348"/>
      <c r="V168" s="348"/>
      <c r="W168" s="217"/>
      <c r="X168" s="313"/>
      <c r="Y168" s="313"/>
      <c r="Z168" s="313"/>
      <c r="AA168" s="602"/>
      <c r="AB168" s="313"/>
      <c r="AC168" s="313"/>
      <c r="AD168" s="313"/>
      <c r="AE168" s="313"/>
      <c r="AF168" s="313"/>
      <c r="AG168" s="313"/>
      <c r="AH168" s="253"/>
      <c r="AI168" s="217"/>
      <c r="AJ168" s="318"/>
      <c r="AK168" s="318"/>
      <c r="AL168" s="318"/>
      <c r="AM168" s="318"/>
      <c r="AN168" s="318"/>
      <c r="AO168" s="318"/>
      <c r="AP168" s="318"/>
      <c r="AQ168" s="318"/>
      <c r="AR168" s="318"/>
      <c r="AS168" s="318"/>
      <c r="AT168" s="318"/>
      <c r="AU168" s="318"/>
      <c r="AV168" s="318"/>
      <c r="AW168" s="318"/>
      <c r="AX168" s="318"/>
      <c r="AY168" s="318"/>
      <c r="AZ168" s="346"/>
      <c r="BA168" s="322"/>
      <c r="BB168" s="322"/>
      <c r="BC168" s="322"/>
      <c r="BD168" s="322"/>
      <c r="BE168" s="322"/>
      <c r="BF168" s="346"/>
      <c r="BG168" s="328"/>
      <c r="BH168" s="328"/>
      <c r="BI168" s="328"/>
      <c r="BJ168" s="328"/>
      <c r="BK168" s="328"/>
      <c r="BL168" s="328"/>
      <c r="BM168" s="328"/>
      <c r="BN168" s="217"/>
      <c r="BO168" s="336"/>
      <c r="BP168" s="333"/>
      <c r="BQ168" s="336"/>
      <c r="BR168" s="336"/>
      <c r="BS168" s="336"/>
      <c r="BT168" s="336"/>
      <c r="BU168" s="336"/>
      <c r="BV168" s="336"/>
      <c r="BW168" s="336"/>
      <c r="BX168" s="217"/>
      <c r="BY168" s="341"/>
      <c r="BZ168" s="341"/>
      <c r="CA168" s="341"/>
      <c r="CB168" s="342"/>
      <c r="CC168" s="341"/>
      <c r="CD168" s="341"/>
      <c r="CE168" s="341"/>
      <c r="CF168" s="341"/>
      <c r="CG168" s="341"/>
      <c r="CH168" s="341"/>
      <c r="CI168" s="341"/>
      <c r="CJ168" s="342"/>
      <c r="CK168" s="342"/>
    </row>
    <row r="169">
      <c r="A169" s="753"/>
      <c r="B169" s="202" t="s">
        <v>271</v>
      </c>
      <c r="C169" s="196" t="s">
        <v>271</v>
      </c>
      <c r="D169" s="197" t="s">
        <v>271</v>
      </c>
      <c r="E169" s="199" t="s">
        <v>271</v>
      </c>
      <c r="F169" s="201" t="s">
        <v>271</v>
      </c>
      <c r="G169" s="202" t="s">
        <v>271</v>
      </c>
      <c r="H169" s="303"/>
      <c r="I169" s="303"/>
      <c r="J169" s="303"/>
      <c r="K169" s="303"/>
      <c r="L169" s="303"/>
      <c r="M169" s="303"/>
      <c r="N169" s="303"/>
      <c r="O169" s="303"/>
      <c r="P169" s="217"/>
      <c r="Q169" s="348"/>
      <c r="R169" s="348"/>
      <c r="S169" s="348"/>
      <c r="T169" s="348"/>
      <c r="U169" s="348"/>
      <c r="V169" s="348"/>
      <c r="W169" s="217"/>
      <c r="X169" s="313"/>
      <c r="Y169" s="313"/>
      <c r="Z169" s="313"/>
      <c r="AA169" s="602"/>
      <c r="AB169" s="313"/>
      <c r="AC169" s="313"/>
      <c r="AD169" s="313"/>
      <c r="AE169" s="313"/>
      <c r="AF169" s="313"/>
      <c r="AG169" s="313"/>
      <c r="AH169" s="253"/>
      <c r="AI169" s="217"/>
      <c r="AJ169" s="318"/>
      <c r="AK169" s="318"/>
      <c r="AL169" s="318"/>
      <c r="AM169" s="318"/>
      <c r="AN169" s="318"/>
      <c r="AO169" s="318"/>
      <c r="AP169" s="318"/>
      <c r="AQ169" s="318"/>
      <c r="AR169" s="318"/>
      <c r="AS169" s="318"/>
      <c r="AT169" s="318"/>
      <c r="AU169" s="318"/>
      <c r="AV169" s="318"/>
      <c r="AW169" s="318"/>
      <c r="AX169" s="318"/>
      <c r="AY169" s="318"/>
      <c r="AZ169" s="346"/>
      <c r="BA169" s="322"/>
      <c r="BB169" s="322"/>
      <c r="BC169" s="322"/>
      <c r="BD169" s="322"/>
      <c r="BE169" s="322"/>
      <c r="BF169" s="346"/>
      <c r="BG169" s="328"/>
      <c r="BH169" s="328"/>
      <c r="BI169" s="328"/>
      <c r="BJ169" s="328"/>
      <c r="BK169" s="328"/>
      <c r="BL169" s="328"/>
      <c r="BM169" s="328"/>
      <c r="BN169" s="217"/>
      <c r="BO169" s="336"/>
      <c r="BP169" s="333"/>
      <c r="BQ169" s="336"/>
      <c r="BR169" s="336"/>
      <c r="BS169" s="336"/>
      <c r="BT169" s="336"/>
      <c r="BU169" s="336"/>
      <c r="BV169" s="336"/>
      <c r="BW169" s="336"/>
      <c r="BX169" s="217"/>
      <c r="BY169" s="341"/>
      <c r="BZ169" s="341"/>
      <c r="CA169" s="341"/>
      <c r="CB169" s="342"/>
      <c r="CC169" s="341"/>
      <c r="CD169" s="341"/>
      <c r="CE169" s="341"/>
      <c r="CF169" s="341"/>
      <c r="CG169" s="341"/>
      <c r="CH169" s="341"/>
      <c r="CI169" s="341"/>
      <c r="CJ169" s="342"/>
      <c r="CK169" s="342"/>
    </row>
    <row r="170">
      <c r="A170" s="753"/>
      <c r="B170" s="202" t="s">
        <v>271</v>
      </c>
      <c r="C170" s="196" t="s">
        <v>271</v>
      </c>
      <c r="D170" s="197" t="s">
        <v>271</v>
      </c>
      <c r="E170" s="199" t="s">
        <v>271</v>
      </c>
      <c r="F170" s="201" t="s">
        <v>271</v>
      </c>
      <c r="G170" s="202" t="s">
        <v>271</v>
      </c>
      <c r="H170" s="303"/>
      <c r="I170" s="303"/>
      <c r="J170" s="303"/>
      <c r="K170" s="303"/>
      <c r="L170" s="303"/>
      <c r="M170" s="303"/>
      <c r="N170" s="303"/>
      <c r="O170" s="303"/>
      <c r="P170" s="217"/>
      <c r="Q170" s="348"/>
      <c r="R170" s="348"/>
      <c r="S170" s="348"/>
      <c r="T170" s="348"/>
      <c r="U170" s="348"/>
      <c r="V170" s="348"/>
      <c r="W170" s="217"/>
      <c r="X170" s="313"/>
      <c r="Y170" s="313"/>
      <c r="Z170" s="313"/>
      <c r="AA170" s="602"/>
      <c r="AB170" s="313"/>
      <c r="AC170" s="313"/>
      <c r="AD170" s="313"/>
      <c r="AE170" s="313"/>
      <c r="AF170" s="313"/>
      <c r="AG170" s="313"/>
      <c r="AH170" s="253"/>
      <c r="AI170" s="217"/>
      <c r="AJ170" s="318"/>
      <c r="AK170" s="318"/>
      <c r="AL170" s="318"/>
      <c r="AM170" s="318"/>
      <c r="AN170" s="318"/>
      <c r="AO170" s="318"/>
      <c r="AP170" s="318"/>
      <c r="AQ170" s="318"/>
      <c r="AR170" s="318"/>
      <c r="AS170" s="318"/>
      <c r="AT170" s="318"/>
      <c r="AU170" s="318"/>
      <c r="AV170" s="318"/>
      <c r="AW170" s="318"/>
      <c r="AX170" s="318"/>
      <c r="AY170" s="318"/>
      <c r="AZ170" s="346"/>
      <c r="BA170" s="322"/>
      <c r="BB170" s="322"/>
      <c r="BC170" s="322"/>
      <c r="BD170" s="322"/>
      <c r="BE170" s="322"/>
      <c r="BF170" s="346"/>
      <c r="BG170" s="328"/>
      <c r="BH170" s="328"/>
      <c r="BI170" s="328"/>
      <c r="BJ170" s="328"/>
      <c r="BK170" s="328"/>
      <c r="BL170" s="328"/>
      <c r="BM170" s="328"/>
      <c r="BN170" s="217"/>
      <c r="BO170" s="336"/>
      <c r="BP170" s="333"/>
      <c r="BQ170" s="336"/>
      <c r="BR170" s="336"/>
      <c r="BS170" s="336"/>
      <c r="BT170" s="336"/>
      <c r="BU170" s="336"/>
      <c r="BV170" s="336"/>
      <c r="BW170" s="336"/>
      <c r="BX170" s="217"/>
      <c r="BY170" s="341"/>
      <c r="BZ170" s="341"/>
      <c r="CA170" s="341"/>
      <c r="CB170" s="342"/>
      <c r="CC170" s="341"/>
      <c r="CD170" s="341"/>
      <c r="CE170" s="341"/>
      <c r="CF170" s="341"/>
      <c r="CG170" s="341"/>
      <c r="CH170" s="341"/>
      <c r="CI170" s="341"/>
      <c r="CJ170" s="342"/>
      <c r="CK170" s="342"/>
    </row>
    <row r="171">
      <c r="A171" s="753"/>
      <c r="B171" s="202" t="s">
        <v>271</v>
      </c>
      <c r="C171" s="196" t="s">
        <v>271</v>
      </c>
      <c r="D171" s="197" t="s">
        <v>271</v>
      </c>
      <c r="E171" s="199" t="s">
        <v>271</v>
      </c>
      <c r="F171" s="201" t="s">
        <v>271</v>
      </c>
      <c r="G171" s="202" t="s">
        <v>271</v>
      </c>
      <c r="H171" s="303"/>
      <c r="I171" s="303"/>
      <c r="J171" s="303"/>
      <c r="K171" s="303"/>
      <c r="L171" s="303"/>
      <c r="M171" s="303"/>
      <c r="N171" s="303"/>
      <c r="O171" s="303"/>
      <c r="P171" s="217"/>
      <c r="Q171" s="348"/>
      <c r="R171" s="348"/>
      <c r="S171" s="348"/>
      <c r="T171" s="348"/>
      <c r="U171" s="348"/>
      <c r="V171" s="348"/>
      <c r="W171" s="217"/>
      <c r="X171" s="313"/>
      <c r="Y171" s="313"/>
      <c r="Z171" s="313"/>
      <c r="AA171" s="602"/>
      <c r="AB171" s="313"/>
      <c r="AC171" s="313"/>
      <c r="AD171" s="313"/>
      <c r="AE171" s="313"/>
      <c r="AF171" s="313"/>
      <c r="AG171" s="313"/>
      <c r="AH171" s="253"/>
      <c r="AI171" s="217"/>
      <c r="AJ171" s="318"/>
      <c r="AK171" s="318"/>
      <c r="AL171" s="318"/>
      <c r="AM171" s="318"/>
      <c r="AN171" s="318"/>
      <c r="AO171" s="318"/>
      <c r="AP171" s="318"/>
      <c r="AQ171" s="318"/>
      <c r="AR171" s="318"/>
      <c r="AS171" s="318"/>
      <c r="AT171" s="318"/>
      <c r="AU171" s="318"/>
      <c r="AV171" s="318"/>
      <c r="AW171" s="318"/>
      <c r="AX171" s="318"/>
      <c r="AY171" s="318"/>
      <c r="AZ171" s="346"/>
      <c r="BA171" s="322"/>
      <c r="BB171" s="322"/>
      <c r="BC171" s="322"/>
      <c r="BD171" s="322"/>
      <c r="BE171" s="322"/>
      <c r="BF171" s="346"/>
      <c r="BG171" s="328"/>
      <c r="BH171" s="328"/>
      <c r="BI171" s="328"/>
      <c r="BJ171" s="328"/>
      <c r="BK171" s="328"/>
      <c r="BL171" s="328"/>
      <c r="BM171" s="328"/>
      <c r="BN171" s="217"/>
      <c r="BO171" s="336"/>
      <c r="BP171" s="333"/>
      <c r="BQ171" s="336"/>
      <c r="BR171" s="336"/>
      <c r="BS171" s="336"/>
      <c r="BT171" s="336"/>
      <c r="BU171" s="336"/>
      <c r="BV171" s="336"/>
      <c r="BW171" s="336"/>
      <c r="BX171" s="217"/>
      <c r="BY171" s="341"/>
      <c r="BZ171" s="341"/>
      <c r="CA171" s="341"/>
      <c r="CB171" s="342"/>
      <c r="CC171" s="341"/>
      <c r="CD171" s="341"/>
      <c r="CE171" s="341"/>
      <c r="CF171" s="341"/>
      <c r="CG171" s="341"/>
      <c r="CH171" s="341"/>
      <c r="CI171" s="341"/>
      <c r="CJ171" s="342"/>
      <c r="CK171" s="342"/>
    </row>
    <row r="172">
      <c r="A172" s="753"/>
      <c r="B172" s="202" t="s">
        <v>271</v>
      </c>
      <c r="C172" s="196" t="s">
        <v>271</v>
      </c>
      <c r="D172" s="197" t="s">
        <v>271</v>
      </c>
      <c r="E172" s="199" t="s">
        <v>271</v>
      </c>
      <c r="F172" s="201" t="s">
        <v>271</v>
      </c>
      <c r="G172" s="202" t="s">
        <v>271</v>
      </c>
      <c r="H172" s="303"/>
      <c r="I172" s="303"/>
      <c r="J172" s="303"/>
      <c r="K172" s="303"/>
      <c r="L172" s="303"/>
      <c r="M172" s="303"/>
      <c r="N172" s="303"/>
      <c r="O172" s="303"/>
      <c r="P172" s="217"/>
      <c r="Q172" s="348"/>
      <c r="R172" s="348"/>
      <c r="S172" s="348"/>
      <c r="T172" s="348"/>
      <c r="U172" s="348"/>
      <c r="V172" s="348"/>
      <c r="W172" s="217"/>
      <c r="X172" s="313"/>
      <c r="Y172" s="313"/>
      <c r="Z172" s="313"/>
      <c r="AA172" s="602"/>
      <c r="AB172" s="313"/>
      <c r="AC172" s="313"/>
      <c r="AD172" s="313"/>
      <c r="AE172" s="313"/>
      <c r="AF172" s="313"/>
      <c r="AG172" s="313"/>
      <c r="AH172" s="253"/>
      <c r="AI172" s="217"/>
      <c r="AJ172" s="318"/>
      <c r="AK172" s="318"/>
      <c r="AL172" s="318"/>
      <c r="AM172" s="318"/>
      <c r="AN172" s="318"/>
      <c r="AO172" s="318"/>
      <c r="AP172" s="318"/>
      <c r="AQ172" s="318"/>
      <c r="AR172" s="318"/>
      <c r="AS172" s="318"/>
      <c r="AT172" s="318"/>
      <c r="AU172" s="318"/>
      <c r="AV172" s="318"/>
      <c r="AW172" s="318"/>
      <c r="AX172" s="318"/>
      <c r="AY172" s="318"/>
      <c r="AZ172" s="346"/>
      <c r="BA172" s="322"/>
      <c r="BB172" s="322"/>
      <c r="BC172" s="322"/>
      <c r="BD172" s="322"/>
      <c r="BE172" s="322"/>
      <c r="BF172" s="346"/>
      <c r="BG172" s="328"/>
      <c r="BH172" s="328"/>
      <c r="BI172" s="328"/>
      <c r="BJ172" s="328"/>
      <c r="BK172" s="328"/>
      <c r="BL172" s="328"/>
      <c r="BM172" s="328"/>
      <c r="BN172" s="217"/>
      <c r="BO172" s="336"/>
      <c r="BP172" s="333"/>
      <c r="BQ172" s="336"/>
      <c r="BR172" s="336"/>
      <c r="BS172" s="336"/>
      <c r="BT172" s="336"/>
      <c r="BU172" s="336"/>
      <c r="BV172" s="336"/>
      <c r="BW172" s="336"/>
      <c r="BX172" s="217"/>
      <c r="BY172" s="341"/>
      <c r="BZ172" s="341"/>
      <c r="CA172" s="341"/>
      <c r="CB172" s="342"/>
      <c r="CC172" s="341"/>
      <c r="CD172" s="341"/>
      <c r="CE172" s="341"/>
      <c r="CF172" s="341"/>
      <c r="CG172" s="341"/>
      <c r="CH172" s="341"/>
      <c r="CI172" s="341"/>
      <c r="CJ172" s="342"/>
      <c r="CK172" s="342"/>
    </row>
    <row r="173">
      <c r="A173" s="753"/>
      <c r="B173" s="202" t="s">
        <v>271</v>
      </c>
      <c r="C173" s="196" t="s">
        <v>271</v>
      </c>
      <c r="D173" s="197" t="s">
        <v>271</v>
      </c>
      <c r="E173" s="199" t="s">
        <v>271</v>
      </c>
      <c r="F173" s="201" t="s">
        <v>271</v>
      </c>
      <c r="G173" s="202" t="s">
        <v>271</v>
      </c>
      <c r="H173" s="303"/>
      <c r="I173" s="303"/>
      <c r="J173" s="303"/>
      <c r="K173" s="303"/>
      <c r="L173" s="303"/>
      <c r="M173" s="303"/>
      <c r="N173" s="303"/>
      <c r="O173" s="303"/>
      <c r="P173" s="217"/>
      <c r="Q173" s="348"/>
      <c r="R173" s="348"/>
      <c r="S173" s="348"/>
      <c r="T173" s="348"/>
      <c r="U173" s="348"/>
      <c r="V173" s="348"/>
      <c r="W173" s="217"/>
      <c r="X173" s="313"/>
      <c r="Y173" s="313"/>
      <c r="Z173" s="313"/>
      <c r="AA173" s="602"/>
      <c r="AB173" s="313"/>
      <c r="AC173" s="313"/>
      <c r="AD173" s="313"/>
      <c r="AE173" s="313"/>
      <c r="AF173" s="313"/>
      <c r="AG173" s="313"/>
      <c r="AH173" s="253"/>
      <c r="AI173" s="217"/>
      <c r="AJ173" s="318"/>
      <c r="AK173" s="318"/>
      <c r="AL173" s="318"/>
      <c r="AM173" s="318"/>
      <c r="AN173" s="318"/>
      <c r="AO173" s="318"/>
      <c r="AP173" s="318"/>
      <c r="AQ173" s="318"/>
      <c r="AR173" s="318"/>
      <c r="AS173" s="318"/>
      <c r="AT173" s="318"/>
      <c r="AU173" s="318"/>
      <c r="AV173" s="318"/>
      <c r="AW173" s="318"/>
      <c r="AX173" s="318"/>
      <c r="AY173" s="318"/>
      <c r="AZ173" s="346"/>
      <c r="BA173" s="322"/>
      <c r="BB173" s="322"/>
      <c r="BC173" s="322"/>
      <c r="BD173" s="322"/>
      <c r="BE173" s="322"/>
      <c r="BF173" s="346"/>
      <c r="BG173" s="328"/>
      <c r="BH173" s="328"/>
      <c r="BI173" s="328"/>
      <c r="BJ173" s="328"/>
      <c r="BK173" s="328"/>
      <c r="BL173" s="328"/>
      <c r="BM173" s="328"/>
      <c r="BN173" s="217"/>
      <c r="BO173" s="336"/>
      <c r="BP173" s="333"/>
      <c r="BQ173" s="336"/>
      <c r="BR173" s="336"/>
      <c r="BS173" s="336"/>
      <c r="BT173" s="336"/>
      <c r="BU173" s="336"/>
      <c r="BV173" s="336"/>
      <c r="BW173" s="336"/>
      <c r="BX173" s="217"/>
      <c r="BY173" s="341"/>
      <c r="BZ173" s="341"/>
      <c r="CA173" s="341"/>
      <c r="CB173" s="342"/>
      <c r="CC173" s="341"/>
      <c r="CD173" s="341"/>
      <c r="CE173" s="341"/>
      <c r="CF173" s="341"/>
      <c r="CG173" s="341"/>
      <c r="CH173" s="341"/>
      <c r="CI173" s="341"/>
      <c r="CJ173" s="342"/>
      <c r="CK173" s="342"/>
    </row>
    <row r="174">
      <c r="A174" s="753"/>
      <c r="B174" s="202" t="s">
        <v>271</v>
      </c>
      <c r="C174" s="196" t="s">
        <v>271</v>
      </c>
      <c r="D174" s="197" t="s">
        <v>271</v>
      </c>
      <c r="E174" s="199" t="s">
        <v>271</v>
      </c>
      <c r="F174" s="201" t="s">
        <v>271</v>
      </c>
      <c r="G174" s="202" t="s">
        <v>271</v>
      </c>
      <c r="H174" s="303"/>
      <c r="I174" s="303"/>
      <c r="J174" s="303"/>
      <c r="K174" s="303"/>
      <c r="L174" s="303"/>
      <c r="M174" s="303"/>
      <c r="N174" s="303"/>
      <c r="O174" s="303"/>
      <c r="P174" s="217"/>
      <c r="Q174" s="348"/>
      <c r="R174" s="348"/>
      <c r="S174" s="348"/>
      <c r="T174" s="348"/>
      <c r="U174" s="348"/>
      <c r="V174" s="348"/>
      <c r="W174" s="217"/>
      <c r="X174" s="313"/>
      <c r="Y174" s="313"/>
      <c r="Z174" s="313"/>
      <c r="AA174" s="602"/>
      <c r="AB174" s="313"/>
      <c r="AC174" s="313"/>
      <c r="AD174" s="313"/>
      <c r="AE174" s="313"/>
      <c r="AF174" s="313"/>
      <c r="AG174" s="313"/>
      <c r="AH174" s="253"/>
      <c r="AI174" s="217"/>
      <c r="AJ174" s="318"/>
      <c r="AK174" s="318"/>
      <c r="AL174" s="318"/>
      <c r="AM174" s="318"/>
      <c r="AN174" s="318"/>
      <c r="AO174" s="318"/>
      <c r="AP174" s="318"/>
      <c r="AQ174" s="318"/>
      <c r="AR174" s="318"/>
      <c r="AS174" s="318"/>
      <c r="AT174" s="318"/>
      <c r="AU174" s="318"/>
      <c r="AV174" s="318"/>
      <c r="AW174" s="318"/>
      <c r="AX174" s="318"/>
      <c r="AY174" s="318"/>
      <c r="AZ174" s="346"/>
      <c r="BA174" s="322"/>
      <c r="BB174" s="322"/>
      <c r="BC174" s="322"/>
      <c r="BD174" s="322"/>
      <c r="BE174" s="322"/>
      <c r="BF174" s="346"/>
      <c r="BG174" s="328"/>
      <c r="BH174" s="328"/>
      <c r="BI174" s="328"/>
      <c r="BJ174" s="328"/>
      <c r="BK174" s="328"/>
      <c r="BL174" s="328"/>
      <c r="BM174" s="328"/>
      <c r="BN174" s="217"/>
      <c r="BO174" s="336"/>
      <c r="BP174" s="333"/>
      <c r="BQ174" s="336"/>
      <c r="BR174" s="336"/>
      <c r="BS174" s="336"/>
      <c r="BT174" s="336"/>
      <c r="BU174" s="336"/>
      <c r="BV174" s="336"/>
      <c r="BW174" s="336"/>
      <c r="BX174" s="217"/>
      <c r="BY174" s="341"/>
      <c r="BZ174" s="341"/>
      <c r="CA174" s="341"/>
      <c r="CB174" s="342"/>
      <c r="CC174" s="341"/>
      <c r="CD174" s="341"/>
      <c r="CE174" s="341"/>
      <c r="CF174" s="341"/>
      <c r="CG174" s="341"/>
      <c r="CH174" s="341"/>
      <c r="CI174" s="341"/>
      <c r="CJ174" s="342"/>
      <c r="CK174" s="342"/>
    </row>
    <row r="175">
      <c r="A175" s="753"/>
      <c r="B175" s="202" t="s">
        <v>271</v>
      </c>
      <c r="C175" s="196" t="s">
        <v>271</v>
      </c>
      <c r="D175" s="197" t="s">
        <v>271</v>
      </c>
      <c r="E175" s="199" t="s">
        <v>271</v>
      </c>
      <c r="F175" s="201" t="s">
        <v>271</v>
      </c>
      <c r="G175" s="202" t="s">
        <v>271</v>
      </c>
      <c r="H175" s="303"/>
      <c r="I175" s="303"/>
      <c r="J175" s="303"/>
      <c r="K175" s="303"/>
      <c r="L175" s="303"/>
      <c r="M175" s="303"/>
      <c r="N175" s="303"/>
      <c r="O175" s="303"/>
      <c r="P175" s="217"/>
      <c r="Q175" s="348"/>
      <c r="R175" s="348"/>
      <c r="S175" s="348"/>
      <c r="T175" s="348"/>
      <c r="U175" s="348"/>
      <c r="V175" s="348"/>
      <c r="W175" s="217"/>
      <c r="X175" s="313"/>
      <c r="Y175" s="313"/>
      <c r="Z175" s="313"/>
      <c r="AA175" s="602"/>
      <c r="AB175" s="313"/>
      <c r="AC175" s="313"/>
      <c r="AD175" s="313"/>
      <c r="AE175" s="313"/>
      <c r="AF175" s="313"/>
      <c r="AG175" s="313"/>
      <c r="AH175" s="253"/>
      <c r="AI175" s="217"/>
      <c r="AJ175" s="318"/>
      <c r="AK175" s="318"/>
      <c r="AL175" s="318"/>
      <c r="AM175" s="318"/>
      <c r="AN175" s="318"/>
      <c r="AO175" s="318"/>
      <c r="AP175" s="318"/>
      <c r="AQ175" s="318"/>
      <c r="AR175" s="318"/>
      <c r="AS175" s="318"/>
      <c r="AT175" s="318"/>
      <c r="AU175" s="318"/>
      <c r="AV175" s="318"/>
      <c r="AW175" s="318"/>
      <c r="AX175" s="318"/>
      <c r="AY175" s="318"/>
      <c r="AZ175" s="346"/>
      <c r="BA175" s="322"/>
      <c r="BB175" s="322"/>
      <c r="BC175" s="322"/>
      <c r="BD175" s="322"/>
      <c r="BE175" s="322"/>
      <c r="BF175" s="346"/>
      <c r="BG175" s="328"/>
      <c r="BH175" s="328"/>
      <c r="BI175" s="328"/>
      <c r="BJ175" s="328"/>
      <c r="BK175" s="328"/>
      <c r="BL175" s="328"/>
      <c r="BM175" s="328"/>
      <c r="BN175" s="217"/>
      <c r="BO175" s="336"/>
      <c r="BP175" s="333"/>
      <c r="BQ175" s="336"/>
      <c r="BR175" s="336"/>
      <c r="BS175" s="336"/>
      <c r="BT175" s="336"/>
      <c r="BU175" s="336"/>
      <c r="BV175" s="336"/>
      <c r="BW175" s="336"/>
      <c r="BX175" s="217"/>
      <c r="BY175" s="341"/>
      <c r="BZ175" s="341"/>
      <c r="CA175" s="341"/>
      <c r="CB175" s="342"/>
      <c r="CC175" s="341"/>
      <c r="CD175" s="341"/>
      <c r="CE175" s="341"/>
      <c r="CF175" s="341"/>
      <c r="CG175" s="341"/>
      <c r="CH175" s="341"/>
      <c r="CI175" s="341"/>
      <c r="CJ175" s="342"/>
      <c r="CK175" s="342"/>
    </row>
    <row r="176">
      <c r="A176" s="753"/>
      <c r="B176" s="202" t="s">
        <v>271</v>
      </c>
      <c r="C176" s="196" t="s">
        <v>271</v>
      </c>
      <c r="D176" s="197" t="s">
        <v>271</v>
      </c>
      <c r="E176" s="199" t="s">
        <v>271</v>
      </c>
      <c r="F176" s="201" t="s">
        <v>271</v>
      </c>
      <c r="G176" s="202" t="s">
        <v>271</v>
      </c>
      <c r="H176" s="303"/>
      <c r="I176" s="303"/>
      <c r="J176" s="303"/>
      <c r="K176" s="303"/>
      <c r="L176" s="303"/>
      <c r="M176" s="303"/>
      <c r="N176" s="303"/>
      <c r="O176" s="303"/>
      <c r="P176" s="217"/>
      <c r="Q176" s="348"/>
      <c r="R176" s="348"/>
      <c r="S176" s="348"/>
      <c r="T176" s="348"/>
      <c r="U176" s="348"/>
      <c r="V176" s="348"/>
      <c r="W176" s="217"/>
      <c r="X176" s="313"/>
      <c r="Y176" s="313"/>
      <c r="Z176" s="313"/>
      <c r="AA176" s="602"/>
      <c r="AB176" s="313"/>
      <c r="AC176" s="313"/>
      <c r="AD176" s="313"/>
      <c r="AE176" s="313"/>
      <c r="AF176" s="313"/>
      <c r="AG176" s="313"/>
      <c r="AH176" s="253"/>
      <c r="AI176" s="217"/>
      <c r="AJ176" s="318"/>
      <c r="AK176" s="318"/>
      <c r="AL176" s="318"/>
      <c r="AM176" s="318"/>
      <c r="AN176" s="318"/>
      <c r="AO176" s="318"/>
      <c r="AP176" s="318"/>
      <c r="AQ176" s="318"/>
      <c r="AR176" s="318"/>
      <c r="AS176" s="318"/>
      <c r="AT176" s="318"/>
      <c r="AU176" s="318"/>
      <c r="AV176" s="318"/>
      <c r="AW176" s="318"/>
      <c r="AX176" s="318"/>
      <c r="AY176" s="318"/>
      <c r="AZ176" s="346"/>
      <c r="BA176" s="322"/>
      <c r="BB176" s="322"/>
      <c r="BC176" s="322"/>
      <c r="BD176" s="322"/>
      <c r="BE176" s="322"/>
      <c r="BF176" s="346"/>
      <c r="BG176" s="328"/>
      <c r="BH176" s="328"/>
      <c r="BI176" s="328"/>
      <c r="BJ176" s="328"/>
      <c r="BK176" s="328"/>
      <c r="BL176" s="328"/>
      <c r="BM176" s="328"/>
      <c r="BN176" s="217"/>
      <c r="BO176" s="336"/>
      <c r="BP176" s="333"/>
      <c r="BQ176" s="336"/>
      <c r="BR176" s="336"/>
      <c r="BS176" s="336"/>
      <c r="BT176" s="336"/>
      <c r="BU176" s="336"/>
      <c r="BV176" s="336"/>
      <c r="BW176" s="336"/>
      <c r="BX176" s="217"/>
      <c r="BY176" s="341"/>
      <c r="BZ176" s="341"/>
      <c r="CA176" s="341"/>
      <c r="CB176" s="342"/>
      <c r="CC176" s="341"/>
      <c r="CD176" s="341"/>
      <c r="CE176" s="341"/>
      <c r="CF176" s="341"/>
      <c r="CG176" s="341"/>
      <c r="CH176" s="341"/>
      <c r="CI176" s="341"/>
      <c r="CJ176" s="342"/>
      <c r="CK176" s="342"/>
    </row>
    <row r="177">
      <c r="A177" s="753"/>
      <c r="B177" s="202" t="s">
        <v>271</v>
      </c>
      <c r="C177" s="196" t="s">
        <v>271</v>
      </c>
      <c r="D177" s="197" t="s">
        <v>271</v>
      </c>
      <c r="E177" s="199" t="s">
        <v>271</v>
      </c>
      <c r="F177" s="201" t="s">
        <v>271</v>
      </c>
      <c r="G177" s="202" t="s">
        <v>271</v>
      </c>
      <c r="H177" s="303"/>
      <c r="I177" s="303"/>
      <c r="J177" s="303"/>
      <c r="K177" s="303"/>
      <c r="L177" s="303"/>
      <c r="M177" s="303"/>
      <c r="N177" s="303"/>
      <c r="O177" s="303"/>
      <c r="P177" s="217"/>
      <c r="Q177" s="348"/>
      <c r="R177" s="348"/>
      <c r="S177" s="348"/>
      <c r="T177" s="348"/>
      <c r="U177" s="348"/>
      <c r="V177" s="348"/>
      <c r="W177" s="217"/>
      <c r="X177" s="313"/>
      <c r="Y177" s="313"/>
      <c r="Z177" s="313"/>
      <c r="AA177" s="602"/>
      <c r="AB177" s="313"/>
      <c r="AC177" s="313"/>
      <c r="AD177" s="313"/>
      <c r="AE177" s="313"/>
      <c r="AF177" s="313"/>
      <c r="AG177" s="313"/>
      <c r="AH177" s="253"/>
      <c r="AI177" s="217"/>
      <c r="AJ177" s="318"/>
      <c r="AK177" s="318"/>
      <c r="AL177" s="318"/>
      <c r="AM177" s="318"/>
      <c r="AN177" s="318"/>
      <c r="AO177" s="318"/>
      <c r="AP177" s="318"/>
      <c r="AQ177" s="318"/>
      <c r="AR177" s="318"/>
      <c r="AS177" s="318"/>
      <c r="AT177" s="318"/>
      <c r="AU177" s="318"/>
      <c r="AV177" s="318"/>
      <c r="AW177" s="318"/>
      <c r="AX177" s="318"/>
      <c r="AY177" s="318"/>
      <c r="AZ177" s="346"/>
      <c r="BA177" s="322"/>
      <c r="BB177" s="322"/>
      <c r="BC177" s="322"/>
      <c r="BD177" s="322"/>
      <c r="BE177" s="322"/>
      <c r="BF177" s="346"/>
      <c r="BG177" s="328"/>
      <c r="BH177" s="328"/>
      <c r="BI177" s="328"/>
      <c r="BJ177" s="328"/>
      <c r="BK177" s="328"/>
      <c r="BL177" s="328"/>
      <c r="BM177" s="328"/>
      <c r="BN177" s="217"/>
      <c r="BO177" s="336"/>
      <c r="BP177" s="333"/>
      <c r="BQ177" s="336"/>
      <c r="BR177" s="336"/>
      <c r="BS177" s="336"/>
      <c r="BT177" s="336"/>
      <c r="BU177" s="336"/>
      <c r="BV177" s="336"/>
      <c r="BW177" s="336"/>
      <c r="BX177" s="217"/>
      <c r="BY177" s="341"/>
      <c r="BZ177" s="341"/>
      <c r="CA177" s="341"/>
      <c r="CB177" s="342"/>
      <c r="CC177" s="341"/>
      <c r="CD177" s="341"/>
      <c r="CE177" s="341"/>
      <c r="CF177" s="341"/>
      <c r="CG177" s="341"/>
      <c r="CH177" s="341"/>
      <c r="CI177" s="341"/>
      <c r="CJ177" s="342"/>
      <c r="CK177" s="342"/>
    </row>
    <row r="178">
      <c r="A178" s="753"/>
      <c r="B178" s="202" t="s">
        <v>271</v>
      </c>
      <c r="C178" s="196" t="s">
        <v>271</v>
      </c>
      <c r="D178" s="197" t="s">
        <v>271</v>
      </c>
      <c r="E178" s="199" t="s">
        <v>271</v>
      </c>
      <c r="F178" s="201" t="s">
        <v>271</v>
      </c>
      <c r="G178" s="202" t="s">
        <v>271</v>
      </c>
      <c r="H178" s="303"/>
      <c r="I178" s="303"/>
      <c r="J178" s="303"/>
      <c r="K178" s="303"/>
      <c r="L178" s="303"/>
      <c r="M178" s="303"/>
      <c r="N178" s="303"/>
      <c r="O178" s="303"/>
      <c r="P178" s="217"/>
      <c r="Q178" s="348"/>
      <c r="R178" s="348"/>
      <c r="S178" s="348"/>
      <c r="T178" s="348"/>
      <c r="U178" s="348"/>
      <c r="V178" s="348"/>
      <c r="W178" s="217"/>
      <c r="X178" s="313"/>
      <c r="Y178" s="313"/>
      <c r="Z178" s="313"/>
      <c r="AA178" s="602"/>
      <c r="AB178" s="313"/>
      <c r="AC178" s="313"/>
      <c r="AD178" s="313"/>
      <c r="AE178" s="313"/>
      <c r="AF178" s="313"/>
      <c r="AG178" s="313"/>
      <c r="AH178" s="253"/>
      <c r="AI178" s="217"/>
      <c r="AJ178" s="318"/>
      <c r="AK178" s="318"/>
      <c r="AL178" s="318"/>
      <c r="AM178" s="318"/>
      <c r="AN178" s="318"/>
      <c r="AO178" s="318"/>
      <c r="AP178" s="318"/>
      <c r="AQ178" s="318"/>
      <c r="AR178" s="318"/>
      <c r="AS178" s="318"/>
      <c r="AT178" s="318"/>
      <c r="AU178" s="318"/>
      <c r="AV178" s="318"/>
      <c r="AW178" s="318"/>
      <c r="AX178" s="318"/>
      <c r="AY178" s="318"/>
      <c r="AZ178" s="346"/>
      <c r="BA178" s="322"/>
      <c r="BB178" s="322"/>
      <c r="BC178" s="322"/>
      <c r="BD178" s="322"/>
      <c r="BE178" s="322"/>
      <c r="BF178" s="346"/>
      <c r="BG178" s="328"/>
      <c r="BH178" s="328"/>
      <c r="BI178" s="328"/>
      <c r="BJ178" s="328"/>
      <c r="BK178" s="328"/>
      <c r="BL178" s="328"/>
      <c r="BM178" s="328"/>
      <c r="BN178" s="217"/>
      <c r="BO178" s="336"/>
      <c r="BP178" s="333"/>
      <c r="BQ178" s="336"/>
      <c r="BR178" s="336"/>
      <c r="BS178" s="336"/>
      <c r="BT178" s="336"/>
      <c r="BU178" s="336"/>
      <c r="BV178" s="336"/>
      <c r="BW178" s="336"/>
      <c r="BX178" s="217"/>
      <c r="BY178" s="341"/>
      <c r="BZ178" s="341"/>
      <c r="CA178" s="341"/>
      <c r="CB178" s="342"/>
      <c r="CC178" s="341"/>
      <c r="CD178" s="341"/>
      <c r="CE178" s="341"/>
      <c r="CF178" s="341"/>
      <c r="CG178" s="341"/>
      <c r="CH178" s="341"/>
      <c r="CI178" s="341"/>
      <c r="CJ178" s="342"/>
      <c r="CK178" s="342"/>
    </row>
    <row r="179">
      <c r="A179" s="753"/>
      <c r="B179" s="202" t="s">
        <v>271</v>
      </c>
      <c r="C179" s="196" t="s">
        <v>271</v>
      </c>
      <c r="D179" s="197" t="s">
        <v>271</v>
      </c>
      <c r="E179" s="199" t="s">
        <v>271</v>
      </c>
      <c r="F179" s="201" t="s">
        <v>271</v>
      </c>
      <c r="G179" s="202" t="s">
        <v>271</v>
      </c>
      <c r="H179" s="303"/>
      <c r="I179" s="303"/>
      <c r="J179" s="303"/>
      <c r="K179" s="303"/>
      <c r="L179" s="303"/>
      <c r="M179" s="303"/>
      <c r="N179" s="303"/>
      <c r="O179" s="303"/>
      <c r="P179" s="217"/>
      <c r="Q179" s="348"/>
      <c r="R179" s="348"/>
      <c r="S179" s="348"/>
      <c r="T179" s="348"/>
      <c r="U179" s="348"/>
      <c r="V179" s="348"/>
      <c r="W179" s="217"/>
      <c r="X179" s="313"/>
      <c r="Y179" s="313"/>
      <c r="Z179" s="313"/>
      <c r="AA179" s="602"/>
      <c r="AB179" s="313"/>
      <c r="AC179" s="313"/>
      <c r="AD179" s="313"/>
      <c r="AE179" s="313"/>
      <c r="AF179" s="313"/>
      <c r="AG179" s="313"/>
      <c r="AH179" s="253"/>
      <c r="AI179" s="217"/>
      <c r="AJ179" s="318"/>
      <c r="AK179" s="318"/>
      <c r="AL179" s="318"/>
      <c r="AM179" s="318"/>
      <c r="AN179" s="318"/>
      <c r="AO179" s="318"/>
      <c r="AP179" s="318"/>
      <c r="AQ179" s="318"/>
      <c r="AR179" s="318"/>
      <c r="AS179" s="318"/>
      <c r="AT179" s="318"/>
      <c r="AU179" s="318"/>
      <c r="AV179" s="318"/>
      <c r="AW179" s="318"/>
      <c r="AX179" s="318"/>
      <c r="AY179" s="318"/>
      <c r="AZ179" s="346"/>
      <c r="BA179" s="322"/>
      <c r="BB179" s="322"/>
      <c r="BC179" s="322"/>
      <c r="BD179" s="322"/>
      <c r="BE179" s="322"/>
      <c r="BF179" s="346"/>
      <c r="BG179" s="328"/>
      <c r="BH179" s="328"/>
      <c r="BI179" s="328"/>
      <c r="BJ179" s="328"/>
      <c r="BK179" s="328"/>
      <c r="BL179" s="328"/>
      <c r="BM179" s="328"/>
      <c r="BN179" s="217"/>
      <c r="BO179" s="336"/>
      <c r="BP179" s="333"/>
      <c r="BQ179" s="336"/>
      <c r="BR179" s="336"/>
      <c r="BS179" s="336"/>
      <c r="BT179" s="336"/>
      <c r="BU179" s="336"/>
      <c r="BV179" s="336"/>
      <c r="BW179" s="336"/>
      <c r="BX179" s="217"/>
      <c r="BY179" s="341"/>
      <c r="BZ179" s="341"/>
      <c r="CA179" s="341"/>
      <c r="CB179" s="342"/>
      <c r="CC179" s="341"/>
      <c r="CD179" s="341"/>
      <c r="CE179" s="341"/>
      <c r="CF179" s="341"/>
      <c r="CG179" s="341"/>
      <c r="CH179" s="341"/>
      <c r="CI179" s="341"/>
      <c r="CJ179" s="342"/>
      <c r="CK179" s="342"/>
    </row>
    <row r="180">
      <c r="A180" s="753"/>
      <c r="B180" s="202" t="s">
        <v>271</v>
      </c>
      <c r="C180" s="196" t="s">
        <v>271</v>
      </c>
      <c r="D180" s="197" t="s">
        <v>271</v>
      </c>
      <c r="E180" s="199" t="s">
        <v>271</v>
      </c>
      <c r="F180" s="201" t="s">
        <v>271</v>
      </c>
      <c r="G180" s="202" t="s">
        <v>271</v>
      </c>
      <c r="H180" s="303"/>
      <c r="I180" s="303"/>
      <c r="J180" s="303"/>
      <c r="K180" s="303"/>
      <c r="L180" s="303"/>
      <c r="M180" s="303"/>
      <c r="N180" s="303"/>
      <c r="O180" s="303"/>
      <c r="P180" s="217"/>
      <c r="Q180" s="348"/>
      <c r="R180" s="348"/>
      <c r="S180" s="348"/>
      <c r="T180" s="348"/>
      <c r="U180" s="348"/>
      <c r="V180" s="348"/>
      <c r="W180" s="217"/>
      <c r="X180" s="313"/>
      <c r="Y180" s="313"/>
      <c r="Z180" s="313"/>
      <c r="AA180" s="602"/>
      <c r="AB180" s="313"/>
      <c r="AC180" s="313"/>
      <c r="AD180" s="313"/>
      <c r="AE180" s="313"/>
      <c r="AF180" s="313"/>
      <c r="AG180" s="313"/>
      <c r="AH180" s="253"/>
      <c r="AI180" s="217"/>
      <c r="AJ180" s="318"/>
      <c r="AK180" s="318"/>
      <c r="AL180" s="318"/>
      <c r="AM180" s="318"/>
      <c r="AN180" s="318"/>
      <c r="AO180" s="318"/>
      <c r="AP180" s="318"/>
      <c r="AQ180" s="318"/>
      <c r="AR180" s="318"/>
      <c r="AS180" s="318"/>
      <c r="AT180" s="318"/>
      <c r="AU180" s="318"/>
      <c r="AV180" s="318"/>
      <c r="AW180" s="318"/>
      <c r="AX180" s="318"/>
      <c r="AY180" s="318"/>
      <c r="AZ180" s="346"/>
      <c r="BA180" s="322"/>
      <c r="BB180" s="322"/>
      <c r="BC180" s="322"/>
      <c r="BD180" s="322"/>
      <c r="BE180" s="322"/>
      <c r="BF180" s="346"/>
      <c r="BG180" s="328"/>
      <c r="BH180" s="328"/>
      <c r="BI180" s="328"/>
      <c r="BJ180" s="328"/>
      <c r="BK180" s="328"/>
      <c r="BL180" s="328"/>
      <c r="BM180" s="328"/>
      <c r="BN180" s="217"/>
      <c r="BO180" s="336"/>
      <c r="BP180" s="333"/>
      <c r="BQ180" s="336"/>
      <c r="BR180" s="336"/>
      <c r="BS180" s="336"/>
      <c r="BT180" s="336"/>
      <c r="BU180" s="336"/>
      <c r="BV180" s="336"/>
      <c r="BW180" s="336"/>
      <c r="BX180" s="217"/>
      <c r="BY180" s="341"/>
      <c r="BZ180" s="341"/>
      <c r="CA180" s="341"/>
      <c r="CB180" s="342"/>
      <c r="CC180" s="341"/>
      <c r="CD180" s="341"/>
      <c r="CE180" s="341"/>
      <c r="CF180" s="341"/>
      <c r="CG180" s="341"/>
      <c r="CH180" s="341"/>
      <c r="CI180" s="341"/>
      <c r="CJ180" s="342"/>
      <c r="CK180" s="342"/>
    </row>
    <row r="181">
      <c r="A181" s="753"/>
      <c r="B181" s="202" t="s">
        <v>271</v>
      </c>
      <c r="C181" s="196" t="s">
        <v>271</v>
      </c>
      <c r="D181" s="197" t="s">
        <v>271</v>
      </c>
      <c r="E181" s="199" t="s">
        <v>271</v>
      </c>
      <c r="F181" s="201" t="s">
        <v>271</v>
      </c>
      <c r="G181" s="202" t="s">
        <v>271</v>
      </c>
      <c r="H181" s="303"/>
      <c r="I181" s="303"/>
      <c r="J181" s="303"/>
      <c r="K181" s="303"/>
      <c r="L181" s="303"/>
      <c r="M181" s="303"/>
      <c r="N181" s="303"/>
      <c r="O181" s="303"/>
      <c r="P181" s="217"/>
      <c r="Q181" s="348"/>
      <c r="R181" s="348"/>
      <c r="S181" s="348"/>
      <c r="T181" s="348"/>
      <c r="U181" s="348"/>
      <c r="V181" s="348"/>
      <c r="W181" s="217"/>
      <c r="X181" s="313"/>
      <c r="Y181" s="313"/>
      <c r="Z181" s="313"/>
      <c r="AA181" s="602"/>
      <c r="AB181" s="313"/>
      <c r="AC181" s="313"/>
      <c r="AD181" s="313"/>
      <c r="AE181" s="313"/>
      <c r="AF181" s="313"/>
      <c r="AG181" s="313"/>
      <c r="AH181" s="253"/>
      <c r="AI181" s="217"/>
      <c r="AJ181" s="318"/>
      <c r="AK181" s="318"/>
      <c r="AL181" s="318"/>
      <c r="AM181" s="318"/>
      <c r="AN181" s="318"/>
      <c r="AO181" s="318"/>
      <c r="AP181" s="318"/>
      <c r="AQ181" s="318"/>
      <c r="AR181" s="318"/>
      <c r="AS181" s="318"/>
      <c r="AT181" s="318"/>
      <c r="AU181" s="318"/>
      <c r="AV181" s="318"/>
      <c r="AW181" s="318"/>
      <c r="AX181" s="318"/>
      <c r="AY181" s="318"/>
      <c r="AZ181" s="346"/>
      <c r="BA181" s="322"/>
      <c r="BB181" s="322"/>
      <c r="BC181" s="322"/>
      <c r="BD181" s="322"/>
      <c r="BE181" s="322"/>
      <c r="BF181" s="346"/>
      <c r="BG181" s="328"/>
      <c r="BH181" s="328"/>
      <c r="BI181" s="328"/>
      <c r="BJ181" s="328"/>
      <c r="BK181" s="328"/>
      <c r="BL181" s="328"/>
      <c r="BM181" s="328"/>
      <c r="BN181" s="217"/>
      <c r="BO181" s="336"/>
      <c r="BP181" s="333"/>
      <c r="BQ181" s="336"/>
      <c r="BR181" s="336"/>
      <c r="BS181" s="336"/>
      <c r="BT181" s="336"/>
      <c r="BU181" s="336"/>
      <c r="BV181" s="336"/>
      <c r="BW181" s="336"/>
      <c r="BX181" s="217"/>
      <c r="BY181" s="341"/>
      <c r="BZ181" s="341"/>
      <c r="CA181" s="341"/>
      <c r="CB181" s="342"/>
      <c r="CC181" s="341"/>
      <c r="CD181" s="341"/>
      <c r="CE181" s="341"/>
      <c r="CF181" s="341"/>
      <c r="CG181" s="341"/>
      <c r="CH181" s="341"/>
      <c r="CI181" s="341"/>
      <c r="CJ181" s="342"/>
      <c r="CK181" s="342"/>
    </row>
    <row r="182">
      <c r="A182" s="753"/>
      <c r="B182" s="202" t="s">
        <v>271</v>
      </c>
      <c r="C182" s="196" t="s">
        <v>271</v>
      </c>
      <c r="D182" s="197" t="s">
        <v>271</v>
      </c>
      <c r="E182" s="199" t="s">
        <v>271</v>
      </c>
      <c r="F182" s="201" t="s">
        <v>271</v>
      </c>
      <c r="G182" s="202" t="s">
        <v>271</v>
      </c>
      <c r="H182" s="303"/>
      <c r="I182" s="303"/>
      <c r="J182" s="303"/>
      <c r="K182" s="303"/>
      <c r="L182" s="303"/>
      <c r="M182" s="303"/>
      <c r="N182" s="303"/>
      <c r="O182" s="303"/>
      <c r="P182" s="217"/>
      <c r="Q182" s="348"/>
      <c r="R182" s="348"/>
      <c r="S182" s="348"/>
      <c r="T182" s="348"/>
      <c r="U182" s="348"/>
      <c r="V182" s="348"/>
      <c r="W182" s="217"/>
      <c r="X182" s="313"/>
      <c r="Y182" s="313"/>
      <c r="Z182" s="313"/>
      <c r="AA182" s="602"/>
      <c r="AB182" s="313"/>
      <c r="AC182" s="313"/>
      <c r="AD182" s="313"/>
      <c r="AE182" s="313"/>
      <c r="AF182" s="313"/>
      <c r="AG182" s="313"/>
      <c r="AH182" s="253"/>
      <c r="AI182" s="217"/>
      <c r="AJ182" s="318"/>
      <c r="AK182" s="318"/>
      <c r="AL182" s="318"/>
      <c r="AM182" s="318"/>
      <c r="AN182" s="318"/>
      <c r="AO182" s="318"/>
      <c r="AP182" s="318"/>
      <c r="AQ182" s="318"/>
      <c r="AR182" s="318"/>
      <c r="AS182" s="318"/>
      <c r="AT182" s="318"/>
      <c r="AU182" s="318"/>
      <c r="AV182" s="318"/>
      <c r="AW182" s="318"/>
      <c r="AX182" s="318"/>
      <c r="AY182" s="318"/>
      <c r="AZ182" s="346"/>
      <c r="BA182" s="322"/>
      <c r="BB182" s="322"/>
      <c r="BC182" s="322"/>
      <c r="BD182" s="322"/>
      <c r="BE182" s="322"/>
      <c r="BF182" s="346"/>
      <c r="BG182" s="328"/>
      <c r="BH182" s="328"/>
      <c r="BI182" s="328"/>
      <c r="BJ182" s="328"/>
      <c r="BK182" s="328"/>
      <c r="BL182" s="328"/>
      <c r="BM182" s="328"/>
      <c r="BN182" s="217"/>
      <c r="BO182" s="336"/>
      <c r="BP182" s="333"/>
      <c r="BQ182" s="336"/>
      <c r="BR182" s="336"/>
      <c r="BS182" s="336"/>
      <c r="BT182" s="336"/>
      <c r="BU182" s="336"/>
      <c r="BV182" s="336"/>
      <c r="BW182" s="336"/>
      <c r="BX182" s="217"/>
      <c r="BY182" s="341"/>
      <c r="BZ182" s="341"/>
      <c r="CA182" s="341"/>
      <c r="CB182" s="342"/>
      <c r="CC182" s="341"/>
      <c r="CD182" s="341"/>
      <c r="CE182" s="341"/>
      <c r="CF182" s="341"/>
      <c r="CG182" s="341"/>
      <c r="CH182" s="341"/>
      <c r="CI182" s="341"/>
      <c r="CJ182" s="342"/>
      <c r="CK182" s="342"/>
    </row>
    <row r="183">
      <c r="A183" s="753"/>
      <c r="B183" s="202" t="s">
        <v>271</v>
      </c>
      <c r="C183" s="196" t="s">
        <v>271</v>
      </c>
      <c r="D183" s="197" t="s">
        <v>271</v>
      </c>
      <c r="E183" s="199" t="s">
        <v>271</v>
      </c>
      <c r="F183" s="201" t="s">
        <v>271</v>
      </c>
      <c r="G183" s="202" t="s">
        <v>271</v>
      </c>
      <c r="H183" s="303"/>
      <c r="I183" s="303"/>
      <c r="J183" s="303"/>
      <c r="K183" s="303"/>
      <c r="L183" s="303"/>
      <c r="M183" s="303"/>
      <c r="N183" s="303"/>
      <c r="O183" s="303"/>
      <c r="P183" s="217"/>
      <c r="Q183" s="348"/>
      <c r="R183" s="348"/>
      <c r="S183" s="348"/>
      <c r="T183" s="348"/>
      <c r="U183" s="348"/>
      <c r="V183" s="348"/>
      <c r="W183" s="217"/>
      <c r="X183" s="313"/>
      <c r="Y183" s="313"/>
      <c r="Z183" s="313"/>
      <c r="AA183" s="602"/>
      <c r="AB183" s="313"/>
      <c r="AC183" s="313"/>
      <c r="AD183" s="313"/>
      <c r="AE183" s="313"/>
      <c r="AF183" s="313"/>
      <c r="AG183" s="313"/>
      <c r="AH183" s="253"/>
      <c r="AI183" s="217"/>
      <c r="AJ183" s="318"/>
      <c r="AK183" s="318"/>
      <c r="AL183" s="318"/>
      <c r="AM183" s="318"/>
      <c r="AN183" s="318"/>
      <c r="AO183" s="318"/>
      <c r="AP183" s="318"/>
      <c r="AQ183" s="318"/>
      <c r="AR183" s="318"/>
      <c r="AS183" s="318"/>
      <c r="AT183" s="318"/>
      <c r="AU183" s="318"/>
      <c r="AV183" s="318"/>
      <c r="AW183" s="318"/>
      <c r="AX183" s="318"/>
      <c r="AY183" s="318"/>
      <c r="AZ183" s="346"/>
      <c r="BA183" s="322"/>
      <c r="BB183" s="322"/>
      <c r="BC183" s="322"/>
      <c r="BD183" s="322"/>
      <c r="BE183" s="322"/>
      <c r="BF183" s="346"/>
      <c r="BG183" s="328"/>
      <c r="BH183" s="328"/>
      <c r="BI183" s="328"/>
      <c r="BJ183" s="328"/>
      <c r="BK183" s="328"/>
      <c r="BL183" s="328"/>
      <c r="BM183" s="328"/>
      <c r="BN183" s="217"/>
      <c r="BO183" s="336"/>
      <c r="BP183" s="333"/>
      <c r="BQ183" s="336"/>
      <c r="BR183" s="336"/>
      <c r="BS183" s="336"/>
      <c r="BT183" s="336"/>
      <c r="BU183" s="336"/>
      <c r="BV183" s="336"/>
      <c r="BW183" s="336"/>
      <c r="BX183" s="217"/>
      <c r="BY183" s="341"/>
      <c r="BZ183" s="341"/>
      <c r="CA183" s="341"/>
      <c r="CB183" s="342"/>
      <c r="CC183" s="341"/>
      <c r="CD183" s="341"/>
      <c r="CE183" s="341"/>
      <c r="CF183" s="341"/>
      <c r="CG183" s="341"/>
      <c r="CH183" s="341"/>
      <c r="CI183" s="341"/>
      <c r="CJ183" s="342"/>
      <c r="CK183" s="342"/>
    </row>
    <row r="184">
      <c r="A184" s="753"/>
      <c r="B184" s="202" t="s">
        <v>271</v>
      </c>
      <c r="C184" s="196" t="s">
        <v>271</v>
      </c>
      <c r="D184" s="197" t="s">
        <v>271</v>
      </c>
      <c r="E184" s="199" t="s">
        <v>271</v>
      </c>
      <c r="F184" s="201" t="s">
        <v>271</v>
      </c>
      <c r="G184" s="202" t="s">
        <v>271</v>
      </c>
      <c r="H184" s="303"/>
      <c r="I184" s="303"/>
      <c r="J184" s="303"/>
      <c r="K184" s="303"/>
      <c r="L184" s="303"/>
      <c r="M184" s="303"/>
      <c r="N184" s="303"/>
      <c r="O184" s="303"/>
      <c r="P184" s="217"/>
      <c r="Q184" s="348"/>
      <c r="R184" s="348"/>
      <c r="S184" s="348"/>
      <c r="T184" s="348"/>
      <c r="U184" s="348"/>
      <c r="V184" s="348"/>
      <c r="W184" s="217"/>
      <c r="X184" s="313"/>
      <c r="Y184" s="313"/>
      <c r="Z184" s="313"/>
      <c r="AA184" s="602"/>
      <c r="AB184" s="313"/>
      <c r="AC184" s="313"/>
      <c r="AD184" s="313"/>
      <c r="AE184" s="313"/>
      <c r="AF184" s="313"/>
      <c r="AG184" s="313"/>
      <c r="AH184" s="253"/>
      <c r="AI184" s="217"/>
      <c r="AJ184" s="318"/>
      <c r="AK184" s="318"/>
      <c r="AL184" s="318"/>
      <c r="AM184" s="318"/>
      <c r="AN184" s="318"/>
      <c r="AO184" s="318"/>
      <c r="AP184" s="318"/>
      <c r="AQ184" s="318"/>
      <c r="AR184" s="318"/>
      <c r="AS184" s="318"/>
      <c r="AT184" s="318"/>
      <c r="AU184" s="318"/>
      <c r="AV184" s="318"/>
      <c r="AW184" s="318"/>
      <c r="AX184" s="318"/>
      <c r="AY184" s="318"/>
      <c r="AZ184" s="346"/>
      <c r="BA184" s="322"/>
      <c r="BB184" s="322"/>
      <c r="BC184" s="322"/>
      <c r="BD184" s="322"/>
      <c r="BE184" s="322"/>
      <c r="BF184" s="346"/>
      <c r="BG184" s="328"/>
      <c r="BH184" s="328"/>
      <c r="BI184" s="328"/>
      <c r="BJ184" s="328"/>
      <c r="BK184" s="328"/>
      <c r="BL184" s="328"/>
      <c r="BM184" s="328"/>
      <c r="BN184" s="217"/>
      <c r="BO184" s="336"/>
      <c r="BP184" s="333"/>
      <c r="BQ184" s="336"/>
      <c r="BR184" s="336"/>
      <c r="BS184" s="336"/>
      <c r="BT184" s="336"/>
      <c r="BU184" s="336"/>
      <c r="BV184" s="336"/>
      <c r="BW184" s="336"/>
      <c r="BX184" s="217"/>
      <c r="BY184" s="341"/>
      <c r="BZ184" s="341"/>
      <c r="CA184" s="341"/>
      <c r="CB184" s="342"/>
      <c r="CC184" s="341"/>
      <c r="CD184" s="341"/>
      <c r="CE184" s="341"/>
      <c r="CF184" s="341"/>
      <c r="CG184" s="341"/>
      <c r="CH184" s="341"/>
      <c r="CI184" s="341"/>
      <c r="CJ184" s="342"/>
      <c r="CK184" s="342"/>
    </row>
    <row r="185">
      <c r="A185" s="753"/>
      <c r="B185" s="202" t="s">
        <v>271</v>
      </c>
      <c r="C185" s="196" t="s">
        <v>271</v>
      </c>
      <c r="D185" s="197" t="s">
        <v>271</v>
      </c>
      <c r="E185" s="199" t="s">
        <v>271</v>
      </c>
      <c r="F185" s="201" t="s">
        <v>271</v>
      </c>
      <c r="G185" s="202" t="s">
        <v>271</v>
      </c>
      <c r="H185" s="303"/>
      <c r="I185" s="303"/>
      <c r="J185" s="303"/>
      <c r="K185" s="303"/>
      <c r="L185" s="303"/>
      <c r="M185" s="303"/>
      <c r="N185" s="303"/>
      <c r="O185" s="303"/>
      <c r="P185" s="217"/>
      <c r="Q185" s="348"/>
      <c r="R185" s="348"/>
      <c r="S185" s="348"/>
      <c r="T185" s="348"/>
      <c r="U185" s="348"/>
      <c r="V185" s="348"/>
      <c r="W185" s="217"/>
      <c r="X185" s="313"/>
      <c r="Y185" s="313"/>
      <c r="Z185" s="313"/>
      <c r="AA185" s="602"/>
      <c r="AB185" s="313"/>
      <c r="AC185" s="313"/>
      <c r="AD185" s="313"/>
      <c r="AE185" s="313"/>
      <c r="AF185" s="313"/>
      <c r="AG185" s="313"/>
      <c r="AH185" s="253"/>
      <c r="AI185" s="217"/>
      <c r="AJ185" s="318"/>
      <c r="AK185" s="318"/>
      <c r="AL185" s="318"/>
      <c r="AM185" s="318"/>
      <c r="AN185" s="318"/>
      <c r="AO185" s="318"/>
      <c r="AP185" s="318"/>
      <c r="AQ185" s="318"/>
      <c r="AR185" s="318"/>
      <c r="AS185" s="318"/>
      <c r="AT185" s="318"/>
      <c r="AU185" s="318"/>
      <c r="AV185" s="318"/>
      <c r="AW185" s="318"/>
      <c r="AX185" s="318"/>
      <c r="AY185" s="318"/>
      <c r="AZ185" s="346"/>
      <c r="BA185" s="322"/>
      <c r="BB185" s="322"/>
      <c r="BC185" s="322"/>
      <c r="BD185" s="322"/>
      <c r="BE185" s="322"/>
      <c r="BF185" s="346"/>
      <c r="BG185" s="328"/>
      <c r="BH185" s="328"/>
      <c r="BI185" s="328"/>
      <c r="BJ185" s="328"/>
      <c r="BK185" s="328"/>
      <c r="BL185" s="328"/>
      <c r="BM185" s="328"/>
      <c r="BN185" s="217"/>
      <c r="BO185" s="336"/>
      <c r="BP185" s="333"/>
      <c r="BQ185" s="336"/>
      <c r="BR185" s="336"/>
      <c r="BS185" s="336"/>
      <c r="BT185" s="336"/>
      <c r="BU185" s="336"/>
      <c r="BV185" s="336"/>
      <c r="BW185" s="336"/>
      <c r="BX185" s="217"/>
      <c r="BY185" s="341"/>
      <c r="BZ185" s="341"/>
      <c r="CA185" s="341"/>
      <c r="CB185" s="342"/>
      <c r="CC185" s="341"/>
      <c r="CD185" s="341"/>
      <c r="CE185" s="341"/>
      <c r="CF185" s="341"/>
      <c r="CG185" s="341"/>
      <c r="CH185" s="341"/>
      <c r="CI185" s="341"/>
      <c r="CJ185" s="342"/>
      <c r="CK185" s="342"/>
    </row>
    <row r="186">
      <c r="A186" s="753"/>
      <c r="B186" s="202" t="s">
        <v>271</v>
      </c>
      <c r="C186" s="196" t="s">
        <v>271</v>
      </c>
      <c r="D186" s="197" t="s">
        <v>271</v>
      </c>
      <c r="E186" s="199" t="s">
        <v>271</v>
      </c>
      <c r="F186" s="201" t="s">
        <v>271</v>
      </c>
      <c r="G186" s="202" t="s">
        <v>271</v>
      </c>
      <c r="H186" s="303"/>
      <c r="I186" s="303"/>
      <c r="J186" s="303"/>
      <c r="K186" s="303"/>
      <c r="L186" s="303"/>
      <c r="M186" s="303"/>
      <c r="N186" s="303"/>
      <c r="O186" s="303"/>
      <c r="P186" s="217"/>
      <c r="Q186" s="348"/>
      <c r="R186" s="348"/>
      <c r="S186" s="348"/>
      <c r="T186" s="348"/>
      <c r="U186" s="348"/>
      <c r="V186" s="348"/>
      <c r="W186" s="217"/>
      <c r="X186" s="313"/>
      <c r="Y186" s="313"/>
      <c r="Z186" s="313"/>
      <c r="AA186" s="602"/>
      <c r="AB186" s="313"/>
      <c r="AC186" s="313"/>
      <c r="AD186" s="313"/>
      <c r="AE186" s="313"/>
      <c r="AF186" s="313"/>
      <c r="AG186" s="313"/>
      <c r="AH186" s="253"/>
      <c r="AI186" s="217"/>
      <c r="AJ186" s="318"/>
      <c r="AK186" s="318"/>
      <c r="AL186" s="318"/>
      <c r="AM186" s="318"/>
      <c r="AN186" s="318"/>
      <c r="AO186" s="318"/>
      <c r="AP186" s="318"/>
      <c r="AQ186" s="318"/>
      <c r="AR186" s="318"/>
      <c r="AS186" s="318"/>
      <c r="AT186" s="318"/>
      <c r="AU186" s="318"/>
      <c r="AV186" s="318"/>
      <c r="AW186" s="318"/>
      <c r="AX186" s="318"/>
      <c r="AY186" s="318"/>
      <c r="AZ186" s="346"/>
      <c r="BA186" s="322"/>
      <c r="BB186" s="322"/>
      <c r="BC186" s="322"/>
      <c r="BD186" s="322"/>
      <c r="BE186" s="322"/>
      <c r="BF186" s="346"/>
      <c r="BG186" s="328"/>
      <c r="BH186" s="328"/>
      <c r="BI186" s="328"/>
      <c r="BJ186" s="328"/>
      <c r="BK186" s="328"/>
      <c r="BL186" s="328"/>
      <c r="BM186" s="328"/>
      <c r="BN186" s="217"/>
      <c r="BO186" s="336"/>
      <c r="BP186" s="333"/>
      <c r="BQ186" s="336"/>
      <c r="BR186" s="336"/>
      <c r="BS186" s="336"/>
      <c r="BT186" s="336"/>
      <c r="BU186" s="336"/>
      <c r="BV186" s="336"/>
      <c r="BW186" s="336"/>
      <c r="BX186" s="217"/>
      <c r="BY186" s="341"/>
      <c r="BZ186" s="341"/>
      <c r="CA186" s="341"/>
      <c r="CB186" s="342"/>
      <c r="CC186" s="341"/>
      <c r="CD186" s="341"/>
      <c r="CE186" s="341"/>
      <c r="CF186" s="341"/>
      <c r="CG186" s="341"/>
      <c r="CH186" s="341"/>
      <c r="CI186" s="341"/>
      <c r="CJ186" s="342"/>
      <c r="CK186" s="342"/>
    </row>
    <row r="187">
      <c r="A187" s="753"/>
      <c r="B187" s="202" t="s">
        <v>271</v>
      </c>
      <c r="C187" s="196" t="s">
        <v>271</v>
      </c>
      <c r="D187" s="197" t="s">
        <v>271</v>
      </c>
      <c r="E187" s="199" t="s">
        <v>271</v>
      </c>
      <c r="F187" s="201" t="s">
        <v>271</v>
      </c>
      <c r="G187" s="202" t="s">
        <v>271</v>
      </c>
      <c r="H187" s="303"/>
      <c r="I187" s="303"/>
      <c r="J187" s="303"/>
      <c r="K187" s="303"/>
      <c r="L187" s="303"/>
      <c r="M187" s="303"/>
      <c r="N187" s="303"/>
      <c r="O187" s="303"/>
      <c r="P187" s="217"/>
      <c r="Q187" s="348"/>
      <c r="R187" s="348"/>
      <c r="S187" s="348"/>
      <c r="T187" s="348"/>
      <c r="U187" s="348"/>
      <c r="V187" s="348"/>
      <c r="W187" s="217"/>
      <c r="X187" s="313"/>
      <c r="Y187" s="313"/>
      <c r="Z187" s="313"/>
      <c r="AA187" s="602"/>
      <c r="AB187" s="313"/>
      <c r="AC187" s="313"/>
      <c r="AD187" s="313"/>
      <c r="AE187" s="313"/>
      <c r="AF187" s="313"/>
      <c r="AG187" s="313"/>
      <c r="AH187" s="253"/>
      <c r="AI187" s="217"/>
      <c r="AJ187" s="318"/>
      <c r="AK187" s="318"/>
      <c r="AL187" s="318"/>
      <c r="AM187" s="318"/>
      <c r="AN187" s="318"/>
      <c r="AO187" s="318"/>
      <c r="AP187" s="318"/>
      <c r="AQ187" s="318"/>
      <c r="AR187" s="318"/>
      <c r="AS187" s="318"/>
      <c r="AT187" s="318"/>
      <c r="AU187" s="318"/>
      <c r="AV187" s="318"/>
      <c r="AW187" s="318"/>
      <c r="AX187" s="318"/>
      <c r="AY187" s="318"/>
      <c r="AZ187" s="346"/>
      <c r="BA187" s="322"/>
      <c r="BB187" s="322"/>
      <c r="BC187" s="322"/>
      <c r="BD187" s="322"/>
      <c r="BE187" s="322"/>
      <c r="BF187" s="346"/>
      <c r="BG187" s="328"/>
      <c r="BH187" s="328"/>
      <c r="BI187" s="328"/>
      <c r="BJ187" s="328"/>
      <c r="BK187" s="328"/>
      <c r="BL187" s="328"/>
      <c r="BM187" s="328"/>
      <c r="BN187" s="217"/>
      <c r="BO187" s="336"/>
      <c r="BP187" s="333"/>
      <c r="BQ187" s="336"/>
      <c r="BR187" s="336"/>
      <c r="BS187" s="336"/>
      <c r="BT187" s="336"/>
      <c r="BU187" s="336"/>
      <c r="BV187" s="336"/>
      <c r="BW187" s="336"/>
      <c r="BX187" s="217"/>
      <c r="BY187" s="341"/>
      <c r="BZ187" s="341"/>
      <c r="CA187" s="341"/>
      <c r="CB187" s="342"/>
      <c r="CC187" s="341"/>
      <c r="CD187" s="341"/>
      <c r="CE187" s="341"/>
      <c r="CF187" s="341"/>
      <c r="CG187" s="341"/>
      <c r="CH187" s="341"/>
      <c r="CI187" s="341"/>
      <c r="CJ187" s="342"/>
      <c r="CK187" s="342"/>
    </row>
    <row r="188">
      <c r="A188" s="753"/>
      <c r="B188" s="202" t="s">
        <v>271</v>
      </c>
      <c r="C188" s="196" t="s">
        <v>271</v>
      </c>
      <c r="D188" s="197" t="s">
        <v>271</v>
      </c>
      <c r="E188" s="199" t="s">
        <v>271</v>
      </c>
      <c r="F188" s="201" t="s">
        <v>271</v>
      </c>
      <c r="G188" s="202" t="s">
        <v>271</v>
      </c>
      <c r="H188" s="303"/>
      <c r="I188" s="303"/>
      <c r="J188" s="303"/>
      <c r="K188" s="303"/>
      <c r="L188" s="303"/>
      <c r="M188" s="303"/>
      <c r="N188" s="303"/>
      <c r="O188" s="303"/>
      <c r="P188" s="217"/>
      <c r="Q188" s="348"/>
      <c r="R188" s="348"/>
      <c r="S188" s="348"/>
      <c r="T188" s="348"/>
      <c r="U188" s="348"/>
      <c r="V188" s="348"/>
      <c r="W188" s="217"/>
      <c r="X188" s="313"/>
      <c r="Y188" s="313"/>
      <c r="Z188" s="313"/>
      <c r="AA188" s="602"/>
      <c r="AB188" s="313"/>
      <c r="AC188" s="313"/>
      <c r="AD188" s="313"/>
      <c r="AE188" s="313"/>
      <c r="AF188" s="313"/>
      <c r="AG188" s="313"/>
      <c r="AH188" s="253"/>
      <c r="AI188" s="217"/>
      <c r="AJ188" s="318"/>
      <c r="AK188" s="318"/>
      <c r="AL188" s="318"/>
      <c r="AM188" s="318"/>
      <c r="AN188" s="318"/>
      <c r="AO188" s="318"/>
      <c r="AP188" s="318"/>
      <c r="AQ188" s="318"/>
      <c r="AR188" s="318"/>
      <c r="AS188" s="318"/>
      <c r="AT188" s="318"/>
      <c r="AU188" s="318"/>
      <c r="AV188" s="318"/>
      <c r="AW188" s="318"/>
      <c r="AX188" s="318"/>
      <c r="AY188" s="318"/>
      <c r="AZ188" s="346"/>
      <c r="BA188" s="322"/>
      <c r="BB188" s="322"/>
      <c r="BC188" s="322"/>
      <c r="BD188" s="322"/>
      <c r="BE188" s="322"/>
      <c r="BF188" s="346"/>
      <c r="BG188" s="328"/>
      <c r="BH188" s="328"/>
      <c r="BI188" s="328"/>
      <c r="BJ188" s="328"/>
      <c r="BK188" s="328"/>
      <c r="BL188" s="328"/>
      <c r="BM188" s="328"/>
      <c r="BN188" s="217"/>
      <c r="BO188" s="336"/>
      <c r="BP188" s="333"/>
      <c r="BQ188" s="336"/>
      <c r="BR188" s="336"/>
      <c r="BS188" s="336"/>
      <c r="BT188" s="336"/>
      <c r="BU188" s="336"/>
      <c r="BV188" s="336"/>
      <c r="BW188" s="336"/>
      <c r="BX188" s="217"/>
      <c r="BY188" s="341"/>
      <c r="BZ188" s="341"/>
      <c r="CA188" s="341"/>
      <c r="CB188" s="342"/>
      <c r="CC188" s="341"/>
      <c r="CD188" s="341"/>
      <c r="CE188" s="341"/>
      <c r="CF188" s="341"/>
      <c r="CG188" s="341"/>
      <c r="CH188" s="341"/>
      <c r="CI188" s="341"/>
      <c r="CJ188" s="342"/>
      <c r="CK188" s="342"/>
    </row>
    <row r="189">
      <c r="A189" s="753"/>
      <c r="B189" s="202" t="s">
        <v>271</v>
      </c>
      <c r="C189" s="196" t="s">
        <v>271</v>
      </c>
      <c r="D189" s="197" t="s">
        <v>271</v>
      </c>
      <c r="E189" s="199" t="s">
        <v>271</v>
      </c>
      <c r="F189" s="201" t="s">
        <v>271</v>
      </c>
      <c r="G189" s="202" t="s">
        <v>271</v>
      </c>
      <c r="H189" s="303"/>
      <c r="I189" s="303"/>
      <c r="J189" s="303"/>
      <c r="K189" s="303"/>
      <c r="L189" s="303"/>
      <c r="M189" s="303"/>
      <c r="N189" s="303"/>
      <c r="O189" s="303"/>
      <c r="P189" s="217"/>
      <c r="Q189" s="348"/>
      <c r="R189" s="348"/>
      <c r="S189" s="348"/>
      <c r="T189" s="348"/>
      <c r="U189" s="348"/>
      <c r="V189" s="348"/>
      <c r="W189" s="217"/>
      <c r="X189" s="313"/>
      <c r="Y189" s="313"/>
      <c r="Z189" s="313"/>
      <c r="AA189" s="602"/>
      <c r="AB189" s="313"/>
      <c r="AC189" s="313"/>
      <c r="AD189" s="313"/>
      <c r="AE189" s="313"/>
      <c r="AF189" s="313"/>
      <c r="AG189" s="313"/>
      <c r="AH189" s="253"/>
      <c r="AI189" s="217"/>
      <c r="AJ189" s="318"/>
      <c r="AK189" s="318"/>
      <c r="AL189" s="318"/>
      <c r="AM189" s="318"/>
      <c r="AN189" s="318"/>
      <c r="AO189" s="318"/>
      <c r="AP189" s="318"/>
      <c r="AQ189" s="318"/>
      <c r="AR189" s="318"/>
      <c r="AS189" s="318"/>
      <c r="AT189" s="318"/>
      <c r="AU189" s="318"/>
      <c r="AV189" s="318"/>
      <c r="AW189" s="318"/>
      <c r="AX189" s="318"/>
      <c r="AY189" s="318"/>
      <c r="AZ189" s="346"/>
      <c r="BA189" s="322"/>
      <c r="BB189" s="322"/>
      <c r="BC189" s="322"/>
      <c r="BD189" s="322"/>
      <c r="BE189" s="322"/>
      <c r="BF189" s="346"/>
      <c r="BG189" s="328"/>
      <c r="BH189" s="328"/>
      <c r="BI189" s="328"/>
      <c r="BJ189" s="328"/>
      <c r="BK189" s="328"/>
      <c r="BL189" s="328"/>
      <c r="BM189" s="328"/>
      <c r="BN189" s="217"/>
      <c r="BO189" s="336"/>
      <c r="BP189" s="333"/>
      <c r="BQ189" s="336"/>
      <c r="BR189" s="336"/>
      <c r="BS189" s="336"/>
      <c r="BT189" s="336"/>
      <c r="BU189" s="336"/>
      <c r="BV189" s="336"/>
      <c r="BW189" s="336"/>
      <c r="BX189" s="217"/>
      <c r="BY189" s="341"/>
      <c r="BZ189" s="341"/>
      <c r="CA189" s="341"/>
      <c r="CB189" s="342"/>
      <c r="CC189" s="341"/>
      <c r="CD189" s="341"/>
      <c r="CE189" s="341"/>
      <c r="CF189" s="341"/>
      <c r="CG189" s="341"/>
      <c r="CH189" s="341"/>
      <c r="CI189" s="341"/>
      <c r="CJ189" s="342"/>
      <c r="CK189" s="342"/>
    </row>
    <row r="190">
      <c r="A190" s="753"/>
      <c r="B190" s="202" t="s">
        <v>271</v>
      </c>
      <c r="C190" s="196" t="s">
        <v>271</v>
      </c>
      <c r="D190" s="197" t="s">
        <v>271</v>
      </c>
      <c r="E190" s="199" t="s">
        <v>271</v>
      </c>
      <c r="F190" s="201" t="s">
        <v>271</v>
      </c>
      <c r="G190" s="202" t="s">
        <v>271</v>
      </c>
      <c r="H190" s="303"/>
      <c r="I190" s="303"/>
      <c r="J190" s="303"/>
      <c r="K190" s="303"/>
      <c r="L190" s="303"/>
      <c r="M190" s="303"/>
      <c r="N190" s="303"/>
      <c r="O190" s="303"/>
      <c r="P190" s="217"/>
      <c r="Q190" s="348"/>
      <c r="R190" s="348"/>
      <c r="S190" s="348"/>
      <c r="T190" s="348"/>
      <c r="U190" s="348"/>
      <c r="V190" s="348"/>
      <c r="W190" s="217"/>
      <c r="X190" s="313"/>
      <c r="Y190" s="313"/>
      <c r="Z190" s="313"/>
      <c r="AA190" s="602"/>
      <c r="AB190" s="313"/>
      <c r="AC190" s="313"/>
      <c r="AD190" s="313"/>
      <c r="AE190" s="313"/>
      <c r="AF190" s="313"/>
      <c r="AG190" s="313"/>
      <c r="AH190" s="253"/>
      <c r="AI190" s="217"/>
      <c r="AJ190" s="318"/>
      <c r="AK190" s="318"/>
      <c r="AL190" s="318"/>
      <c r="AM190" s="318"/>
      <c r="AN190" s="318"/>
      <c r="AO190" s="318"/>
      <c r="AP190" s="318"/>
      <c r="AQ190" s="318"/>
      <c r="AR190" s="318"/>
      <c r="AS190" s="318"/>
      <c r="AT190" s="318"/>
      <c r="AU190" s="318"/>
      <c r="AV190" s="318"/>
      <c r="AW190" s="318"/>
      <c r="AX190" s="318"/>
      <c r="AY190" s="318"/>
      <c r="AZ190" s="346"/>
      <c r="BA190" s="322"/>
      <c r="BB190" s="322"/>
      <c r="BC190" s="322"/>
      <c r="BD190" s="322"/>
      <c r="BE190" s="322"/>
      <c r="BF190" s="346"/>
      <c r="BG190" s="328"/>
      <c r="BH190" s="328"/>
      <c r="BI190" s="328"/>
      <c r="BJ190" s="328"/>
      <c r="BK190" s="328"/>
      <c r="BL190" s="328"/>
      <c r="BM190" s="328"/>
      <c r="BN190" s="217"/>
      <c r="BO190" s="336"/>
      <c r="BP190" s="333"/>
      <c r="BQ190" s="336"/>
      <c r="BR190" s="336"/>
      <c r="BS190" s="336"/>
      <c r="BT190" s="336"/>
      <c r="BU190" s="336"/>
      <c r="BV190" s="336"/>
      <c r="BW190" s="336"/>
      <c r="BX190" s="217"/>
      <c r="BY190" s="341"/>
      <c r="BZ190" s="341"/>
      <c r="CA190" s="341"/>
      <c r="CB190" s="342"/>
      <c r="CC190" s="341"/>
      <c r="CD190" s="341"/>
      <c r="CE190" s="341"/>
      <c r="CF190" s="341"/>
      <c r="CG190" s="341"/>
      <c r="CH190" s="341"/>
      <c r="CI190" s="341"/>
      <c r="CJ190" s="342"/>
      <c r="CK190" s="342"/>
    </row>
    <row r="191">
      <c r="A191" s="753"/>
      <c r="B191" s="202" t="s">
        <v>271</v>
      </c>
      <c r="C191" s="196" t="s">
        <v>271</v>
      </c>
      <c r="D191" s="197" t="s">
        <v>271</v>
      </c>
      <c r="E191" s="199" t="s">
        <v>271</v>
      </c>
      <c r="F191" s="201" t="s">
        <v>271</v>
      </c>
      <c r="G191" s="202" t="s">
        <v>271</v>
      </c>
      <c r="H191" s="303"/>
      <c r="I191" s="303"/>
      <c r="J191" s="303"/>
      <c r="K191" s="303"/>
      <c r="L191" s="303"/>
      <c r="M191" s="303"/>
      <c r="N191" s="303"/>
      <c r="O191" s="303"/>
      <c r="P191" s="217"/>
      <c r="Q191" s="348"/>
      <c r="R191" s="348"/>
      <c r="S191" s="348"/>
      <c r="T191" s="348"/>
      <c r="U191" s="348"/>
      <c r="V191" s="348"/>
      <c r="W191" s="217"/>
      <c r="X191" s="313"/>
      <c r="Y191" s="313"/>
      <c r="Z191" s="313"/>
      <c r="AA191" s="602"/>
      <c r="AB191" s="313"/>
      <c r="AC191" s="313"/>
      <c r="AD191" s="313"/>
      <c r="AE191" s="313"/>
      <c r="AF191" s="313"/>
      <c r="AG191" s="313"/>
      <c r="AH191" s="253"/>
      <c r="AI191" s="217"/>
      <c r="AJ191" s="318"/>
      <c r="AK191" s="318"/>
      <c r="AL191" s="318"/>
      <c r="AM191" s="318"/>
      <c r="AN191" s="318"/>
      <c r="AO191" s="318"/>
      <c r="AP191" s="318"/>
      <c r="AQ191" s="318"/>
      <c r="AR191" s="318"/>
      <c r="AS191" s="318"/>
      <c r="AT191" s="318"/>
      <c r="AU191" s="318"/>
      <c r="AV191" s="318"/>
      <c r="AW191" s="318"/>
      <c r="AX191" s="318"/>
      <c r="AY191" s="318"/>
      <c r="AZ191" s="346"/>
      <c r="BA191" s="322"/>
      <c r="BB191" s="322"/>
      <c r="BC191" s="322"/>
      <c r="BD191" s="322"/>
      <c r="BE191" s="322"/>
      <c r="BF191" s="346"/>
      <c r="BG191" s="328"/>
      <c r="BH191" s="328"/>
      <c r="BI191" s="328"/>
      <c r="BJ191" s="328"/>
      <c r="BK191" s="328"/>
      <c r="BL191" s="328"/>
      <c r="BM191" s="328"/>
      <c r="BN191" s="217"/>
      <c r="BO191" s="336"/>
      <c r="BP191" s="333"/>
      <c r="BQ191" s="336"/>
      <c r="BR191" s="336"/>
      <c r="BS191" s="336"/>
      <c r="BT191" s="336"/>
      <c r="BU191" s="336"/>
      <c r="BV191" s="336"/>
      <c r="BW191" s="336"/>
      <c r="BX191" s="217"/>
      <c r="BY191" s="341"/>
      <c r="BZ191" s="341"/>
      <c r="CA191" s="341"/>
      <c r="CB191" s="342"/>
      <c r="CC191" s="341"/>
      <c r="CD191" s="341"/>
      <c r="CE191" s="341"/>
      <c r="CF191" s="341"/>
      <c r="CG191" s="341"/>
      <c r="CH191" s="341"/>
      <c r="CI191" s="341"/>
      <c r="CJ191" s="342"/>
      <c r="CK191" s="342"/>
    </row>
    <row r="192">
      <c r="A192" s="753"/>
      <c r="B192" s="202" t="s">
        <v>271</v>
      </c>
      <c r="C192" s="196" t="s">
        <v>271</v>
      </c>
      <c r="D192" s="197" t="s">
        <v>271</v>
      </c>
      <c r="E192" s="199" t="s">
        <v>271</v>
      </c>
      <c r="F192" s="201" t="s">
        <v>271</v>
      </c>
      <c r="G192" s="202" t="s">
        <v>271</v>
      </c>
      <c r="H192" s="303"/>
      <c r="I192" s="303"/>
      <c r="J192" s="303"/>
      <c r="K192" s="303"/>
      <c r="L192" s="303"/>
      <c r="M192" s="303"/>
      <c r="N192" s="303"/>
      <c r="O192" s="303"/>
      <c r="P192" s="217"/>
      <c r="Q192" s="348"/>
      <c r="R192" s="348"/>
      <c r="S192" s="348"/>
      <c r="T192" s="348"/>
      <c r="U192" s="348"/>
      <c r="V192" s="348"/>
      <c r="W192" s="217"/>
      <c r="X192" s="313"/>
      <c r="Y192" s="313"/>
      <c r="Z192" s="313"/>
      <c r="AA192" s="602"/>
      <c r="AB192" s="313"/>
      <c r="AC192" s="313"/>
      <c r="AD192" s="313"/>
      <c r="AE192" s="313"/>
      <c r="AF192" s="313"/>
      <c r="AG192" s="313"/>
      <c r="AH192" s="253"/>
      <c r="AI192" s="217"/>
      <c r="AJ192" s="318"/>
      <c r="AK192" s="318"/>
      <c r="AL192" s="318"/>
      <c r="AM192" s="318"/>
      <c r="AN192" s="318"/>
      <c r="AO192" s="318"/>
      <c r="AP192" s="318"/>
      <c r="AQ192" s="318"/>
      <c r="AR192" s="318"/>
      <c r="AS192" s="318"/>
      <c r="AT192" s="318"/>
      <c r="AU192" s="318"/>
      <c r="AV192" s="318"/>
      <c r="AW192" s="318"/>
      <c r="AX192" s="318"/>
      <c r="AY192" s="318"/>
      <c r="AZ192" s="346"/>
      <c r="BA192" s="322"/>
      <c r="BB192" s="322"/>
      <c r="BC192" s="322"/>
      <c r="BD192" s="322"/>
      <c r="BE192" s="322"/>
      <c r="BF192" s="346"/>
      <c r="BG192" s="328"/>
      <c r="BH192" s="328"/>
      <c r="BI192" s="328"/>
      <c r="BJ192" s="328"/>
      <c r="BK192" s="328"/>
      <c r="BL192" s="328"/>
      <c r="BM192" s="328"/>
      <c r="BN192" s="217"/>
      <c r="BO192" s="336"/>
      <c r="BP192" s="333"/>
      <c r="BQ192" s="336"/>
      <c r="BR192" s="336"/>
      <c r="BS192" s="336"/>
      <c r="BT192" s="336"/>
      <c r="BU192" s="336"/>
      <c r="BV192" s="336"/>
      <c r="BW192" s="336"/>
      <c r="BX192" s="217"/>
      <c r="BY192" s="341"/>
      <c r="BZ192" s="341"/>
      <c r="CA192" s="341"/>
      <c r="CB192" s="342"/>
      <c r="CC192" s="341"/>
      <c r="CD192" s="341"/>
      <c r="CE192" s="341"/>
      <c r="CF192" s="341"/>
      <c r="CG192" s="341"/>
      <c r="CH192" s="341"/>
      <c r="CI192" s="341"/>
      <c r="CJ192" s="342"/>
      <c r="CK192" s="342"/>
    </row>
    <row r="193">
      <c r="A193" s="753"/>
      <c r="B193" s="202" t="s">
        <v>271</v>
      </c>
      <c r="C193" s="196" t="s">
        <v>271</v>
      </c>
      <c r="D193" s="197" t="s">
        <v>271</v>
      </c>
      <c r="E193" s="199" t="s">
        <v>271</v>
      </c>
      <c r="F193" s="201" t="s">
        <v>271</v>
      </c>
      <c r="G193" s="202" t="s">
        <v>271</v>
      </c>
      <c r="H193" s="303"/>
      <c r="I193" s="303"/>
      <c r="J193" s="303"/>
      <c r="K193" s="303"/>
      <c r="L193" s="303"/>
      <c r="M193" s="303"/>
      <c r="N193" s="303"/>
      <c r="O193" s="303"/>
      <c r="P193" s="217"/>
      <c r="Q193" s="348"/>
      <c r="R193" s="348"/>
      <c r="S193" s="348"/>
      <c r="T193" s="348"/>
      <c r="U193" s="348"/>
      <c r="V193" s="348"/>
      <c r="W193" s="217"/>
      <c r="X193" s="313"/>
      <c r="Y193" s="313"/>
      <c r="Z193" s="313"/>
      <c r="AA193" s="602"/>
      <c r="AB193" s="313"/>
      <c r="AC193" s="313"/>
      <c r="AD193" s="313"/>
      <c r="AE193" s="313"/>
      <c r="AF193" s="313"/>
      <c r="AG193" s="313"/>
      <c r="AH193" s="253"/>
      <c r="AI193" s="217"/>
      <c r="AJ193" s="318"/>
      <c r="AK193" s="318"/>
      <c r="AL193" s="318"/>
      <c r="AM193" s="318"/>
      <c r="AN193" s="318"/>
      <c r="AO193" s="318"/>
      <c r="AP193" s="318"/>
      <c r="AQ193" s="318"/>
      <c r="AR193" s="318"/>
      <c r="AS193" s="318"/>
      <c r="AT193" s="318"/>
      <c r="AU193" s="318"/>
      <c r="AV193" s="318"/>
      <c r="AW193" s="318"/>
      <c r="AX193" s="318"/>
      <c r="AY193" s="318"/>
      <c r="AZ193" s="346"/>
      <c r="BA193" s="322"/>
      <c r="BB193" s="322"/>
      <c r="BC193" s="322"/>
      <c r="BD193" s="322"/>
      <c r="BE193" s="322"/>
      <c r="BF193" s="346"/>
      <c r="BG193" s="328"/>
      <c r="BH193" s="328"/>
      <c r="BI193" s="328"/>
      <c r="BJ193" s="328"/>
      <c r="BK193" s="328"/>
      <c r="BL193" s="328"/>
      <c r="BM193" s="328"/>
      <c r="BN193" s="217"/>
      <c r="BO193" s="336"/>
      <c r="BP193" s="333"/>
      <c r="BQ193" s="336"/>
      <c r="BR193" s="336"/>
      <c r="BS193" s="336"/>
      <c r="BT193" s="336"/>
      <c r="BU193" s="336"/>
      <c r="BV193" s="336"/>
      <c r="BW193" s="336"/>
      <c r="BX193" s="217"/>
      <c r="BY193" s="341"/>
      <c r="BZ193" s="341"/>
      <c r="CA193" s="341"/>
      <c r="CB193" s="342"/>
      <c r="CC193" s="341"/>
      <c r="CD193" s="341"/>
      <c r="CE193" s="341"/>
      <c r="CF193" s="341"/>
      <c r="CG193" s="341"/>
      <c r="CH193" s="341"/>
      <c r="CI193" s="341"/>
      <c r="CJ193" s="342"/>
      <c r="CK193" s="342"/>
    </row>
    <row r="194">
      <c r="A194" s="753"/>
      <c r="B194" s="202" t="s">
        <v>271</v>
      </c>
      <c r="C194" s="196" t="s">
        <v>271</v>
      </c>
      <c r="D194" s="197" t="s">
        <v>271</v>
      </c>
      <c r="E194" s="199" t="s">
        <v>271</v>
      </c>
      <c r="F194" s="201" t="s">
        <v>271</v>
      </c>
      <c r="G194" s="202" t="s">
        <v>271</v>
      </c>
      <c r="H194" s="303"/>
      <c r="I194" s="303"/>
      <c r="J194" s="303"/>
      <c r="K194" s="303"/>
      <c r="L194" s="303"/>
      <c r="M194" s="303"/>
      <c r="N194" s="303"/>
      <c r="O194" s="303"/>
      <c r="P194" s="217"/>
      <c r="Q194" s="348"/>
      <c r="R194" s="348"/>
      <c r="S194" s="348"/>
      <c r="T194" s="348"/>
      <c r="U194" s="348"/>
      <c r="V194" s="348"/>
      <c r="W194" s="217"/>
      <c r="X194" s="313"/>
      <c r="Y194" s="313"/>
      <c r="Z194" s="313"/>
      <c r="AA194" s="602"/>
      <c r="AB194" s="313"/>
      <c r="AC194" s="313"/>
      <c r="AD194" s="313"/>
      <c r="AE194" s="313"/>
      <c r="AF194" s="313"/>
      <c r="AG194" s="313"/>
      <c r="AH194" s="253"/>
      <c r="AI194" s="217"/>
      <c r="AJ194" s="318"/>
      <c r="AK194" s="318"/>
      <c r="AL194" s="318"/>
      <c r="AM194" s="318"/>
      <c r="AN194" s="318"/>
      <c r="AO194" s="318"/>
      <c r="AP194" s="318"/>
      <c r="AQ194" s="318"/>
      <c r="AR194" s="318"/>
      <c r="AS194" s="318"/>
      <c r="AT194" s="318"/>
      <c r="AU194" s="318"/>
      <c r="AV194" s="318"/>
      <c r="AW194" s="318"/>
      <c r="AX194" s="318"/>
      <c r="AY194" s="318"/>
      <c r="AZ194" s="346"/>
      <c r="BA194" s="322"/>
      <c r="BB194" s="322"/>
      <c r="BC194" s="322"/>
      <c r="BD194" s="322"/>
      <c r="BE194" s="322"/>
      <c r="BF194" s="346"/>
      <c r="BG194" s="328"/>
      <c r="BH194" s="328"/>
      <c r="BI194" s="328"/>
      <c r="BJ194" s="328"/>
      <c r="BK194" s="328"/>
      <c r="BL194" s="328"/>
      <c r="BM194" s="328"/>
      <c r="BN194" s="217"/>
      <c r="BO194" s="336"/>
      <c r="BP194" s="333"/>
      <c r="BQ194" s="336"/>
      <c r="BR194" s="336"/>
      <c r="BS194" s="336"/>
      <c r="BT194" s="336"/>
      <c r="BU194" s="336"/>
      <c r="BV194" s="336"/>
      <c r="BW194" s="336"/>
      <c r="BX194" s="217"/>
      <c r="BY194" s="341"/>
      <c r="BZ194" s="341"/>
      <c r="CA194" s="341"/>
      <c r="CB194" s="342"/>
      <c r="CC194" s="341"/>
      <c r="CD194" s="341"/>
      <c r="CE194" s="341"/>
      <c r="CF194" s="341"/>
      <c r="CG194" s="341"/>
      <c r="CH194" s="341"/>
      <c r="CI194" s="341"/>
      <c r="CJ194" s="342"/>
      <c r="CK194" s="342"/>
    </row>
    <row r="195">
      <c r="A195" s="753"/>
      <c r="B195" s="202" t="s">
        <v>271</v>
      </c>
      <c r="C195" s="196" t="s">
        <v>271</v>
      </c>
      <c r="D195" s="197" t="s">
        <v>271</v>
      </c>
      <c r="E195" s="199" t="s">
        <v>271</v>
      </c>
      <c r="F195" s="201" t="s">
        <v>271</v>
      </c>
      <c r="G195" s="202" t="s">
        <v>271</v>
      </c>
      <c r="H195" s="303"/>
      <c r="I195" s="303"/>
      <c r="J195" s="303"/>
      <c r="K195" s="303"/>
      <c r="L195" s="303"/>
      <c r="M195" s="303"/>
      <c r="N195" s="303"/>
      <c r="O195" s="303"/>
      <c r="P195" s="217"/>
      <c r="Q195" s="348"/>
      <c r="R195" s="348"/>
      <c r="S195" s="348"/>
      <c r="T195" s="348"/>
      <c r="U195" s="348"/>
      <c r="V195" s="348"/>
      <c r="W195" s="217"/>
      <c r="X195" s="313"/>
      <c r="Y195" s="313"/>
      <c r="Z195" s="313"/>
      <c r="AA195" s="602"/>
      <c r="AB195" s="313"/>
      <c r="AC195" s="313"/>
      <c r="AD195" s="313"/>
      <c r="AE195" s="313"/>
      <c r="AF195" s="313"/>
      <c r="AG195" s="313"/>
      <c r="AH195" s="253"/>
      <c r="AI195" s="217"/>
      <c r="AJ195" s="318"/>
      <c r="AK195" s="318"/>
      <c r="AL195" s="318"/>
      <c r="AM195" s="318"/>
      <c r="AN195" s="318"/>
      <c r="AO195" s="318"/>
      <c r="AP195" s="318"/>
      <c r="AQ195" s="318"/>
      <c r="AR195" s="318"/>
      <c r="AS195" s="318"/>
      <c r="AT195" s="318"/>
      <c r="AU195" s="318"/>
      <c r="AV195" s="318"/>
      <c r="AW195" s="318"/>
      <c r="AX195" s="318"/>
      <c r="AY195" s="318"/>
      <c r="AZ195" s="346"/>
      <c r="BA195" s="322"/>
      <c r="BB195" s="322"/>
      <c r="BC195" s="322"/>
      <c r="BD195" s="322"/>
      <c r="BE195" s="322"/>
      <c r="BF195" s="346"/>
      <c r="BG195" s="328"/>
      <c r="BH195" s="328"/>
      <c r="BI195" s="328"/>
      <c r="BJ195" s="328"/>
      <c r="BK195" s="328"/>
      <c r="BL195" s="328"/>
      <c r="BM195" s="328"/>
      <c r="BN195" s="217"/>
      <c r="BO195" s="336"/>
      <c r="BP195" s="333"/>
      <c r="BQ195" s="336"/>
      <c r="BR195" s="336"/>
      <c r="BS195" s="336"/>
      <c r="BT195" s="336"/>
      <c r="BU195" s="336"/>
      <c r="BV195" s="336"/>
      <c r="BW195" s="336"/>
      <c r="BX195" s="217"/>
      <c r="BY195" s="341"/>
      <c r="BZ195" s="341"/>
      <c r="CA195" s="341"/>
      <c r="CB195" s="342"/>
      <c r="CC195" s="341"/>
      <c r="CD195" s="341"/>
      <c r="CE195" s="341"/>
      <c r="CF195" s="341"/>
      <c r="CG195" s="341"/>
      <c r="CH195" s="341"/>
      <c r="CI195" s="341"/>
      <c r="CJ195" s="342"/>
      <c r="CK195" s="342"/>
    </row>
    <row r="196">
      <c r="A196" s="753"/>
      <c r="B196" s="202" t="s">
        <v>271</v>
      </c>
      <c r="C196" s="196" t="s">
        <v>271</v>
      </c>
      <c r="D196" s="197" t="s">
        <v>271</v>
      </c>
      <c r="E196" s="199" t="s">
        <v>271</v>
      </c>
      <c r="F196" s="201" t="s">
        <v>271</v>
      </c>
      <c r="G196" s="202" t="s">
        <v>271</v>
      </c>
      <c r="H196" s="303"/>
      <c r="I196" s="303"/>
      <c r="J196" s="303"/>
      <c r="K196" s="303"/>
      <c r="L196" s="303"/>
      <c r="M196" s="303"/>
      <c r="N196" s="303"/>
      <c r="O196" s="303"/>
      <c r="P196" s="217"/>
      <c r="Q196" s="348"/>
      <c r="R196" s="348"/>
      <c r="S196" s="348"/>
      <c r="T196" s="348"/>
      <c r="U196" s="348"/>
      <c r="V196" s="348"/>
      <c r="W196" s="217"/>
      <c r="X196" s="313"/>
      <c r="Y196" s="313"/>
      <c r="Z196" s="313"/>
      <c r="AA196" s="602"/>
      <c r="AB196" s="313"/>
      <c r="AC196" s="313"/>
      <c r="AD196" s="313"/>
      <c r="AE196" s="313"/>
      <c r="AF196" s="313"/>
      <c r="AG196" s="313"/>
      <c r="AH196" s="253"/>
      <c r="AI196" s="217"/>
      <c r="AJ196" s="318"/>
      <c r="AK196" s="318"/>
      <c r="AL196" s="318"/>
      <c r="AM196" s="318"/>
      <c r="AN196" s="318"/>
      <c r="AO196" s="318"/>
      <c r="AP196" s="318"/>
      <c r="AQ196" s="318"/>
      <c r="AR196" s="318"/>
      <c r="AS196" s="318"/>
      <c r="AT196" s="318"/>
      <c r="AU196" s="318"/>
      <c r="AV196" s="318"/>
      <c r="AW196" s="318"/>
      <c r="AX196" s="318"/>
      <c r="AY196" s="318"/>
      <c r="AZ196" s="346"/>
      <c r="BA196" s="322"/>
      <c r="BB196" s="322"/>
      <c r="BC196" s="322"/>
      <c r="BD196" s="322"/>
      <c r="BE196" s="322"/>
      <c r="BF196" s="346"/>
      <c r="BG196" s="328"/>
      <c r="BH196" s="328"/>
      <c r="BI196" s="328"/>
      <c r="BJ196" s="328"/>
      <c r="BK196" s="328"/>
      <c r="BL196" s="328"/>
      <c r="BM196" s="328"/>
      <c r="BN196" s="217"/>
      <c r="BO196" s="336"/>
      <c r="BP196" s="333"/>
      <c r="BQ196" s="336"/>
      <c r="BR196" s="336"/>
      <c r="BS196" s="336"/>
      <c r="BT196" s="336"/>
      <c r="BU196" s="336"/>
      <c r="BV196" s="336"/>
      <c r="BW196" s="336"/>
      <c r="BX196" s="217"/>
      <c r="BY196" s="341"/>
      <c r="BZ196" s="341"/>
      <c r="CA196" s="341"/>
      <c r="CB196" s="342"/>
      <c r="CC196" s="341"/>
      <c r="CD196" s="341"/>
      <c r="CE196" s="341"/>
      <c r="CF196" s="341"/>
      <c r="CG196" s="341"/>
      <c r="CH196" s="341"/>
      <c r="CI196" s="341"/>
      <c r="CJ196" s="342"/>
      <c r="CK196" s="342"/>
    </row>
    <row r="197">
      <c r="A197" s="753"/>
      <c r="B197" s="202" t="s">
        <v>271</v>
      </c>
      <c r="C197" s="196" t="s">
        <v>271</v>
      </c>
      <c r="D197" s="197" t="s">
        <v>271</v>
      </c>
      <c r="E197" s="199" t="s">
        <v>271</v>
      </c>
      <c r="F197" s="201" t="s">
        <v>271</v>
      </c>
      <c r="G197" s="202" t="s">
        <v>271</v>
      </c>
      <c r="H197" s="303"/>
      <c r="I197" s="303"/>
      <c r="J197" s="303"/>
      <c r="K197" s="303"/>
      <c r="L197" s="303"/>
      <c r="M197" s="303"/>
      <c r="N197" s="303"/>
      <c r="O197" s="303"/>
      <c r="P197" s="217"/>
      <c r="Q197" s="348"/>
      <c r="R197" s="348"/>
      <c r="S197" s="348"/>
      <c r="T197" s="348"/>
      <c r="U197" s="348"/>
      <c r="V197" s="348"/>
      <c r="W197" s="217"/>
      <c r="X197" s="313"/>
      <c r="Y197" s="313"/>
      <c r="Z197" s="313"/>
      <c r="AA197" s="602"/>
      <c r="AB197" s="313"/>
      <c r="AC197" s="313"/>
      <c r="AD197" s="313"/>
      <c r="AE197" s="313"/>
      <c r="AF197" s="313"/>
      <c r="AG197" s="313"/>
      <c r="AH197" s="253"/>
      <c r="AI197" s="217"/>
      <c r="AJ197" s="318"/>
      <c r="AK197" s="318"/>
      <c r="AL197" s="318"/>
      <c r="AM197" s="318"/>
      <c r="AN197" s="318"/>
      <c r="AO197" s="318"/>
      <c r="AP197" s="318"/>
      <c r="AQ197" s="318"/>
      <c r="AR197" s="318"/>
      <c r="AS197" s="318"/>
      <c r="AT197" s="318"/>
      <c r="AU197" s="318"/>
      <c r="AV197" s="318"/>
      <c r="AW197" s="318"/>
      <c r="AX197" s="318"/>
      <c r="AY197" s="318"/>
      <c r="AZ197" s="346"/>
      <c r="BA197" s="322"/>
      <c r="BB197" s="322"/>
      <c r="BC197" s="322"/>
      <c r="BD197" s="322"/>
      <c r="BE197" s="322"/>
      <c r="BF197" s="346"/>
      <c r="BG197" s="328"/>
      <c r="BH197" s="328"/>
      <c r="BI197" s="328"/>
      <c r="BJ197" s="328"/>
      <c r="BK197" s="328"/>
      <c r="BL197" s="328"/>
      <c r="BM197" s="328"/>
      <c r="BN197" s="217"/>
      <c r="BO197" s="336"/>
      <c r="BP197" s="333"/>
      <c r="BQ197" s="336"/>
      <c r="BR197" s="336"/>
      <c r="BS197" s="336"/>
      <c r="BT197" s="336"/>
      <c r="BU197" s="336"/>
      <c r="BV197" s="336"/>
      <c r="BW197" s="336"/>
      <c r="BX197" s="217"/>
      <c r="BY197" s="341"/>
      <c r="BZ197" s="341"/>
      <c r="CA197" s="341"/>
      <c r="CB197" s="342"/>
      <c r="CC197" s="341"/>
      <c r="CD197" s="341"/>
      <c r="CE197" s="341"/>
      <c r="CF197" s="341"/>
      <c r="CG197" s="341"/>
      <c r="CH197" s="341"/>
      <c r="CI197" s="341"/>
      <c r="CJ197" s="342"/>
      <c r="CK197" s="342"/>
    </row>
    <row r="198">
      <c r="A198" s="753"/>
      <c r="B198" s="202" t="s">
        <v>271</v>
      </c>
      <c r="C198" s="196" t="s">
        <v>271</v>
      </c>
      <c r="D198" s="197" t="s">
        <v>271</v>
      </c>
      <c r="E198" s="199" t="s">
        <v>271</v>
      </c>
      <c r="F198" s="201" t="s">
        <v>271</v>
      </c>
      <c r="G198" s="202" t="s">
        <v>271</v>
      </c>
      <c r="H198" s="303"/>
      <c r="I198" s="303"/>
      <c r="J198" s="303"/>
      <c r="K198" s="303"/>
      <c r="L198" s="303"/>
      <c r="M198" s="303"/>
      <c r="N198" s="303"/>
      <c r="O198" s="303"/>
      <c r="P198" s="217"/>
      <c r="Q198" s="348"/>
      <c r="R198" s="348"/>
      <c r="S198" s="348"/>
      <c r="T198" s="348"/>
      <c r="U198" s="348"/>
      <c r="V198" s="348"/>
      <c r="W198" s="217"/>
      <c r="X198" s="313"/>
      <c r="Y198" s="313"/>
      <c r="Z198" s="313"/>
      <c r="AA198" s="602"/>
      <c r="AB198" s="313"/>
      <c r="AC198" s="313"/>
      <c r="AD198" s="313"/>
      <c r="AE198" s="313"/>
      <c r="AF198" s="313"/>
      <c r="AG198" s="313"/>
      <c r="AH198" s="253"/>
      <c r="AI198" s="217"/>
      <c r="AJ198" s="318"/>
      <c r="AK198" s="318"/>
      <c r="AL198" s="318"/>
      <c r="AM198" s="318"/>
      <c r="AN198" s="318"/>
      <c r="AO198" s="318"/>
      <c r="AP198" s="318"/>
      <c r="AQ198" s="318"/>
      <c r="AR198" s="318"/>
      <c r="AS198" s="318"/>
      <c r="AT198" s="318"/>
      <c r="AU198" s="318"/>
      <c r="AV198" s="318"/>
      <c r="AW198" s="318"/>
      <c r="AX198" s="318"/>
      <c r="AY198" s="318"/>
      <c r="AZ198" s="346"/>
      <c r="BA198" s="322"/>
      <c r="BB198" s="322"/>
      <c r="BC198" s="322"/>
      <c r="BD198" s="322"/>
      <c r="BE198" s="322"/>
      <c r="BF198" s="346"/>
      <c r="BG198" s="328"/>
      <c r="BH198" s="328"/>
      <c r="BI198" s="328"/>
      <c r="BJ198" s="328"/>
      <c r="BK198" s="328"/>
      <c r="BL198" s="328"/>
      <c r="BM198" s="328"/>
      <c r="BN198" s="217"/>
      <c r="BO198" s="336"/>
      <c r="BP198" s="333"/>
      <c r="BQ198" s="336"/>
      <c r="BR198" s="336"/>
      <c r="BS198" s="336"/>
      <c r="BT198" s="336"/>
      <c r="BU198" s="336"/>
      <c r="BV198" s="336"/>
      <c r="BW198" s="336"/>
      <c r="BX198" s="217"/>
      <c r="BY198" s="341"/>
      <c r="BZ198" s="341"/>
      <c r="CA198" s="341"/>
      <c r="CB198" s="342"/>
      <c r="CC198" s="341"/>
      <c r="CD198" s="341"/>
      <c r="CE198" s="341"/>
      <c r="CF198" s="341"/>
      <c r="CG198" s="341"/>
      <c r="CH198" s="341"/>
      <c r="CI198" s="341"/>
      <c r="CJ198" s="342"/>
      <c r="CK198" s="342"/>
    </row>
    <row r="199">
      <c r="A199" s="753"/>
      <c r="B199" s="202" t="s">
        <v>271</v>
      </c>
      <c r="C199" s="196" t="s">
        <v>271</v>
      </c>
      <c r="D199" s="197" t="s">
        <v>271</v>
      </c>
      <c r="E199" s="199" t="s">
        <v>271</v>
      </c>
      <c r="F199" s="201" t="s">
        <v>271</v>
      </c>
      <c r="G199" s="202" t="s">
        <v>271</v>
      </c>
      <c r="H199" s="303"/>
      <c r="I199" s="303"/>
      <c r="J199" s="303"/>
      <c r="K199" s="303"/>
      <c r="L199" s="303"/>
      <c r="M199" s="303"/>
      <c r="N199" s="303"/>
      <c r="O199" s="303"/>
      <c r="P199" s="217"/>
      <c r="Q199" s="348"/>
      <c r="R199" s="348"/>
      <c r="S199" s="348"/>
      <c r="T199" s="348"/>
      <c r="U199" s="348"/>
      <c r="V199" s="348"/>
      <c r="W199" s="217"/>
      <c r="X199" s="313"/>
      <c r="Y199" s="313"/>
      <c r="Z199" s="313"/>
      <c r="AA199" s="602"/>
      <c r="AB199" s="313"/>
      <c r="AC199" s="313"/>
      <c r="AD199" s="313"/>
      <c r="AE199" s="313"/>
      <c r="AF199" s="313"/>
      <c r="AG199" s="313"/>
      <c r="AH199" s="253"/>
      <c r="AI199" s="217"/>
      <c r="AJ199" s="318"/>
      <c r="AK199" s="318"/>
      <c r="AL199" s="318"/>
      <c r="AM199" s="318"/>
      <c r="AN199" s="318"/>
      <c r="AO199" s="318"/>
      <c r="AP199" s="318"/>
      <c r="AQ199" s="318"/>
      <c r="AR199" s="318"/>
      <c r="AS199" s="318"/>
      <c r="AT199" s="318"/>
      <c r="AU199" s="318"/>
      <c r="AV199" s="318"/>
      <c r="AW199" s="318"/>
      <c r="AX199" s="318"/>
      <c r="AY199" s="318"/>
      <c r="AZ199" s="346"/>
      <c r="BA199" s="322"/>
      <c r="BB199" s="322"/>
      <c r="BC199" s="322"/>
      <c r="BD199" s="322"/>
      <c r="BE199" s="322"/>
      <c r="BF199" s="346"/>
      <c r="BG199" s="328"/>
      <c r="BH199" s="328"/>
      <c r="BI199" s="328"/>
      <c r="BJ199" s="328"/>
      <c r="BK199" s="328"/>
      <c r="BL199" s="328"/>
      <c r="BM199" s="328"/>
      <c r="BN199" s="217"/>
      <c r="BO199" s="336"/>
      <c r="BP199" s="333"/>
      <c r="BQ199" s="336"/>
      <c r="BR199" s="336"/>
      <c r="BS199" s="336"/>
      <c r="BT199" s="336"/>
      <c r="BU199" s="336"/>
      <c r="BV199" s="336"/>
      <c r="BW199" s="336"/>
      <c r="BX199" s="217"/>
      <c r="BY199" s="341"/>
      <c r="BZ199" s="341"/>
      <c r="CA199" s="341"/>
      <c r="CB199" s="342"/>
      <c r="CC199" s="341"/>
      <c r="CD199" s="341"/>
      <c r="CE199" s="341"/>
      <c r="CF199" s="341"/>
      <c r="CG199" s="341"/>
      <c r="CH199" s="341"/>
      <c r="CI199" s="341"/>
      <c r="CJ199" s="342"/>
      <c r="CK199" s="342"/>
    </row>
    <row r="200">
      <c r="A200" s="753"/>
      <c r="B200" s="202" t="s">
        <v>271</v>
      </c>
      <c r="C200" s="196" t="s">
        <v>271</v>
      </c>
      <c r="D200" s="197" t="s">
        <v>271</v>
      </c>
      <c r="E200" s="199" t="s">
        <v>271</v>
      </c>
      <c r="F200" s="201" t="s">
        <v>271</v>
      </c>
      <c r="G200" s="202" t="s">
        <v>271</v>
      </c>
      <c r="H200" s="303"/>
      <c r="I200" s="303"/>
      <c r="J200" s="303"/>
      <c r="K200" s="303"/>
      <c r="L200" s="303"/>
      <c r="M200" s="303"/>
      <c r="N200" s="303"/>
      <c r="O200" s="303"/>
      <c r="P200" s="217"/>
      <c r="Q200" s="348"/>
      <c r="R200" s="348"/>
      <c r="S200" s="348"/>
      <c r="T200" s="348"/>
      <c r="U200" s="348"/>
      <c r="V200" s="348"/>
      <c r="W200" s="217"/>
      <c r="X200" s="313"/>
      <c r="Y200" s="313"/>
      <c r="Z200" s="313"/>
      <c r="AA200" s="602"/>
      <c r="AB200" s="313"/>
      <c r="AC200" s="313"/>
      <c r="AD200" s="313"/>
      <c r="AE200" s="313"/>
      <c r="AF200" s="313"/>
      <c r="AG200" s="313"/>
      <c r="AH200" s="253"/>
      <c r="AI200" s="217"/>
      <c r="AJ200" s="318"/>
      <c r="AK200" s="318"/>
      <c r="AL200" s="318"/>
      <c r="AM200" s="318"/>
      <c r="AN200" s="318"/>
      <c r="AO200" s="318"/>
      <c r="AP200" s="318"/>
      <c r="AQ200" s="318"/>
      <c r="AR200" s="318"/>
      <c r="AS200" s="318"/>
      <c r="AT200" s="318"/>
      <c r="AU200" s="318"/>
      <c r="AV200" s="318"/>
      <c r="AW200" s="318"/>
      <c r="AX200" s="318"/>
      <c r="AY200" s="318"/>
      <c r="AZ200" s="346"/>
      <c r="BA200" s="322"/>
      <c r="BB200" s="322"/>
      <c r="BC200" s="322"/>
      <c r="BD200" s="322"/>
      <c r="BE200" s="322"/>
      <c r="BF200" s="346"/>
      <c r="BG200" s="328"/>
      <c r="BH200" s="328"/>
      <c r="BI200" s="328"/>
      <c r="BJ200" s="328"/>
      <c r="BK200" s="328"/>
      <c r="BL200" s="328"/>
      <c r="BM200" s="328"/>
      <c r="BN200" s="217"/>
      <c r="BO200" s="336"/>
      <c r="BP200" s="333"/>
      <c r="BQ200" s="336"/>
      <c r="BR200" s="336"/>
      <c r="BS200" s="336"/>
      <c r="BT200" s="336"/>
      <c r="BU200" s="336"/>
      <c r="BV200" s="336"/>
      <c r="BW200" s="336"/>
      <c r="BX200" s="217"/>
      <c r="BY200" s="341"/>
      <c r="BZ200" s="341"/>
      <c r="CA200" s="341"/>
      <c r="CB200" s="342"/>
      <c r="CC200" s="341"/>
      <c r="CD200" s="341"/>
      <c r="CE200" s="341"/>
      <c r="CF200" s="341"/>
      <c r="CG200" s="341"/>
      <c r="CH200" s="341"/>
      <c r="CI200" s="341"/>
      <c r="CJ200" s="342"/>
      <c r="CK200" s="342"/>
    </row>
    <row r="201">
      <c r="A201" s="753"/>
      <c r="B201" s="202" t="s">
        <v>271</v>
      </c>
      <c r="C201" s="196" t="s">
        <v>271</v>
      </c>
      <c r="D201" s="197" t="s">
        <v>271</v>
      </c>
      <c r="E201" s="199" t="s">
        <v>271</v>
      </c>
      <c r="F201" s="201" t="s">
        <v>271</v>
      </c>
      <c r="G201" s="202" t="s">
        <v>271</v>
      </c>
      <c r="H201" s="303"/>
      <c r="I201" s="303"/>
      <c r="J201" s="303"/>
      <c r="K201" s="303"/>
      <c r="L201" s="303"/>
      <c r="M201" s="303"/>
      <c r="N201" s="303"/>
      <c r="O201" s="303"/>
      <c r="P201" s="217"/>
      <c r="Q201" s="348"/>
      <c r="R201" s="348"/>
      <c r="S201" s="348"/>
      <c r="T201" s="348"/>
      <c r="U201" s="348"/>
      <c r="V201" s="348"/>
      <c r="W201" s="217"/>
      <c r="X201" s="313"/>
      <c r="Y201" s="313"/>
      <c r="Z201" s="313"/>
      <c r="AA201" s="602"/>
      <c r="AB201" s="313"/>
      <c r="AC201" s="313"/>
      <c r="AD201" s="313"/>
      <c r="AE201" s="313"/>
      <c r="AF201" s="313"/>
      <c r="AG201" s="313"/>
      <c r="AH201" s="253"/>
      <c r="AI201" s="217"/>
      <c r="AJ201" s="318"/>
      <c r="AK201" s="318"/>
      <c r="AL201" s="318"/>
      <c r="AM201" s="318"/>
      <c r="AN201" s="318"/>
      <c r="AO201" s="318"/>
      <c r="AP201" s="318"/>
      <c r="AQ201" s="318"/>
      <c r="AR201" s="318"/>
      <c r="AS201" s="318"/>
      <c r="AT201" s="318"/>
      <c r="AU201" s="318"/>
      <c r="AV201" s="318"/>
      <c r="AW201" s="318"/>
      <c r="AX201" s="318"/>
      <c r="AY201" s="318"/>
      <c r="AZ201" s="346"/>
      <c r="BA201" s="322"/>
      <c r="BB201" s="322"/>
      <c r="BC201" s="322"/>
      <c r="BD201" s="322"/>
      <c r="BE201" s="322"/>
      <c r="BF201" s="346"/>
      <c r="BG201" s="328"/>
      <c r="BH201" s="328"/>
      <c r="BI201" s="328"/>
      <c r="BJ201" s="328"/>
      <c r="BK201" s="328"/>
      <c r="BL201" s="328"/>
      <c r="BM201" s="328"/>
      <c r="BN201" s="217"/>
      <c r="BO201" s="336"/>
      <c r="BP201" s="333"/>
      <c r="BQ201" s="336"/>
      <c r="BR201" s="336"/>
      <c r="BS201" s="336"/>
      <c r="BT201" s="336"/>
      <c r="BU201" s="336"/>
      <c r="BV201" s="336"/>
      <c r="BW201" s="336"/>
      <c r="BX201" s="217"/>
      <c r="BY201" s="341"/>
      <c r="BZ201" s="341"/>
      <c r="CA201" s="341"/>
      <c r="CB201" s="342"/>
      <c r="CC201" s="341"/>
      <c r="CD201" s="341"/>
      <c r="CE201" s="341"/>
      <c r="CF201" s="341"/>
      <c r="CG201" s="341"/>
      <c r="CH201" s="341"/>
      <c r="CI201" s="341"/>
      <c r="CJ201" s="342"/>
      <c r="CK201" s="342"/>
    </row>
    <row r="202">
      <c r="A202" s="753"/>
      <c r="B202" s="202" t="s">
        <v>271</v>
      </c>
      <c r="C202" s="196" t="s">
        <v>271</v>
      </c>
      <c r="D202" s="197" t="s">
        <v>271</v>
      </c>
      <c r="E202" s="199" t="s">
        <v>271</v>
      </c>
      <c r="F202" s="201" t="s">
        <v>271</v>
      </c>
      <c r="G202" s="202" t="s">
        <v>271</v>
      </c>
      <c r="H202" s="303"/>
      <c r="I202" s="303"/>
      <c r="J202" s="303"/>
      <c r="K202" s="303"/>
      <c r="L202" s="303"/>
      <c r="M202" s="303"/>
      <c r="N202" s="303"/>
      <c r="O202" s="303"/>
      <c r="P202" s="217"/>
      <c r="Q202" s="348"/>
      <c r="R202" s="348"/>
      <c r="S202" s="348"/>
      <c r="T202" s="348"/>
      <c r="U202" s="348"/>
      <c r="V202" s="348"/>
      <c r="W202" s="217"/>
      <c r="X202" s="313"/>
      <c r="Y202" s="313"/>
      <c r="Z202" s="313"/>
      <c r="AA202" s="602"/>
      <c r="AB202" s="313"/>
      <c r="AC202" s="313"/>
      <c r="AD202" s="313"/>
      <c r="AE202" s="313"/>
      <c r="AF202" s="313"/>
      <c r="AG202" s="313"/>
      <c r="AH202" s="253"/>
      <c r="AI202" s="217"/>
      <c r="AJ202" s="318"/>
      <c r="AK202" s="318"/>
      <c r="AL202" s="318"/>
      <c r="AM202" s="318"/>
      <c r="AN202" s="318"/>
      <c r="AO202" s="318"/>
      <c r="AP202" s="318"/>
      <c r="AQ202" s="318"/>
      <c r="AR202" s="318"/>
      <c r="AS202" s="318"/>
      <c r="AT202" s="318"/>
      <c r="AU202" s="318"/>
      <c r="AV202" s="318"/>
      <c r="AW202" s="318"/>
      <c r="AX202" s="318"/>
      <c r="AY202" s="318"/>
      <c r="AZ202" s="346"/>
      <c r="BA202" s="322"/>
      <c r="BB202" s="322"/>
      <c r="BC202" s="322"/>
      <c r="BD202" s="322"/>
      <c r="BE202" s="322"/>
      <c r="BF202" s="346"/>
      <c r="BG202" s="328"/>
      <c r="BH202" s="328"/>
      <c r="BI202" s="328"/>
      <c r="BJ202" s="328"/>
      <c r="BK202" s="328"/>
      <c r="BL202" s="328"/>
      <c r="BM202" s="328"/>
      <c r="BN202" s="217"/>
      <c r="BO202" s="336"/>
      <c r="BP202" s="333"/>
      <c r="BQ202" s="336"/>
      <c r="BR202" s="336"/>
      <c r="BS202" s="336"/>
      <c r="BT202" s="336"/>
      <c r="BU202" s="336"/>
      <c r="BV202" s="336"/>
      <c r="BW202" s="336"/>
      <c r="BX202" s="217"/>
      <c r="BY202" s="341"/>
      <c r="BZ202" s="341"/>
      <c r="CA202" s="341"/>
      <c r="CB202" s="342"/>
      <c r="CC202" s="341"/>
      <c r="CD202" s="341"/>
      <c r="CE202" s="341"/>
      <c r="CF202" s="341"/>
      <c r="CG202" s="341"/>
      <c r="CH202" s="341"/>
      <c r="CI202" s="341"/>
      <c r="CJ202" s="342"/>
      <c r="CK202" s="342"/>
    </row>
    <row r="203">
      <c r="A203" s="753"/>
      <c r="B203" s="202" t="s">
        <v>271</v>
      </c>
      <c r="C203" s="196" t="s">
        <v>271</v>
      </c>
      <c r="D203" s="197" t="s">
        <v>271</v>
      </c>
      <c r="E203" s="199" t="s">
        <v>271</v>
      </c>
      <c r="F203" s="201" t="s">
        <v>271</v>
      </c>
      <c r="G203" s="202" t="s">
        <v>271</v>
      </c>
      <c r="H203" s="303"/>
      <c r="I203" s="303"/>
      <c r="J203" s="303"/>
      <c r="K203" s="303"/>
      <c r="L203" s="303"/>
      <c r="M203" s="303"/>
      <c r="N203" s="303"/>
      <c r="O203" s="303"/>
      <c r="P203" s="217"/>
      <c r="Q203" s="348"/>
      <c r="R203" s="348"/>
      <c r="S203" s="348"/>
      <c r="T203" s="348"/>
      <c r="U203" s="348"/>
      <c r="V203" s="348"/>
      <c r="W203" s="217"/>
      <c r="X203" s="313"/>
      <c r="Y203" s="313"/>
      <c r="Z203" s="313"/>
      <c r="AA203" s="602"/>
      <c r="AB203" s="313"/>
      <c r="AC203" s="313"/>
      <c r="AD203" s="313"/>
      <c r="AE203" s="313"/>
      <c r="AF203" s="313"/>
      <c r="AG203" s="313"/>
      <c r="AH203" s="253"/>
      <c r="AI203" s="217"/>
      <c r="AJ203" s="318"/>
      <c r="AK203" s="318"/>
      <c r="AL203" s="318"/>
      <c r="AM203" s="318"/>
      <c r="AN203" s="318"/>
      <c r="AO203" s="318"/>
      <c r="AP203" s="318"/>
      <c r="AQ203" s="318"/>
      <c r="AR203" s="318"/>
      <c r="AS203" s="318"/>
      <c r="AT203" s="318"/>
      <c r="AU203" s="318"/>
      <c r="AV203" s="318"/>
      <c r="AW203" s="318"/>
      <c r="AX203" s="318"/>
      <c r="AY203" s="318"/>
      <c r="AZ203" s="346"/>
      <c r="BA203" s="322"/>
      <c r="BB203" s="322"/>
      <c r="BC203" s="322"/>
      <c r="BD203" s="322"/>
      <c r="BE203" s="322"/>
      <c r="BF203" s="346"/>
      <c r="BG203" s="328"/>
      <c r="BH203" s="328"/>
      <c r="BI203" s="328"/>
      <c r="BJ203" s="328"/>
      <c r="BK203" s="328"/>
      <c r="BL203" s="328"/>
      <c r="BM203" s="328"/>
      <c r="BN203" s="217"/>
      <c r="BO203" s="336"/>
      <c r="BP203" s="333"/>
      <c r="BQ203" s="336"/>
      <c r="BR203" s="336"/>
      <c r="BS203" s="336"/>
      <c r="BT203" s="336"/>
      <c r="BU203" s="336"/>
      <c r="BV203" s="336"/>
      <c r="BW203" s="336"/>
      <c r="BX203" s="217"/>
      <c r="BY203" s="341"/>
      <c r="BZ203" s="341"/>
      <c r="CA203" s="341"/>
      <c r="CB203" s="342"/>
      <c r="CC203" s="341"/>
      <c r="CD203" s="341"/>
      <c r="CE203" s="341"/>
      <c r="CF203" s="341"/>
      <c r="CG203" s="341"/>
      <c r="CH203" s="341"/>
      <c r="CI203" s="341"/>
      <c r="CJ203" s="342"/>
      <c r="CK203" s="342"/>
    </row>
    <row r="204">
      <c r="A204" s="753"/>
      <c r="B204" s="202" t="s">
        <v>271</v>
      </c>
      <c r="C204" s="196" t="s">
        <v>271</v>
      </c>
      <c r="D204" s="197" t="s">
        <v>271</v>
      </c>
      <c r="E204" s="199" t="s">
        <v>271</v>
      </c>
      <c r="F204" s="201" t="s">
        <v>271</v>
      </c>
      <c r="G204" s="202" t="s">
        <v>271</v>
      </c>
      <c r="H204" s="303"/>
      <c r="I204" s="303"/>
      <c r="J204" s="303"/>
      <c r="K204" s="303"/>
      <c r="L204" s="303"/>
      <c r="M204" s="303"/>
      <c r="N204" s="303"/>
      <c r="O204" s="303"/>
      <c r="P204" s="217"/>
      <c r="Q204" s="348"/>
      <c r="R204" s="348"/>
      <c r="S204" s="348"/>
      <c r="T204" s="348"/>
      <c r="U204" s="348"/>
      <c r="V204" s="348"/>
      <c r="W204" s="217"/>
      <c r="X204" s="313"/>
      <c r="Y204" s="313"/>
      <c r="Z204" s="313"/>
      <c r="AA204" s="602"/>
      <c r="AB204" s="313"/>
      <c r="AC204" s="313"/>
      <c r="AD204" s="313"/>
      <c r="AE204" s="313"/>
      <c r="AF204" s="313"/>
      <c r="AG204" s="313"/>
      <c r="AH204" s="253"/>
      <c r="AI204" s="217"/>
      <c r="AJ204" s="318"/>
      <c r="AK204" s="318"/>
      <c r="AL204" s="318"/>
      <c r="AM204" s="318"/>
      <c r="AN204" s="318"/>
      <c r="AO204" s="318"/>
      <c r="AP204" s="318"/>
      <c r="AQ204" s="318"/>
      <c r="AR204" s="318"/>
      <c r="AS204" s="318"/>
      <c r="AT204" s="318"/>
      <c r="AU204" s="318"/>
      <c r="AV204" s="318"/>
      <c r="AW204" s="318"/>
      <c r="AX204" s="318"/>
      <c r="AY204" s="318"/>
      <c r="AZ204" s="346"/>
      <c r="BA204" s="322"/>
      <c r="BB204" s="322"/>
      <c r="BC204" s="322"/>
      <c r="BD204" s="322"/>
      <c r="BE204" s="322"/>
      <c r="BF204" s="346"/>
      <c r="BG204" s="328"/>
      <c r="BH204" s="328"/>
      <c r="BI204" s="328"/>
      <c r="BJ204" s="328"/>
      <c r="BK204" s="328"/>
      <c r="BL204" s="328"/>
      <c r="BM204" s="328"/>
      <c r="BN204" s="217"/>
      <c r="BO204" s="336"/>
      <c r="BP204" s="333"/>
      <c r="BQ204" s="336"/>
      <c r="BR204" s="336"/>
      <c r="BS204" s="336"/>
      <c r="BT204" s="336"/>
      <c r="BU204" s="336"/>
      <c r="BV204" s="336"/>
      <c r="BW204" s="336"/>
      <c r="BX204" s="217"/>
      <c r="BY204" s="341"/>
      <c r="BZ204" s="341"/>
      <c r="CA204" s="341"/>
      <c r="CB204" s="342"/>
      <c r="CC204" s="341"/>
      <c r="CD204" s="341"/>
      <c r="CE204" s="341"/>
      <c r="CF204" s="341"/>
      <c r="CG204" s="341"/>
      <c r="CH204" s="341"/>
      <c r="CI204" s="341"/>
      <c r="CJ204" s="342"/>
      <c r="CK204" s="342"/>
    </row>
    <row r="205">
      <c r="A205" s="753"/>
      <c r="B205" s="202" t="s">
        <v>271</v>
      </c>
      <c r="C205" s="196" t="s">
        <v>271</v>
      </c>
      <c r="D205" s="197" t="s">
        <v>271</v>
      </c>
      <c r="E205" s="199" t="s">
        <v>271</v>
      </c>
      <c r="F205" s="201" t="s">
        <v>271</v>
      </c>
      <c r="G205" s="202" t="s">
        <v>271</v>
      </c>
      <c r="H205" s="303"/>
      <c r="I205" s="303"/>
      <c r="J205" s="303"/>
      <c r="K205" s="303"/>
      <c r="L205" s="303"/>
      <c r="M205" s="303"/>
      <c r="N205" s="303"/>
      <c r="O205" s="303"/>
      <c r="P205" s="217"/>
      <c r="Q205" s="348"/>
      <c r="R205" s="348"/>
      <c r="S205" s="348"/>
      <c r="T205" s="348"/>
      <c r="U205" s="348"/>
      <c r="V205" s="348"/>
      <c r="W205" s="217"/>
      <c r="X205" s="313"/>
      <c r="Y205" s="313"/>
      <c r="Z205" s="313"/>
      <c r="AA205" s="602"/>
      <c r="AB205" s="313"/>
      <c r="AC205" s="313"/>
      <c r="AD205" s="313"/>
      <c r="AE205" s="313"/>
      <c r="AF205" s="313"/>
      <c r="AG205" s="313"/>
      <c r="AH205" s="253"/>
      <c r="AI205" s="217"/>
      <c r="AJ205" s="318"/>
      <c r="AK205" s="318"/>
      <c r="AL205" s="318"/>
      <c r="AM205" s="318"/>
      <c r="AN205" s="318"/>
      <c r="AO205" s="318"/>
      <c r="AP205" s="318"/>
      <c r="AQ205" s="318"/>
      <c r="AR205" s="318"/>
      <c r="AS205" s="318"/>
      <c r="AT205" s="318"/>
      <c r="AU205" s="318"/>
      <c r="AV205" s="318"/>
      <c r="AW205" s="318"/>
      <c r="AX205" s="318"/>
      <c r="AY205" s="318"/>
      <c r="AZ205" s="346"/>
      <c r="BA205" s="322"/>
      <c r="BB205" s="322"/>
      <c r="BC205" s="322"/>
      <c r="BD205" s="322"/>
      <c r="BE205" s="322"/>
      <c r="BF205" s="346"/>
      <c r="BG205" s="328"/>
      <c r="BH205" s="328"/>
      <c r="BI205" s="328"/>
      <c r="BJ205" s="328"/>
      <c r="BK205" s="328"/>
      <c r="BL205" s="328"/>
      <c r="BM205" s="328"/>
      <c r="BN205" s="217"/>
      <c r="BO205" s="336"/>
      <c r="BP205" s="333"/>
      <c r="BQ205" s="336"/>
      <c r="BR205" s="336"/>
      <c r="BS205" s="336"/>
      <c r="BT205" s="336"/>
      <c r="BU205" s="336"/>
      <c r="BV205" s="336"/>
      <c r="BW205" s="336"/>
      <c r="BX205" s="217"/>
      <c r="BY205" s="341"/>
      <c r="BZ205" s="341"/>
      <c r="CA205" s="341"/>
      <c r="CB205" s="342"/>
      <c r="CC205" s="341"/>
      <c r="CD205" s="341"/>
      <c r="CE205" s="341"/>
      <c r="CF205" s="341"/>
      <c r="CG205" s="341"/>
      <c r="CH205" s="341"/>
      <c r="CI205" s="341"/>
      <c r="CJ205" s="342"/>
      <c r="CK205" s="342"/>
    </row>
    <row r="206">
      <c r="A206" s="753"/>
      <c r="B206" s="202" t="s">
        <v>271</v>
      </c>
      <c r="C206" s="196" t="s">
        <v>271</v>
      </c>
      <c r="D206" s="197" t="s">
        <v>271</v>
      </c>
      <c r="E206" s="199" t="s">
        <v>271</v>
      </c>
      <c r="F206" s="201" t="s">
        <v>271</v>
      </c>
      <c r="G206" s="202" t="s">
        <v>271</v>
      </c>
      <c r="H206" s="303"/>
      <c r="I206" s="303"/>
      <c r="J206" s="303"/>
      <c r="K206" s="303"/>
      <c r="L206" s="303"/>
      <c r="M206" s="303"/>
      <c r="N206" s="303"/>
      <c r="O206" s="303"/>
      <c r="P206" s="217"/>
      <c r="Q206" s="348"/>
      <c r="R206" s="348"/>
      <c r="S206" s="348"/>
      <c r="T206" s="348"/>
      <c r="U206" s="348"/>
      <c r="V206" s="348"/>
      <c r="W206" s="217"/>
      <c r="X206" s="313"/>
      <c r="Y206" s="313"/>
      <c r="Z206" s="313"/>
      <c r="AA206" s="602"/>
      <c r="AB206" s="313"/>
      <c r="AC206" s="313"/>
      <c r="AD206" s="313"/>
      <c r="AE206" s="313"/>
      <c r="AF206" s="313"/>
      <c r="AG206" s="313"/>
      <c r="AH206" s="253"/>
      <c r="AI206" s="217"/>
      <c r="AJ206" s="318"/>
      <c r="AK206" s="318"/>
      <c r="AL206" s="318"/>
      <c r="AM206" s="318"/>
      <c r="AN206" s="318"/>
      <c r="AO206" s="318"/>
      <c r="AP206" s="318"/>
      <c r="AQ206" s="318"/>
      <c r="AR206" s="318"/>
      <c r="AS206" s="318"/>
      <c r="AT206" s="318"/>
      <c r="AU206" s="318"/>
      <c r="AV206" s="318"/>
      <c r="AW206" s="318"/>
      <c r="AX206" s="318"/>
      <c r="AY206" s="318"/>
      <c r="AZ206" s="346"/>
      <c r="BA206" s="322"/>
      <c r="BB206" s="322"/>
      <c r="BC206" s="322"/>
      <c r="BD206" s="322"/>
      <c r="BE206" s="322"/>
      <c r="BF206" s="346"/>
      <c r="BG206" s="328"/>
      <c r="BH206" s="328"/>
      <c r="BI206" s="328"/>
      <c r="BJ206" s="328"/>
      <c r="BK206" s="328"/>
      <c r="BL206" s="328"/>
      <c r="BM206" s="328"/>
      <c r="BN206" s="217"/>
      <c r="BO206" s="336"/>
      <c r="BP206" s="333"/>
      <c r="BQ206" s="336"/>
      <c r="BR206" s="336"/>
      <c r="BS206" s="336"/>
      <c r="BT206" s="336"/>
      <c r="BU206" s="336"/>
      <c r="BV206" s="336"/>
      <c r="BW206" s="336"/>
      <c r="BX206" s="217"/>
      <c r="BY206" s="341"/>
      <c r="BZ206" s="341"/>
      <c r="CA206" s="341"/>
      <c r="CB206" s="342"/>
      <c r="CC206" s="341"/>
      <c r="CD206" s="341"/>
      <c r="CE206" s="341"/>
      <c r="CF206" s="341"/>
      <c r="CG206" s="341"/>
      <c r="CH206" s="341"/>
      <c r="CI206" s="341"/>
      <c r="CJ206" s="342"/>
      <c r="CK206" s="342"/>
    </row>
    <row r="207">
      <c r="A207" s="753"/>
      <c r="B207" s="202" t="s">
        <v>271</v>
      </c>
      <c r="C207" s="196" t="s">
        <v>271</v>
      </c>
      <c r="D207" s="197" t="s">
        <v>271</v>
      </c>
      <c r="E207" s="199" t="s">
        <v>271</v>
      </c>
      <c r="F207" s="201" t="s">
        <v>271</v>
      </c>
      <c r="G207" s="202" t="s">
        <v>271</v>
      </c>
      <c r="H207" s="303"/>
      <c r="I207" s="303"/>
      <c r="J207" s="303"/>
      <c r="K207" s="303"/>
      <c r="L207" s="303"/>
      <c r="M207" s="303"/>
      <c r="N207" s="303"/>
      <c r="O207" s="303"/>
      <c r="P207" s="217"/>
      <c r="Q207" s="348"/>
      <c r="R207" s="348"/>
      <c r="S207" s="348"/>
      <c r="T207" s="348"/>
      <c r="U207" s="348"/>
      <c r="V207" s="348"/>
      <c r="W207" s="217"/>
      <c r="X207" s="313"/>
      <c r="Y207" s="313"/>
      <c r="Z207" s="313"/>
      <c r="AA207" s="602"/>
      <c r="AB207" s="313"/>
      <c r="AC207" s="313"/>
      <c r="AD207" s="313"/>
      <c r="AE207" s="313"/>
      <c r="AF207" s="313"/>
      <c r="AG207" s="313"/>
      <c r="AH207" s="253"/>
      <c r="AI207" s="217"/>
      <c r="AJ207" s="318"/>
      <c r="AK207" s="318"/>
      <c r="AL207" s="318"/>
      <c r="AM207" s="318"/>
      <c r="AN207" s="318"/>
      <c r="AO207" s="318"/>
      <c r="AP207" s="318"/>
      <c r="AQ207" s="318"/>
      <c r="AR207" s="318"/>
      <c r="AS207" s="318"/>
      <c r="AT207" s="318"/>
      <c r="AU207" s="318"/>
      <c r="AV207" s="318"/>
      <c r="AW207" s="318"/>
      <c r="AX207" s="318"/>
      <c r="AY207" s="318"/>
      <c r="AZ207" s="346"/>
      <c r="BA207" s="322"/>
      <c r="BB207" s="322"/>
      <c r="BC207" s="322"/>
      <c r="BD207" s="322"/>
      <c r="BE207" s="322"/>
      <c r="BF207" s="346"/>
      <c r="BG207" s="328"/>
      <c r="BH207" s="328"/>
      <c r="BI207" s="328"/>
      <c r="BJ207" s="328"/>
      <c r="BK207" s="328"/>
      <c r="BL207" s="328"/>
      <c r="BM207" s="328"/>
      <c r="BN207" s="217"/>
      <c r="BO207" s="336"/>
      <c r="BP207" s="333"/>
      <c r="BQ207" s="336"/>
      <c r="BR207" s="336"/>
      <c r="BS207" s="336"/>
      <c r="BT207" s="336"/>
      <c r="BU207" s="336"/>
      <c r="BV207" s="336"/>
      <c r="BW207" s="336"/>
      <c r="BX207" s="217"/>
      <c r="BY207" s="341"/>
      <c r="BZ207" s="341"/>
      <c r="CA207" s="341"/>
      <c r="CB207" s="342"/>
      <c r="CC207" s="341"/>
      <c r="CD207" s="341"/>
      <c r="CE207" s="341"/>
      <c r="CF207" s="341"/>
      <c r="CG207" s="341"/>
      <c r="CH207" s="341"/>
      <c r="CI207" s="341"/>
      <c r="CJ207" s="342"/>
      <c r="CK207" s="342"/>
    </row>
    <row r="208">
      <c r="A208" s="753"/>
      <c r="B208" s="202" t="s">
        <v>271</v>
      </c>
      <c r="C208" s="196" t="s">
        <v>271</v>
      </c>
      <c r="D208" s="197" t="s">
        <v>271</v>
      </c>
      <c r="E208" s="199" t="s">
        <v>271</v>
      </c>
      <c r="F208" s="201" t="s">
        <v>271</v>
      </c>
      <c r="G208" s="202" t="s">
        <v>271</v>
      </c>
      <c r="H208" s="303"/>
      <c r="I208" s="303"/>
      <c r="J208" s="303"/>
      <c r="K208" s="303"/>
      <c r="L208" s="303"/>
      <c r="M208" s="303"/>
      <c r="N208" s="303"/>
      <c r="O208" s="303"/>
      <c r="P208" s="217"/>
      <c r="Q208" s="348"/>
      <c r="R208" s="348"/>
      <c r="S208" s="348"/>
      <c r="T208" s="348"/>
      <c r="U208" s="348"/>
      <c r="V208" s="348"/>
      <c r="W208" s="217"/>
      <c r="X208" s="313"/>
      <c r="Y208" s="313"/>
      <c r="Z208" s="313"/>
      <c r="AA208" s="602"/>
      <c r="AB208" s="313"/>
      <c r="AC208" s="313"/>
      <c r="AD208" s="313"/>
      <c r="AE208" s="313"/>
      <c r="AF208" s="313"/>
      <c r="AG208" s="313"/>
      <c r="AH208" s="253"/>
      <c r="AI208" s="217"/>
      <c r="AJ208" s="318"/>
      <c r="AK208" s="318"/>
      <c r="AL208" s="318"/>
      <c r="AM208" s="318"/>
      <c r="AN208" s="318"/>
      <c r="AO208" s="318"/>
      <c r="AP208" s="318"/>
      <c r="AQ208" s="318"/>
      <c r="AR208" s="318"/>
      <c r="AS208" s="318"/>
      <c r="AT208" s="318"/>
      <c r="AU208" s="318"/>
      <c r="AV208" s="318"/>
      <c r="AW208" s="318"/>
      <c r="AX208" s="318"/>
      <c r="AY208" s="318"/>
      <c r="AZ208" s="346"/>
      <c r="BA208" s="322"/>
      <c r="BB208" s="322"/>
      <c r="BC208" s="322"/>
      <c r="BD208" s="322"/>
      <c r="BE208" s="322"/>
      <c r="BF208" s="346"/>
      <c r="BG208" s="328"/>
      <c r="BH208" s="328"/>
      <c r="BI208" s="328"/>
      <c r="BJ208" s="328"/>
      <c r="BK208" s="328"/>
      <c r="BL208" s="328"/>
      <c r="BM208" s="328"/>
      <c r="BN208" s="217"/>
      <c r="BO208" s="336"/>
      <c r="BP208" s="333"/>
      <c r="BQ208" s="336"/>
      <c r="BR208" s="336"/>
      <c r="BS208" s="336"/>
      <c r="BT208" s="336"/>
      <c r="BU208" s="336"/>
      <c r="BV208" s="336"/>
      <c r="BW208" s="336"/>
      <c r="BX208" s="217"/>
      <c r="BY208" s="341"/>
      <c r="BZ208" s="341"/>
      <c r="CA208" s="341"/>
      <c r="CB208" s="342"/>
      <c r="CC208" s="341"/>
      <c r="CD208" s="341"/>
      <c r="CE208" s="341"/>
      <c r="CF208" s="341"/>
      <c r="CG208" s="341"/>
      <c r="CH208" s="341"/>
      <c r="CI208" s="341"/>
      <c r="CJ208" s="342"/>
      <c r="CK208" s="342"/>
    </row>
    <row r="209">
      <c r="A209" s="753"/>
      <c r="B209" s="202" t="s">
        <v>271</v>
      </c>
      <c r="C209" s="196" t="s">
        <v>271</v>
      </c>
      <c r="D209" s="197" t="s">
        <v>271</v>
      </c>
      <c r="E209" s="199" t="s">
        <v>271</v>
      </c>
      <c r="F209" s="201" t="s">
        <v>271</v>
      </c>
      <c r="G209" s="202" t="s">
        <v>271</v>
      </c>
      <c r="H209" s="303"/>
      <c r="I209" s="303"/>
      <c r="J209" s="303"/>
      <c r="K209" s="303"/>
      <c r="L209" s="303"/>
      <c r="M209" s="303"/>
      <c r="N209" s="303"/>
      <c r="O209" s="303"/>
      <c r="P209" s="217"/>
      <c r="Q209" s="348"/>
      <c r="R209" s="348"/>
      <c r="S209" s="348"/>
      <c r="T209" s="348"/>
      <c r="U209" s="348"/>
      <c r="V209" s="348"/>
      <c r="W209" s="217"/>
      <c r="X209" s="313"/>
      <c r="Y209" s="313"/>
      <c r="Z209" s="313"/>
      <c r="AA209" s="602"/>
      <c r="AB209" s="313"/>
      <c r="AC209" s="313"/>
      <c r="AD209" s="313"/>
      <c r="AE209" s="313"/>
      <c r="AF209" s="313"/>
      <c r="AG209" s="313"/>
      <c r="AH209" s="253"/>
      <c r="AI209" s="217"/>
      <c r="AJ209" s="318"/>
      <c r="AK209" s="318"/>
      <c r="AL209" s="318"/>
      <c r="AM209" s="318"/>
      <c r="AN209" s="318"/>
      <c r="AO209" s="318"/>
      <c r="AP209" s="318"/>
      <c r="AQ209" s="318"/>
      <c r="AR209" s="318"/>
      <c r="AS209" s="318"/>
      <c r="AT209" s="318"/>
      <c r="AU209" s="318"/>
      <c r="AV209" s="318"/>
      <c r="AW209" s="318"/>
      <c r="AX209" s="318"/>
      <c r="AY209" s="318"/>
      <c r="AZ209" s="346"/>
      <c r="BA209" s="322"/>
      <c r="BB209" s="322"/>
      <c r="BC209" s="322"/>
      <c r="BD209" s="322"/>
      <c r="BE209" s="322"/>
      <c r="BF209" s="346"/>
      <c r="BG209" s="328"/>
      <c r="BH209" s="328"/>
      <c r="BI209" s="328"/>
      <c r="BJ209" s="328"/>
      <c r="BK209" s="328"/>
      <c r="BL209" s="328"/>
      <c r="BM209" s="328"/>
      <c r="BN209" s="217"/>
      <c r="BO209" s="336"/>
      <c r="BP209" s="333"/>
      <c r="BQ209" s="336"/>
      <c r="BR209" s="336"/>
      <c r="BS209" s="336"/>
      <c r="BT209" s="336"/>
      <c r="BU209" s="336"/>
      <c r="BV209" s="336"/>
      <c r="BW209" s="336"/>
      <c r="BX209" s="217"/>
      <c r="BY209" s="341"/>
      <c r="BZ209" s="341"/>
      <c r="CA209" s="341"/>
      <c r="CB209" s="342"/>
      <c r="CC209" s="341"/>
      <c r="CD209" s="341"/>
      <c r="CE209" s="341"/>
      <c r="CF209" s="341"/>
      <c r="CG209" s="341"/>
      <c r="CH209" s="341"/>
      <c r="CI209" s="341"/>
      <c r="CJ209" s="342"/>
      <c r="CK209" s="342"/>
    </row>
    <row r="210">
      <c r="A210" s="753"/>
      <c r="B210" s="202" t="s">
        <v>271</v>
      </c>
      <c r="C210" s="196" t="s">
        <v>271</v>
      </c>
      <c r="D210" s="197" t="s">
        <v>271</v>
      </c>
      <c r="E210" s="199" t="s">
        <v>271</v>
      </c>
      <c r="F210" s="201" t="s">
        <v>271</v>
      </c>
      <c r="G210" s="202" t="s">
        <v>271</v>
      </c>
      <c r="H210" s="303"/>
      <c r="I210" s="303"/>
      <c r="J210" s="303"/>
      <c r="K210" s="303"/>
      <c r="L210" s="303"/>
      <c r="M210" s="303"/>
      <c r="N210" s="303"/>
      <c r="O210" s="303"/>
      <c r="P210" s="217"/>
      <c r="Q210" s="348"/>
      <c r="R210" s="348"/>
      <c r="S210" s="348"/>
      <c r="T210" s="348"/>
      <c r="U210" s="348"/>
      <c r="V210" s="348"/>
      <c r="W210" s="217"/>
      <c r="X210" s="313"/>
      <c r="Y210" s="313"/>
      <c r="Z210" s="313"/>
      <c r="AA210" s="602"/>
      <c r="AB210" s="313"/>
      <c r="AC210" s="313"/>
      <c r="AD210" s="313"/>
      <c r="AE210" s="313"/>
      <c r="AF210" s="313"/>
      <c r="AG210" s="313"/>
      <c r="AH210" s="253"/>
      <c r="AI210" s="217"/>
      <c r="AJ210" s="318"/>
      <c r="AK210" s="318"/>
      <c r="AL210" s="318"/>
      <c r="AM210" s="318"/>
      <c r="AN210" s="318"/>
      <c r="AO210" s="318"/>
      <c r="AP210" s="318"/>
      <c r="AQ210" s="318"/>
      <c r="AR210" s="318"/>
      <c r="AS210" s="318"/>
      <c r="AT210" s="318"/>
      <c r="AU210" s="318"/>
      <c r="AV210" s="318"/>
      <c r="AW210" s="318"/>
      <c r="AX210" s="318"/>
      <c r="AY210" s="318"/>
      <c r="AZ210" s="346"/>
      <c r="BA210" s="322"/>
      <c r="BB210" s="322"/>
      <c r="BC210" s="322"/>
      <c r="BD210" s="322"/>
      <c r="BE210" s="322"/>
      <c r="BF210" s="346"/>
      <c r="BG210" s="328"/>
      <c r="BH210" s="328"/>
      <c r="BI210" s="328"/>
      <c r="BJ210" s="328"/>
      <c r="BK210" s="328"/>
      <c r="BL210" s="328"/>
      <c r="BM210" s="328"/>
      <c r="BN210" s="217"/>
      <c r="BO210" s="336"/>
      <c r="BP210" s="333"/>
      <c r="BQ210" s="336"/>
      <c r="BR210" s="336"/>
      <c r="BS210" s="336"/>
      <c r="BT210" s="336"/>
      <c r="BU210" s="336"/>
      <c r="BV210" s="336"/>
      <c r="BW210" s="336"/>
      <c r="BX210" s="217"/>
      <c r="BY210" s="341"/>
      <c r="BZ210" s="341"/>
      <c r="CA210" s="341"/>
      <c r="CB210" s="342"/>
      <c r="CC210" s="341"/>
      <c r="CD210" s="341"/>
      <c r="CE210" s="341"/>
      <c r="CF210" s="341"/>
      <c r="CG210" s="341"/>
      <c r="CH210" s="341"/>
      <c r="CI210" s="341"/>
      <c r="CJ210" s="342"/>
      <c r="CK210" s="342"/>
    </row>
    <row r="211">
      <c r="A211" s="753"/>
      <c r="B211" s="202" t="s">
        <v>271</v>
      </c>
      <c r="C211" s="196" t="s">
        <v>271</v>
      </c>
      <c r="D211" s="197" t="s">
        <v>271</v>
      </c>
      <c r="E211" s="199" t="s">
        <v>271</v>
      </c>
      <c r="F211" s="201" t="s">
        <v>271</v>
      </c>
      <c r="G211" s="202" t="s">
        <v>271</v>
      </c>
      <c r="H211" s="303"/>
      <c r="I211" s="303"/>
      <c r="J211" s="303"/>
      <c r="K211" s="303"/>
      <c r="L211" s="303"/>
      <c r="M211" s="303"/>
      <c r="N211" s="303"/>
      <c r="O211" s="303"/>
      <c r="P211" s="217"/>
      <c r="Q211" s="348"/>
      <c r="R211" s="348"/>
      <c r="S211" s="348"/>
      <c r="T211" s="348"/>
      <c r="U211" s="348"/>
      <c r="V211" s="348"/>
      <c r="W211" s="217"/>
      <c r="X211" s="313"/>
      <c r="Y211" s="313"/>
      <c r="Z211" s="313"/>
      <c r="AA211" s="602"/>
      <c r="AB211" s="313"/>
      <c r="AC211" s="313"/>
      <c r="AD211" s="313"/>
      <c r="AE211" s="313"/>
      <c r="AF211" s="313"/>
      <c r="AG211" s="313"/>
      <c r="AH211" s="253"/>
      <c r="AI211" s="217"/>
      <c r="AJ211" s="318"/>
      <c r="AK211" s="318"/>
      <c r="AL211" s="318"/>
      <c r="AM211" s="318"/>
      <c r="AN211" s="318"/>
      <c r="AO211" s="318"/>
      <c r="AP211" s="318"/>
      <c r="AQ211" s="318"/>
      <c r="AR211" s="318"/>
      <c r="AS211" s="318"/>
      <c r="AT211" s="318"/>
      <c r="AU211" s="318"/>
      <c r="AV211" s="318"/>
      <c r="AW211" s="318"/>
      <c r="AX211" s="318"/>
      <c r="AY211" s="318"/>
      <c r="AZ211" s="346"/>
      <c r="BA211" s="322"/>
      <c r="BB211" s="322"/>
      <c r="BC211" s="322"/>
      <c r="BD211" s="322"/>
      <c r="BE211" s="322"/>
      <c r="BF211" s="346"/>
      <c r="BG211" s="328"/>
      <c r="BH211" s="328"/>
      <c r="BI211" s="328"/>
      <c r="BJ211" s="328"/>
      <c r="BK211" s="328"/>
      <c r="BL211" s="328"/>
      <c r="BM211" s="328"/>
      <c r="BN211" s="217"/>
      <c r="BO211" s="336"/>
      <c r="BP211" s="333"/>
      <c r="BQ211" s="336"/>
      <c r="BR211" s="336"/>
      <c r="BS211" s="336"/>
      <c r="BT211" s="336"/>
      <c r="BU211" s="336"/>
      <c r="BV211" s="336"/>
      <c r="BW211" s="336"/>
      <c r="BX211" s="217"/>
      <c r="BY211" s="341"/>
      <c r="BZ211" s="341"/>
      <c r="CA211" s="341"/>
      <c r="CB211" s="342"/>
      <c r="CC211" s="341"/>
      <c r="CD211" s="341"/>
      <c r="CE211" s="341"/>
      <c r="CF211" s="341"/>
      <c r="CG211" s="341"/>
      <c r="CH211" s="341"/>
      <c r="CI211" s="341"/>
      <c r="CJ211" s="342"/>
      <c r="CK211" s="342"/>
    </row>
    <row r="212">
      <c r="A212" s="753"/>
      <c r="B212" s="202" t="s">
        <v>271</v>
      </c>
      <c r="C212" s="196" t="s">
        <v>271</v>
      </c>
      <c r="D212" s="197" t="s">
        <v>271</v>
      </c>
      <c r="E212" s="199" t="s">
        <v>271</v>
      </c>
      <c r="F212" s="201" t="s">
        <v>271</v>
      </c>
      <c r="G212" s="202" t="s">
        <v>271</v>
      </c>
      <c r="H212" s="303"/>
      <c r="I212" s="303"/>
      <c r="J212" s="303"/>
      <c r="K212" s="303"/>
      <c r="L212" s="303"/>
      <c r="M212" s="303"/>
      <c r="N212" s="303"/>
      <c r="O212" s="303"/>
      <c r="P212" s="217"/>
      <c r="Q212" s="348"/>
      <c r="R212" s="348"/>
      <c r="S212" s="348"/>
      <c r="T212" s="348"/>
      <c r="U212" s="348"/>
      <c r="V212" s="348"/>
      <c r="W212" s="217"/>
      <c r="X212" s="313"/>
      <c r="Y212" s="313"/>
      <c r="Z212" s="313"/>
      <c r="AA212" s="602"/>
      <c r="AB212" s="313"/>
      <c r="AC212" s="313"/>
      <c r="AD212" s="313"/>
      <c r="AE212" s="313"/>
      <c r="AF212" s="313"/>
      <c r="AG212" s="313"/>
      <c r="AH212" s="253"/>
      <c r="AI212" s="217"/>
      <c r="AJ212" s="318"/>
      <c r="AK212" s="318"/>
      <c r="AL212" s="318"/>
      <c r="AM212" s="318"/>
      <c r="AN212" s="318"/>
      <c r="AO212" s="318"/>
      <c r="AP212" s="318"/>
      <c r="AQ212" s="318"/>
      <c r="AR212" s="318"/>
      <c r="AS212" s="318"/>
      <c r="AT212" s="318"/>
      <c r="AU212" s="318"/>
      <c r="AV212" s="318"/>
      <c r="AW212" s="318"/>
      <c r="AX212" s="318"/>
      <c r="AY212" s="318"/>
      <c r="AZ212" s="346"/>
      <c r="BA212" s="322"/>
      <c r="BB212" s="322"/>
      <c r="BC212" s="322"/>
      <c r="BD212" s="322"/>
      <c r="BE212" s="322"/>
      <c r="BF212" s="346"/>
      <c r="BG212" s="328"/>
      <c r="BH212" s="328"/>
      <c r="BI212" s="328"/>
      <c r="BJ212" s="328"/>
      <c r="BK212" s="328"/>
      <c r="BL212" s="328"/>
      <c r="BM212" s="328"/>
      <c r="BN212" s="217"/>
      <c r="BO212" s="336"/>
      <c r="BP212" s="333"/>
      <c r="BQ212" s="336"/>
      <c r="BR212" s="336"/>
      <c r="BS212" s="336"/>
      <c r="BT212" s="336"/>
      <c r="BU212" s="336"/>
      <c r="BV212" s="336"/>
      <c r="BW212" s="336"/>
      <c r="BX212" s="217"/>
      <c r="BY212" s="341"/>
      <c r="BZ212" s="341"/>
      <c r="CA212" s="341"/>
      <c r="CB212" s="342"/>
      <c r="CC212" s="341"/>
      <c r="CD212" s="341"/>
      <c r="CE212" s="341"/>
      <c r="CF212" s="341"/>
      <c r="CG212" s="341"/>
      <c r="CH212" s="341"/>
      <c r="CI212" s="341"/>
      <c r="CJ212" s="342"/>
      <c r="CK212" s="342"/>
    </row>
    <row r="213">
      <c r="A213" s="753"/>
      <c r="B213" s="202" t="s">
        <v>271</v>
      </c>
      <c r="C213" s="196" t="s">
        <v>271</v>
      </c>
      <c r="D213" s="197" t="s">
        <v>271</v>
      </c>
      <c r="E213" s="199" t="s">
        <v>271</v>
      </c>
      <c r="F213" s="201" t="s">
        <v>271</v>
      </c>
      <c r="G213" s="202" t="s">
        <v>271</v>
      </c>
      <c r="H213" s="303"/>
      <c r="I213" s="303"/>
      <c r="J213" s="303"/>
      <c r="K213" s="303"/>
      <c r="L213" s="303"/>
      <c r="M213" s="303"/>
      <c r="N213" s="303"/>
      <c r="O213" s="303"/>
      <c r="P213" s="217"/>
      <c r="Q213" s="348"/>
      <c r="R213" s="348"/>
      <c r="S213" s="348"/>
      <c r="T213" s="348"/>
      <c r="U213" s="348"/>
      <c r="V213" s="348"/>
      <c r="W213" s="217"/>
      <c r="X213" s="313"/>
      <c r="Y213" s="313"/>
      <c r="Z213" s="313"/>
      <c r="AA213" s="602"/>
      <c r="AB213" s="313"/>
      <c r="AC213" s="313"/>
      <c r="AD213" s="313"/>
      <c r="AE213" s="313"/>
      <c r="AF213" s="313"/>
      <c r="AG213" s="313"/>
      <c r="AH213" s="253"/>
      <c r="AI213" s="217"/>
      <c r="AJ213" s="318"/>
      <c r="AK213" s="318"/>
      <c r="AL213" s="318"/>
      <c r="AM213" s="318"/>
      <c r="AN213" s="318"/>
      <c r="AO213" s="318"/>
      <c r="AP213" s="318"/>
      <c r="AQ213" s="318"/>
      <c r="AR213" s="318"/>
      <c r="AS213" s="318"/>
      <c r="AT213" s="318"/>
      <c r="AU213" s="318"/>
      <c r="AV213" s="318"/>
      <c r="AW213" s="318"/>
      <c r="AX213" s="318"/>
      <c r="AY213" s="318"/>
      <c r="AZ213" s="346"/>
      <c r="BA213" s="322"/>
      <c r="BB213" s="322"/>
      <c r="BC213" s="322"/>
      <c r="BD213" s="322"/>
      <c r="BE213" s="322"/>
      <c r="BF213" s="346"/>
      <c r="BG213" s="328"/>
      <c r="BH213" s="328"/>
      <c r="BI213" s="328"/>
      <c r="BJ213" s="328"/>
      <c r="BK213" s="328"/>
      <c r="BL213" s="328"/>
      <c r="BM213" s="328"/>
      <c r="BN213" s="217"/>
      <c r="BO213" s="336"/>
      <c r="BP213" s="333"/>
      <c r="BQ213" s="336"/>
      <c r="BR213" s="336"/>
      <c r="BS213" s="336"/>
      <c r="BT213" s="336"/>
      <c r="BU213" s="336"/>
      <c r="BV213" s="336"/>
      <c r="BW213" s="336"/>
      <c r="BX213" s="217"/>
      <c r="BY213" s="341"/>
      <c r="BZ213" s="341"/>
      <c r="CA213" s="341"/>
      <c r="CB213" s="342"/>
      <c r="CC213" s="341"/>
      <c r="CD213" s="341"/>
      <c r="CE213" s="341"/>
      <c r="CF213" s="341"/>
      <c r="CG213" s="341"/>
      <c r="CH213" s="341"/>
      <c r="CI213" s="341"/>
      <c r="CJ213" s="342"/>
      <c r="CK213" s="342"/>
    </row>
    <row r="214">
      <c r="A214" s="753"/>
      <c r="B214" s="202" t="s">
        <v>271</v>
      </c>
      <c r="C214" s="196" t="s">
        <v>271</v>
      </c>
      <c r="D214" s="197" t="s">
        <v>271</v>
      </c>
      <c r="E214" s="199" t="s">
        <v>271</v>
      </c>
      <c r="F214" s="201" t="s">
        <v>271</v>
      </c>
      <c r="G214" s="202" t="s">
        <v>271</v>
      </c>
      <c r="H214" s="303"/>
      <c r="I214" s="303"/>
      <c r="J214" s="303"/>
      <c r="K214" s="303"/>
      <c r="L214" s="303"/>
      <c r="M214" s="303"/>
      <c r="N214" s="303"/>
      <c r="O214" s="303"/>
      <c r="P214" s="217"/>
      <c r="Q214" s="348"/>
      <c r="R214" s="348"/>
      <c r="S214" s="348"/>
      <c r="T214" s="348"/>
      <c r="U214" s="348"/>
      <c r="V214" s="348"/>
      <c r="W214" s="217"/>
      <c r="X214" s="313"/>
      <c r="Y214" s="313"/>
      <c r="Z214" s="313"/>
      <c r="AA214" s="602"/>
      <c r="AB214" s="313"/>
      <c r="AC214" s="313"/>
      <c r="AD214" s="313"/>
      <c r="AE214" s="313"/>
      <c r="AF214" s="313"/>
      <c r="AG214" s="313"/>
      <c r="AH214" s="253"/>
      <c r="AI214" s="217"/>
      <c r="AJ214" s="318"/>
      <c r="AK214" s="318"/>
      <c r="AL214" s="318"/>
      <c r="AM214" s="318"/>
      <c r="AN214" s="318"/>
      <c r="AO214" s="318"/>
      <c r="AP214" s="318"/>
      <c r="AQ214" s="318"/>
      <c r="AR214" s="318"/>
      <c r="AS214" s="318"/>
      <c r="AT214" s="318"/>
      <c r="AU214" s="318"/>
      <c r="AV214" s="318"/>
      <c r="AW214" s="318"/>
      <c r="AX214" s="318"/>
      <c r="AY214" s="318"/>
      <c r="AZ214" s="346"/>
      <c r="BA214" s="322"/>
      <c r="BB214" s="322"/>
      <c r="BC214" s="322"/>
      <c r="BD214" s="322"/>
      <c r="BE214" s="322"/>
      <c r="BF214" s="346"/>
      <c r="BG214" s="328"/>
      <c r="BH214" s="328"/>
      <c r="BI214" s="328"/>
      <c r="BJ214" s="328"/>
      <c r="BK214" s="328"/>
      <c r="BL214" s="328"/>
      <c r="BM214" s="328"/>
      <c r="BN214" s="217"/>
      <c r="BO214" s="336"/>
      <c r="BP214" s="333"/>
      <c r="BQ214" s="336"/>
      <c r="BR214" s="336"/>
      <c r="BS214" s="336"/>
      <c r="BT214" s="336"/>
      <c r="BU214" s="336"/>
      <c r="BV214" s="336"/>
      <c r="BW214" s="336"/>
      <c r="BX214" s="217"/>
      <c r="BY214" s="341"/>
      <c r="BZ214" s="341"/>
      <c r="CA214" s="341"/>
      <c r="CB214" s="342"/>
      <c r="CC214" s="341"/>
      <c r="CD214" s="341"/>
      <c r="CE214" s="341"/>
      <c r="CF214" s="341"/>
      <c r="CG214" s="341"/>
      <c r="CH214" s="341"/>
      <c r="CI214" s="341"/>
      <c r="CJ214" s="342"/>
      <c r="CK214" s="342"/>
    </row>
    <row r="215">
      <c r="A215" s="753"/>
      <c r="B215" s="202" t="s">
        <v>271</v>
      </c>
      <c r="C215" s="196" t="s">
        <v>271</v>
      </c>
      <c r="D215" s="197" t="s">
        <v>271</v>
      </c>
      <c r="E215" s="199" t="s">
        <v>271</v>
      </c>
      <c r="F215" s="201" t="s">
        <v>271</v>
      </c>
      <c r="G215" s="202" t="s">
        <v>271</v>
      </c>
      <c r="H215" s="303"/>
      <c r="I215" s="303"/>
      <c r="J215" s="303"/>
      <c r="K215" s="303"/>
      <c r="L215" s="303"/>
      <c r="M215" s="303"/>
      <c r="N215" s="303"/>
      <c r="O215" s="303"/>
      <c r="P215" s="217"/>
      <c r="Q215" s="348"/>
      <c r="R215" s="348"/>
      <c r="S215" s="348"/>
      <c r="T215" s="348"/>
      <c r="U215" s="348"/>
      <c r="V215" s="348"/>
      <c r="W215" s="217"/>
      <c r="X215" s="313"/>
      <c r="Y215" s="313"/>
      <c r="Z215" s="313"/>
      <c r="AA215" s="602"/>
      <c r="AB215" s="313"/>
      <c r="AC215" s="313"/>
      <c r="AD215" s="313"/>
      <c r="AE215" s="313"/>
      <c r="AF215" s="313"/>
      <c r="AG215" s="313"/>
      <c r="AH215" s="253"/>
      <c r="AI215" s="217"/>
      <c r="AJ215" s="318"/>
      <c r="AK215" s="318"/>
      <c r="AL215" s="318"/>
      <c r="AM215" s="318"/>
      <c r="AN215" s="318"/>
      <c r="AO215" s="318"/>
      <c r="AP215" s="318"/>
      <c r="AQ215" s="318"/>
      <c r="AR215" s="318"/>
      <c r="AS215" s="318"/>
      <c r="AT215" s="318"/>
      <c r="AU215" s="318"/>
      <c r="AV215" s="318"/>
      <c r="AW215" s="318"/>
      <c r="AX215" s="318"/>
      <c r="AY215" s="318"/>
      <c r="AZ215" s="346"/>
      <c r="BA215" s="322"/>
      <c r="BB215" s="322"/>
      <c r="BC215" s="322"/>
      <c r="BD215" s="322"/>
      <c r="BE215" s="322"/>
      <c r="BF215" s="346"/>
      <c r="BG215" s="328"/>
      <c r="BH215" s="328"/>
      <c r="BI215" s="328"/>
      <c r="BJ215" s="328"/>
      <c r="BK215" s="328"/>
      <c r="BL215" s="328"/>
      <c r="BM215" s="328"/>
      <c r="BN215" s="217"/>
      <c r="BO215" s="336"/>
      <c r="BP215" s="333"/>
      <c r="BQ215" s="336"/>
      <c r="BR215" s="336"/>
      <c r="BS215" s="336"/>
      <c r="BT215" s="336"/>
      <c r="BU215" s="336"/>
      <c r="BV215" s="336"/>
      <c r="BW215" s="336"/>
      <c r="BX215" s="217"/>
      <c r="BY215" s="341"/>
      <c r="BZ215" s="341"/>
      <c r="CA215" s="341"/>
      <c r="CB215" s="342"/>
      <c r="CC215" s="341"/>
      <c r="CD215" s="341"/>
      <c r="CE215" s="341"/>
      <c r="CF215" s="341"/>
      <c r="CG215" s="341"/>
      <c r="CH215" s="341"/>
      <c r="CI215" s="341"/>
      <c r="CJ215" s="342"/>
      <c r="CK215" s="342"/>
    </row>
    <row r="216">
      <c r="A216" s="753"/>
      <c r="B216" s="202" t="s">
        <v>271</v>
      </c>
      <c r="C216" s="196" t="s">
        <v>271</v>
      </c>
      <c r="D216" s="197" t="s">
        <v>271</v>
      </c>
      <c r="E216" s="199" t="s">
        <v>271</v>
      </c>
      <c r="F216" s="201" t="s">
        <v>271</v>
      </c>
      <c r="G216" s="202" t="s">
        <v>271</v>
      </c>
      <c r="H216" s="303"/>
      <c r="I216" s="303"/>
      <c r="J216" s="303"/>
      <c r="K216" s="303"/>
      <c r="L216" s="303"/>
      <c r="M216" s="303"/>
      <c r="N216" s="303"/>
      <c r="O216" s="303"/>
      <c r="P216" s="217"/>
      <c r="Q216" s="348"/>
      <c r="R216" s="348"/>
      <c r="S216" s="348"/>
      <c r="T216" s="348"/>
      <c r="U216" s="348"/>
      <c r="V216" s="348"/>
      <c r="W216" s="217"/>
      <c r="X216" s="313"/>
      <c r="Y216" s="313"/>
      <c r="Z216" s="313"/>
      <c r="AA216" s="602"/>
      <c r="AB216" s="313"/>
      <c r="AC216" s="313"/>
      <c r="AD216" s="313"/>
      <c r="AE216" s="313"/>
      <c r="AF216" s="313"/>
      <c r="AG216" s="313"/>
      <c r="AH216" s="253"/>
      <c r="AI216" s="217"/>
      <c r="AJ216" s="318"/>
      <c r="AK216" s="318"/>
      <c r="AL216" s="318"/>
      <c r="AM216" s="318"/>
      <c r="AN216" s="318"/>
      <c r="AO216" s="318"/>
      <c r="AP216" s="318"/>
      <c r="AQ216" s="318"/>
      <c r="AR216" s="318"/>
      <c r="AS216" s="318"/>
      <c r="AT216" s="318"/>
      <c r="AU216" s="318"/>
      <c r="AV216" s="318"/>
      <c r="AW216" s="318"/>
      <c r="AX216" s="318"/>
      <c r="AY216" s="318"/>
      <c r="AZ216" s="346"/>
      <c r="BA216" s="322"/>
      <c r="BB216" s="322"/>
      <c r="BC216" s="322"/>
      <c r="BD216" s="322"/>
      <c r="BE216" s="322"/>
      <c r="BF216" s="346"/>
      <c r="BG216" s="328"/>
      <c r="BH216" s="328"/>
      <c r="BI216" s="328"/>
      <c r="BJ216" s="328"/>
      <c r="BK216" s="328"/>
      <c r="BL216" s="328"/>
      <c r="BM216" s="328"/>
      <c r="BN216" s="217"/>
      <c r="BO216" s="336"/>
      <c r="BP216" s="333"/>
      <c r="BQ216" s="336"/>
      <c r="BR216" s="336"/>
      <c r="BS216" s="336"/>
      <c r="BT216" s="336"/>
      <c r="BU216" s="336"/>
      <c r="BV216" s="336"/>
      <c r="BW216" s="336"/>
      <c r="BX216" s="217"/>
      <c r="BY216" s="341"/>
      <c r="BZ216" s="341"/>
      <c r="CA216" s="341"/>
      <c r="CB216" s="342"/>
      <c r="CC216" s="341"/>
      <c r="CD216" s="341"/>
      <c r="CE216" s="341"/>
      <c r="CF216" s="341"/>
      <c r="CG216" s="341"/>
      <c r="CH216" s="341"/>
      <c r="CI216" s="341"/>
      <c r="CJ216" s="342"/>
      <c r="CK216" s="342"/>
    </row>
    <row r="217">
      <c r="A217" s="753"/>
      <c r="B217" s="202" t="s">
        <v>271</v>
      </c>
      <c r="C217" s="196" t="s">
        <v>271</v>
      </c>
      <c r="D217" s="197" t="s">
        <v>271</v>
      </c>
      <c r="E217" s="199" t="s">
        <v>271</v>
      </c>
      <c r="F217" s="201" t="s">
        <v>271</v>
      </c>
      <c r="G217" s="202" t="s">
        <v>271</v>
      </c>
      <c r="H217" s="303"/>
      <c r="I217" s="303"/>
      <c r="J217" s="303"/>
      <c r="K217" s="303"/>
      <c r="L217" s="303"/>
      <c r="M217" s="303"/>
      <c r="N217" s="303"/>
      <c r="O217" s="303"/>
      <c r="P217" s="217"/>
      <c r="Q217" s="348"/>
      <c r="R217" s="348"/>
      <c r="S217" s="348"/>
      <c r="T217" s="348"/>
      <c r="U217" s="348"/>
      <c r="V217" s="348"/>
      <c r="W217" s="217"/>
      <c r="X217" s="313"/>
      <c r="Y217" s="313"/>
      <c r="Z217" s="313"/>
      <c r="AA217" s="602"/>
      <c r="AB217" s="313"/>
      <c r="AC217" s="313"/>
      <c r="AD217" s="313"/>
      <c r="AE217" s="313"/>
      <c r="AF217" s="313"/>
      <c r="AG217" s="313"/>
      <c r="AH217" s="253"/>
      <c r="AI217" s="217"/>
      <c r="AJ217" s="318"/>
      <c r="AK217" s="318"/>
      <c r="AL217" s="318"/>
      <c r="AM217" s="318"/>
      <c r="AN217" s="318"/>
      <c r="AO217" s="318"/>
      <c r="AP217" s="318"/>
      <c r="AQ217" s="318"/>
      <c r="AR217" s="318"/>
      <c r="AS217" s="318"/>
      <c r="AT217" s="318"/>
      <c r="AU217" s="318"/>
      <c r="AV217" s="318"/>
      <c r="AW217" s="318"/>
      <c r="AX217" s="318"/>
      <c r="AY217" s="318"/>
      <c r="AZ217" s="346"/>
      <c r="BA217" s="322"/>
      <c r="BB217" s="322"/>
      <c r="BC217" s="322"/>
      <c r="BD217" s="322"/>
      <c r="BE217" s="322"/>
      <c r="BF217" s="346"/>
      <c r="BG217" s="328"/>
      <c r="BH217" s="328"/>
      <c r="BI217" s="328"/>
      <c r="BJ217" s="328"/>
      <c r="BK217" s="328"/>
      <c r="BL217" s="328"/>
      <c r="BM217" s="328"/>
      <c r="BN217" s="217"/>
      <c r="BO217" s="336"/>
      <c r="BP217" s="333"/>
      <c r="BQ217" s="336"/>
      <c r="BR217" s="336"/>
      <c r="BS217" s="336"/>
      <c r="BT217" s="336"/>
      <c r="BU217" s="336"/>
      <c r="BV217" s="336"/>
      <c r="BW217" s="336"/>
      <c r="BX217" s="217"/>
      <c r="BY217" s="341"/>
      <c r="BZ217" s="341"/>
      <c r="CA217" s="341"/>
      <c r="CB217" s="342"/>
      <c r="CC217" s="341"/>
      <c r="CD217" s="341"/>
      <c r="CE217" s="341"/>
      <c r="CF217" s="341"/>
      <c r="CG217" s="341"/>
      <c r="CH217" s="341"/>
      <c r="CI217" s="341"/>
      <c r="CJ217" s="342"/>
      <c r="CK217" s="342"/>
    </row>
    <row r="218">
      <c r="A218" s="753"/>
      <c r="B218" s="202" t="s">
        <v>271</v>
      </c>
      <c r="C218" s="196" t="s">
        <v>271</v>
      </c>
      <c r="D218" s="197" t="s">
        <v>271</v>
      </c>
      <c r="E218" s="199" t="s">
        <v>271</v>
      </c>
      <c r="F218" s="201" t="s">
        <v>271</v>
      </c>
      <c r="G218" s="202" t="s">
        <v>271</v>
      </c>
      <c r="H218" s="303"/>
      <c r="I218" s="303"/>
      <c r="J218" s="303"/>
      <c r="K218" s="303"/>
      <c r="L218" s="303"/>
      <c r="M218" s="303"/>
      <c r="N218" s="303"/>
      <c r="O218" s="303"/>
      <c r="P218" s="217"/>
      <c r="Q218" s="348"/>
      <c r="R218" s="348"/>
      <c r="S218" s="348"/>
      <c r="T218" s="348"/>
      <c r="U218" s="348"/>
      <c r="V218" s="348"/>
      <c r="W218" s="217"/>
      <c r="X218" s="313"/>
      <c r="Y218" s="313"/>
      <c r="Z218" s="313"/>
      <c r="AA218" s="602"/>
      <c r="AB218" s="313"/>
      <c r="AC218" s="313"/>
      <c r="AD218" s="313"/>
      <c r="AE218" s="313"/>
      <c r="AF218" s="313"/>
      <c r="AG218" s="313"/>
      <c r="AH218" s="253"/>
      <c r="AI218" s="217"/>
      <c r="AJ218" s="318"/>
      <c r="AK218" s="318"/>
      <c r="AL218" s="318"/>
      <c r="AM218" s="318"/>
      <c r="AN218" s="318"/>
      <c r="AO218" s="318"/>
      <c r="AP218" s="318"/>
      <c r="AQ218" s="318"/>
      <c r="AR218" s="318"/>
      <c r="AS218" s="318"/>
      <c r="AT218" s="318"/>
      <c r="AU218" s="318"/>
      <c r="AV218" s="318"/>
      <c r="AW218" s="318"/>
      <c r="AX218" s="318"/>
      <c r="AY218" s="318"/>
      <c r="AZ218" s="346"/>
      <c r="BA218" s="322"/>
      <c r="BB218" s="322"/>
      <c r="BC218" s="322"/>
      <c r="BD218" s="322"/>
      <c r="BE218" s="322"/>
      <c r="BF218" s="346"/>
      <c r="BG218" s="328"/>
      <c r="BH218" s="328"/>
      <c r="BI218" s="328"/>
      <c r="BJ218" s="328"/>
      <c r="BK218" s="328"/>
      <c r="BL218" s="328"/>
      <c r="BM218" s="328"/>
      <c r="BN218" s="217"/>
      <c r="BO218" s="336"/>
      <c r="BP218" s="333"/>
      <c r="BQ218" s="336"/>
      <c r="BR218" s="336"/>
      <c r="BS218" s="336"/>
      <c r="BT218" s="336"/>
      <c r="BU218" s="336"/>
      <c r="BV218" s="336"/>
      <c r="BW218" s="336"/>
      <c r="BX218" s="217"/>
      <c r="BY218" s="341"/>
      <c r="BZ218" s="341"/>
      <c r="CA218" s="341"/>
      <c r="CB218" s="342"/>
      <c r="CC218" s="341"/>
      <c r="CD218" s="341"/>
      <c r="CE218" s="341"/>
      <c r="CF218" s="341"/>
      <c r="CG218" s="341"/>
      <c r="CH218" s="341"/>
      <c r="CI218" s="341"/>
      <c r="CJ218" s="342"/>
      <c r="CK218" s="342"/>
    </row>
    <row r="219">
      <c r="A219" s="753"/>
      <c r="B219" s="202" t="s">
        <v>271</v>
      </c>
      <c r="C219" s="196" t="s">
        <v>271</v>
      </c>
      <c r="D219" s="197" t="s">
        <v>271</v>
      </c>
      <c r="E219" s="199" t="s">
        <v>271</v>
      </c>
      <c r="F219" s="201" t="s">
        <v>271</v>
      </c>
      <c r="G219" s="202" t="s">
        <v>271</v>
      </c>
      <c r="H219" s="303"/>
      <c r="I219" s="303"/>
      <c r="J219" s="303"/>
      <c r="K219" s="303"/>
      <c r="L219" s="303"/>
      <c r="M219" s="303"/>
      <c r="N219" s="303"/>
      <c r="O219" s="303"/>
      <c r="P219" s="217"/>
      <c r="Q219" s="348"/>
      <c r="R219" s="348"/>
      <c r="S219" s="348"/>
      <c r="T219" s="348"/>
      <c r="U219" s="348"/>
      <c r="V219" s="348"/>
      <c r="W219" s="217"/>
      <c r="X219" s="313"/>
      <c r="Y219" s="313"/>
      <c r="Z219" s="313"/>
      <c r="AA219" s="602"/>
      <c r="AB219" s="313"/>
      <c r="AC219" s="313"/>
      <c r="AD219" s="313"/>
      <c r="AE219" s="313"/>
      <c r="AF219" s="313"/>
      <c r="AG219" s="313"/>
      <c r="AH219" s="253"/>
      <c r="AI219" s="217"/>
      <c r="AJ219" s="318"/>
      <c r="AK219" s="318"/>
      <c r="AL219" s="318"/>
      <c r="AM219" s="318"/>
      <c r="AN219" s="318"/>
      <c r="AO219" s="318"/>
      <c r="AP219" s="318"/>
      <c r="AQ219" s="318"/>
      <c r="AR219" s="318"/>
      <c r="AS219" s="318"/>
      <c r="AT219" s="318"/>
      <c r="AU219" s="318"/>
      <c r="AV219" s="318"/>
      <c r="AW219" s="318"/>
      <c r="AX219" s="318"/>
      <c r="AY219" s="318"/>
      <c r="AZ219" s="346"/>
      <c r="BA219" s="322"/>
      <c r="BB219" s="322"/>
      <c r="BC219" s="322"/>
      <c r="BD219" s="322"/>
      <c r="BE219" s="322"/>
      <c r="BF219" s="346"/>
      <c r="BG219" s="328"/>
      <c r="BH219" s="328"/>
      <c r="BI219" s="328"/>
      <c r="BJ219" s="328"/>
      <c r="BK219" s="328"/>
      <c r="BL219" s="328"/>
      <c r="BM219" s="328"/>
      <c r="BN219" s="217"/>
      <c r="BO219" s="336"/>
      <c r="BP219" s="333"/>
      <c r="BQ219" s="336"/>
      <c r="BR219" s="336"/>
      <c r="BS219" s="336"/>
      <c r="BT219" s="336"/>
      <c r="BU219" s="336"/>
      <c r="BV219" s="336"/>
      <c r="BW219" s="336"/>
      <c r="BX219" s="217"/>
      <c r="BY219" s="341"/>
      <c r="BZ219" s="341"/>
      <c r="CA219" s="341"/>
      <c r="CB219" s="342"/>
      <c r="CC219" s="341"/>
      <c r="CD219" s="341"/>
      <c r="CE219" s="341"/>
      <c r="CF219" s="341"/>
      <c r="CG219" s="341"/>
      <c r="CH219" s="341"/>
      <c r="CI219" s="341"/>
      <c r="CJ219" s="342"/>
      <c r="CK219" s="342"/>
    </row>
    <row r="220">
      <c r="A220" s="753"/>
      <c r="B220" s="202" t="s">
        <v>271</v>
      </c>
      <c r="C220" s="196" t="s">
        <v>271</v>
      </c>
      <c r="D220" s="197" t="s">
        <v>271</v>
      </c>
      <c r="E220" s="199" t="s">
        <v>271</v>
      </c>
      <c r="F220" s="201" t="s">
        <v>271</v>
      </c>
      <c r="G220" s="202" t="s">
        <v>271</v>
      </c>
      <c r="H220" s="303"/>
      <c r="I220" s="303"/>
      <c r="J220" s="303"/>
      <c r="K220" s="303"/>
      <c r="L220" s="303"/>
      <c r="M220" s="303"/>
      <c r="N220" s="303"/>
      <c r="O220" s="303"/>
      <c r="P220" s="217"/>
      <c r="Q220" s="348"/>
      <c r="R220" s="348"/>
      <c r="S220" s="348"/>
      <c r="T220" s="348"/>
      <c r="U220" s="348"/>
      <c r="V220" s="348"/>
      <c r="W220" s="217"/>
      <c r="X220" s="313"/>
      <c r="Y220" s="313"/>
      <c r="Z220" s="313"/>
      <c r="AA220" s="602"/>
      <c r="AB220" s="313"/>
      <c r="AC220" s="313"/>
      <c r="AD220" s="313"/>
      <c r="AE220" s="313"/>
      <c r="AF220" s="313"/>
      <c r="AG220" s="313"/>
      <c r="AH220" s="253"/>
      <c r="AI220" s="217"/>
      <c r="AJ220" s="318"/>
      <c r="AK220" s="318"/>
      <c r="AL220" s="318"/>
      <c r="AM220" s="318"/>
      <c r="AN220" s="318"/>
      <c r="AO220" s="318"/>
      <c r="AP220" s="318"/>
      <c r="AQ220" s="318"/>
      <c r="AR220" s="318"/>
      <c r="AS220" s="318"/>
      <c r="AT220" s="318"/>
      <c r="AU220" s="318"/>
      <c r="AV220" s="318"/>
      <c r="AW220" s="318"/>
      <c r="AX220" s="318"/>
      <c r="AY220" s="318"/>
      <c r="AZ220" s="346"/>
      <c r="BA220" s="322"/>
      <c r="BB220" s="322"/>
      <c r="BC220" s="322"/>
      <c r="BD220" s="322"/>
      <c r="BE220" s="322"/>
      <c r="BF220" s="346"/>
      <c r="BG220" s="328"/>
      <c r="BH220" s="328"/>
      <c r="BI220" s="328"/>
      <c r="BJ220" s="328"/>
      <c r="BK220" s="328"/>
      <c r="BL220" s="328"/>
      <c r="BM220" s="328"/>
      <c r="BN220" s="217"/>
      <c r="BO220" s="336"/>
      <c r="BP220" s="333"/>
      <c r="BQ220" s="336"/>
      <c r="BR220" s="336"/>
      <c r="BS220" s="336"/>
      <c r="BT220" s="336"/>
      <c r="BU220" s="336"/>
      <c r="BV220" s="336"/>
      <c r="BW220" s="336"/>
      <c r="BX220" s="217"/>
      <c r="BY220" s="341"/>
      <c r="BZ220" s="341"/>
      <c r="CA220" s="341"/>
      <c r="CB220" s="342"/>
      <c r="CC220" s="341"/>
      <c r="CD220" s="341"/>
      <c r="CE220" s="341"/>
      <c r="CF220" s="341"/>
      <c r="CG220" s="341"/>
      <c r="CH220" s="341"/>
      <c r="CI220" s="341"/>
      <c r="CJ220" s="342"/>
      <c r="CK220" s="342"/>
    </row>
    <row r="221">
      <c r="A221" s="753"/>
      <c r="B221" s="202" t="s">
        <v>271</v>
      </c>
      <c r="C221" s="196" t="s">
        <v>271</v>
      </c>
      <c r="D221" s="197" t="s">
        <v>271</v>
      </c>
      <c r="E221" s="199" t="s">
        <v>271</v>
      </c>
      <c r="F221" s="201" t="s">
        <v>271</v>
      </c>
      <c r="G221" s="202" t="s">
        <v>271</v>
      </c>
      <c r="H221" s="303"/>
      <c r="I221" s="303"/>
      <c r="J221" s="303"/>
      <c r="K221" s="303"/>
      <c r="L221" s="303"/>
      <c r="M221" s="303"/>
      <c r="N221" s="303"/>
      <c r="O221" s="303"/>
      <c r="P221" s="217"/>
      <c r="Q221" s="348"/>
      <c r="R221" s="348"/>
      <c r="S221" s="348"/>
      <c r="T221" s="348"/>
      <c r="U221" s="348"/>
      <c r="V221" s="348"/>
      <c r="W221" s="217"/>
      <c r="X221" s="313"/>
      <c r="Y221" s="313"/>
      <c r="Z221" s="313"/>
      <c r="AA221" s="602"/>
      <c r="AB221" s="313"/>
      <c r="AC221" s="313"/>
      <c r="AD221" s="313"/>
      <c r="AE221" s="313"/>
      <c r="AF221" s="313"/>
      <c r="AG221" s="313"/>
      <c r="AH221" s="253"/>
      <c r="AI221" s="217"/>
      <c r="AJ221" s="318"/>
      <c r="AK221" s="318"/>
      <c r="AL221" s="318"/>
      <c r="AM221" s="318"/>
      <c r="AN221" s="318"/>
      <c r="AO221" s="318"/>
      <c r="AP221" s="318"/>
      <c r="AQ221" s="318"/>
      <c r="AR221" s="318"/>
      <c r="AS221" s="318"/>
      <c r="AT221" s="318"/>
      <c r="AU221" s="318"/>
      <c r="AV221" s="318"/>
      <c r="AW221" s="318"/>
      <c r="AX221" s="318"/>
      <c r="AY221" s="318"/>
      <c r="AZ221" s="346"/>
      <c r="BA221" s="322"/>
      <c r="BB221" s="322"/>
      <c r="BC221" s="322"/>
      <c r="BD221" s="322"/>
      <c r="BE221" s="322"/>
      <c r="BF221" s="346"/>
      <c r="BG221" s="328"/>
      <c r="BH221" s="328"/>
      <c r="BI221" s="328"/>
      <c r="BJ221" s="328"/>
      <c r="BK221" s="328"/>
      <c r="BL221" s="328"/>
      <c r="BM221" s="328"/>
      <c r="BN221" s="217"/>
      <c r="BO221" s="336"/>
      <c r="BP221" s="333"/>
      <c r="BQ221" s="336"/>
      <c r="BR221" s="336"/>
      <c r="BS221" s="336"/>
      <c r="BT221" s="336"/>
      <c r="BU221" s="336"/>
      <c r="BV221" s="336"/>
      <c r="BW221" s="336"/>
      <c r="BX221" s="217"/>
      <c r="BY221" s="341"/>
      <c r="BZ221" s="341"/>
      <c r="CA221" s="341"/>
      <c r="CB221" s="342"/>
      <c r="CC221" s="341"/>
      <c r="CD221" s="341"/>
      <c r="CE221" s="341"/>
      <c r="CF221" s="341"/>
      <c r="CG221" s="341"/>
      <c r="CH221" s="341"/>
      <c r="CI221" s="341"/>
      <c r="CJ221" s="342"/>
      <c r="CK221" s="342"/>
    </row>
    <row r="222">
      <c r="A222" s="753"/>
      <c r="B222" s="202" t="s">
        <v>271</v>
      </c>
      <c r="C222" s="196" t="s">
        <v>271</v>
      </c>
      <c r="D222" s="197" t="s">
        <v>271</v>
      </c>
      <c r="E222" s="199" t="s">
        <v>271</v>
      </c>
      <c r="F222" s="201" t="s">
        <v>271</v>
      </c>
      <c r="G222" s="202" t="s">
        <v>271</v>
      </c>
      <c r="H222" s="303"/>
      <c r="I222" s="303"/>
      <c r="J222" s="303"/>
      <c r="K222" s="303"/>
      <c r="L222" s="303"/>
      <c r="M222" s="303"/>
      <c r="N222" s="303"/>
      <c r="O222" s="303"/>
      <c r="P222" s="217"/>
      <c r="Q222" s="348"/>
      <c r="R222" s="348"/>
      <c r="S222" s="348"/>
      <c r="T222" s="348"/>
      <c r="U222" s="348"/>
      <c r="V222" s="348"/>
      <c r="W222" s="217"/>
      <c r="X222" s="313"/>
      <c r="Y222" s="313"/>
      <c r="Z222" s="313"/>
      <c r="AA222" s="602"/>
      <c r="AB222" s="313"/>
      <c r="AC222" s="313"/>
      <c r="AD222" s="313"/>
      <c r="AE222" s="313"/>
      <c r="AF222" s="313"/>
      <c r="AG222" s="313"/>
      <c r="AH222" s="253"/>
      <c r="AI222" s="217"/>
      <c r="AJ222" s="318"/>
      <c r="AK222" s="318"/>
      <c r="AL222" s="318"/>
      <c r="AM222" s="318"/>
      <c r="AN222" s="318"/>
      <c r="AO222" s="318"/>
      <c r="AP222" s="318"/>
      <c r="AQ222" s="318"/>
      <c r="AR222" s="318"/>
      <c r="AS222" s="318"/>
      <c r="AT222" s="318"/>
      <c r="AU222" s="318"/>
      <c r="AV222" s="318"/>
      <c r="AW222" s="318"/>
      <c r="AX222" s="318"/>
      <c r="AY222" s="318"/>
      <c r="AZ222" s="346"/>
      <c r="BA222" s="322"/>
      <c r="BB222" s="322"/>
      <c r="BC222" s="322"/>
      <c r="BD222" s="322"/>
      <c r="BE222" s="322"/>
      <c r="BF222" s="346"/>
      <c r="BG222" s="328"/>
      <c r="BH222" s="328"/>
      <c r="BI222" s="328"/>
      <c r="BJ222" s="328"/>
      <c r="BK222" s="328"/>
      <c r="BL222" s="328"/>
      <c r="BM222" s="328"/>
      <c r="BN222" s="217"/>
      <c r="BO222" s="336"/>
      <c r="BP222" s="333"/>
      <c r="BQ222" s="336"/>
      <c r="BR222" s="336"/>
      <c r="BS222" s="336"/>
      <c r="BT222" s="336"/>
      <c r="BU222" s="336"/>
      <c r="BV222" s="336"/>
      <c r="BW222" s="336"/>
      <c r="BX222" s="217"/>
      <c r="BY222" s="341"/>
      <c r="BZ222" s="341"/>
      <c r="CA222" s="341"/>
      <c r="CB222" s="342"/>
      <c r="CC222" s="341"/>
      <c r="CD222" s="341"/>
      <c r="CE222" s="341"/>
      <c r="CF222" s="341"/>
      <c r="CG222" s="341"/>
      <c r="CH222" s="341"/>
      <c r="CI222" s="341"/>
      <c r="CJ222" s="342"/>
      <c r="CK222" s="342"/>
    </row>
    <row r="223">
      <c r="A223" s="753"/>
      <c r="B223" s="202" t="s">
        <v>271</v>
      </c>
      <c r="C223" s="196" t="s">
        <v>271</v>
      </c>
      <c r="D223" s="197" t="s">
        <v>271</v>
      </c>
      <c r="E223" s="199" t="s">
        <v>271</v>
      </c>
      <c r="F223" s="201" t="s">
        <v>271</v>
      </c>
      <c r="G223" s="202" t="s">
        <v>271</v>
      </c>
      <c r="H223" s="303"/>
      <c r="I223" s="303"/>
      <c r="J223" s="303"/>
      <c r="K223" s="303"/>
      <c r="L223" s="303"/>
      <c r="M223" s="303"/>
      <c r="N223" s="303"/>
      <c r="O223" s="303"/>
      <c r="P223" s="217"/>
      <c r="Q223" s="348"/>
      <c r="R223" s="348"/>
      <c r="S223" s="348"/>
      <c r="T223" s="348"/>
      <c r="U223" s="348"/>
      <c r="V223" s="348"/>
      <c r="W223" s="217"/>
      <c r="X223" s="313"/>
      <c r="Y223" s="313"/>
      <c r="Z223" s="313"/>
      <c r="AA223" s="602"/>
      <c r="AB223" s="313"/>
      <c r="AC223" s="313"/>
      <c r="AD223" s="313"/>
      <c r="AE223" s="313"/>
      <c r="AF223" s="313"/>
      <c r="AG223" s="313"/>
      <c r="AH223" s="253"/>
      <c r="AI223" s="217"/>
      <c r="AJ223" s="318"/>
      <c r="AK223" s="318"/>
      <c r="AL223" s="318"/>
      <c r="AM223" s="318"/>
      <c r="AN223" s="318"/>
      <c r="AO223" s="318"/>
      <c r="AP223" s="318"/>
      <c r="AQ223" s="318"/>
      <c r="AR223" s="318"/>
      <c r="AS223" s="318"/>
      <c r="AT223" s="318"/>
      <c r="AU223" s="318"/>
      <c r="AV223" s="318"/>
      <c r="AW223" s="318"/>
      <c r="AX223" s="318"/>
      <c r="AY223" s="318"/>
      <c r="AZ223" s="346"/>
      <c r="BA223" s="322"/>
      <c r="BB223" s="322"/>
      <c r="BC223" s="322"/>
      <c r="BD223" s="322"/>
      <c r="BE223" s="322"/>
      <c r="BF223" s="346"/>
      <c r="BG223" s="328"/>
      <c r="BH223" s="328"/>
      <c r="BI223" s="328"/>
      <c r="BJ223" s="328"/>
      <c r="BK223" s="328"/>
      <c r="BL223" s="328"/>
      <c r="BM223" s="328"/>
      <c r="BN223" s="217"/>
      <c r="BO223" s="336"/>
      <c r="BP223" s="333"/>
      <c r="BQ223" s="336"/>
      <c r="BR223" s="336"/>
      <c r="BS223" s="336"/>
      <c r="BT223" s="336"/>
      <c r="BU223" s="336"/>
      <c r="BV223" s="336"/>
      <c r="BW223" s="336"/>
      <c r="BX223" s="217"/>
      <c r="BY223" s="341"/>
      <c r="BZ223" s="341"/>
      <c r="CA223" s="341"/>
      <c r="CB223" s="342"/>
      <c r="CC223" s="341"/>
      <c r="CD223" s="341"/>
      <c r="CE223" s="341"/>
      <c r="CF223" s="341"/>
      <c r="CG223" s="341"/>
      <c r="CH223" s="341"/>
      <c r="CI223" s="341"/>
      <c r="CJ223" s="342"/>
      <c r="CK223" s="342"/>
    </row>
    <row r="224">
      <c r="A224" s="753"/>
      <c r="B224" s="202" t="s">
        <v>271</v>
      </c>
      <c r="C224" s="196" t="s">
        <v>271</v>
      </c>
      <c r="D224" s="197" t="s">
        <v>271</v>
      </c>
      <c r="E224" s="199" t="s">
        <v>271</v>
      </c>
      <c r="F224" s="201" t="s">
        <v>271</v>
      </c>
      <c r="G224" s="202" t="s">
        <v>271</v>
      </c>
      <c r="H224" s="303"/>
      <c r="I224" s="303"/>
      <c r="J224" s="303"/>
      <c r="K224" s="303"/>
      <c r="L224" s="303"/>
      <c r="M224" s="303"/>
      <c r="N224" s="303"/>
      <c r="O224" s="303"/>
      <c r="P224" s="217"/>
      <c r="Q224" s="348"/>
      <c r="R224" s="348"/>
      <c r="S224" s="348"/>
      <c r="T224" s="348"/>
      <c r="U224" s="348"/>
      <c r="V224" s="348"/>
      <c r="W224" s="217"/>
      <c r="X224" s="313"/>
      <c r="Y224" s="313"/>
      <c r="Z224" s="313"/>
      <c r="AA224" s="602"/>
      <c r="AB224" s="313"/>
      <c r="AC224" s="313"/>
      <c r="AD224" s="313"/>
      <c r="AE224" s="313"/>
      <c r="AF224" s="313"/>
      <c r="AG224" s="313"/>
      <c r="AH224" s="253"/>
      <c r="AI224" s="217"/>
      <c r="AJ224" s="318"/>
      <c r="AK224" s="318"/>
      <c r="AL224" s="318"/>
      <c r="AM224" s="318"/>
      <c r="AN224" s="318"/>
      <c r="AO224" s="318"/>
      <c r="AP224" s="318"/>
      <c r="AQ224" s="318"/>
      <c r="AR224" s="318"/>
      <c r="AS224" s="318"/>
      <c r="AT224" s="318"/>
      <c r="AU224" s="318"/>
      <c r="AV224" s="318"/>
      <c r="AW224" s="318"/>
      <c r="AX224" s="318"/>
      <c r="AY224" s="318"/>
      <c r="AZ224" s="346"/>
      <c r="BA224" s="322"/>
      <c r="BB224" s="322"/>
      <c r="BC224" s="322"/>
      <c r="BD224" s="322"/>
      <c r="BE224" s="322"/>
      <c r="BF224" s="346"/>
      <c r="BG224" s="328"/>
      <c r="BH224" s="328"/>
      <c r="BI224" s="328"/>
      <c r="BJ224" s="328"/>
      <c r="BK224" s="328"/>
      <c r="BL224" s="328"/>
      <c r="BM224" s="328"/>
      <c r="BN224" s="217"/>
      <c r="BO224" s="336"/>
      <c r="BP224" s="333"/>
      <c r="BQ224" s="336"/>
      <c r="BR224" s="336"/>
      <c r="BS224" s="336"/>
      <c r="BT224" s="336"/>
      <c r="BU224" s="336"/>
      <c r="BV224" s="336"/>
      <c r="BW224" s="336"/>
      <c r="BX224" s="217"/>
      <c r="BY224" s="341"/>
      <c r="BZ224" s="341"/>
      <c r="CA224" s="341"/>
      <c r="CB224" s="342"/>
      <c r="CC224" s="341"/>
      <c r="CD224" s="341"/>
      <c r="CE224" s="341"/>
      <c r="CF224" s="341"/>
      <c r="CG224" s="341"/>
      <c r="CH224" s="341"/>
      <c r="CI224" s="341"/>
      <c r="CJ224" s="342"/>
      <c r="CK224" s="342"/>
    </row>
    <row r="225">
      <c r="A225" s="753"/>
      <c r="B225" s="202" t="s">
        <v>271</v>
      </c>
      <c r="C225" s="196" t="s">
        <v>271</v>
      </c>
      <c r="D225" s="197" t="s">
        <v>271</v>
      </c>
      <c r="E225" s="199" t="s">
        <v>271</v>
      </c>
      <c r="F225" s="201" t="s">
        <v>271</v>
      </c>
      <c r="G225" s="202" t="s">
        <v>271</v>
      </c>
      <c r="H225" s="303"/>
      <c r="I225" s="303"/>
      <c r="J225" s="303"/>
      <c r="K225" s="303"/>
      <c r="L225" s="303"/>
      <c r="M225" s="303"/>
      <c r="N225" s="303"/>
      <c r="O225" s="303"/>
      <c r="P225" s="217"/>
      <c r="Q225" s="348"/>
      <c r="R225" s="348"/>
      <c r="S225" s="348"/>
      <c r="T225" s="348"/>
      <c r="U225" s="348"/>
      <c r="V225" s="348"/>
      <c r="W225" s="217"/>
      <c r="X225" s="313"/>
      <c r="Y225" s="313"/>
      <c r="Z225" s="313"/>
      <c r="AA225" s="602"/>
      <c r="AB225" s="313"/>
      <c r="AC225" s="313"/>
      <c r="AD225" s="313"/>
      <c r="AE225" s="313"/>
      <c r="AF225" s="313"/>
      <c r="AG225" s="313"/>
      <c r="AH225" s="253"/>
      <c r="AI225" s="217"/>
      <c r="AJ225" s="318"/>
      <c r="AK225" s="318"/>
      <c r="AL225" s="318"/>
      <c r="AM225" s="318"/>
      <c r="AN225" s="318"/>
      <c r="AO225" s="318"/>
      <c r="AP225" s="318"/>
      <c r="AQ225" s="318"/>
      <c r="AR225" s="318"/>
      <c r="AS225" s="318"/>
      <c r="AT225" s="318"/>
      <c r="AU225" s="318"/>
      <c r="AV225" s="318"/>
      <c r="AW225" s="318"/>
      <c r="AX225" s="318"/>
      <c r="AY225" s="318"/>
      <c r="AZ225" s="346"/>
      <c r="BA225" s="322"/>
      <c r="BB225" s="322"/>
      <c r="BC225" s="322"/>
      <c r="BD225" s="322"/>
      <c r="BE225" s="322"/>
      <c r="BF225" s="346"/>
      <c r="BG225" s="328"/>
      <c r="BH225" s="328"/>
      <c r="BI225" s="328"/>
      <c r="BJ225" s="328"/>
      <c r="BK225" s="328"/>
      <c r="BL225" s="328"/>
      <c r="BM225" s="328"/>
      <c r="BN225" s="217"/>
      <c r="BO225" s="336"/>
      <c r="BP225" s="333"/>
      <c r="BQ225" s="336"/>
      <c r="BR225" s="336"/>
      <c r="BS225" s="336"/>
      <c r="BT225" s="336"/>
      <c r="BU225" s="336"/>
      <c r="BV225" s="336"/>
      <c r="BW225" s="336"/>
      <c r="BX225" s="217"/>
      <c r="BY225" s="341"/>
      <c r="BZ225" s="341"/>
      <c r="CA225" s="341"/>
      <c r="CB225" s="342"/>
      <c r="CC225" s="341"/>
      <c r="CD225" s="341"/>
      <c r="CE225" s="341"/>
      <c r="CF225" s="341"/>
      <c r="CG225" s="341"/>
      <c r="CH225" s="341"/>
      <c r="CI225" s="341"/>
      <c r="CJ225" s="342"/>
      <c r="CK225" s="342"/>
    </row>
    <row r="226">
      <c r="A226" s="753"/>
      <c r="B226" s="202" t="s">
        <v>271</v>
      </c>
      <c r="C226" s="196" t="s">
        <v>271</v>
      </c>
      <c r="D226" s="197" t="s">
        <v>271</v>
      </c>
      <c r="E226" s="199" t="s">
        <v>271</v>
      </c>
      <c r="F226" s="201" t="s">
        <v>271</v>
      </c>
      <c r="G226" s="202" t="s">
        <v>271</v>
      </c>
      <c r="H226" s="303"/>
      <c r="I226" s="303"/>
      <c r="J226" s="303"/>
      <c r="K226" s="303"/>
      <c r="L226" s="303"/>
      <c r="M226" s="303"/>
      <c r="N226" s="303"/>
      <c r="O226" s="303"/>
      <c r="P226" s="217"/>
      <c r="Q226" s="348"/>
      <c r="R226" s="348"/>
      <c r="S226" s="348"/>
      <c r="T226" s="348"/>
      <c r="U226" s="348"/>
      <c r="V226" s="348"/>
      <c r="W226" s="217"/>
      <c r="X226" s="313"/>
      <c r="Y226" s="313"/>
      <c r="Z226" s="313"/>
      <c r="AA226" s="602"/>
      <c r="AB226" s="313"/>
      <c r="AC226" s="313"/>
      <c r="AD226" s="313"/>
      <c r="AE226" s="313"/>
      <c r="AF226" s="313"/>
      <c r="AG226" s="313"/>
      <c r="AH226" s="253"/>
      <c r="AI226" s="217"/>
      <c r="AJ226" s="318"/>
      <c r="AK226" s="318"/>
      <c r="AL226" s="318"/>
      <c r="AM226" s="318"/>
      <c r="AN226" s="318"/>
      <c r="AO226" s="318"/>
      <c r="AP226" s="318"/>
      <c r="AQ226" s="318"/>
      <c r="AR226" s="318"/>
      <c r="AS226" s="318"/>
      <c r="AT226" s="318"/>
      <c r="AU226" s="318"/>
      <c r="AV226" s="318"/>
      <c r="AW226" s="318"/>
      <c r="AX226" s="318"/>
      <c r="AY226" s="318"/>
      <c r="AZ226" s="346"/>
      <c r="BA226" s="322"/>
      <c r="BB226" s="322"/>
      <c r="BC226" s="322"/>
      <c r="BD226" s="322"/>
      <c r="BE226" s="322"/>
      <c r="BF226" s="346"/>
      <c r="BG226" s="328"/>
      <c r="BH226" s="328"/>
      <c r="BI226" s="328"/>
      <c r="BJ226" s="328"/>
      <c r="BK226" s="328"/>
      <c r="BL226" s="328"/>
      <c r="BM226" s="328"/>
      <c r="BN226" s="217"/>
      <c r="BO226" s="336"/>
      <c r="BP226" s="333"/>
      <c r="BQ226" s="336"/>
      <c r="BR226" s="336"/>
      <c r="BS226" s="336"/>
      <c r="BT226" s="336"/>
      <c r="BU226" s="336"/>
      <c r="BV226" s="336"/>
      <c r="BW226" s="336"/>
      <c r="BX226" s="217"/>
      <c r="BY226" s="341"/>
      <c r="BZ226" s="341"/>
      <c r="CA226" s="341"/>
      <c r="CB226" s="342"/>
      <c r="CC226" s="341"/>
      <c r="CD226" s="341"/>
      <c r="CE226" s="341"/>
      <c r="CF226" s="341"/>
      <c r="CG226" s="341"/>
      <c r="CH226" s="341"/>
      <c r="CI226" s="341"/>
      <c r="CJ226" s="342"/>
      <c r="CK226" s="342"/>
    </row>
    <row r="227">
      <c r="A227" s="753"/>
      <c r="B227" s="202" t="s">
        <v>271</v>
      </c>
      <c r="C227" s="196" t="s">
        <v>271</v>
      </c>
      <c r="D227" s="197" t="s">
        <v>271</v>
      </c>
      <c r="E227" s="199" t="s">
        <v>271</v>
      </c>
      <c r="F227" s="201" t="s">
        <v>271</v>
      </c>
      <c r="G227" s="202" t="s">
        <v>271</v>
      </c>
      <c r="H227" s="303"/>
      <c r="I227" s="303"/>
      <c r="J227" s="303"/>
      <c r="K227" s="303"/>
      <c r="L227" s="303"/>
      <c r="M227" s="303"/>
      <c r="N227" s="303"/>
      <c r="O227" s="303"/>
      <c r="P227" s="217"/>
      <c r="Q227" s="348"/>
      <c r="R227" s="348"/>
      <c r="S227" s="348"/>
      <c r="T227" s="348"/>
      <c r="U227" s="348"/>
      <c r="V227" s="348"/>
      <c r="W227" s="217"/>
      <c r="X227" s="313"/>
      <c r="Y227" s="313"/>
      <c r="Z227" s="313"/>
      <c r="AA227" s="602"/>
      <c r="AB227" s="313"/>
      <c r="AC227" s="313"/>
      <c r="AD227" s="313"/>
      <c r="AE227" s="313"/>
      <c r="AF227" s="313"/>
      <c r="AG227" s="313"/>
      <c r="AH227" s="253"/>
      <c r="AI227" s="217"/>
      <c r="AJ227" s="318"/>
      <c r="AK227" s="318"/>
      <c r="AL227" s="318"/>
      <c r="AM227" s="318"/>
      <c r="AN227" s="318"/>
      <c r="AO227" s="318"/>
      <c r="AP227" s="318"/>
      <c r="AQ227" s="318"/>
      <c r="AR227" s="318"/>
      <c r="AS227" s="318"/>
      <c r="AT227" s="318"/>
      <c r="AU227" s="318"/>
      <c r="AV227" s="318"/>
      <c r="AW227" s="318"/>
      <c r="AX227" s="318"/>
      <c r="AY227" s="318"/>
      <c r="AZ227" s="346"/>
      <c r="BA227" s="322"/>
      <c r="BB227" s="322"/>
      <c r="BC227" s="322"/>
      <c r="BD227" s="322"/>
      <c r="BE227" s="322"/>
      <c r="BF227" s="346"/>
      <c r="BG227" s="328"/>
      <c r="BH227" s="328"/>
      <c r="BI227" s="328"/>
      <c r="BJ227" s="328"/>
      <c r="BK227" s="328"/>
      <c r="BL227" s="328"/>
      <c r="BM227" s="328"/>
      <c r="BN227" s="217"/>
      <c r="BO227" s="336"/>
      <c r="BP227" s="333"/>
      <c r="BQ227" s="336"/>
      <c r="BR227" s="336"/>
      <c r="BS227" s="336"/>
      <c r="BT227" s="336"/>
      <c r="BU227" s="336"/>
      <c r="BV227" s="336"/>
      <c r="BW227" s="336"/>
      <c r="BX227" s="217"/>
      <c r="BY227" s="341"/>
      <c r="BZ227" s="341"/>
      <c r="CA227" s="341"/>
      <c r="CB227" s="342"/>
      <c r="CC227" s="341"/>
      <c r="CD227" s="341"/>
      <c r="CE227" s="341"/>
      <c r="CF227" s="341"/>
      <c r="CG227" s="341"/>
      <c r="CH227" s="341"/>
      <c r="CI227" s="341"/>
      <c r="CJ227" s="342"/>
      <c r="CK227" s="342"/>
    </row>
    <row r="228">
      <c r="A228" s="753"/>
      <c r="B228" s="202" t="s">
        <v>271</v>
      </c>
      <c r="C228" s="196" t="s">
        <v>271</v>
      </c>
      <c r="D228" s="197" t="s">
        <v>271</v>
      </c>
      <c r="E228" s="199" t="s">
        <v>271</v>
      </c>
      <c r="F228" s="201" t="s">
        <v>271</v>
      </c>
      <c r="G228" s="202" t="s">
        <v>271</v>
      </c>
      <c r="H228" s="303"/>
      <c r="I228" s="303"/>
      <c r="J228" s="303"/>
      <c r="K228" s="303"/>
      <c r="L228" s="303"/>
      <c r="M228" s="303"/>
      <c r="N228" s="303"/>
      <c r="O228" s="303"/>
      <c r="P228" s="217"/>
      <c r="Q228" s="348"/>
      <c r="R228" s="348"/>
      <c r="S228" s="348"/>
      <c r="T228" s="348"/>
      <c r="U228" s="348"/>
      <c r="V228" s="348"/>
      <c r="W228" s="217"/>
      <c r="X228" s="313"/>
      <c r="Y228" s="313"/>
      <c r="Z228" s="313"/>
      <c r="AA228" s="602"/>
      <c r="AB228" s="313"/>
      <c r="AC228" s="313"/>
      <c r="AD228" s="313"/>
      <c r="AE228" s="313"/>
      <c r="AF228" s="313"/>
      <c r="AG228" s="313"/>
      <c r="AH228" s="253"/>
      <c r="AI228" s="217"/>
      <c r="AJ228" s="318"/>
      <c r="AK228" s="318"/>
      <c r="AL228" s="318"/>
      <c r="AM228" s="318"/>
      <c r="AN228" s="318"/>
      <c r="AO228" s="318"/>
      <c r="AP228" s="318"/>
      <c r="AQ228" s="318"/>
      <c r="AR228" s="318"/>
      <c r="AS228" s="318"/>
      <c r="AT228" s="318"/>
      <c r="AU228" s="318"/>
      <c r="AV228" s="318"/>
      <c r="AW228" s="318"/>
      <c r="AX228" s="318"/>
      <c r="AY228" s="318"/>
      <c r="AZ228" s="346"/>
      <c r="BA228" s="322"/>
      <c r="BB228" s="322"/>
      <c r="BC228" s="322"/>
      <c r="BD228" s="322"/>
      <c r="BE228" s="322"/>
      <c r="BF228" s="346"/>
      <c r="BG228" s="328"/>
      <c r="BH228" s="328"/>
      <c r="BI228" s="328"/>
      <c r="BJ228" s="328"/>
      <c r="BK228" s="328"/>
      <c r="BL228" s="328"/>
      <c r="BM228" s="328"/>
      <c r="BN228" s="217"/>
      <c r="BO228" s="336"/>
      <c r="BP228" s="333"/>
      <c r="BQ228" s="336"/>
      <c r="BR228" s="336"/>
      <c r="BS228" s="336"/>
      <c r="BT228" s="336"/>
      <c r="BU228" s="336"/>
      <c r="BV228" s="336"/>
      <c r="BW228" s="336"/>
      <c r="BX228" s="217"/>
      <c r="BY228" s="341"/>
      <c r="BZ228" s="341"/>
      <c r="CA228" s="341"/>
      <c r="CB228" s="342"/>
      <c r="CC228" s="341"/>
      <c r="CD228" s="341"/>
      <c r="CE228" s="341"/>
      <c r="CF228" s="341"/>
      <c r="CG228" s="341"/>
      <c r="CH228" s="341"/>
      <c r="CI228" s="341"/>
      <c r="CJ228" s="342"/>
      <c r="CK228" s="342"/>
    </row>
    <row r="229">
      <c r="A229" s="753"/>
      <c r="B229" s="202" t="s">
        <v>271</v>
      </c>
      <c r="C229" s="196" t="s">
        <v>271</v>
      </c>
      <c r="D229" s="197" t="s">
        <v>271</v>
      </c>
      <c r="E229" s="199" t="s">
        <v>271</v>
      </c>
      <c r="F229" s="201" t="s">
        <v>271</v>
      </c>
      <c r="G229" s="202" t="s">
        <v>271</v>
      </c>
      <c r="H229" s="303"/>
      <c r="I229" s="303"/>
      <c r="J229" s="303"/>
      <c r="K229" s="303"/>
      <c r="L229" s="303"/>
      <c r="M229" s="303"/>
      <c r="N229" s="303"/>
      <c r="O229" s="303"/>
      <c r="P229" s="217"/>
      <c r="Q229" s="348"/>
      <c r="R229" s="348"/>
      <c r="S229" s="348"/>
      <c r="T229" s="348"/>
      <c r="U229" s="348"/>
      <c r="V229" s="348"/>
      <c r="W229" s="217"/>
      <c r="X229" s="313"/>
      <c r="Y229" s="313"/>
      <c r="Z229" s="313"/>
      <c r="AA229" s="602"/>
      <c r="AB229" s="313"/>
      <c r="AC229" s="313"/>
      <c r="AD229" s="313"/>
      <c r="AE229" s="313"/>
      <c r="AF229" s="313"/>
      <c r="AG229" s="313"/>
      <c r="AH229" s="253"/>
      <c r="AI229" s="217"/>
      <c r="AJ229" s="318"/>
      <c r="AK229" s="318"/>
      <c r="AL229" s="318"/>
      <c r="AM229" s="318"/>
      <c r="AN229" s="318"/>
      <c r="AO229" s="318"/>
      <c r="AP229" s="318"/>
      <c r="AQ229" s="318"/>
      <c r="AR229" s="318"/>
      <c r="AS229" s="318"/>
      <c r="AT229" s="318"/>
      <c r="AU229" s="318"/>
      <c r="AV229" s="318"/>
      <c r="AW229" s="318"/>
      <c r="AX229" s="318"/>
      <c r="AY229" s="318"/>
      <c r="AZ229" s="346"/>
      <c r="BA229" s="322"/>
      <c r="BB229" s="322"/>
      <c r="BC229" s="322"/>
      <c r="BD229" s="322"/>
      <c r="BE229" s="322"/>
      <c r="BF229" s="346"/>
      <c r="BG229" s="328"/>
      <c r="BH229" s="328"/>
      <c r="BI229" s="328"/>
      <c r="BJ229" s="328"/>
      <c r="BK229" s="328"/>
      <c r="BL229" s="328"/>
      <c r="BM229" s="328"/>
      <c r="BN229" s="217"/>
      <c r="BO229" s="336"/>
      <c r="BP229" s="333"/>
      <c r="BQ229" s="336"/>
      <c r="BR229" s="336"/>
      <c r="BS229" s="336"/>
      <c r="BT229" s="336"/>
      <c r="BU229" s="336"/>
      <c r="BV229" s="336"/>
      <c r="BW229" s="336"/>
      <c r="BX229" s="217"/>
      <c r="BY229" s="341"/>
      <c r="BZ229" s="341"/>
      <c r="CA229" s="341"/>
      <c r="CB229" s="342"/>
      <c r="CC229" s="341"/>
      <c r="CD229" s="341"/>
      <c r="CE229" s="341"/>
      <c r="CF229" s="341"/>
      <c r="CG229" s="341"/>
      <c r="CH229" s="341"/>
      <c r="CI229" s="341"/>
      <c r="CJ229" s="342"/>
      <c r="CK229" s="342"/>
    </row>
    <row r="230">
      <c r="A230" s="753"/>
      <c r="B230" s="202" t="s">
        <v>271</v>
      </c>
      <c r="C230" s="196" t="s">
        <v>271</v>
      </c>
      <c r="D230" s="197" t="s">
        <v>271</v>
      </c>
      <c r="E230" s="199" t="s">
        <v>271</v>
      </c>
      <c r="F230" s="201" t="s">
        <v>271</v>
      </c>
      <c r="G230" s="202" t="s">
        <v>271</v>
      </c>
      <c r="H230" s="303"/>
      <c r="I230" s="303"/>
      <c r="J230" s="303"/>
      <c r="K230" s="303"/>
      <c r="L230" s="303"/>
      <c r="M230" s="303"/>
      <c r="N230" s="303"/>
      <c r="O230" s="303"/>
      <c r="P230" s="217"/>
      <c r="Q230" s="348"/>
      <c r="R230" s="348"/>
      <c r="S230" s="348"/>
      <c r="T230" s="348"/>
      <c r="U230" s="348"/>
      <c r="V230" s="348"/>
      <c r="W230" s="217"/>
      <c r="X230" s="313"/>
      <c r="Y230" s="313"/>
      <c r="Z230" s="313"/>
      <c r="AA230" s="602"/>
      <c r="AB230" s="313"/>
      <c r="AC230" s="313"/>
      <c r="AD230" s="313"/>
      <c r="AE230" s="313"/>
      <c r="AF230" s="313"/>
      <c r="AG230" s="313"/>
      <c r="AH230" s="253"/>
      <c r="AI230" s="217"/>
      <c r="AJ230" s="318"/>
      <c r="AK230" s="318"/>
      <c r="AL230" s="318"/>
      <c r="AM230" s="318"/>
      <c r="AN230" s="318"/>
      <c r="AO230" s="318"/>
      <c r="AP230" s="318"/>
      <c r="AQ230" s="318"/>
      <c r="AR230" s="318"/>
      <c r="AS230" s="318"/>
      <c r="AT230" s="318"/>
      <c r="AU230" s="318"/>
      <c r="AV230" s="318"/>
      <c r="AW230" s="318"/>
      <c r="AX230" s="318"/>
      <c r="AY230" s="318"/>
      <c r="AZ230" s="346"/>
      <c r="BA230" s="322"/>
      <c r="BB230" s="322"/>
      <c r="BC230" s="322"/>
      <c r="BD230" s="322"/>
      <c r="BE230" s="322"/>
      <c r="BF230" s="346"/>
      <c r="BG230" s="328"/>
      <c r="BH230" s="328"/>
      <c r="BI230" s="328"/>
      <c r="BJ230" s="328"/>
      <c r="BK230" s="328"/>
      <c r="BL230" s="328"/>
      <c r="BM230" s="328"/>
      <c r="BN230" s="217"/>
      <c r="BO230" s="336"/>
      <c r="BP230" s="333"/>
      <c r="BQ230" s="336"/>
      <c r="BR230" s="336"/>
      <c r="BS230" s="336"/>
      <c r="BT230" s="336"/>
      <c r="BU230" s="336"/>
      <c r="BV230" s="336"/>
      <c r="BW230" s="336"/>
      <c r="BX230" s="217"/>
      <c r="BY230" s="341"/>
      <c r="BZ230" s="341"/>
      <c r="CA230" s="341"/>
      <c r="CB230" s="342"/>
      <c r="CC230" s="341"/>
      <c r="CD230" s="341"/>
      <c r="CE230" s="341"/>
      <c r="CF230" s="341"/>
      <c r="CG230" s="341"/>
      <c r="CH230" s="341"/>
      <c r="CI230" s="341"/>
      <c r="CJ230" s="342"/>
      <c r="CK230" s="342"/>
    </row>
    <row r="231">
      <c r="A231" s="753"/>
      <c r="B231" s="202" t="s">
        <v>271</v>
      </c>
      <c r="C231" s="196" t="s">
        <v>271</v>
      </c>
      <c r="D231" s="197" t="s">
        <v>271</v>
      </c>
      <c r="E231" s="199" t="s">
        <v>271</v>
      </c>
      <c r="F231" s="201" t="s">
        <v>271</v>
      </c>
      <c r="G231" s="202" t="s">
        <v>271</v>
      </c>
      <c r="H231" s="303"/>
      <c r="I231" s="303"/>
      <c r="J231" s="303"/>
      <c r="K231" s="303"/>
      <c r="L231" s="303"/>
      <c r="M231" s="303"/>
      <c r="N231" s="303"/>
      <c r="O231" s="303"/>
      <c r="P231" s="217"/>
      <c r="Q231" s="348"/>
      <c r="R231" s="348"/>
      <c r="S231" s="348"/>
      <c r="T231" s="348"/>
      <c r="U231" s="348"/>
      <c r="V231" s="348"/>
      <c r="W231" s="217"/>
      <c r="X231" s="313"/>
      <c r="Y231" s="313"/>
      <c r="Z231" s="313"/>
      <c r="AA231" s="602"/>
      <c r="AB231" s="313"/>
      <c r="AC231" s="313"/>
      <c r="AD231" s="313"/>
      <c r="AE231" s="313"/>
      <c r="AF231" s="313"/>
      <c r="AG231" s="313"/>
      <c r="AH231" s="253"/>
      <c r="AI231" s="217"/>
      <c r="AJ231" s="318"/>
      <c r="AK231" s="318"/>
      <c r="AL231" s="318"/>
      <c r="AM231" s="318"/>
      <c r="AN231" s="318"/>
      <c r="AO231" s="318"/>
      <c r="AP231" s="318"/>
      <c r="AQ231" s="318"/>
      <c r="AR231" s="318"/>
      <c r="AS231" s="318"/>
      <c r="AT231" s="318"/>
      <c r="AU231" s="318"/>
      <c r="AV231" s="318"/>
      <c r="AW231" s="318"/>
      <c r="AX231" s="318"/>
      <c r="AY231" s="318"/>
      <c r="AZ231" s="346"/>
      <c r="BA231" s="322"/>
      <c r="BB231" s="322"/>
      <c r="BC231" s="322"/>
      <c r="BD231" s="322"/>
      <c r="BE231" s="322"/>
      <c r="BF231" s="346"/>
      <c r="BG231" s="328"/>
      <c r="BH231" s="328"/>
      <c r="BI231" s="328"/>
      <c r="BJ231" s="328"/>
      <c r="BK231" s="328"/>
      <c r="BL231" s="328"/>
      <c r="BM231" s="328"/>
      <c r="BN231" s="217"/>
      <c r="BO231" s="336"/>
      <c r="BP231" s="333"/>
      <c r="BQ231" s="336"/>
      <c r="BR231" s="336"/>
      <c r="BS231" s="336"/>
      <c r="BT231" s="336"/>
      <c r="BU231" s="336"/>
      <c r="BV231" s="336"/>
      <c r="BW231" s="336"/>
      <c r="BX231" s="217"/>
      <c r="BY231" s="341"/>
      <c r="BZ231" s="341"/>
      <c r="CA231" s="341"/>
      <c r="CB231" s="342"/>
      <c r="CC231" s="341"/>
      <c r="CD231" s="341"/>
      <c r="CE231" s="341"/>
      <c r="CF231" s="341"/>
      <c r="CG231" s="341"/>
      <c r="CH231" s="341"/>
      <c r="CI231" s="341"/>
      <c r="CJ231" s="342"/>
      <c r="CK231" s="342"/>
    </row>
    <row r="232">
      <c r="A232" s="753"/>
      <c r="B232" s="202" t="s">
        <v>271</v>
      </c>
      <c r="C232" s="196" t="s">
        <v>271</v>
      </c>
      <c r="D232" s="197" t="s">
        <v>271</v>
      </c>
      <c r="E232" s="199" t="s">
        <v>271</v>
      </c>
      <c r="F232" s="201" t="s">
        <v>271</v>
      </c>
      <c r="G232" s="202" t="s">
        <v>271</v>
      </c>
      <c r="H232" s="303"/>
      <c r="I232" s="303"/>
      <c r="J232" s="303"/>
      <c r="K232" s="303"/>
      <c r="L232" s="303"/>
      <c r="M232" s="303"/>
      <c r="N232" s="303"/>
      <c r="O232" s="303"/>
      <c r="P232" s="217"/>
      <c r="Q232" s="348"/>
      <c r="R232" s="348"/>
      <c r="S232" s="348"/>
      <c r="T232" s="348"/>
      <c r="U232" s="348"/>
      <c r="V232" s="348"/>
      <c r="W232" s="217"/>
      <c r="X232" s="313"/>
      <c r="Y232" s="313"/>
      <c r="Z232" s="313"/>
      <c r="AA232" s="602"/>
      <c r="AB232" s="313"/>
      <c r="AC232" s="313"/>
      <c r="AD232" s="313"/>
      <c r="AE232" s="313"/>
      <c r="AF232" s="313"/>
      <c r="AG232" s="313"/>
      <c r="AH232" s="253"/>
      <c r="AI232" s="217"/>
      <c r="AJ232" s="318"/>
      <c r="AK232" s="318"/>
      <c r="AL232" s="318"/>
      <c r="AM232" s="318"/>
      <c r="AN232" s="318"/>
      <c r="AO232" s="318"/>
      <c r="AP232" s="318"/>
      <c r="AQ232" s="318"/>
      <c r="AR232" s="318"/>
      <c r="AS232" s="318"/>
      <c r="AT232" s="318"/>
      <c r="AU232" s="318"/>
      <c r="AV232" s="318"/>
      <c r="AW232" s="318"/>
      <c r="AX232" s="318"/>
      <c r="AY232" s="318"/>
      <c r="AZ232" s="346"/>
      <c r="BA232" s="322"/>
      <c r="BB232" s="322"/>
      <c r="BC232" s="322"/>
      <c r="BD232" s="322"/>
      <c r="BE232" s="322"/>
      <c r="BF232" s="346"/>
      <c r="BG232" s="328"/>
      <c r="BH232" s="328"/>
      <c r="BI232" s="328"/>
      <c r="BJ232" s="328"/>
      <c r="BK232" s="328"/>
      <c r="BL232" s="328"/>
      <c r="BM232" s="328"/>
      <c r="BN232" s="217"/>
      <c r="BO232" s="336"/>
      <c r="BP232" s="333"/>
      <c r="BQ232" s="336"/>
      <c r="BR232" s="336"/>
      <c r="BS232" s="336"/>
      <c r="BT232" s="336"/>
      <c r="BU232" s="336"/>
      <c r="BV232" s="336"/>
      <c r="BW232" s="336"/>
      <c r="BX232" s="217"/>
      <c r="BY232" s="341"/>
      <c r="BZ232" s="341"/>
      <c r="CA232" s="341"/>
      <c r="CB232" s="342"/>
      <c r="CC232" s="341"/>
      <c r="CD232" s="341"/>
      <c r="CE232" s="341"/>
      <c r="CF232" s="341"/>
      <c r="CG232" s="341"/>
      <c r="CH232" s="341"/>
      <c r="CI232" s="341"/>
      <c r="CJ232" s="342"/>
      <c r="CK232" s="342"/>
    </row>
    <row r="233">
      <c r="A233" s="753"/>
      <c r="B233" s="202" t="s">
        <v>271</v>
      </c>
      <c r="C233" s="196" t="s">
        <v>271</v>
      </c>
      <c r="D233" s="197" t="s">
        <v>271</v>
      </c>
      <c r="E233" s="199" t="s">
        <v>271</v>
      </c>
      <c r="F233" s="201" t="s">
        <v>271</v>
      </c>
      <c r="G233" s="202" t="s">
        <v>271</v>
      </c>
      <c r="H233" s="303"/>
      <c r="I233" s="303"/>
      <c r="J233" s="303"/>
      <c r="K233" s="303"/>
      <c r="L233" s="303"/>
      <c r="M233" s="303"/>
      <c r="N233" s="303"/>
      <c r="O233" s="303"/>
      <c r="P233" s="217"/>
      <c r="Q233" s="348"/>
      <c r="R233" s="348"/>
      <c r="S233" s="348"/>
      <c r="T233" s="348"/>
      <c r="U233" s="348"/>
      <c r="V233" s="348"/>
      <c r="W233" s="217"/>
      <c r="X233" s="313"/>
      <c r="Y233" s="313"/>
      <c r="Z233" s="313"/>
      <c r="AA233" s="602"/>
      <c r="AB233" s="313"/>
      <c r="AC233" s="313"/>
      <c r="AD233" s="313"/>
      <c r="AE233" s="313"/>
      <c r="AF233" s="313"/>
      <c r="AG233" s="313"/>
      <c r="AH233" s="253"/>
      <c r="AI233" s="217"/>
      <c r="AJ233" s="318"/>
      <c r="AK233" s="318"/>
      <c r="AL233" s="318"/>
      <c r="AM233" s="318"/>
      <c r="AN233" s="318"/>
      <c r="AO233" s="318"/>
      <c r="AP233" s="318"/>
      <c r="AQ233" s="318"/>
      <c r="AR233" s="318"/>
      <c r="AS233" s="318"/>
      <c r="AT233" s="318"/>
      <c r="AU233" s="318"/>
      <c r="AV233" s="318"/>
      <c r="AW233" s="318"/>
      <c r="AX233" s="318"/>
      <c r="AY233" s="318"/>
      <c r="AZ233" s="346"/>
      <c r="BA233" s="322"/>
      <c r="BB233" s="322"/>
      <c r="BC233" s="322"/>
      <c r="BD233" s="322"/>
      <c r="BE233" s="322"/>
      <c r="BF233" s="346"/>
      <c r="BG233" s="328"/>
      <c r="BH233" s="328"/>
      <c r="BI233" s="328"/>
      <c r="BJ233" s="328"/>
      <c r="BK233" s="328"/>
      <c r="BL233" s="328"/>
      <c r="BM233" s="328"/>
      <c r="BN233" s="217"/>
      <c r="BO233" s="336"/>
      <c r="BP233" s="333"/>
      <c r="BQ233" s="336"/>
      <c r="BR233" s="336"/>
      <c r="BS233" s="336"/>
      <c r="BT233" s="336"/>
      <c r="BU233" s="336"/>
      <c r="BV233" s="336"/>
      <c r="BW233" s="336"/>
      <c r="BX233" s="217"/>
      <c r="BY233" s="341"/>
      <c r="BZ233" s="341"/>
      <c r="CA233" s="341"/>
      <c r="CB233" s="342"/>
      <c r="CC233" s="341"/>
      <c r="CD233" s="341"/>
      <c r="CE233" s="341"/>
      <c r="CF233" s="341"/>
      <c r="CG233" s="341"/>
      <c r="CH233" s="341"/>
      <c r="CI233" s="341"/>
      <c r="CJ233" s="342"/>
      <c r="CK233" s="342"/>
    </row>
    <row r="234">
      <c r="A234" s="753"/>
      <c r="B234" s="202" t="s">
        <v>271</v>
      </c>
      <c r="C234" s="196" t="s">
        <v>271</v>
      </c>
      <c r="D234" s="197" t="s">
        <v>271</v>
      </c>
      <c r="E234" s="199" t="s">
        <v>271</v>
      </c>
      <c r="F234" s="201" t="s">
        <v>271</v>
      </c>
      <c r="G234" s="202" t="s">
        <v>271</v>
      </c>
      <c r="H234" s="303"/>
      <c r="I234" s="303"/>
      <c r="J234" s="303"/>
      <c r="K234" s="303"/>
      <c r="L234" s="303"/>
      <c r="M234" s="303"/>
      <c r="N234" s="303"/>
      <c r="O234" s="303"/>
      <c r="P234" s="217"/>
      <c r="Q234" s="348"/>
      <c r="R234" s="348"/>
      <c r="S234" s="348"/>
      <c r="T234" s="348"/>
      <c r="U234" s="348"/>
      <c r="V234" s="348"/>
      <c r="W234" s="217"/>
      <c r="X234" s="313"/>
      <c r="Y234" s="313"/>
      <c r="Z234" s="313"/>
      <c r="AA234" s="602"/>
      <c r="AB234" s="313"/>
      <c r="AC234" s="313"/>
      <c r="AD234" s="313"/>
      <c r="AE234" s="313"/>
      <c r="AF234" s="313"/>
      <c r="AG234" s="313"/>
      <c r="AH234" s="253"/>
      <c r="AI234" s="217"/>
      <c r="AJ234" s="318"/>
      <c r="AK234" s="318"/>
      <c r="AL234" s="318"/>
      <c r="AM234" s="318"/>
      <c r="AN234" s="318"/>
      <c r="AO234" s="318"/>
      <c r="AP234" s="318"/>
      <c r="AQ234" s="318"/>
      <c r="AR234" s="318"/>
      <c r="AS234" s="318"/>
      <c r="AT234" s="318"/>
      <c r="AU234" s="318"/>
      <c r="AV234" s="318"/>
      <c r="AW234" s="318"/>
      <c r="AX234" s="318"/>
      <c r="AY234" s="318"/>
      <c r="AZ234" s="346"/>
      <c r="BA234" s="322"/>
      <c r="BB234" s="322"/>
      <c r="BC234" s="322"/>
      <c r="BD234" s="322"/>
      <c r="BE234" s="322"/>
      <c r="BF234" s="346"/>
      <c r="BG234" s="328"/>
      <c r="BH234" s="328"/>
      <c r="BI234" s="328"/>
      <c r="BJ234" s="328"/>
      <c r="BK234" s="328"/>
      <c r="BL234" s="328"/>
      <c r="BM234" s="328"/>
      <c r="BN234" s="217"/>
      <c r="BO234" s="336"/>
      <c r="BP234" s="333"/>
      <c r="BQ234" s="336"/>
      <c r="BR234" s="336"/>
      <c r="BS234" s="336"/>
      <c r="BT234" s="336"/>
      <c r="BU234" s="336"/>
      <c r="BV234" s="336"/>
      <c r="BW234" s="336"/>
      <c r="BX234" s="217"/>
      <c r="BY234" s="341"/>
      <c r="BZ234" s="341"/>
      <c r="CA234" s="341"/>
      <c r="CB234" s="342"/>
      <c r="CC234" s="341"/>
      <c r="CD234" s="341"/>
      <c r="CE234" s="341"/>
      <c r="CF234" s="341"/>
      <c r="CG234" s="341"/>
      <c r="CH234" s="341"/>
      <c r="CI234" s="341"/>
      <c r="CJ234" s="342"/>
      <c r="CK234" s="342"/>
    </row>
    <row r="235">
      <c r="A235" s="753"/>
      <c r="B235" s="202" t="s">
        <v>271</v>
      </c>
      <c r="C235" s="196" t="s">
        <v>271</v>
      </c>
      <c r="D235" s="197" t="s">
        <v>271</v>
      </c>
      <c r="E235" s="199" t="s">
        <v>271</v>
      </c>
      <c r="F235" s="201" t="s">
        <v>271</v>
      </c>
      <c r="G235" s="202" t="s">
        <v>271</v>
      </c>
      <c r="H235" s="303"/>
      <c r="I235" s="303"/>
      <c r="J235" s="303"/>
      <c r="K235" s="303"/>
      <c r="L235" s="303"/>
      <c r="M235" s="303"/>
      <c r="N235" s="303"/>
      <c r="O235" s="303"/>
      <c r="P235" s="217"/>
      <c r="Q235" s="348"/>
      <c r="R235" s="348"/>
      <c r="S235" s="348"/>
      <c r="T235" s="348"/>
      <c r="U235" s="348"/>
      <c r="V235" s="348"/>
      <c r="W235" s="217"/>
      <c r="X235" s="313"/>
      <c r="Y235" s="313"/>
      <c r="Z235" s="313"/>
      <c r="AA235" s="602"/>
      <c r="AB235" s="313"/>
      <c r="AC235" s="313"/>
      <c r="AD235" s="313"/>
      <c r="AE235" s="313"/>
      <c r="AF235" s="313"/>
      <c r="AG235" s="313"/>
      <c r="AH235" s="253"/>
      <c r="AI235" s="217"/>
      <c r="AJ235" s="318"/>
      <c r="AK235" s="318"/>
      <c r="AL235" s="318"/>
      <c r="AM235" s="318"/>
      <c r="AN235" s="318"/>
      <c r="AO235" s="318"/>
      <c r="AP235" s="318"/>
      <c r="AQ235" s="318"/>
      <c r="AR235" s="318"/>
      <c r="AS235" s="318"/>
      <c r="AT235" s="318"/>
      <c r="AU235" s="318"/>
      <c r="AV235" s="318"/>
      <c r="AW235" s="318"/>
      <c r="AX235" s="318"/>
      <c r="AY235" s="318"/>
      <c r="AZ235" s="346"/>
      <c r="BA235" s="322"/>
      <c r="BB235" s="322"/>
      <c r="BC235" s="322"/>
      <c r="BD235" s="322"/>
      <c r="BE235" s="322"/>
      <c r="BF235" s="346"/>
      <c r="BG235" s="328"/>
      <c r="BH235" s="328"/>
      <c r="BI235" s="328"/>
      <c r="BJ235" s="328"/>
      <c r="BK235" s="328"/>
      <c r="BL235" s="328"/>
      <c r="BM235" s="328"/>
      <c r="BN235" s="217"/>
      <c r="BO235" s="336"/>
      <c r="BP235" s="333"/>
      <c r="BQ235" s="336"/>
      <c r="BR235" s="336"/>
      <c r="BS235" s="336"/>
      <c r="BT235" s="336"/>
      <c r="BU235" s="336"/>
      <c r="BV235" s="336"/>
      <c r="BW235" s="336"/>
      <c r="BX235" s="217"/>
      <c r="BY235" s="341"/>
      <c r="BZ235" s="341"/>
      <c r="CA235" s="341"/>
      <c r="CB235" s="342"/>
      <c r="CC235" s="341"/>
      <c r="CD235" s="341"/>
      <c r="CE235" s="341"/>
      <c r="CF235" s="341"/>
      <c r="CG235" s="341"/>
      <c r="CH235" s="341"/>
      <c r="CI235" s="341"/>
      <c r="CJ235" s="342"/>
      <c r="CK235" s="342"/>
    </row>
    <row r="236">
      <c r="A236" s="753"/>
      <c r="B236" s="202" t="s">
        <v>271</v>
      </c>
      <c r="C236" s="196" t="s">
        <v>271</v>
      </c>
      <c r="D236" s="197" t="s">
        <v>271</v>
      </c>
      <c r="E236" s="199" t="s">
        <v>271</v>
      </c>
      <c r="F236" s="201" t="s">
        <v>271</v>
      </c>
      <c r="G236" s="202" t="s">
        <v>271</v>
      </c>
      <c r="H236" s="303"/>
      <c r="I236" s="303"/>
      <c r="J236" s="303"/>
      <c r="K236" s="303"/>
      <c r="L236" s="303"/>
      <c r="M236" s="303"/>
      <c r="N236" s="303"/>
      <c r="O236" s="303"/>
      <c r="P236" s="217"/>
      <c r="Q236" s="348"/>
      <c r="R236" s="348"/>
      <c r="S236" s="348"/>
      <c r="T236" s="348"/>
      <c r="U236" s="348"/>
      <c r="V236" s="348"/>
      <c r="W236" s="217"/>
      <c r="X236" s="313"/>
      <c r="Y236" s="313"/>
      <c r="Z236" s="313"/>
      <c r="AA236" s="602"/>
      <c r="AB236" s="313"/>
      <c r="AC236" s="313"/>
      <c r="AD236" s="313"/>
      <c r="AE236" s="313"/>
      <c r="AF236" s="313"/>
      <c r="AG236" s="313"/>
      <c r="AH236" s="253"/>
      <c r="AI236" s="217"/>
      <c r="AJ236" s="318"/>
      <c r="AK236" s="318"/>
      <c r="AL236" s="318"/>
      <c r="AM236" s="318"/>
      <c r="AN236" s="318"/>
      <c r="AO236" s="318"/>
      <c r="AP236" s="318"/>
      <c r="AQ236" s="318"/>
      <c r="AR236" s="318"/>
      <c r="AS236" s="318"/>
      <c r="AT236" s="318"/>
      <c r="AU236" s="318"/>
      <c r="AV236" s="318"/>
      <c r="AW236" s="318"/>
      <c r="AX236" s="318"/>
      <c r="AY236" s="318"/>
      <c r="AZ236" s="346"/>
      <c r="BA236" s="322"/>
      <c r="BB236" s="322"/>
      <c r="BC236" s="322"/>
      <c r="BD236" s="322"/>
      <c r="BE236" s="322"/>
      <c r="BF236" s="346"/>
      <c r="BG236" s="328"/>
      <c r="BH236" s="328"/>
      <c r="BI236" s="328"/>
      <c r="BJ236" s="328"/>
      <c r="BK236" s="328"/>
      <c r="BL236" s="328"/>
      <c r="BM236" s="328"/>
      <c r="BN236" s="217"/>
      <c r="BO236" s="336"/>
      <c r="BP236" s="333"/>
      <c r="BQ236" s="336"/>
      <c r="BR236" s="336"/>
      <c r="BS236" s="336"/>
      <c r="BT236" s="336"/>
      <c r="BU236" s="336"/>
      <c r="BV236" s="336"/>
      <c r="BW236" s="336"/>
      <c r="BX236" s="217"/>
      <c r="BY236" s="341"/>
      <c r="BZ236" s="341"/>
      <c r="CA236" s="341"/>
      <c r="CB236" s="342"/>
      <c r="CC236" s="341"/>
      <c r="CD236" s="341"/>
      <c r="CE236" s="341"/>
      <c r="CF236" s="341"/>
      <c r="CG236" s="341"/>
      <c r="CH236" s="341"/>
      <c r="CI236" s="341"/>
      <c r="CJ236" s="342"/>
      <c r="CK236" s="342"/>
    </row>
    <row r="237">
      <c r="A237" s="753"/>
      <c r="B237" s="202" t="s">
        <v>271</v>
      </c>
      <c r="C237" s="196" t="s">
        <v>271</v>
      </c>
      <c r="D237" s="197" t="s">
        <v>271</v>
      </c>
      <c r="E237" s="199" t="s">
        <v>271</v>
      </c>
      <c r="F237" s="201" t="s">
        <v>271</v>
      </c>
      <c r="G237" s="202" t="s">
        <v>271</v>
      </c>
      <c r="H237" s="303"/>
      <c r="I237" s="303"/>
      <c r="J237" s="303"/>
      <c r="K237" s="303"/>
      <c r="L237" s="303"/>
      <c r="M237" s="303"/>
      <c r="N237" s="303"/>
      <c r="O237" s="303"/>
      <c r="P237" s="217"/>
      <c r="Q237" s="348"/>
      <c r="R237" s="348"/>
      <c r="S237" s="348"/>
      <c r="T237" s="348"/>
      <c r="U237" s="348"/>
      <c r="V237" s="348"/>
      <c r="W237" s="217"/>
      <c r="X237" s="313"/>
      <c r="Y237" s="313"/>
      <c r="Z237" s="313"/>
      <c r="AA237" s="602"/>
      <c r="AB237" s="313"/>
      <c r="AC237" s="313"/>
      <c r="AD237" s="313"/>
      <c r="AE237" s="313"/>
      <c r="AF237" s="313"/>
      <c r="AG237" s="313"/>
      <c r="AH237" s="253"/>
      <c r="AI237" s="217"/>
      <c r="AJ237" s="318"/>
      <c r="AK237" s="318"/>
      <c r="AL237" s="318"/>
      <c r="AM237" s="318"/>
      <c r="AN237" s="318"/>
      <c r="AO237" s="318"/>
      <c r="AP237" s="318"/>
      <c r="AQ237" s="318"/>
      <c r="AR237" s="318"/>
      <c r="AS237" s="318"/>
      <c r="AT237" s="318"/>
      <c r="AU237" s="318"/>
      <c r="AV237" s="318"/>
      <c r="AW237" s="318"/>
      <c r="AX237" s="318"/>
      <c r="AY237" s="318"/>
      <c r="AZ237" s="346"/>
      <c r="BA237" s="322"/>
      <c r="BB237" s="322"/>
      <c r="BC237" s="322"/>
      <c r="BD237" s="322"/>
      <c r="BE237" s="322"/>
      <c r="BF237" s="346"/>
      <c r="BG237" s="328"/>
      <c r="BH237" s="328"/>
      <c r="BI237" s="328"/>
      <c r="BJ237" s="328"/>
      <c r="BK237" s="328"/>
      <c r="BL237" s="328"/>
      <c r="BM237" s="328"/>
      <c r="BN237" s="217"/>
      <c r="BO237" s="336"/>
      <c r="BP237" s="333"/>
      <c r="BQ237" s="336"/>
      <c r="BR237" s="336"/>
      <c r="BS237" s="336"/>
      <c r="BT237" s="336"/>
      <c r="BU237" s="336"/>
      <c r="BV237" s="336"/>
      <c r="BW237" s="336"/>
      <c r="BX237" s="217"/>
      <c r="BY237" s="341"/>
      <c r="BZ237" s="341"/>
      <c r="CA237" s="341"/>
      <c r="CB237" s="342"/>
      <c r="CC237" s="341"/>
      <c r="CD237" s="341"/>
      <c r="CE237" s="341"/>
      <c r="CF237" s="341"/>
      <c r="CG237" s="341"/>
      <c r="CH237" s="341"/>
      <c r="CI237" s="341"/>
      <c r="CJ237" s="342"/>
      <c r="CK237" s="342"/>
    </row>
    <row r="238">
      <c r="A238" s="753"/>
      <c r="B238" s="202" t="s">
        <v>271</v>
      </c>
      <c r="C238" s="196" t="s">
        <v>271</v>
      </c>
      <c r="D238" s="197" t="s">
        <v>271</v>
      </c>
      <c r="E238" s="199" t="s">
        <v>271</v>
      </c>
      <c r="F238" s="201" t="s">
        <v>271</v>
      </c>
      <c r="G238" s="202" t="s">
        <v>271</v>
      </c>
      <c r="H238" s="303"/>
      <c r="I238" s="303"/>
      <c r="J238" s="303"/>
      <c r="K238" s="303"/>
      <c r="L238" s="303"/>
      <c r="M238" s="303"/>
      <c r="N238" s="303"/>
      <c r="O238" s="303"/>
      <c r="P238" s="217"/>
      <c r="Q238" s="348"/>
      <c r="R238" s="348"/>
      <c r="S238" s="348"/>
      <c r="T238" s="348"/>
      <c r="U238" s="348"/>
      <c r="V238" s="348"/>
      <c r="W238" s="217"/>
      <c r="X238" s="313"/>
      <c r="Y238" s="313"/>
      <c r="Z238" s="313"/>
      <c r="AA238" s="602"/>
      <c r="AB238" s="313"/>
      <c r="AC238" s="313"/>
      <c r="AD238" s="313"/>
      <c r="AE238" s="313"/>
      <c r="AF238" s="313"/>
      <c r="AG238" s="313"/>
      <c r="AH238" s="253"/>
      <c r="AI238" s="217"/>
      <c r="AJ238" s="318"/>
      <c r="AK238" s="318"/>
      <c r="AL238" s="318"/>
      <c r="AM238" s="318"/>
      <c r="AN238" s="318"/>
      <c r="AO238" s="318"/>
      <c r="AP238" s="318"/>
      <c r="AQ238" s="318"/>
      <c r="AR238" s="318"/>
      <c r="AS238" s="318"/>
      <c r="AT238" s="318"/>
      <c r="AU238" s="318"/>
      <c r="AV238" s="318"/>
      <c r="AW238" s="318"/>
      <c r="AX238" s="318"/>
      <c r="AY238" s="318"/>
      <c r="AZ238" s="346"/>
      <c r="BA238" s="322"/>
      <c r="BB238" s="322"/>
      <c r="BC238" s="322"/>
      <c r="BD238" s="322"/>
      <c r="BE238" s="322"/>
      <c r="BF238" s="346"/>
      <c r="BG238" s="328"/>
      <c r="BH238" s="328"/>
      <c r="BI238" s="328"/>
      <c r="BJ238" s="328"/>
      <c r="BK238" s="328"/>
      <c r="BL238" s="328"/>
      <c r="BM238" s="328"/>
      <c r="BN238" s="217"/>
      <c r="BO238" s="336"/>
      <c r="BP238" s="333"/>
      <c r="BQ238" s="336"/>
      <c r="BR238" s="336"/>
      <c r="BS238" s="336"/>
      <c r="BT238" s="336"/>
      <c r="BU238" s="336"/>
      <c r="BV238" s="336"/>
      <c r="BW238" s="336"/>
      <c r="BX238" s="217"/>
      <c r="BY238" s="341"/>
      <c r="BZ238" s="341"/>
      <c r="CA238" s="341"/>
      <c r="CB238" s="342"/>
      <c r="CC238" s="341"/>
      <c r="CD238" s="341"/>
      <c r="CE238" s="341"/>
      <c r="CF238" s="341"/>
      <c r="CG238" s="341"/>
      <c r="CH238" s="341"/>
      <c r="CI238" s="341"/>
      <c r="CJ238" s="342"/>
      <c r="CK238" s="342"/>
    </row>
    <row r="239">
      <c r="A239" s="753"/>
      <c r="B239" s="202" t="s">
        <v>271</v>
      </c>
      <c r="C239" s="196" t="s">
        <v>271</v>
      </c>
      <c r="D239" s="197" t="s">
        <v>271</v>
      </c>
      <c r="E239" s="199" t="s">
        <v>271</v>
      </c>
      <c r="F239" s="201" t="s">
        <v>271</v>
      </c>
      <c r="G239" s="202" t="s">
        <v>271</v>
      </c>
      <c r="H239" s="303"/>
      <c r="I239" s="303"/>
      <c r="J239" s="303"/>
      <c r="K239" s="303"/>
      <c r="L239" s="303"/>
      <c r="M239" s="303"/>
      <c r="N239" s="303"/>
      <c r="O239" s="303"/>
      <c r="P239" s="217"/>
      <c r="Q239" s="348"/>
      <c r="R239" s="348"/>
      <c r="S239" s="348"/>
      <c r="T239" s="348"/>
      <c r="U239" s="348"/>
      <c r="V239" s="348"/>
      <c r="W239" s="217"/>
      <c r="X239" s="313"/>
      <c r="Y239" s="313"/>
      <c r="Z239" s="313"/>
      <c r="AA239" s="602"/>
      <c r="AB239" s="313"/>
      <c r="AC239" s="313"/>
      <c r="AD239" s="313"/>
      <c r="AE239" s="313"/>
      <c r="AF239" s="313"/>
      <c r="AG239" s="313"/>
      <c r="AH239" s="253"/>
      <c r="AI239" s="217"/>
      <c r="AJ239" s="318"/>
      <c r="AK239" s="318"/>
      <c r="AL239" s="318"/>
      <c r="AM239" s="318"/>
      <c r="AN239" s="318"/>
      <c r="AO239" s="318"/>
      <c r="AP239" s="318"/>
      <c r="AQ239" s="318"/>
      <c r="AR239" s="318"/>
      <c r="AS239" s="318"/>
      <c r="AT239" s="318"/>
      <c r="AU239" s="318"/>
      <c r="AV239" s="318"/>
      <c r="AW239" s="318"/>
      <c r="AX239" s="318"/>
      <c r="AY239" s="318"/>
      <c r="AZ239" s="346"/>
      <c r="BA239" s="322"/>
      <c r="BB239" s="322"/>
      <c r="BC239" s="322"/>
      <c r="BD239" s="322"/>
      <c r="BE239" s="322"/>
      <c r="BF239" s="346"/>
      <c r="BG239" s="328"/>
      <c r="BH239" s="328"/>
      <c r="BI239" s="328"/>
      <c r="BJ239" s="328"/>
      <c r="BK239" s="328"/>
      <c r="BL239" s="328"/>
      <c r="BM239" s="328"/>
      <c r="BN239" s="217"/>
      <c r="BO239" s="336"/>
      <c r="BP239" s="333"/>
      <c r="BQ239" s="336"/>
      <c r="BR239" s="336"/>
      <c r="BS239" s="336"/>
      <c r="BT239" s="336"/>
      <c r="BU239" s="336"/>
      <c r="BV239" s="336"/>
      <c r="BW239" s="336"/>
      <c r="BX239" s="217"/>
      <c r="BY239" s="341"/>
      <c r="BZ239" s="341"/>
      <c r="CA239" s="341"/>
      <c r="CB239" s="342"/>
      <c r="CC239" s="341"/>
      <c r="CD239" s="341"/>
      <c r="CE239" s="341"/>
      <c r="CF239" s="341"/>
      <c r="CG239" s="341"/>
      <c r="CH239" s="341"/>
      <c r="CI239" s="341"/>
      <c r="CJ239" s="342"/>
      <c r="CK239" s="342"/>
    </row>
    <row r="240">
      <c r="A240" s="753"/>
      <c r="B240" s="202" t="s">
        <v>271</v>
      </c>
      <c r="C240" s="196" t="s">
        <v>271</v>
      </c>
      <c r="D240" s="197" t="s">
        <v>271</v>
      </c>
      <c r="E240" s="199" t="s">
        <v>271</v>
      </c>
      <c r="F240" s="201" t="s">
        <v>271</v>
      </c>
      <c r="G240" s="202" t="s">
        <v>271</v>
      </c>
      <c r="H240" s="303"/>
      <c r="I240" s="303"/>
      <c r="J240" s="303"/>
      <c r="K240" s="303"/>
      <c r="L240" s="303"/>
      <c r="M240" s="303"/>
      <c r="N240" s="303"/>
      <c r="O240" s="303"/>
      <c r="P240" s="217"/>
      <c r="Q240" s="348"/>
      <c r="R240" s="348"/>
      <c r="S240" s="348"/>
      <c r="T240" s="348"/>
      <c r="U240" s="348"/>
      <c r="V240" s="348"/>
      <c r="W240" s="217"/>
      <c r="X240" s="313"/>
      <c r="Y240" s="313"/>
      <c r="Z240" s="313"/>
      <c r="AA240" s="602"/>
      <c r="AB240" s="313"/>
      <c r="AC240" s="313"/>
      <c r="AD240" s="313"/>
      <c r="AE240" s="313"/>
      <c r="AF240" s="313"/>
      <c r="AG240" s="313"/>
      <c r="AH240" s="253"/>
      <c r="AI240" s="217"/>
      <c r="AJ240" s="318"/>
      <c r="AK240" s="318"/>
      <c r="AL240" s="318"/>
      <c r="AM240" s="318"/>
      <c r="AN240" s="318"/>
      <c r="AO240" s="318"/>
      <c r="AP240" s="318"/>
      <c r="AQ240" s="318"/>
      <c r="AR240" s="318"/>
      <c r="AS240" s="318"/>
      <c r="AT240" s="318"/>
      <c r="AU240" s="318"/>
      <c r="AV240" s="318"/>
      <c r="AW240" s="318"/>
      <c r="AX240" s="318"/>
      <c r="AY240" s="318"/>
      <c r="AZ240" s="346"/>
      <c r="BA240" s="322"/>
      <c r="BB240" s="322"/>
      <c r="BC240" s="322"/>
      <c r="BD240" s="322"/>
      <c r="BE240" s="322"/>
      <c r="BF240" s="346"/>
      <c r="BG240" s="328"/>
      <c r="BH240" s="328"/>
      <c r="BI240" s="328"/>
      <c r="BJ240" s="328"/>
      <c r="BK240" s="328"/>
      <c r="BL240" s="328"/>
      <c r="BM240" s="328"/>
      <c r="BN240" s="217"/>
      <c r="BO240" s="336"/>
      <c r="BP240" s="333"/>
      <c r="BQ240" s="336"/>
      <c r="BR240" s="336"/>
      <c r="BS240" s="336"/>
      <c r="BT240" s="336"/>
      <c r="BU240" s="336"/>
      <c r="BV240" s="336"/>
      <c r="BW240" s="336"/>
      <c r="BX240" s="217"/>
      <c r="BY240" s="341"/>
      <c r="BZ240" s="341"/>
      <c r="CA240" s="341"/>
      <c r="CB240" s="342"/>
      <c r="CC240" s="341"/>
      <c r="CD240" s="341"/>
      <c r="CE240" s="341"/>
      <c r="CF240" s="341"/>
      <c r="CG240" s="341"/>
      <c r="CH240" s="341"/>
      <c r="CI240" s="341"/>
      <c r="CJ240" s="342"/>
      <c r="CK240" s="342"/>
    </row>
    <row r="241">
      <c r="A241" s="753"/>
      <c r="B241" s="202" t="s">
        <v>271</v>
      </c>
      <c r="C241" s="196" t="s">
        <v>271</v>
      </c>
      <c r="D241" s="197" t="s">
        <v>271</v>
      </c>
      <c r="E241" s="199" t="s">
        <v>271</v>
      </c>
      <c r="F241" s="201" t="s">
        <v>271</v>
      </c>
      <c r="G241" s="202" t="s">
        <v>271</v>
      </c>
      <c r="H241" s="303"/>
      <c r="I241" s="303"/>
      <c r="J241" s="303"/>
      <c r="K241" s="303"/>
      <c r="L241" s="303"/>
      <c r="M241" s="303"/>
      <c r="N241" s="303"/>
      <c r="O241" s="303"/>
      <c r="P241" s="217"/>
      <c r="Q241" s="348"/>
      <c r="R241" s="348"/>
      <c r="S241" s="348"/>
      <c r="T241" s="348"/>
      <c r="U241" s="348"/>
      <c r="V241" s="348"/>
      <c r="W241" s="217"/>
      <c r="X241" s="313"/>
      <c r="Y241" s="313"/>
      <c r="Z241" s="313"/>
      <c r="AA241" s="602"/>
      <c r="AB241" s="313"/>
      <c r="AC241" s="313"/>
      <c r="AD241" s="313"/>
      <c r="AE241" s="313"/>
      <c r="AF241" s="313"/>
      <c r="AG241" s="313"/>
      <c r="AH241" s="253"/>
      <c r="AI241" s="217"/>
      <c r="AJ241" s="318"/>
      <c r="AK241" s="318"/>
      <c r="AL241" s="318"/>
      <c r="AM241" s="318"/>
      <c r="AN241" s="318"/>
      <c r="AO241" s="318"/>
      <c r="AP241" s="318"/>
      <c r="AQ241" s="318"/>
      <c r="AR241" s="318"/>
      <c r="AS241" s="318"/>
      <c r="AT241" s="318"/>
      <c r="AU241" s="318"/>
      <c r="AV241" s="318"/>
      <c r="AW241" s="318"/>
      <c r="AX241" s="318"/>
      <c r="AY241" s="318"/>
      <c r="AZ241" s="346"/>
      <c r="BA241" s="322"/>
      <c r="BB241" s="322"/>
      <c r="BC241" s="322"/>
      <c r="BD241" s="322"/>
      <c r="BE241" s="322"/>
      <c r="BF241" s="346"/>
      <c r="BG241" s="328"/>
      <c r="BH241" s="328"/>
      <c r="BI241" s="328"/>
      <c r="BJ241" s="328"/>
      <c r="BK241" s="328"/>
      <c r="BL241" s="328"/>
      <c r="BM241" s="328"/>
      <c r="BN241" s="217"/>
      <c r="BO241" s="336"/>
      <c r="BP241" s="333"/>
      <c r="BQ241" s="336"/>
      <c r="BR241" s="336"/>
      <c r="BS241" s="336"/>
      <c r="BT241" s="336"/>
      <c r="BU241" s="336"/>
      <c r="BV241" s="336"/>
      <c r="BW241" s="336"/>
      <c r="BX241" s="217"/>
      <c r="BY241" s="341"/>
      <c r="BZ241" s="341"/>
      <c r="CA241" s="341"/>
      <c r="CB241" s="342"/>
      <c r="CC241" s="341"/>
      <c r="CD241" s="341"/>
      <c r="CE241" s="341"/>
      <c r="CF241" s="341"/>
      <c r="CG241" s="341"/>
      <c r="CH241" s="341"/>
      <c r="CI241" s="341"/>
      <c r="CJ241" s="342"/>
      <c r="CK241" s="342"/>
    </row>
    <row r="242">
      <c r="A242" s="753"/>
      <c r="B242" s="202" t="s">
        <v>271</v>
      </c>
      <c r="C242" s="196" t="s">
        <v>271</v>
      </c>
      <c r="D242" s="197" t="s">
        <v>271</v>
      </c>
      <c r="E242" s="199" t="s">
        <v>271</v>
      </c>
      <c r="F242" s="201" t="s">
        <v>271</v>
      </c>
      <c r="G242" s="202" t="s">
        <v>271</v>
      </c>
      <c r="H242" s="303"/>
      <c r="I242" s="303"/>
      <c r="J242" s="303"/>
      <c r="K242" s="303"/>
      <c r="L242" s="303"/>
      <c r="M242" s="303"/>
      <c r="N242" s="303"/>
      <c r="O242" s="303"/>
      <c r="P242" s="217"/>
      <c r="Q242" s="348"/>
      <c r="R242" s="348"/>
      <c r="S242" s="348"/>
      <c r="T242" s="348"/>
      <c r="U242" s="348"/>
      <c r="V242" s="348"/>
      <c r="W242" s="217"/>
      <c r="X242" s="313"/>
      <c r="Y242" s="313"/>
      <c r="Z242" s="313"/>
      <c r="AA242" s="602"/>
      <c r="AB242" s="313"/>
      <c r="AC242" s="313"/>
      <c r="AD242" s="313"/>
      <c r="AE242" s="313"/>
      <c r="AF242" s="313"/>
      <c r="AG242" s="313"/>
      <c r="AH242" s="253"/>
      <c r="AI242" s="217"/>
      <c r="AJ242" s="318"/>
      <c r="AK242" s="318"/>
      <c r="AL242" s="318"/>
      <c r="AM242" s="318"/>
      <c r="AN242" s="318"/>
      <c r="AO242" s="318"/>
      <c r="AP242" s="318"/>
      <c r="AQ242" s="318"/>
      <c r="AR242" s="318"/>
      <c r="AS242" s="318"/>
      <c r="AT242" s="318"/>
      <c r="AU242" s="318"/>
      <c r="AV242" s="318"/>
      <c r="AW242" s="318"/>
      <c r="AX242" s="318"/>
      <c r="AY242" s="318"/>
      <c r="AZ242" s="346"/>
      <c r="BA242" s="322"/>
      <c r="BB242" s="322"/>
      <c r="BC242" s="322"/>
      <c r="BD242" s="322"/>
      <c r="BE242" s="322"/>
      <c r="BF242" s="346"/>
      <c r="BG242" s="328"/>
      <c r="BH242" s="328"/>
      <c r="BI242" s="328"/>
      <c r="BJ242" s="328"/>
      <c r="BK242" s="328"/>
      <c r="BL242" s="328"/>
      <c r="BM242" s="328"/>
      <c r="BN242" s="217"/>
      <c r="BO242" s="336"/>
      <c r="BP242" s="333"/>
      <c r="BQ242" s="336"/>
      <c r="BR242" s="336"/>
      <c r="BS242" s="336"/>
      <c r="BT242" s="336"/>
      <c r="BU242" s="336"/>
      <c r="BV242" s="336"/>
      <c r="BW242" s="336"/>
      <c r="BX242" s="217"/>
      <c r="BY242" s="341"/>
      <c r="BZ242" s="341"/>
      <c r="CA242" s="341"/>
      <c r="CB242" s="342"/>
      <c r="CC242" s="341"/>
      <c r="CD242" s="341"/>
      <c r="CE242" s="341"/>
      <c r="CF242" s="341"/>
      <c r="CG242" s="341"/>
      <c r="CH242" s="341"/>
      <c r="CI242" s="341"/>
      <c r="CJ242" s="342"/>
      <c r="CK242" s="342"/>
    </row>
    <row r="243">
      <c r="A243" s="753"/>
      <c r="B243" s="202" t="s">
        <v>271</v>
      </c>
      <c r="C243" s="196" t="s">
        <v>271</v>
      </c>
      <c r="D243" s="197" t="s">
        <v>271</v>
      </c>
      <c r="E243" s="199" t="s">
        <v>271</v>
      </c>
      <c r="F243" s="201" t="s">
        <v>271</v>
      </c>
      <c r="G243" s="202" t="s">
        <v>271</v>
      </c>
      <c r="H243" s="303"/>
      <c r="I243" s="303"/>
      <c r="J243" s="303"/>
      <c r="K243" s="303"/>
      <c r="L243" s="303"/>
      <c r="M243" s="303"/>
      <c r="N243" s="303"/>
      <c r="O243" s="303"/>
      <c r="P243" s="217"/>
      <c r="Q243" s="348"/>
      <c r="R243" s="348"/>
      <c r="S243" s="348"/>
      <c r="T243" s="348"/>
      <c r="U243" s="348"/>
      <c r="V243" s="348"/>
      <c r="W243" s="217"/>
      <c r="X243" s="313"/>
      <c r="Y243" s="313"/>
      <c r="Z243" s="313"/>
      <c r="AA243" s="602"/>
      <c r="AB243" s="313"/>
      <c r="AC243" s="313"/>
      <c r="AD243" s="313"/>
      <c r="AE243" s="313"/>
      <c r="AF243" s="313"/>
      <c r="AG243" s="313"/>
      <c r="AH243" s="253"/>
      <c r="AI243" s="217"/>
      <c r="AJ243" s="318"/>
      <c r="AK243" s="318"/>
      <c r="AL243" s="318"/>
      <c r="AM243" s="318"/>
      <c r="AN243" s="318"/>
      <c r="AO243" s="318"/>
      <c r="AP243" s="318"/>
      <c r="AQ243" s="318"/>
      <c r="AR243" s="318"/>
      <c r="AS243" s="318"/>
      <c r="AT243" s="318"/>
      <c r="AU243" s="318"/>
      <c r="AV243" s="318"/>
      <c r="AW243" s="318"/>
      <c r="AX243" s="318"/>
      <c r="AY243" s="318"/>
      <c r="AZ243" s="346"/>
      <c r="BA243" s="322"/>
      <c r="BB243" s="322"/>
      <c r="BC243" s="322"/>
      <c r="BD243" s="322"/>
      <c r="BE243" s="322"/>
      <c r="BF243" s="346"/>
      <c r="BG243" s="328"/>
      <c r="BH243" s="328"/>
      <c r="BI243" s="328"/>
      <c r="BJ243" s="328"/>
      <c r="BK243" s="328"/>
      <c r="BL243" s="328"/>
      <c r="BM243" s="328"/>
      <c r="BN243" s="217"/>
      <c r="BO243" s="336"/>
      <c r="BP243" s="333"/>
      <c r="BQ243" s="336"/>
      <c r="BR243" s="336"/>
      <c r="BS243" s="336"/>
      <c r="BT243" s="336"/>
      <c r="BU243" s="336"/>
      <c r="BV243" s="336"/>
      <c r="BW243" s="336"/>
      <c r="BX243" s="217"/>
      <c r="BY243" s="341"/>
      <c r="BZ243" s="341"/>
      <c r="CA243" s="341"/>
      <c r="CB243" s="342"/>
      <c r="CC243" s="341"/>
      <c r="CD243" s="341"/>
      <c r="CE243" s="341"/>
      <c r="CF243" s="341"/>
      <c r="CG243" s="341"/>
      <c r="CH243" s="341"/>
      <c r="CI243" s="341"/>
      <c r="CJ243" s="342"/>
      <c r="CK243" s="342"/>
    </row>
    <row r="244">
      <c r="A244" s="753"/>
      <c r="B244" s="202" t="s">
        <v>271</v>
      </c>
      <c r="C244" s="196" t="s">
        <v>271</v>
      </c>
      <c r="D244" s="197" t="s">
        <v>271</v>
      </c>
      <c r="E244" s="199" t="s">
        <v>271</v>
      </c>
      <c r="F244" s="201" t="s">
        <v>271</v>
      </c>
      <c r="G244" s="202" t="s">
        <v>271</v>
      </c>
      <c r="H244" s="303"/>
      <c r="I244" s="303"/>
      <c r="J244" s="303"/>
      <c r="K244" s="303"/>
      <c r="L244" s="303"/>
      <c r="M244" s="303"/>
      <c r="N244" s="303"/>
      <c r="O244" s="303"/>
      <c r="P244" s="217"/>
      <c r="Q244" s="348"/>
      <c r="R244" s="348"/>
      <c r="S244" s="348"/>
      <c r="T244" s="348"/>
      <c r="U244" s="348"/>
      <c r="V244" s="348"/>
      <c r="W244" s="217"/>
      <c r="X244" s="313"/>
      <c r="Y244" s="313"/>
      <c r="Z244" s="313"/>
      <c r="AA244" s="602"/>
      <c r="AB244" s="313"/>
      <c r="AC244" s="313"/>
      <c r="AD244" s="313"/>
      <c r="AE244" s="313"/>
      <c r="AF244" s="313"/>
      <c r="AG244" s="313"/>
      <c r="AH244" s="253"/>
      <c r="AI244" s="217"/>
      <c r="AJ244" s="318"/>
      <c r="AK244" s="318"/>
      <c r="AL244" s="318"/>
      <c r="AM244" s="318"/>
      <c r="AN244" s="318"/>
      <c r="AO244" s="318"/>
      <c r="AP244" s="318"/>
      <c r="AQ244" s="318"/>
      <c r="AR244" s="318"/>
      <c r="AS244" s="318"/>
      <c r="AT244" s="318"/>
      <c r="AU244" s="318"/>
      <c r="AV244" s="318"/>
      <c r="AW244" s="318"/>
      <c r="AX244" s="318"/>
      <c r="AY244" s="318"/>
      <c r="AZ244" s="346"/>
      <c r="BA244" s="322"/>
      <c r="BB244" s="322"/>
      <c r="BC244" s="322"/>
      <c r="BD244" s="322"/>
      <c r="BE244" s="322"/>
      <c r="BF244" s="346"/>
      <c r="BG244" s="328"/>
      <c r="BH244" s="328"/>
      <c r="BI244" s="328"/>
      <c r="BJ244" s="328"/>
      <c r="BK244" s="328"/>
      <c r="BL244" s="328"/>
      <c r="BM244" s="328"/>
      <c r="BN244" s="217"/>
      <c r="BO244" s="336"/>
      <c r="BP244" s="333"/>
      <c r="BQ244" s="336"/>
      <c r="BR244" s="336"/>
      <c r="BS244" s="336"/>
      <c r="BT244" s="336"/>
      <c r="BU244" s="336"/>
      <c r="BV244" s="336"/>
      <c r="BW244" s="336"/>
      <c r="BX244" s="217"/>
      <c r="BY244" s="341"/>
      <c r="BZ244" s="341"/>
      <c r="CA244" s="341"/>
      <c r="CB244" s="342"/>
      <c r="CC244" s="341"/>
      <c r="CD244" s="341"/>
      <c r="CE244" s="341"/>
      <c r="CF244" s="341"/>
      <c r="CG244" s="341"/>
      <c r="CH244" s="341"/>
      <c r="CI244" s="341"/>
      <c r="CJ244" s="342"/>
      <c r="CK244" s="342"/>
    </row>
    <row r="245">
      <c r="A245" s="753"/>
      <c r="B245" s="202" t="s">
        <v>271</v>
      </c>
      <c r="C245" s="196" t="s">
        <v>271</v>
      </c>
      <c r="D245" s="197" t="s">
        <v>271</v>
      </c>
      <c r="E245" s="199" t="s">
        <v>271</v>
      </c>
      <c r="F245" s="201" t="s">
        <v>271</v>
      </c>
      <c r="G245" s="202" t="s">
        <v>271</v>
      </c>
      <c r="H245" s="303"/>
      <c r="I245" s="303"/>
      <c r="J245" s="303"/>
      <c r="K245" s="303"/>
      <c r="L245" s="303"/>
      <c r="M245" s="303"/>
      <c r="N245" s="303"/>
      <c r="O245" s="303"/>
      <c r="P245" s="217"/>
      <c r="Q245" s="348"/>
      <c r="R245" s="348"/>
      <c r="S245" s="348"/>
      <c r="T245" s="348"/>
      <c r="U245" s="348"/>
      <c r="V245" s="348"/>
      <c r="W245" s="217"/>
      <c r="X245" s="313"/>
      <c r="Y245" s="313"/>
      <c r="Z245" s="313"/>
      <c r="AA245" s="602"/>
      <c r="AB245" s="313"/>
      <c r="AC245" s="313"/>
      <c r="AD245" s="313"/>
      <c r="AE245" s="313"/>
      <c r="AF245" s="313"/>
      <c r="AG245" s="313"/>
      <c r="AH245" s="253"/>
      <c r="AI245" s="217"/>
      <c r="AJ245" s="318"/>
      <c r="AK245" s="318"/>
      <c r="AL245" s="318"/>
      <c r="AM245" s="318"/>
      <c r="AN245" s="318"/>
      <c r="AO245" s="318"/>
      <c r="AP245" s="318"/>
      <c r="AQ245" s="318"/>
      <c r="AR245" s="318"/>
      <c r="AS245" s="318"/>
      <c r="AT245" s="318"/>
      <c r="AU245" s="318"/>
      <c r="AV245" s="318"/>
      <c r="AW245" s="318"/>
      <c r="AX245" s="318"/>
      <c r="AY245" s="318"/>
      <c r="AZ245" s="346"/>
      <c r="BA245" s="322"/>
      <c r="BB245" s="322"/>
      <c r="BC245" s="322"/>
      <c r="BD245" s="322"/>
      <c r="BE245" s="322"/>
      <c r="BF245" s="346"/>
      <c r="BG245" s="328"/>
      <c r="BH245" s="328"/>
      <c r="BI245" s="328"/>
      <c r="BJ245" s="328"/>
      <c r="BK245" s="328"/>
      <c r="BL245" s="328"/>
      <c r="BM245" s="328"/>
      <c r="BN245" s="217"/>
      <c r="BO245" s="336"/>
      <c r="BP245" s="333"/>
      <c r="BQ245" s="336"/>
      <c r="BR245" s="336"/>
      <c r="BS245" s="336"/>
      <c r="BT245" s="336"/>
      <c r="BU245" s="336"/>
      <c r="BV245" s="336"/>
      <c r="BW245" s="336"/>
      <c r="BX245" s="217"/>
      <c r="BY245" s="341"/>
      <c r="BZ245" s="341"/>
      <c r="CA245" s="341"/>
      <c r="CB245" s="342"/>
      <c r="CC245" s="341"/>
      <c r="CD245" s="341"/>
      <c r="CE245" s="341"/>
      <c r="CF245" s="341"/>
      <c r="CG245" s="341"/>
      <c r="CH245" s="341"/>
      <c r="CI245" s="341"/>
      <c r="CJ245" s="342"/>
      <c r="CK245" s="342"/>
    </row>
    <row r="246">
      <c r="A246" s="753"/>
      <c r="B246" s="202" t="s">
        <v>271</v>
      </c>
      <c r="C246" s="196" t="s">
        <v>271</v>
      </c>
      <c r="D246" s="197" t="s">
        <v>271</v>
      </c>
      <c r="E246" s="199" t="s">
        <v>271</v>
      </c>
      <c r="F246" s="201" t="s">
        <v>271</v>
      </c>
      <c r="G246" s="202" t="s">
        <v>271</v>
      </c>
      <c r="H246" s="303"/>
      <c r="I246" s="303"/>
      <c r="J246" s="303"/>
      <c r="K246" s="303"/>
      <c r="L246" s="303"/>
      <c r="M246" s="303"/>
      <c r="N246" s="303"/>
      <c r="O246" s="303"/>
      <c r="P246" s="217"/>
      <c r="Q246" s="348"/>
      <c r="R246" s="348"/>
      <c r="S246" s="348"/>
      <c r="T246" s="348"/>
      <c r="U246" s="348"/>
      <c r="V246" s="348"/>
      <c r="W246" s="217"/>
      <c r="X246" s="313"/>
      <c r="Y246" s="313"/>
      <c r="Z246" s="313"/>
      <c r="AA246" s="602"/>
      <c r="AB246" s="313"/>
      <c r="AC246" s="313"/>
      <c r="AD246" s="313"/>
      <c r="AE246" s="313"/>
      <c r="AF246" s="313"/>
      <c r="AG246" s="313"/>
      <c r="AH246" s="253"/>
      <c r="AI246" s="217"/>
      <c r="AJ246" s="318"/>
      <c r="AK246" s="318"/>
      <c r="AL246" s="318"/>
      <c r="AM246" s="318"/>
      <c r="AN246" s="318"/>
      <c r="AO246" s="318"/>
      <c r="AP246" s="318"/>
      <c r="AQ246" s="318"/>
      <c r="AR246" s="318"/>
      <c r="AS246" s="318"/>
      <c r="AT246" s="318"/>
      <c r="AU246" s="318"/>
      <c r="AV246" s="318"/>
      <c r="AW246" s="318"/>
      <c r="AX246" s="318"/>
      <c r="AY246" s="318"/>
      <c r="AZ246" s="346"/>
      <c r="BA246" s="322"/>
      <c r="BB246" s="322"/>
      <c r="BC246" s="322"/>
      <c r="BD246" s="322"/>
      <c r="BE246" s="322"/>
      <c r="BF246" s="346"/>
      <c r="BG246" s="328"/>
      <c r="BH246" s="328"/>
      <c r="BI246" s="328"/>
      <c r="BJ246" s="328"/>
      <c r="BK246" s="328"/>
      <c r="BL246" s="328"/>
      <c r="BM246" s="328"/>
      <c r="BN246" s="217"/>
      <c r="BO246" s="336"/>
      <c r="BP246" s="333"/>
      <c r="BQ246" s="336"/>
      <c r="BR246" s="336"/>
      <c r="BS246" s="336"/>
      <c r="BT246" s="336"/>
      <c r="BU246" s="336"/>
      <c r="BV246" s="336"/>
      <c r="BW246" s="336"/>
      <c r="BX246" s="217"/>
      <c r="BY246" s="341"/>
      <c r="BZ246" s="341"/>
      <c r="CA246" s="341"/>
      <c r="CB246" s="342"/>
      <c r="CC246" s="341"/>
      <c r="CD246" s="341"/>
      <c r="CE246" s="341"/>
      <c r="CF246" s="341"/>
      <c r="CG246" s="341"/>
      <c r="CH246" s="341"/>
      <c r="CI246" s="341"/>
      <c r="CJ246" s="342"/>
      <c r="CK246" s="342"/>
    </row>
    <row r="247">
      <c r="A247" s="753"/>
      <c r="B247" s="202" t="s">
        <v>271</v>
      </c>
      <c r="C247" s="196" t="s">
        <v>271</v>
      </c>
      <c r="D247" s="197" t="s">
        <v>271</v>
      </c>
      <c r="E247" s="199" t="s">
        <v>271</v>
      </c>
      <c r="F247" s="201" t="s">
        <v>271</v>
      </c>
      <c r="G247" s="202" t="s">
        <v>271</v>
      </c>
      <c r="H247" s="303"/>
      <c r="I247" s="303"/>
      <c r="J247" s="303"/>
      <c r="K247" s="303"/>
      <c r="L247" s="303"/>
      <c r="M247" s="303"/>
      <c r="N247" s="303"/>
      <c r="O247" s="303"/>
      <c r="P247" s="217"/>
      <c r="Q247" s="348"/>
      <c r="R247" s="348"/>
      <c r="S247" s="348"/>
      <c r="T247" s="348"/>
      <c r="U247" s="348"/>
      <c r="V247" s="348"/>
      <c r="W247" s="217"/>
      <c r="X247" s="313"/>
      <c r="Y247" s="313"/>
      <c r="Z247" s="313"/>
      <c r="AA247" s="602"/>
      <c r="AB247" s="313"/>
      <c r="AC247" s="313"/>
      <c r="AD247" s="313"/>
      <c r="AE247" s="313"/>
      <c r="AF247" s="313"/>
      <c r="AG247" s="313"/>
      <c r="AH247" s="253"/>
      <c r="AI247" s="217"/>
      <c r="AJ247" s="318"/>
      <c r="AK247" s="318"/>
      <c r="AL247" s="318"/>
      <c r="AM247" s="318"/>
      <c r="AN247" s="318"/>
      <c r="AO247" s="318"/>
      <c r="AP247" s="318"/>
      <c r="AQ247" s="318"/>
      <c r="AR247" s="318"/>
      <c r="AS247" s="318"/>
      <c r="AT247" s="318"/>
      <c r="AU247" s="318"/>
      <c r="AV247" s="318"/>
      <c r="AW247" s="318"/>
      <c r="AX247" s="318"/>
      <c r="AY247" s="318"/>
      <c r="AZ247" s="346"/>
      <c r="BA247" s="322"/>
      <c r="BB247" s="322"/>
      <c r="BC247" s="322"/>
      <c r="BD247" s="322"/>
      <c r="BE247" s="322"/>
      <c r="BF247" s="346"/>
      <c r="BG247" s="328"/>
      <c r="BH247" s="328"/>
      <c r="BI247" s="328"/>
      <c r="BJ247" s="328"/>
      <c r="BK247" s="328"/>
      <c r="BL247" s="328"/>
      <c r="BM247" s="328"/>
      <c r="BN247" s="217"/>
      <c r="BO247" s="336"/>
      <c r="BP247" s="333"/>
      <c r="BQ247" s="336"/>
      <c r="BR247" s="336"/>
      <c r="BS247" s="336"/>
      <c r="BT247" s="336"/>
      <c r="BU247" s="336"/>
      <c r="BV247" s="336"/>
      <c r="BW247" s="336"/>
      <c r="BX247" s="217"/>
      <c r="BY247" s="341"/>
      <c r="BZ247" s="341"/>
      <c r="CA247" s="341"/>
      <c r="CB247" s="342"/>
      <c r="CC247" s="341"/>
      <c r="CD247" s="341"/>
      <c r="CE247" s="341"/>
      <c r="CF247" s="341"/>
      <c r="CG247" s="341"/>
      <c r="CH247" s="341"/>
      <c r="CI247" s="341"/>
      <c r="CJ247" s="342"/>
      <c r="CK247" s="342"/>
    </row>
    <row r="248">
      <c r="A248" s="753"/>
      <c r="B248" s="202" t="s">
        <v>271</v>
      </c>
      <c r="C248" s="196" t="s">
        <v>271</v>
      </c>
      <c r="D248" s="197" t="s">
        <v>271</v>
      </c>
      <c r="E248" s="199" t="s">
        <v>271</v>
      </c>
      <c r="F248" s="201" t="s">
        <v>271</v>
      </c>
      <c r="G248" s="202" t="s">
        <v>271</v>
      </c>
      <c r="H248" s="303"/>
      <c r="I248" s="303"/>
      <c r="J248" s="303"/>
      <c r="K248" s="303"/>
      <c r="L248" s="303"/>
      <c r="M248" s="303"/>
      <c r="N248" s="303"/>
      <c r="O248" s="303"/>
      <c r="P248" s="217"/>
      <c r="Q248" s="348"/>
      <c r="R248" s="348"/>
      <c r="S248" s="348"/>
      <c r="T248" s="348"/>
      <c r="U248" s="348"/>
      <c r="V248" s="348"/>
      <c r="W248" s="217"/>
      <c r="X248" s="313"/>
      <c r="Y248" s="313"/>
      <c r="Z248" s="313"/>
      <c r="AA248" s="602"/>
      <c r="AB248" s="313"/>
      <c r="AC248" s="313"/>
      <c r="AD248" s="313"/>
      <c r="AE248" s="313"/>
      <c r="AF248" s="313"/>
      <c r="AG248" s="313"/>
      <c r="AH248" s="253"/>
      <c r="AI248" s="217"/>
      <c r="AJ248" s="318"/>
      <c r="AK248" s="318"/>
      <c r="AL248" s="318"/>
      <c r="AM248" s="318"/>
      <c r="AN248" s="318"/>
      <c r="AO248" s="318"/>
      <c r="AP248" s="318"/>
      <c r="AQ248" s="318"/>
      <c r="AR248" s="318"/>
      <c r="AS248" s="318"/>
      <c r="AT248" s="318"/>
      <c r="AU248" s="318"/>
      <c r="AV248" s="318"/>
      <c r="AW248" s="318"/>
      <c r="AX248" s="318"/>
      <c r="AY248" s="318"/>
      <c r="AZ248" s="346"/>
      <c r="BA248" s="322"/>
      <c r="BB248" s="322"/>
      <c r="BC248" s="322"/>
      <c r="BD248" s="322"/>
      <c r="BE248" s="322"/>
      <c r="BF248" s="346"/>
      <c r="BG248" s="328"/>
      <c r="BH248" s="328"/>
      <c r="BI248" s="328"/>
      <c r="BJ248" s="328"/>
      <c r="BK248" s="328"/>
      <c r="BL248" s="328"/>
      <c r="BM248" s="328"/>
      <c r="BN248" s="217"/>
      <c r="BO248" s="336"/>
      <c r="BP248" s="333"/>
      <c r="BQ248" s="336"/>
      <c r="BR248" s="336"/>
      <c r="BS248" s="336"/>
      <c r="BT248" s="336"/>
      <c r="BU248" s="336"/>
      <c r="BV248" s="336"/>
      <c r="BW248" s="336"/>
      <c r="BX248" s="217"/>
      <c r="BY248" s="341"/>
      <c r="BZ248" s="341"/>
      <c r="CA248" s="341"/>
      <c r="CB248" s="342"/>
      <c r="CC248" s="341"/>
      <c r="CD248" s="341"/>
      <c r="CE248" s="341"/>
      <c r="CF248" s="341"/>
      <c r="CG248" s="341"/>
      <c r="CH248" s="341"/>
      <c r="CI248" s="341"/>
      <c r="CJ248" s="342"/>
      <c r="CK248" s="342"/>
    </row>
    <row r="249">
      <c r="A249" s="753"/>
      <c r="B249" s="202" t="s">
        <v>271</v>
      </c>
      <c r="C249" s="196" t="s">
        <v>271</v>
      </c>
      <c r="D249" s="197" t="s">
        <v>271</v>
      </c>
      <c r="E249" s="199" t="s">
        <v>271</v>
      </c>
      <c r="F249" s="201" t="s">
        <v>271</v>
      </c>
      <c r="G249" s="202" t="s">
        <v>271</v>
      </c>
      <c r="H249" s="303"/>
      <c r="I249" s="303"/>
      <c r="J249" s="303"/>
      <c r="K249" s="303"/>
      <c r="L249" s="303"/>
      <c r="M249" s="303"/>
      <c r="N249" s="303"/>
      <c r="O249" s="303"/>
      <c r="P249" s="217"/>
      <c r="Q249" s="348"/>
      <c r="R249" s="348"/>
      <c r="S249" s="348"/>
      <c r="T249" s="348"/>
      <c r="U249" s="348"/>
      <c r="V249" s="348"/>
      <c r="W249" s="217"/>
      <c r="X249" s="313"/>
      <c r="Y249" s="313"/>
      <c r="Z249" s="313"/>
      <c r="AA249" s="602"/>
      <c r="AB249" s="313"/>
      <c r="AC249" s="313"/>
      <c r="AD249" s="313"/>
      <c r="AE249" s="313"/>
      <c r="AF249" s="313"/>
      <c r="AG249" s="313"/>
      <c r="AH249" s="253"/>
      <c r="AI249" s="217"/>
      <c r="AJ249" s="318"/>
      <c r="AK249" s="318"/>
      <c r="AL249" s="318"/>
      <c r="AM249" s="318"/>
      <c r="AN249" s="318"/>
      <c r="AO249" s="318"/>
      <c r="AP249" s="318"/>
      <c r="AQ249" s="318"/>
      <c r="AR249" s="318"/>
      <c r="AS249" s="318"/>
      <c r="AT249" s="318"/>
      <c r="AU249" s="318"/>
      <c r="AV249" s="318"/>
      <c r="AW249" s="318"/>
      <c r="AX249" s="318"/>
      <c r="AY249" s="318"/>
      <c r="AZ249" s="346"/>
      <c r="BA249" s="322"/>
      <c r="BB249" s="322"/>
      <c r="BC249" s="322"/>
      <c r="BD249" s="322"/>
      <c r="BE249" s="322"/>
      <c r="BF249" s="346"/>
      <c r="BG249" s="328"/>
      <c r="BH249" s="328"/>
      <c r="BI249" s="328"/>
      <c r="BJ249" s="328"/>
      <c r="BK249" s="328"/>
      <c r="BL249" s="328"/>
      <c r="BM249" s="328"/>
      <c r="BN249" s="217"/>
      <c r="BO249" s="336"/>
      <c r="BP249" s="333"/>
      <c r="BQ249" s="336"/>
      <c r="BR249" s="336"/>
      <c r="BS249" s="336"/>
      <c r="BT249" s="336"/>
      <c r="BU249" s="336"/>
      <c r="BV249" s="336"/>
      <c r="BW249" s="336"/>
      <c r="BX249" s="217"/>
      <c r="BY249" s="341"/>
      <c r="BZ249" s="341"/>
      <c r="CA249" s="341"/>
      <c r="CB249" s="342"/>
      <c r="CC249" s="341"/>
      <c r="CD249" s="341"/>
      <c r="CE249" s="341"/>
      <c r="CF249" s="341"/>
      <c r="CG249" s="341"/>
      <c r="CH249" s="341"/>
      <c r="CI249" s="341"/>
      <c r="CJ249" s="342"/>
      <c r="CK249" s="342"/>
    </row>
    <row r="250">
      <c r="A250" s="753"/>
      <c r="B250" s="202" t="s">
        <v>271</v>
      </c>
      <c r="C250" s="196" t="s">
        <v>271</v>
      </c>
      <c r="D250" s="197" t="s">
        <v>271</v>
      </c>
      <c r="E250" s="199" t="s">
        <v>271</v>
      </c>
      <c r="F250" s="201" t="s">
        <v>271</v>
      </c>
      <c r="G250" s="202" t="s">
        <v>271</v>
      </c>
      <c r="H250" s="303"/>
      <c r="I250" s="303"/>
      <c r="J250" s="303"/>
      <c r="K250" s="303"/>
      <c r="L250" s="303"/>
      <c r="M250" s="303"/>
      <c r="N250" s="303"/>
      <c r="O250" s="303"/>
      <c r="P250" s="217"/>
      <c r="Q250" s="348"/>
      <c r="R250" s="348"/>
      <c r="S250" s="348"/>
      <c r="T250" s="348"/>
      <c r="U250" s="348"/>
      <c r="V250" s="348"/>
      <c r="W250" s="217"/>
      <c r="X250" s="313"/>
      <c r="Y250" s="313"/>
      <c r="Z250" s="313"/>
      <c r="AA250" s="602"/>
      <c r="AB250" s="313"/>
      <c r="AC250" s="313"/>
      <c r="AD250" s="313"/>
      <c r="AE250" s="313"/>
      <c r="AF250" s="313"/>
      <c r="AG250" s="313"/>
      <c r="AH250" s="253"/>
      <c r="AI250" s="217"/>
      <c r="AJ250" s="318"/>
      <c r="AK250" s="318"/>
      <c r="AL250" s="318"/>
      <c r="AM250" s="318"/>
      <c r="AN250" s="318"/>
      <c r="AO250" s="318"/>
      <c r="AP250" s="318"/>
      <c r="AQ250" s="318"/>
      <c r="AR250" s="318"/>
      <c r="AS250" s="318"/>
      <c r="AT250" s="318"/>
      <c r="AU250" s="318"/>
      <c r="AV250" s="318"/>
      <c r="AW250" s="318"/>
      <c r="AX250" s="318"/>
      <c r="AY250" s="318"/>
      <c r="AZ250" s="346"/>
      <c r="BA250" s="322"/>
      <c r="BB250" s="322"/>
      <c r="BC250" s="322"/>
      <c r="BD250" s="322"/>
      <c r="BE250" s="322"/>
      <c r="BF250" s="346"/>
      <c r="BG250" s="328"/>
      <c r="BH250" s="328"/>
      <c r="BI250" s="328"/>
      <c r="BJ250" s="328"/>
      <c r="BK250" s="328"/>
      <c r="BL250" s="328"/>
      <c r="BM250" s="328"/>
      <c r="BN250" s="217"/>
      <c r="BO250" s="336"/>
      <c r="BP250" s="333"/>
      <c r="BQ250" s="336"/>
      <c r="BR250" s="336"/>
      <c r="BS250" s="336"/>
      <c r="BT250" s="336"/>
      <c r="BU250" s="336"/>
      <c r="BV250" s="336"/>
      <c r="BW250" s="336"/>
      <c r="BX250" s="217"/>
      <c r="BY250" s="341"/>
      <c r="BZ250" s="341"/>
      <c r="CA250" s="341"/>
      <c r="CB250" s="342"/>
      <c r="CC250" s="341"/>
      <c r="CD250" s="341"/>
      <c r="CE250" s="341"/>
      <c r="CF250" s="341"/>
      <c r="CG250" s="341"/>
      <c r="CH250" s="341"/>
      <c r="CI250" s="341"/>
      <c r="CJ250" s="342"/>
      <c r="CK250" s="342"/>
    </row>
    <row r="251">
      <c r="A251" s="753"/>
      <c r="B251" s="202" t="s">
        <v>271</v>
      </c>
      <c r="C251" s="196" t="s">
        <v>271</v>
      </c>
      <c r="D251" s="197" t="s">
        <v>271</v>
      </c>
      <c r="E251" s="199" t="s">
        <v>271</v>
      </c>
      <c r="F251" s="201" t="s">
        <v>271</v>
      </c>
      <c r="G251" s="202" t="s">
        <v>271</v>
      </c>
      <c r="H251" s="303"/>
      <c r="I251" s="303"/>
      <c r="J251" s="303"/>
      <c r="K251" s="303"/>
      <c r="L251" s="303"/>
      <c r="M251" s="303"/>
      <c r="N251" s="303"/>
      <c r="O251" s="303"/>
      <c r="P251" s="217"/>
      <c r="Q251" s="348"/>
      <c r="R251" s="348"/>
      <c r="S251" s="348"/>
      <c r="T251" s="348"/>
      <c r="U251" s="348"/>
      <c r="V251" s="348"/>
      <c r="W251" s="217"/>
      <c r="X251" s="313"/>
      <c r="Y251" s="313"/>
      <c r="Z251" s="313"/>
      <c r="AA251" s="602"/>
      <c r="AB251" s="313"/>
      <c r="AC251" s="313"/>
      <c r="AD251" s="313"/>
      <c r="AE251" s="313"/>
      <c r="AF251" s="313"/>
      <c r="AG251" s="313"/>
      <c r="AH251" s="253"/>
      <c r="AI251" s="217"/>
      <c r="AJ251" s="318"/>
      <c r="AK251" s="318"/>
      <c r="AL251" s="318"/>
      <c r="AM251" s="318"/>
      <c r="AN251" s="318"/>
      <c r="AO251" s="318"/>
      <c r="AP251" s="318"/>
      <c r="AQ251" s="318"/>
      <c r="AR251" s="318"/>
      <c r="AS251" s="318"/>
      <c r="AT251" s="318"/>
      <c r="AU251" s="318"/>
      <c r="AV251" s="318"/>
      <c r="AW251" s="318"/>
      <c r="AX251" s="318"/>
      <c r="AY251" s="318"/>
      <c r="AZ251" s="346"/>
      <c r="BA251" s="322"/>
      <c r="BB251" s="322"/>
      <c r="BC251" s="322"/>
      <c r="BD251" s="322"/>
      <c r="BE251" s="322"/>
      <c r="BF251" s="346"/>
      <c r="BG251" s="328"/>
      <c r="BH251" s="328"/>
      <c r="BI251" s="328"/>
      <c r="BJ251" s="328"/>
      <c r="BK251" s="328"/>
      <c r="BL251" s="328"/>
      <c r="BM251" s="328"/>
      <c r="BN251" s="217"/>
      <c r="BO251" s="336"/>
      <c r="BP251" s="333"/>
      <c r="BQ251" s="336"/>
      <c r="BR251" s="336"/>
      <c r="BS251" s="336"/>
      <c r="BT251" s="336"/>
      <c r="BU251" s="336"/>
      <c r="BV251" s="336"/>
      <c r="BW251" s="336"/>
      <c r="BX251" s="217"/>
      <c r="BY251" s="341"/>
      <c r="BZ251" s="341"/>
      <c r="CA251" s="341"/>
      <c r="CB251" s="342"/>
      <c r="CC251" s="341"/>
      <c r="CD251" s="341"/>
      <c r="CE251" s="341"/>
      <c r="CF251" s="341"/>
      <c r="CG251" s="341"/>
      <c r="CH251" s="341"/>
      <c r="CI251" s="341"/>
      <c r="CJ251" s="342"/>
      <c r="CK251" s="342"/>
    </row>
    <row r="252">
      <c r="A252" s="753"/>
      <c r="B252" s="202" t="s">
        <v>271</v>
      </c>
      <c r="C252" s="196" t="s">
        <v>271</v>
      </c>
      <c r="D252" s="197" t="s">
        <v>271</v>
      </c>
      <c r="E252" s="199" t="s">
        <v>271</v>
      </c>
      <c r="F252" s="201" t="s">
        <v>271</v>
      </c>
      <c r="G252" s="202" t="s">
        <v>271</v>
      </c>
      <c r="H252" s="303"/>
      <c r="I252" s="303"/>
      <c r="J252" s="303"/>
      <c r="K252" s="303"/>
      <c r="L252" s="303"/>
      <c r="M252" s="303"/>
      <c r="N252" s="303"/>
      <c r="O252" s="303"/>
      <c r="P252" s="217"/>
      <c r="Q252" s="348"/>
      <c r="R252" s="348"/>
      <c r="S252" s="348"/>
      <c r="T252" s="348"/>
      <c r="U252" s="348"/>
      <c r="V252" s="348"/>
      <c r="W252" s="217"/>
      <c r="X252" s="313"/>
      <c r="Y252" s="313"/>
      <c r="Z252" s="313"/>
      <c r="AA252" s="602"/>
      <c r="AB252" s="313"/>
      <c r="AC252" s="313"/>
      <c r="AD252" s="313"/>
      <c r="AE252" s="313"/>
      <c r="AF252" s="313"/>
      <c r="AG252" s="313"/>
      <c r="AH252" s="253"/>
      <c r="AI252" s="217"/>
      <c r="AJ252" s="318"/>
      <c r="AK252" s="318"/>
      <c r="AL252" s="318"/>
      <c r="AM252" s="318"/>
      <c r="AN252" s="318"/>
      <c r="AO252" s="318"/>
      <c r="AP252" s="318"/>
      <c r="AQ252" s="318"/>
      <c r="AR252" s="318"/>
      <c r="AS252" s="318"/>
      <c r="AT252" s="318"/>
      <c r="AU252" s="318"/>
      <c r="AV252" s="318"/>
      <c r="AW252" s="318"/>
      <c r="AX252" s="318"/>
      <c r="AY252" s="318"/>
      <c r="AZ252" s="346"/>
      <c r="BA252" s="322"/>
      <c r="BB252" s="322"/>
      <c r="BC252" s="322"/>
      <c r="BD252" s="322"/>
      <c r="BE252" s="322"/>
      <c r="BF252" s="346"/>
      <c r="BG252" s="328"/>
      <c r="BH252" s="328"/>
      <c r="BI252" s="328"/>
      <c r="BJ252" s="328"/>
      <c r="BK252" s="328"/>
      <c r="BL252" s="328"/>
      <c r="BM252" s="328"/>
      <c r="BN252" s="217"/>
      <c r="BO252" s="336"/>
      <c r="BP252" s="333"/>
      <c r="BQ252" s="336"/>
      <c r="BR252" s="336"/>
      <c r="BS252" s="336"/>
      <c r="BT252" s="336"/>
      <c r="BU252" s="336"/>
      <c r="BV252" s="336"/>
      <c r="BW252" s="336"/>
      <c r="BX252" s="217"/>
      <c r="BY252" s="341"/>
      <c r="BZ252" s="341"/>
      <c r="CA252" s="341"/>
      <c r="CB252" s="342"/>
      <c r="CC252" s="341"/>
      <c r="CD252" s="341"/>
      <c r="CE252" s="341"/>
      <c r="CF252" s="341"/>
      <c r="CG252" s="341"/>
      <c r="CH252" s="341"/>
      <c r="CI252" s="341"/>
      <c r="CJ252" s="342"/>
      <c r="CK252" s="342"/>
    </row>
    <row r="253">
      <c r="A253" s="753"/>
      <c r="B253" s="202" t="s">
        <v>271</v>
      </c>
      <c r="C253" s="196" t="s">
        <v>271</v>
      </c>
      <c r="D253" s="197" t="s">
        <v>271</v>
      </c>
      <c r="E253" s="199" t="s">
        <v>271</v>
      </c>
      <c r="F253" s="201" t="s">
        <v>271</v>
      </c>
      <c r="G253" s="202" t="s">
        <v>271</v>
      </c>
      <c r="H253" s="303"/>
      <c r="I253" s="303"/>
      <c r="J253" s="303"/>
      <c r="K253" s="303"/>
      <c r="L253" s="303"/>
      <c r="M253" s="303"/>
      <c r="N253" s="303"/>
      <c r="O253" s="303"/>
      <c r="P253" s="217"/>
      <c r="Q253" s="348"/>
      <c r="R253" s="348"/>
      <c r="S253" s="348"/>
      <c r="T253" s="348"/>
      <c r="U253" s="348"/>
      <c r="V253" s="348"/>
      <c r="W253" s="217"/>
      <c r="X253" s="313"/>
      <c r="Y253" s="313"/>
      <c r="Z253" s="313"/>
      <c r="AA253" s="602"/>
      <c r="AB253" s="313"/>
      <c r="AC253" s="313"/>
      <c r="AD253" s="313"/>
      <c r="AE253" s="313"/>
      <c r="AF253" s="313"/>
      <c r="AG253" s="313"/>
      <c r="AH253" s="253"/>
      <c r="AI253" s="217"/>
      <c r="AJ253" s="318"/>
      <c r="AK253" s="318"/>
      <c r="AL253" s="318"/>
      <c r="AM253" s="318"/>
      <c r="AN253" s="318"/>
      <c r="AO253" s="318"/>
      <c r="AP253" s="318"/>
      <c r="AQ253" s="318"/>
      <c r="AR253" s="318"/>
      <c r="AS253" s="318"/>
      <c r="AT253" s="318"/>
      <c r="AU253" s="318"/>
      <c r="AV253" s="318"/>
      <c r="AW253" s="318"/>
      <c r="AX253" s="318"/>
      <c r="AY253" s="318"/>
      <c r="AZ253" s="346"/>
      <c r="BA253" s="322"/>
      <c r="BB253" s="322"/>
      <c r="BC253" s="322"/>
      <c r="BD253" s="322"/>
      <c r="BE253" s="322"/>
      <c r="BF253" s="346"/>
      <c r="BG253" s="328"/>
      <c r="BH253" s="328"/>
      <c r="BI253" s="328"/>
      <c r="BJ253" s="328"/>
      <c r="BK253" s="328"/>
      <c r="BL253" s="328"/>
      <c r="BM253" s="328"/>
      <c r="BN253" s="217"/>
      <c r="BO253" s="336"/>
      <c r="BP253" s="333"/>
      <c r="BQ253" s="336"/>
      <c r="BR253" s="336"/>
      <c r="BS253" s="336"/>
      <c r="BT253" s="336"/>
      <c r="BU253" s="336"/>
      <c r="BV253" s="336"/>
      <c r="BW253" s="336"/>
      <c r="BX253" s="217"/>
      <c r="BY253" s="341"/>
      <c r="BZ253" s="341"/>
      <c r="CA253" s="341"/>
      <c r="CB253" s="342"/>
      <c r="CC253" s="341"/>
      <c r="CD253" s="341"/>
      <c r="CE253" s="341"/>
      <c r="CF253" s="341"/>
      <c r="CG253" s="341"/>
      <c r="CH253" s="341"/>
      <c r="CI253" s="341"/>
      <c r="CJ253" s="342"/>
      <c r="CK253" s="342"/>
    </row>
    <row r="254">
      <c r="A254" s="753"/>
      <c r="B254" s="202" t="s">
        <v>271</v>
      </c>
      <c r="C254" s="196" t="s">
        <v>271</v>
      </c>
      <c r="D254" s="197" t="s">
        <v>271</v>
      </c>
      <c r="E254" s="199" t="s">
        <v>271</v>
      </c>
      <c r="F254" s="201" t="s">
        <v>271</v>
      </c>
      <c r="G254" s="202" t="s">
        <v>271</v>
      </c>
      <c r="H254" s="303"/>
      <c r="I254" s="303"/>
      <c r="J254" s="303"/>
      <c r="K254" s="303"/>
      <c r="L254" s="303"/>
      <c r="M254" s="303"/>
      <c r="N254" s="303"/>
      <c r="O254" s="303"/>
      <c r="P254" s="217"/>
      <c r="Q254" s="348"/>
      <c r="R254" s="348"/>
      <c r="S254" s="348"/>
      <c r="T254" s="348"/>
      <c r="U254" s="348"/>
      <c r="V254" s="348"/>
      <c r="W254" s="217"/>
      <c r="X254" s="313"/>
      <c r="Y254" s="313"/>
      <c r="Z254" s="313"/>
      <c r="AA254" s="602"/>
      <c r="AB254" s="313"/>
      <c r="AC254" s="313"/>
      <c r="AD254" s="313"/>
      <c r="AE254" s="313"/>
      <c r="AF254" s="313"/>
      <c r="AG254" s="313"/>
      <c r="AH254" s="253"/>
      <c r="AI254" s="217"/>
      <c r="AJ254" s="318"/>
      <c r="AK254" s="318"/>
      <c r="AL254" s="318"/>
      <c r="AM254" s="318"/>
      <c r="AN254" s="318"/>
      <c r="AO254" s="318"/>
      <c r="AP254" s="318"/>
      <c r="AQ254" s="318"/>
      <c r="AR254" s="318"/>
      <c r="AS254" s="318"/>
      <c r="AT254" s="318"/>
      <c r="AU254" s="318"/>
      <c r="AV254" s="318"/>
      <c r="AW254" s="318"/>
      <c r="AX254" s="318"/>
      <c r="AY254" s="318"/>
      <c r="AZ254" s="346"/>
      <c r="BA254" s="322"/>
      <c r="BB254" s="322"/>
      <c r="BC254" s="322"/>
      <c r="BD254" s="322"/>
      <c r="BE254" s="322"/>
      <c r="BF254" s="346"/>
      <c r="BG254" s="328"/>
      <c r="BH254" s="328"/>
      <c r="BI254" s="328"/>
      <c r="BJ254" s="328"/>
      <c r="BK254" s="328"/>
      <c r="BL254" s="328"/>
      <c r="BM254" s="328"/>
      <c r="BN254" s="217"/>
      <c r="BO254" s="336"/>
      <c r="BP254" s="333"/>
      <c r="BQ254" s="336"/>
      <c r="BR254" s="336"/>
      <c r="BS254" s="336"/>
      <c r="BT254" s="336"/>
      <c r="BU254" s="336"/>
      <c r="BV254" s="336"/>
      <c r="BW254" s="336"/>
      <c r="BX254" s="217"/>
      <c r="BY254" s="341"/>
      <c r="BZ254" s="341"/>
      <c r="CA254" s="341"/>
      <c r="CB254" s="342"/>
      <c r="CC254" s="341"/>
      <c r="CD254" s="341"/>
      <c r="CE254" s="341"/>
      <c r="CF254" s="341"/>
      <c r="CG254" s="341"/>
      <c r="CH254" s="341"/>
      <c r="CI254" s="341"/>
      <c r="CJ254" s="342"/>
      <c r="CK254" s="342"/>
    </row>
    <row r="255">
      <c r="A255" s="753"/>
      <c r="B255" s="202" t="s">
        <v>271</v>
      </c>
      <c r="C255" s="196" t="s">
        <v>271</v>
      </c>
      <c r="D255" s="197" t="s">
        <v>271</v>
      </c>
      <c r="E255" s="199" t="s">
        <v>271</v>
      </c>
      <c r="F255" s="201" t="s">
        <v>271</v>
      </c>
      <c r="G255" s="202" t="s">
        <v>271</v>
      </c>
      <c r="H255" s="303"/>
      <c r="I255" s="303"/>
      <c r="J255" s="303"/>
      <c r="K255" s="303"/>
      <c r="L255" s="303"/>
      <c r="M255" s="303"/>
      <c r="N255" s="303"/>
      <c r="O255" s="303"/>
      <c r="P255" s="217"/>
      <c r="Q255" s="348"/>
      <c r="R255" s="348"/>
      <c r="S255" s="348"/>
      <c r="T255" s="348"/>
      <c r="U255" s="348"/>
      <c r="V255" s="348"/>
      <c r="W255" s="217"/>
      <c r="X255" s="313"/>
      <c r="Y255" s="313"/>
      <c r="Z255" s="313"/>
      <c r="AA255" s="602"/>
      <c r="AB255" s="313"/>
      <c r="AC255" s="313"/>
      <c r="AD255" s="313"/>
      <c r="AE255" s="313"/>
      <c r="AF255" s="313"/>
      <c r="AG255" s="313"/>
      <c r="AH255" s="253"/>
      <c r="AI255" s="217"/>
      <c r="AJ255" s="318"/>
      <c r="AK255" s="318"/>
      <c r="AL255" s="318"/>
      <c r="AM255" s="318"/>
      <c r="AN255" s="318"/>
      <c r="AO255" s="318"/>
      <c r="AP255" s="318"/>
      <c r="AQ255" s="318"/>
      <c r="AR255" s="318"/>
      <c r="AS255" s="318"/>
      <c r="AT255" s="318"/>
      <c r="AU255" s="318"/>
      <c r="AV255" s="318"/>
      <c r="AW255" s="318"/>
      <c r="AX255" s="318"/>
      <c r="AY255" s="318"/>
      <c r="AZ255" s="346"/>
      <c r="BA255" s="322"/>
      <c r="BB255" s="322"/>
      <c r="BC255" s="322"/>
      <c r="BD255" s="322"/>
      <c r="BE255" s="322"/>
      <c r="BF255" s="346"/>
      <c r="BG255" s="328"/>
      <c r="BH255" s="328"/>
      <c r="BI255" s="328"/>
      <c r="BJ255" s="328"/>
      <c r="BK255" s="328"/>
      <c r="BL255" s="328"/>
      <c r="BM255" s="328"/>
      <c r="BN255" s="217"/>
      <c r="BO255" s="336"/>
      <c r="BP255" s="333"/>
      <c r="BQ255" s="336"/>
      <c r="BR255" s="336"/>
      <c r="BS255" s="336"/>
      <c r="BT255" s="336"/>
      <c r="BU255" s="336"/>
      <c r="BV255" s="336"/>
      <c r="BW255" s="336"/>
      <c r="BX255" s="217"/>
      <c r="BY255" s="341"/>
      <c r="BZ255" s="341"/>
      <c r="CA255" s="341"/>
      <c r="CB255" s="342"/>
      <c r="CC255" s="341"/>
      <c r="CD255" s="341"/>
      <c r="CE255" s="341"/>
      <c r="CF255" s="341"/>
      <c r="CG255" s="341"/>
      <c r="CH255" s="341"/>
      <c r="CI255" s="341"/>
      <c r="CJ255" s="342"/>
      <c r="CK255" s="342"/>
    </row>
    <row r="256">
      <c r="A256" s="753"/>
      <c r="B256" s="202" t="s">
        <v>271</v>
      </c>
      <c r="C256" s="196" t="s">
        <v>271</v>
      </c>
      <c r="D256" s="197" t="s">
        <v>271</v>
      </c>
      <c r="E256" s="199" t="s">
        <v>271</v>
      </c>
      <c r="F256" s="201" t="s">
        <v>271</v>
      </c>
      <c r="G256" s="202" t="s">
        <v>271</v>
      </c>
      <c r="H256" s="303"/>
      <c r="I256" s="303"/>
      <c r="J256" s="303"/>
      <c r="K256" s="303"/>
      <c r="L256" s="303"/>
      <c r="M256" s="303"/>
      <c r="N256" s="303"/>
      <c r="O256" s="303"/>
      <c r="P256" s="217"/>
      <c r="Q256" s="348"/>
      <c r="R256" s="348"/>
      <c r="S256" s="348"/>
      <c r="T256" s="348"/>
      <c r="U256" s="348"/>
      <c r="V256" s="348"/>
      <c r="W256" s="217"/>
      <c r="X256" s="313"/>
      <c r="Y256" s="313"/>
      <c r="Z256" s="313"/>
      <c r="AA256" s="602"/>
      <c r="AB256" s="313"/>
      <c r="AC256" s="313"/>
      <c r="AD256" s="313"/>
      <c r="AE256" s="313"/>
      <c r="AF256" s="313"/>
      <c r="AG256" s="313"/>
      <c r="AH256" s="253"/>
      <c r="AI256" s="217"/>
      <c r="AJ256" s="318"/>
      <c r="AK256" s="318"/>
      <c r="AL256" s="318"/>
      <c r="AM256" s="318"/>
      <c r="AN256" s="318"/>
      <c r="AO256" s="318"/>
      <c r="AP256" s="318"/>
      <c r="AQ256" s="318"/>
      <c r="AR256" s="318"/>
      <c r="AS256" s="318"/>
      <c r="AT256" s="318"/>
      <c r="AU256" s="318"/>
      <c r="AV256" s="318"/>
      <c r="AW256" s="318"/>
      <c r="AX256" s="318"/>
      <c r="AY256" s="318"/>
      <c r="AZ256" s="346"/>
      <c r="BA256" s="322"/>
      <c r="BB256" s="322"/>
      <c r="BC256" s="322"/>
      <c r="BD256" s="322"/>
      <c r="BE256" s="322"/>
      <c r="BF256" s="346"/>
      <c r="BG256" s="328"/>
      <c r="BH256" s="328"/>
      <c r="BI256" s="328"/>
      <c r="BJ256" s="328"/>
      <c r="BK256" s="328"/>
      <c r="BL256" s="328"/>
      <c r="BM256" s="328"/>
      <c r="BN256" s="217"/>
      <c r="BO256" s="336"/>
      <c r="BP256" s="333"/>
      <c r="BQ256" s="336"/>
      <c r="BR256" s="336"/>
      <c r="BS256" s="336"/>
      <c r="BT256" s="336"/>
      <c r="BU256" s="336"/>
      <c r="BV256" s="336"/>
      <c r="BW256" s="336"/>
      <c r="BX256" s="217"/>
      <c r="BY256" s="341"/>
      <c r="BZ256" s="341"/>
      <c r="CA256" s="341"/>
      <c r="CB256" s="342"/>
      <c r="CC256" s="341"/>
      <c r="CD256" s="341"/>
      <c r="CE256" s="341"/>
      <c r="CF256" s="341"/>
      <c r="CG256" s="341"/>
      <c r="CH256" s="341"/>
      <c r="CI256" s="341"/>
      <c r="CJ256" s="342"/>
      <c r="CK256" s="342"/>
    </row>
    <row r="257">
      <c r="A257" s="753"/>
      <c r="B257" s="202" t="s">
        <v>271</v>
      </c>
      <c r="C257" s="196" t="s">
        <v>271</v>
      </c>
      <c r="D257" s="197" t="s">
        <v>271</v>
      </c>
      <c r="E257" s="199" t="s">
        <v>271</v>
      </c>
      <c r="F257" s="201" t="s">
        <v>271</v>
      </c>
      <c r="G257" s="202" t="s">
        <v>271</v>
      </c>
      <c r="H257" s="303"/>
      <c r="I257" s="303"/>
      <c r="J257" s="303"/>
      <c r="K257" s="303"/>
      <c r="L257" s="303"/>
      <c r="M257" s="303"/>
      <c r="N257" s="303"/>
      <c r="O257" s="303"/>
      <c r="P257" s="217"/>
      <c r="Q257" s="348"/>
      <c r="R257" s="348"/>
      <c r="S257" s="348"/>
      <c r="T257" s="348"/>
      <c r="U257" s="348"/>
      <c r="V257" s="348"/>
      <c r="W257" s="217"/>
      <c r="X257" s="313"/>
      <c r="Y257" s="313"/>
      <c r="Z257" s="313"/>
      <c r="AA257" s="602"/>
      <c r="AB257" s="313"/>
      <c r="AC257" s="313"/>
      <c r="AD257" s="313"/>
      <c r="AE257" s="313"/>
      <c r="AF257" s="313"/>
      <c r="AG257" s="313"/>
      <c r="AH257" s="253"/>
      <c r="AI257" s="217"/>
      <c r="AJ257" s="318"/>
      <c r="AK257" s="318"/>
      <c r="AL257" s="318"/>
      <c r="AM257" s="318"/>
      <c r="AN257" s="318"/>
      <c r="AO257" s="318"/>
      <c r="AP257" s="318"/>
      <c r="AQ257" s="318"/>
      <c r="AR257" s="318"/>
      <c r="AS257" s="318"/>
      <c r="AT257" s="318"/>
      <c r="AU257" s="318"/>
      <c r="AV257" s="318"/>
      <c r="AW257" s="318"/>
      <c r="AX257" s="318"/>
      <c r="AY257" s="318"/>
      <c r="AZ257" s="346"/>
      <c r="BA257" s="322"/>
      <c r="BB257" s="322"/>
      <c r="BC257" s="322"/>
      <c r="BD257" s="322"/>
      <c r="BE257" s="322"/>
      <c r="BF257" s="346"/>
      <c r="BG257" s="328"/>
      <c r="BH257" s="328"/>
      <c r="BI257" s="328"/>
      <c r="BJ257" s="328"/>
      <c r="BK257" s="328"/>
      <c r="BL257" s="328"/>
      <c r="BM257" s="328"/>
      <c r="BN257" s="217"/>
      <c r="BO257" s="336"/>
      <c r="BP257" s="333"/>
      <c r="BQ257" s="336"/>
      <c r="BR257" s="336"/>
      <c r="BS257" s="336"/>
      <c r="BT257" s="336"/>
      <c r="BU257" s="336"/>
      <c r="BV257" s="336"/>
      <c r="BW257" s="336"/>
      <c r="BX257" s="217"/>
      <c r="BY257" s="341"/>
      <c r="BZ257" s="341"/>
      <c r="CA257" s="341"/>
      <c r="CB257" s="342"/>
      <c r="CC257" s="341"/>
      <c r="CD257" s="341"/>
      <c r="CE257" s="341"/>
      <c r="CF257" s="341"/>
      <c r="CG257" s="341"/>
      <c r="CH257" s="341"/>
      <c r="CI257" s="341"/>
      <c r="CJ257" s="342"/>
      <c r="CK257" s="342"/>
    </row>
    <row r="258">
      <c r="A258" s="753"/>
      <c r="B258" s="202" t="s">
        <v>271</v>
      </c>
      <c r="C258" s="196" t="s">
        <v>271</v>
      </c>
      <c r="D258" s="197" t="s">
        <v>271</v>
      </c>
      <c r="E258" s="199" t="s">
        <v>271</v>
      </c>
      <c r="F258" s="201" t="s">
        <v>271</v>
      </c>
      <c r="G258" s="202" t="s">
        <v>271</v>
      </c>
      <c r="H258" s="303"/>
      <c r="I258" s="303"/>
      <c r="J258" s="303"/>
      <c r="K258" s="303"/>
      <c r="L258" s="303"/>
      <c r="M258" s="303"/>
      <c r="N258" s="303"/>
      <c r="O258" s="303"/>
      <c r="P258" s="217"/>
      <c r="Q258" s="348"/>
      <c r="R258" s="348"/>
      <c r="S258" s="348"/>
      <c r="T258" s="348"/>
      <c r="U258" s="348"/>
      <c r="V258" s="348"/>
      <c r="W258" s="217"/>
      <c r="X258" s="313"/>
      <c r="Y258" s="313"/>
      <c r="Z258" s="313"/>
      <c r="AA258" s="602"/>
      <c r="AB258" s="313"/>
      <c r="AC258" s="313"/>
      <c r="AD258" s="313"/>
      <c r="AE258" s="313"/>
      <c r="AF258" s="313"/>
      <c r="AG258" s="313"/>
      <c r="AH258" s="253"/>
      <c r="AI258" s="217"/>
      <c r="AJ258" s="318"/>
      <c r="AK258" s="318"/>
      <c r="AL258" s="318"/>
      <c r="AM258" s="318"/>
      <c r="AN258" s="318"/>
      <c r="AO258" s="318"/>
      <c r="AP258" s="318"/>
      <c r="AQ258" s="318"/>
      <c r="AR258" s="318"/>
      <c r="AS258" s="318"/>
      <c r="AT258" s="318"/>
      <c r="AU258" s="318"/>
      <c r="AV258" s="318"/>
      <c r="AW258" s="318"/>
      <c r="AX258" s="318"/>
      <c r="AY258" s="318"/>
      <c r="AZ258" s="346"/>
      <c r="BA258" s="322"/>
      <c r="BB258" s="322"/>
      <c r="BC258" s="322"/>
      <c r="BD258" s="322"/>
      <c r="BE258" s="322"/>
      <c r="BF258" s="346"/>
      <c r="BG258" s="328"/>
      <c r="BH258" s="328"/>
      <c r="BI258" s="328"/>
      <c r="BJ258" s="328"/>
      <c r="BK258" s="328"/>
      <c r="BL258" s="328"/>
      <c r="BM258" s="328"/>
      <c r="BN258" s="217"/>
      <c r="BO258" s="336"/>
      <c r="BP258" s="333"/>
      <c r="BQ258" s="336"/>
      <c r="BR258" s="336"/>
      <c r="BS258" s="336"/>
      <c r="BT258" s="336"/>
      <c r="BU258" s="336"/>
      <c r="BV258" s="336"/>
      <c r="BW258" s="336"/>
      <c r="BX258" s="217"/>
      <c r="BY258" s="341"/>
      <c r="BZ258" s="341"/>
      <c r="CA258" s="341"/>
      <c r="CB258" s="342"/>
      <c r="CC258" s="341"/>
      <c r="CD258" s="341"/>
      <c r="CE258" s="341"/>
      <c r="CF258" s="341"/>
      <c r="CG258" s="341"/>
      <c r="CH258" s="341"/>
      <c r="CI258" s="341"/>
      <c r="CJ258" s="342"/>
      <c r="CK258" s="342"/>
    </row>
    <row r="259">
      <c r="A259" s="753"/>
      <c r="B259" s="202" t="s">
        <v>271</v>
      </c>
      <c r="C259" s="196" t="s">
        <v>271</v>
      </c>
      <c r="D259" s="197" t="s">
        <v>271</v>
      </c>
      <c r="E259" s="199" t="s">
        <v>271</v>
      </c>
      <c r="F259" s="201" t="s">
        <v>271</v>
      </c>
      <c r="G259" s="202" t="s">
        <v>271</v>
      </c>
      <c r="H259" s="303"/>
      <c r="I259" s="303"/>
      <c r="J259" s="303"/>
      <c r="K259" s="303"/>
      <c r="L259" s="303"/>
      <c r="M259" s="303"/>
      <c r="N259" s="303"/>
      <c r="O259" s="303"/>
      <c r="P259" s="217"/>
      <c r="Q259" s="348"/>
      <c r="R259" s="348"/>
      <c r="S259" s="348"/>
      <c r="T259" s="348"/>
      <c r="U259" s="348"/>
      <c r="V259" s="348"/>
      <c r="W259" s="217"/>
      <c r="X259" s="313"/>
      <c r="Y259" s="313"/>
      <c r="Z259" s="313"/>
      <c r="AA259" s="602"/>
      <c r="AB259" s="313"/>
      <c r="AC259" s="313"/>
      <c r="AD259" s="313"/>
      <c r="AE259" s="313"/>
      <c r="AF259" s="313"/>
      <c r="AG259" s="313"/>
      <c r="AH259" s="253"/>
      <c r="AI259" s="217"/>
      <c r="AJ259" s="318"/>
      <c r="AK259" s="318"/>
      <c r="AL259" s="318"/>
      <c r="AM259" s="318"/>
      <c r="AN259" s="318"/>
      <c r="AO259" s="318"/>
      <c r="AP259" s="318"/>
      <c r="AQ259" s="318"/>
      <c r="AR259" s="318"/>
      <c r="AS259" s="318"/>
      <c r="AT259" s="318"/>
      <c r="AU259" s="318"/>
      <c r="AV259" s="318"/>
      <c r="AW259" s="318"/>
      <c r="AX259" s="318"/>
      <c r="AY259" s="318"/>
      <c r="AZ259" s="346"/>
      <c r="BA259" s="322"/>
      <c r="BB259" s="322"/>
      <c r="BC259" s="322"/>
      <c r="BD259" s="322"/>
      <c r="BE259" s="322"/>
      <c r="BF259" s="346"/>
      <c r="BG259" s="328"/>
      <c r="BH259" s="328"/>
      <c r="BI259" s="328"/>
      <c r="BJ259" s="328"/>
      <c r="BK259" s="328"/>
      <c r="BL259" s="328"/>
      <c r="BM259" s="328"/>
      <c r="BN259" s="217"/>
      <c r="BO259" s="336"/>
      <c r="BP259" s="333"/>
      <c r="BQ259" s="336"/>
      <c r="BR259" s="336"/>
      <c r="BS259" s="336"/>
      <c r="BT259" s="336"/>
      <c r="BU259" s="336"/>
      <c r="BV259" s="336"/>
      <c r="BW259" s="336"/>
      <c r="BX259" s="217"/>
      <c r="BY259" s="341"/>
      <c r="BZ259" s="341"/>
      <c r="CA259" s="341"/>
      <c r="CB259" s="342"/>
      <c r="CC259" s="341"/>
      <c r="CD259" s="341"/>
      <c r="CE259" s="341"/>
      <c r="CF259" s="341"/>
      <c r="CG259" s="341"/>
      <c r="CH259" s="341"/>
      <c r="CI259" s="341"/>
      <c r="CJ259" s="342"/>
      <c r="CK259" s="342"/>
    </row>
    <row r="260">
      <c r="A260" s="753"/>
      <c r="B260" s="202" t="s">
        <v>271</v>
      </c>
      <c r="C260" s="196" t="s">
        <v>271</v>
      </c>
      <c r="D260" s="197" t="s">
        <v>271</v>
      </c>
      <c r="E260" s="199" t="s">
        <v>271</v>
      </c>
      <c r="F260" s="201" t="s">
        <v>271</v>
      </c>
      <c r="G260" s="202" t="s">
        <v>271</v>
      </c>
      <c r="H260" s="303"/>
      <c r="I260" s="303"/>
      <c r="J260" s="303"/>
      <c r="K260" s="303"/>
      <c r="L260" s="303"/>
      <c r="M260" s="303"/>
      <c r="N260" s="303"/>
      <c r="O260" s="303"/>
      <c r="P260" s="217"/>
      <c r="Q260" s="348"/>
      <c r="R260" s="348"/>
      <c r="S260" s="348"/>
      <c r="T260" s="348"/>
      <c r="U260" s="348"/>
      <c r="V260" s="348"/>
      <c r="W260" s="217"/>
      <c r="X260" s="313"/>
      <c r="Y260" s="313"/>
      <c r="Z260" s="313"/>
      <c r="AA260" s="602"/>
      <c r="AB260" s="313"/>
      <c r="AC260" s="313"/>
      <c r="AD260" s="313"/>
      <c r="AE260" s="313"/>
      <c r="AF260" s="313"/>
      <c r="AG260" s="313"/>
      <c r="AH260" s="253"/>
      <c r="AI260" s="217"/>
      <c r="AJ260" s="318"/>
      <c r="AK260" s="318"/>
      <c r="AL260" s="318"/>
      <c r="AM260" s="318"/>
      <c r="AN260" s="318"/>
      <c r="AO260" s="318"/>
      <c r="AP260" s="318"/>
      <c r="AQ260" s="318"/>
      <c r="AR260" s="318"/>
      <c r="AS260" s="318"/>
      <c r="AT260" s="318"/>
      <c r="AU260" s="318"/>
      <c r="AV260" s="318"/>
      <c r="AW260" s="318"/>
      <c r="AX260" s="318"/>
      <c r="AY260" s="318"/>
      <c r="AZ260" s="346"/>
      <c r="BA260" s="322"/>
      <c r="BB260" s="322"/>
      <c r="BC260" s="322"/>
      <c r="BD260" s="322"/>
      <c r="BE260" s="322"/>
      <c r="BF260" s="346"/>
      <c r="BG260" s="328"/>
      <c r="BH260" s="328"/>
      <c r="BI260" s="328"/>
      <c r="BJ260" s="328"/>
      <c r="BK260" s="328"/>
      <c r="BL260" s="328"/>
      <c r="BM260" s="328"/>
      <c r="BN260" s="217"/>
      <c r="BO260" s="336"/>
      <c r="BP260" s="333"/>
      <c r="BQ260" s="336"/>
      <c r="BR260" s="336"/>
      <c r="BS260" s="336"/>
      <c r="BT260" s="336"/>
      <c r="BU260" s="336"/>
      <c r="BV260" s="336"/>
      <c r="BW260" s="336"/>
      <c r="BX260" s="217"/>
      <c r="BY260" s="341"/>
      <c r="BZ260" s="341"/>
      <c r="CA260" s="341"/>
      <c r="CB260" s="342"/>
      <c r="CC260" s="341"/>
      <c r="CD260" s="341"/>
      <c r="CE260" s="341"/>
      <c r="CF260" s="341"/>
      <c r="CG260" s="341"/>
      <c r="CH260" s="341"/>
      <c r="CI260" s="341"/>
      <c r="CJ260" s="342"/>
      <c r="CK260" s="342"/>
    </row>
    <row r="261">
      <c r="A261" s="753"/>
      <c r="B261" s="202" t="s">
        <v>271</v>
      </c>
      <c r="C261" s="196" t="s">
        <v>271</v>
      </c>
      <c r="D261" s="197" t="s">
        <v>271</v>
      </c>
      <c r="E261" s="199" t="s">
        <v>271</v>
      </c>
      <c r="F261" s="201" t="s">
        <v>271</v>
      </c>
      <c r="G261" s="202" t="s">
        <v>271</v>
      </c>
      <c r="H261" s="303"/>
      <c r="I261" s="303"/>
      <c r="J261" s="303"/>
      <c r="K261" s="303"/>
      <c r="L261" s="303"/>
      <c r="M261" s="303"/>
      <c r="N261" s="303"/>
      <c r="O261" s="303"/>
      <c r="P261" s="217"/>
      <c r="Q261" s="348"/>
      <c r="R261" s="348"/>
      <c r="S261" s="348"/>
      <c r="T261" s="348"/>
      <c r="U261" s="348"/>
      <c r="V261" s="348"/>
      <c r="W261" s="217"/>
      <c r="X261" s="313"/>
      <c r="Y261" s="313"/>
      <c r="Z261" s="313"/>
      <c r="AA261" s="602"/>
      <c r="AB261" s="313"/>
      <c r="AC261" s="313"/>
      <c r="AD261" s="313"/>
      <c r="AE261" s="313"/>
      <c r="AF261" s="313"/>
      <c r="AG261" s="313"/>
      <c r="AH261" s="253"/>
      <c r="AI261" s="217"/>
      <c r="AJ261" s="318"/>
      <c r="AK261" s="318"/>
      <c r="AL261" s="318"/>
      <c r="AM261" s="318"/>
      <c r="AN261" s="318"/>
      <c r="AO261" s="318"/>
      <c r="AP261" s="318"/>
      <c r="AQ261" s="318"/>
      <c r="AR261" s="318"/>
      <c r="AS261" s="318"/>
      <c r="AT261" s="318"/>
      <c r="AU261" s="318"/>
      <c r="AV261" s="318"/>
      <c r="AW261" s="318"/>
      <c r="AX261" s="318"/>
      <c r="AY261" s="318"/>
      <c r="AZ261" s="346"/>
      <c r="BA261" s="322"/>
      <c r="BB261" s="322"/>
      <c r="BC261" s="322"/>
      <c r="BD261" s="322"/>
      <c r="BE261" s="322"/>
      <c r="BF261" s="346"/>
      <c r="BG261" s="328"/>
      <c r="BH261" s="328"/>
      <c r="BI261" s="328"/>
      <c r="BJ261" s="328"/>
      <c r="BK261" s="328"/>
      <c r="BL261" s="328"/>
      <c r="BM261" s="328"/>
      <c r="BN261" s="217"/>
      <c r="BO261" s="336"/>
      <c r="BP261" s="333"/>
      <c r="BQ261" s="336"/>
      <c r="BR261" s="336"/>
      <c r="BS261" s="336"/>
      <c r="BT261" s="336"/>
      <c r="BU261" s="336"/>
      <c r="BV261" s="336"/>
      <c r="BW261" s="336"/>
      <c r="BX261" s="217"/>
      <c r="BY261" s="341"/>
      <c r="BZ261" s="341"/>
      <c r="CA261" s="341"/>
      <c r="CB261" s="342"/>
      <c r="CC261" s="341"/>
      <c r="CD261" s="341"/>
      <c r="CE261" s="341"/>
      <c r="CF261" s="341"/>
      <c r="CG261" s="341"/>
      <c r="CH261" s="341"/>
      <c r="CI261" s="341"/>
      <c r="CJ261" s="342"/>
      <c r="CK261" s="342"/>
    </row>
    <row r="262">
      <c r="A262" s="753"/>
      <c r="B262" s="202" t="s">
        <v>271</v>
      </c>
      <c r="C262" s="196" t="s">
        <v>271</v>
      </c>
      <c r="D262" s="197" t="s">
        <v>271</v>
      </c>
      <c r="E262" s="199" t="s">
        <v>271</v>
      </c>
      <c r="F262" s="201" t="s">
        <v>271</v>
      </c>
      <c r="G262" s="202" t="s">
        <v>271</v>
      </c>
      <c r="H262" s="303"/>
      <c r="I262" s="303"/>
      <c r="J262" s="303"/>
      <c r="K262" s="303"/>
      <c r="L262" s="303"/>
      <c r="M262" s="303"/>
      <c r="N262" s="303"/>
      <c r="O262" s="303"/>
      <c r="P262" s="217"/>
      <c r="Q262" s="348"/>
      <c r="R262" s="348"/>
      <c r="S262" s="348"/>
      <c r="T262" s="348"/>
      <c r="U262" s="348"/>
      <c r="V262" s="348"/>
      <c r="W262" s="217"/>
      <c r="X262" s="313"/>
      <c r="Y262" s="313"/>
      <c r="Z262" s="313"/>
      <c r="AA262" s="602"/>
      <c r="AB262" s="313"/>
      <c r="AC262" s="313"/>
      <c r="AD262" s="313"/>
      <c r="AE262" s="313"/>
      <c r="AF262" s="313"/>
      <c r="AG262" s="313"/>
      <c r="AH262" s="253"/>
      <c r="AI262" s="217"/>
      <c r="AJ262" s="318"/>
      <c r="AK262" s="318"/>
      <c r="AL262" s="318"/>
      <c r="AM262" s="318"/>
      <c r="AN262" s="318"/>
      <c r="AO262" s="318"/>
      <c r="AP262" s="318"/>
      <c r="AQ262" s="318"/>
      <c r="AR262" s="318"/>
      <c r="AS262" s="318"/>
      <c r="AT262" s="318"/>
      <c r="AU262" s="318"/>
      <c r="AV262" s="318"/>
      <c r="AW262" s="318"/>
      <c r="AX262" s="318"/>
      <c r="AY262" s="318"/>
      <c r="AZ262" s="346"/>
      <c r="BA262" s="322"/>
      <c r="BB262" s="322"/>
      <c r="BC262" s="322"/>
      <c r="BD262" s="322"/>
      <c r="BE262" s="322"/>
      <c r="BF262" s="346"/>
      <c r="BG262" s="328"/>
      <c r="BH262" s="328"/>
      <c r="BI262" s="328"/>
      <c r="BJ262" s="328"/>
      <c r="BK262" s="328"/>
      <c r="BL262" s="328"/>
      <c r="BM262" s="328"/>
      <c r="BN262" s="217"/>
      <c r="BO262" s="336"/>
      <c r="BP262" s="333"/>
      <c r="BQ262" s="336"/>
      <c r="BR262" s="336"/>
      <c r="BS262" s="336"/>
      <c r="BT262" s="336"/>
      <c r="BU262" s="336"/>
      <c r="BV262" s="336"/>
      <c r="BW262" s="336"/>
      <c r="BX262" s="217"/>
      <c r="BY262" s="341"/>
      <c r="BZ262" s="341"/>
      <c r="CA262" s="341"/>
      <c r="CB262" s="342"/>
      <c r="CC262" s="341"/>
      <c r="CD262" s="341"/>
      <c r="CE262" s="341"/>
      <c r="CF262" s="341"/>
      <c r="CG262" s="341"/>
      <c r="CH262" s="341"/>
      <c r="CI262" s="341"/>
      <c r="CJ262" s="342"/>
      <c r="CK262" s="342"/>
    </row>
    <row r="263">
      <c r="A263" s="753"/>
      <c r="B263" s="202" t="s">
        <v>271</v>
      </c>
      <c r="C263" s="196" t="s">
        <v>271</v>
      </c>
      <c r="D263" s="197" t="s">
        <v>271</v>
      </c>
      <c r="E263" s="199" t="s">
        <v>271</v>
      </c>
      <c r="F263" s="201" t="s">
        <v>271</v>
      </c>
      <c r="G263" s="202" t="s">
        <v>271</v>
      </c>
      <c r="H263" s="303"/>
      <c r="I263" s="303"/>
      <c r="J263" s="303"/>
      <c r="K263" s="303"/>
      <c r="L263" s="303"/>
      <c r="M263" s="303"/>
      <c r="N263" s="303"/>
      <c r="O263" s="303"/>
      <c r="P263" s="217"/>
      <c r="Q263" s="348"/>
      <c r="R263" s="348"/>
      <c r="S263" s="348"/>
      <c r="T263" s="348"/>
      <c r="U263" s="348"/>
      <c r="V263" s="348"/>
      <c r="W263" s="217"/>
      <c r="X263" s="313"/>
      <c r="Y263" s="313"/>
      <c r="Z263" s="313"/>
      <c r="AA263" s="602"/>
      <c r="AB263" s="313"/>
      <c r="AC263" s="313"/>
      <c r="AD263" s="313"/>
      <c r="AE263" s="313"/>
      <c r="AF263" s="313"/>
      <c r="AG263" s="313"/>
      <c r="AH263" s="253"/>
      <c r="AI263" s="217"/>
      <c r="AJ263" s="318"/>
      <c r="AK263" s="318"/>
      <c r="AL263" s="318"/>
      <c r="AM263" s="318"/>
      <c r="AN263" s="318"/>
      <c r="AO263" s="318"/>
      <c r="AP263" s="318"/>
      <c r="AQ263" s="318"/>
      <c r="AR263" s="318"/>
      <c r="AS263" s="318"/>
      <c r="AT263" s="318"/>
      <c r="AU263" s="318"/>
      <c r="AV263" s="318"/>
      <c r="AW263" s="318"/>
      <c r="AX263" s="318"/>
      <c r="AY263" s="318"/>
      <c r="AZ263" s="346"/>
      <c r="BA263" s="322"/>
      <c r="BB263" s="322"/>
      <c r="BC263" s="322"/>
      <c r="BD263" s="322"/>
      <c r="BE263" s="322"/>
      <c r="BF263" s="346"/>
      <c r="BG263" s="328"/>
      <c r="BH263" s="328"/>
      <c r="BI263" s="328"/>
      <c r="BJ263" s="328"/>
      <c r="BK263" s="328"/>
      <c r="BL263" s="328"/>
      <c r="BM263" s="328"/>
      <c r="BN263" s="217"/>
      <c r="BO263" s="336"/>
      <c r="BP263" s="333"/>
      <c r="BQ263" s="336"/>
      <c r="BR263" s="336"/>
      <c r="BS263" s="336"/>
      <c r="BT263" s="336"/>
      <c r="BU263" s="336"/>
      <c r="BV263" s="336"/>
      <c r="BW263" s="336"/>
      <c r="BX263" s="217"/>
      <c r="BY263" s="341"/>
      <c r="BZ263" s="341"/>
      <c r="CA263" s="341"/>
      <c r="CB263" s="342"/>
      <c r="CC263" s="341"/>
      <c r="CD263" s="341"/>
      <c r="CE263" s="341"/>
      <c r="CF263" s="341"/>
      <c r="CG263" s="341"/>
      <c r="CH263" s="341"/>
      <c r="CI263" s="341"/>
      <c r="CJ263" s="342"/>
      <c r="CK263" s="342"/>
    </row>
    <row r="264">
      <c r="A264" s="753"/>
      <c r="B264" s="202" t="s">
        <v>271</v>
      </c>
      <c r="C264" s="196" t="s">
        <v>271</v>
      </c>
      <c r="D264" s="197" t="s">
        <v>271</v>
      </c>
      <c r="E264" s="199" t="s">
        <v>271</v>
      </c>
      <c r="F264" s="201" t="s">
        <v>271</v>
      </c>
      <c r="G264" s="202" t="s">
        <v>271</v>
      </c>
      <c r="H264" s="303"/>
      <c r="I264" s="303"/>
      <c r="J264" s="303"/>
      <c r="K264" s="303"/>
      <c r="L264" s="303"/>
      <c r="M264" s="303"/>
      <c r="N264" s="303"/>
      <c r="O264" s="303"/>
      <c r="P264" s="217"/>
      <c r="Q264" s="348"/>
      <c r="R264" s="348"/>
      <c r="S264" s="348"/>
      <c r="T264" s="348"/>
      <c r="U264" s="348"/>
      <c r="V264" s="348"/>
      <c r="W264" s="217"/>
      <c r="X264" s="313"/>
      <c r="Y264" s="313"/>
      <c r="Z264" s="313"/>
      <c r="AA264" s="602"/>
      <c r="AB264" s="313"/>
      <c r="AC264" s="313"/>
      <c r="AD264" s="313"/>
      <c r="AE264" s="313"/>
      <c r="AF264" s="313"/>
      <c r="AG264" s="313"/>
      <c r="AH264" s="253"/>
      <c r="AI264" s="217"/>
      <c r="AJ264" s="318"/>
      <c r="AK264" s="318"/>
      <c r="AL264" s="318"/>
      <c r="AM264" s="318"/>
      <c r="AN264" s="318"/>
      <c r="AO264" s="318"/>
      <c r="AP264" s="318"/>
      <c r="AQ264" s="318"/>
      <c r="AR264" s="318"/>
      <c r="AS264" s="318"/>
      <c r="AT264" s="318"/>
      <c r="AU264" s="318"/>
      <c r="AV264" s="318"/>
      <c r="AW264" s="318"/>
      <c r="AX264" s="318"/>
      <c r="AY264" s="318"/>
      <c r="AZ264" s="346"/>
      <c r="BA264" s="322"/>
      <c r="BB264" s="322"/>
      <c r="BC264" s="322"/>
      <c r="BD264" s="322"/>
      <c r="BE264" s="322"/>
      <c r="BF264" s="346"/>
      <c r="BG264" s="328"/>
      <c r="BH264" s="328"/>
      <c r="BI264" s="328"/>
      <c r="BJ264" s="328"/>
      <c r="BK264" s="328"/>
      <c r="BL264" s="328"/>
      <c r="BM264" s="328"/>
      <c r="BN264" s="217"/>
      <c r="BO264" s="336"/>
      <c r="BP264" s="333"/>
      <c r="BQ264" s="336"/>
      <c r="BR264" s="336"/>
      <c r="BS264" s="336"/>
      <c r="BT264" s="336"/>
      <c r="BU264" s="336"/>
      <c r="BV264" s="336"/>
      <c r="BW264" s="336"/>
      <c r="BX264" s="217"/>
      <c r="BY264" s="341"/>
      <c r="BZ264" s="341"/>
      <c r="CA264" s="341"/>
      <c r="CB264" s="342"/>
      <c r="CC264" s="341"/>
      <c r="CD264" s="341"/>
      <c r="CE264" s="341"/>
      <c r="CF264" s="341"/>
      <c r="CG264" s="341"/>
      <c r="CH264" s="341"/>
      <c r="CI264" s="341"/>
      <c r="CJ264" s="342"/>
      <c r="CK264" s="342"/>
    </row>
    <row r="265">
      <c r="A265" s="753"/>
      <c r="B265" s="202" t="s">
        <v>271</v>
      </c>
      <c r="C265" s="196" t="s">
        <v>271</v>
      </c>
      <c r="D265" s="197" t="s">
        <v>271</v>
      </c>
      <c r="E265" s="199" t="s">
        <v>271</v>
      </c>
      <c r="F265" s="201" t="s">
        <v>271</v>
      </c>
      <c r="G265" s="202" t="s">
        <v>271</v>
      </c>
      <c r="H265" s="303"/>
      <c r="I265" s="303"/>
      <c r="J265" s="303"/>
      <c r="K265" s="303"/>
      <c r="L265" s="303"/>
      <c r="M265" s="303"/>
      <c r="N265" s="303"/>
      <c r="O265" s="303"/>
      <c r="P265" s="217"/>
      <c r="Q265" s="348"/>
      <c r="R265" s="348"/>
      <c r="S265" s="348"/>
      <c r="T265" s="348"/>
      <c r="U265" s="348"/>
      <c r="V265" s="348"/>
      <c r="W265" s="217"/>
      <c r="X265" s="313"/>
      <c r="Y265" s="313"/>
      <c r="Z265" s="313"/>
      <c r="AA265" s="602"/>
      <c r="AB265" s="313"/>
      <c r="AC265" s="313"/>
      <c r="AD265" s="313"/>
      <c r="AE265" s="313"/>
      <c r="AF265" s="313"/>
      <c r="AG265" s="313"/>
      <c r="AH265" s="253"/>
      <c r="AI265" s="217"/>
      <c r="AJ265" s="318"/>
      <c r="AK265" s="318"/>
      <c r="AL265" s="318"/>
      <c r="AM265" s="318"/>
      <c r="AN265" s="318"/>
      <c r="AO265" s="318"/>
      <c r="AP265" s="318"/>
      <c r="AQ265" s="318"/>
      <c r="AR265" s="318"/>
      <c r="AS265" s="318"/>
      <c r="AT265" s="318"/>
      <c r="AU265" s="318"/>
      <c r="AV265" s="318"/>
      <c r="AW265" s="318"/>
      <c r="AX265" s="318"/>
      <c r="AY265" s="318"/>
      <c r="AZ265" s="346"/>
      <c r="BA265" s="322"/>
      <c r="BB265" s="322"/>
      <c r="BC265" s="322"/>
      <c r="BD265" s="322"/>
      <c r="BE265" s="322"/>
      <c r="BF265" s="346"/>
      <c r="BG265" s="328"/>
      <c r="BH265" s="328"/>
      <c r="BI265" s="328"/>
      <c r="BJ265" s="328"/>
      <c r="BK265" s="328"/>
      <c r="BL265" s="328"/>
      <c r="BM265" s="328"/>
      <c r="BN265" s="217"/>
      <c r="BO265" s="336"/>
      <c r="BP265" s="333"/>
      <c r="BQ265" s="336"/>
      <c r="BR265" s="336"/>
      <c r="BS265" s="336"/>
      <c r="BT265" s="336"/>
      <c r="BU265" s="336"/>
      <c r="BV265" s="336"/>
      <c r="BW265" s="336"/>
      <c r="BX265" s="217"/>
      <c r="BY265" s="341"/>
      <c r="BZ265" s="341"/>
      <c r="CA265" s="341"/>
      <c r="CB265" s="342"/>
      <c r="CC265" s="341"/>
      <c r="CD265" s="341"/>
      <c r="CE265" s="341"/>
      <c r="CF265" s="341"/>
      <c r="CG265" s="341"/>
      <c r="CH265" s="341"/>
      <c r="CI265" s="341"/>
      <c r="CJ265" s="342"/>
      <c r="CK265" s="342"/>
    </row>
    <row r="266">
      <c r="A266" s="753"/>
      <c r="B266" s="202" t="s">
        <v>271</v>
      </c>
      <c r="C266" s="196" t="s">
        <v>271</v>
      </c>
      <c r="D266" s="197" t="s">
        <v>271</v>
      </c>
      <c r="E266" s="199" t="s">
        <v>271</v>
      </c>
      <c r="F266" s="201" t="s">
        <v>271</v>
      </c>
      <c r="G266" s="202" t="s">
        <v>271</v>
      </c>
      <c r="H266" s="303"/>
      <c r="I266" s="303"/>
      <c r="J266" s="303"/>
      <c r="K266" s="303"/>
      <c r="L266" s="303"/>
      <c r="M266" s="303"/>
      <c r="N266" s="303"/>
      <c r="O266" s="303"/>
      <c r="P266" s="217"/>
      <c r="Q266" s="348"/>
      <c r="R266" s="348"/>
      <c r="S266" s="348"/>
      <c r="T266" s="348"/>
      <c r="U266" s="348"/>
      <c r="V266" s="348"/>
      <c r="W266" s="217"/>
      <c r="X266" s="313"/>
      <c r="Y266" s="313"/>
      <c r="Z266" s="313"/>
      <c r="AA266" s="602"/>
      <c r="AB266" s="313"/>
      <c r="AC266" s="313"/>
      <c r="AD266" s="313"/>
      <c r="AE266" s="313"/>
      <c r="AF266" s="313"/>
      <c r="AG266" s="313"/>
      <c r="AH266" s="253"/>
      <c r="AI266" s="217"/>
      <c r="AJ266" s="318"/>
      <c r="AK266" s="318"/>
      <c r="AL266" s="318"/>
      <c r="AM266" s="318"/>
      <c r="AN266" s="318"/>
      <c r="AO266" s="318"/>
      <c r="AP266" s="318"/>
      <c r="AQ266" s="318"/>
      <c r="AR266" s="318"/>
      <c r="AS266" s="318"/>
      <c r="AT266" s="318"/>
      <c r="AU266" s="318"/>
      <c r="AV266" s="318"/>
      <c r="AW266" s="318"/>
      <c r="AX266" s="318"/>
      <c r="AY266" s="318"/>
      <c r="AZ266" s="346"/>
      <c r="BA266" s="322"/>
      <c r="BB266" s="322"/>
      <c r="BC266" s="322"/>
      <c r="BD266" s="322"/>
      <c r="BE266" s="322"/>
      <c r="BF266" s="346"/>
      <c r="BG266" s="328"/>
      <c r="BH266" s="328"/>
      <c r="BI266" s="328"/>
      <c r="BJ266" s="328"/>
      <c r="BK266" s="328"/>
      <c r="BL266" s="328"/>
      <c r="BM266" s="328"/>
      <c r="BN266" s="217"/>
      <c r="BO266" s="336"/>
      <c r="BP266" s="333"/>
      <c r="BQ266" s="336"/>
      <c r="BR266" s="336"/>
      <c r="BS266" s="336"/>
      <c r="BT266" s="336"/>
      <c r="BU266" s="336"/>
      <c r="BV266" s="336"/>
      <c r="BW266" s="336"/>
      <c r="BX266" s="217"/>
      <c r="BY266" s="341"/>
      <c r="BZ266" s="341"/>
      <c r="CA266" s="341"/>
      <c r="CB266" s="342"/>
      <c r="CC266" s="341"/>
      <c r="CD266" s="341"/>
      <c r="CE266" s="341"/>
      <c r="CF266" s="341"/>
      <c r="CG266" s="341"/>
      <c r="CH266" s="341"/>
      <c r="CI266" s="341"/>
      <c r="CJ266" s="342"/>
      <c r="CK266" s="342"/>
    </row>
    <row r="267">
      <c r="A267" s="753"/>
      <c r="B267" s="202" t="s">
        <v>271</v>
      </c>
      <c r="C267" s="196" t="s">
        <v>271</v>
      </c>
      <c r="D267" s="197" t="s">
        <v>271</v>
      </c>
      <c r="E267" s="199" t="s">
        <v>271</v>
      </c>
      <c r="F267" s="201" t="s">
        <v>271</v>
      </c>
      <c r="G267" s="202" t="s">
        <v>271</v>
      </c>
      <c r="H267" s="303"/>
      <c r="I267" s="303"/>
      <c r="J267" s="303"/>
      <c r="K267" s="303"/>
      <c r="L267" s="303"/>
      <c r="M267" s="303"/>
      <c r="N267" s="303"/>
      <c r="O267" s="303"/>
      <c r="P267" s="217"/>
      <c r="Q267" s="348"/>
      <c r="R267" s="348"/>
      <c r="S267" s="348"/>
      <c r="T267" s="348"/>
      <c r="U267" s="348"/>
      <c r="V267" s="348"/>
      <c r="W267" s="217"/>
      <c r="X267" s="313"/>
      <c r="Y267" s="313"/>
      <c r="Z267" s="313"/>
      <c r="AA267" s="602"/>
      <c r="AB267" s="313"/>
      <c r="AC267" s="313"/>
      <c r="AD267" s="313"/>
      <c r="AE267" s="313"/>
      <c r="AF267" s="313"/>
      <c r="AG267" s="313"/>
      <c r="AH267" s="253"/>
      <c r="AI267" s="217"/>
      <c r="AJ267" s="318"/>
      <c r="AK267" s="318"/>
      <c r="AL267" s="318"/>
      <c r="AM267" s="318"/>
      <c r="AN267" s="318"/>
      <c r="AO267" s="318"/>
      <c r="AP267" s="318"/>
      <c r="AQ267" s="318"/>
      <c r="AR267" s="318"/>
      <c r="AS267" s="318"/>
      <c r="AT267" s="318"/>
      <c r="AU267" s="318"/>
      <c r="AV267" s="318"/>
      <c r="AW267" s="318"/>
      <c r="AX267" s="318"/>
      <c r="AY267" s="318"/>
      <c r="AZ267" s="346"/>
      <c r="BA267" s="322"/>
      <c r="BB267" s="322"/>
      <c r="BC267" s="322"/>
      <c r="BD267" s="322"/>
      <c r="BE267" s="322"/>
      <c r="BF267" s="346"/>
      <c r="BG267" s="328"/>
      <c r="BH267" s="328"/>
      <c r="BI267" s="328"/>
      <c r="BJ267" s="328"/>
      <c r="BK267" s="328"/>
      <c r="BL267" s="328"/>
      <c r="BM267" s="328"/>
      <c r="BN267" s="217"/>
      <c r="BO267" s="336"/>
      <c r="BP267" s="333"/>
      <c r="BQ267" s="336"/>
      <c r="BR267" s="336"/>
      <c r="BS267" s="336"/>
      <c r="BT267" s="336"/>
      <c r="BU267" s="336"/>
      <c r="BV267" s="336"/>
      <c r="BW267" s="336"/>
      <c r="BX267" s="217"/>
      <c r="BY267" s="341"/>
      <c r="BZ267" s="341"/>
      <c r="CA267" s="341"/>
      <c r="CB267" s="342"/>
      <c r="CC267" s="341"/>
      <c r="CD267" s="341"/>
      <c r="CE267" s="341"/>
      <c r="CF267" s="341"/>
      <c r="CG267" s="341"/>
      <c r="CH267" s="341"/>
      <c r="CI267" s="341"/>
      <c r="CJ267" s="342"/>
      <c r="CK267" s="342"/>
    </row>
    <row r="268">
      <c r="A268" s="753"/>
      <c r="B268" s="202" t="s">
        <v>271</v>
      </c>
      <c r="C268" s="196" t="s">
        <v>271</v>
      </c>
      <c r="D268" s="197" t="s">
        <v>271</v>
      </c>
      <c r="E268" s="199" t="s">
        <v>271</v>
      </c>
      <c r="F268" s="201" t="s">
        <v>271</v>
      </c>
      <c r="G268" s="202" t="s">
        <v>271</v>
      </c>
      <c r="H268" s="303"/>
      <c r="I268" s="303"/>
      <c r="J268" s="303"/>
      <c r="K268" s="303"/>
      <c r="L268" s="303"/>
      <c r="M268" s="303"/>
      <c r="N268" s="303"/>
      <c r="O268" s="303"/>
      <c r="P268" s="217"/>
      <c r="Q268" s="348"/>
      <c r="R268" s="348"/>
      <c r="S268" s="348"/>
      <c r="T268" s="348"/>
      <c r="U268" s="348"/>
      <c r="V268" s="348"/>
      <c r="W268" s="217"/>
      <c r="X268" s="313"/>
      <c r="Y268" s="313"/>
      <c r="Z268" s="313"/>
      <c r="AA268" s="602"/>
      <c r="AB268" s="313"/>
      <c r="AC268" s="313"/>
      <c r="AD268" s="313"/>
      <c r="AE268" s="313"/>
      <c r="AF268" s="313"/>
      <c r="AG268" s="313"/>
      <c r="AH268" s="253"/>
      <c r="AI268" s="217"/>
      <c r="AJ268" s="318"/>
      <c r="AK268" s="318"/>
      <c r="AL268" s="318"/>
      <c r="AM268" s="318"/>
      <c r="AN268" s="318"/>
      <c r="AO268" s="318"/>
      <c r="AP268" s="318"/>
      <c r="AQ268" s="318"/>
      <c r="AR268" s="318"/>
      <c r="AS268" s="318"/>
      <c r="AT268" s="318"/>
      <c r="AU268" s="318"/>
      <c r="AV268" s="318"/>
      <c r="AW268" s="318"/>
      <c r="AX268" s="318"/>
      <c r="AY268" s="318"/>
      <c r="AZ268" s="346"/>
      <c r="BA268" s="322"/>
      <c r="BB268" s="322"/>
      <c r="BC268" s="322"/>
      <c r="BD268" s="322"/>
      <c r="BE268" s="322"/>
      <c r="BF268" s="346"/>
      <c r="BG268" s="328"/>
      <c r="BH268" s="328"/>
      <c r="BI268" s="328"/>
      <c r="BJ268" s="328"/>
      <c r="BK268" s="328"/>
      <c r="BL268" s="328"/>
      <c r="BM268" s="328"/>
      <c r="BN268" s="217"/>
      <c r="BO268" s="336"/>
      <c r="BP268" s="333"/>
      <c r="BQ268" s="336"/>
      <c r="BR268" s="336"/>
      <c r="BS268" s="336"/>
      <c r="BT268" s="336"/>
      <c r="BU268" s="336"/>
      <c r="BV268" s="336"/>
      <c r="BW268" s="336"/>
      <c r="BX268" s="217"/>
      <c r="BY268" s="341"/>
      <c r="BZ268" s="341"/>
      <c r="CA268" s="341"/>
      <c r="CB268" s="342"/>
      <c r="CC268" s="341"/>
      <c r="CD268" s="341"/>
      <c r="CE268" s="341"/>
      <c r="CF268" s="341"/>
      <c r="CG268" s="341"/>
      <c r="CH268" s="341"/>
      <c r="CI268" s="341"/>
      <c r="CJ268" s="342"/>
      <c r="CK268" s="342"/>
    </row>
    <row r="269">
      <c r="A269" s="753"/>
      <c r="B269" s="202" t="s">
        <v>271</v>
      </c>
      <c r="C269" s="196" t="s">
        <v>271</v>
      </c>
      <c r="D269" s="197" t="s">
        <v>271</v>
      </c>
      <c r="E269" s="199" t="s">
        <v>271</v>
      </c>
      <c r="F269" s="201" t="s">
        <v>271</v>
      </c>
      <c r="G269" s="202" t="s">
        <v>271</v>
      </c>
      <c r="H269" s="303"/>
      <c r="I269" s="303"/>
      <c r="J269" s="303"/>
      <c r="K269" s="303"/>
      <c r="L269" s="303"/>
      <c r="M269" s="303"/>
      <c r="N269" s="303"/>
      <c r="O269" s="303"/>
      <c r="P269" s="217"/>
      <c r="Q269" s="348"/>
      <c r="R269" s="348"/>
      <c r="S269" s="348"/>
      <c r="T269" s="348"/>
      <c r="U269" s="348"/>
      <c r="V269" s="348"/>
      <c r="W269" s="217"/>
      <c r="X269" s="313"/>
      <c r="Y269" s="313"/>
      <c r="Z269" s="313"/>
      <c r="AA269" s="602"/>
      <c r="AB269" s="313"/>
      <c r="AC269" s="313"/>
      <c r="AD269" s="313"/>
      <c r="AE269" s="313"/>
      <c r="AF269" s="313"/>
      <c r="AG269" s="313"/>
      <c r="AH269" s="253"/>
      <c r="AI269" s="217"/>
      <c r="AJ269" s="318"/>
      <c r="AK269" s="318"/>
      <c r="AL269" s="318"/>
      <c r="AM269" s="318"/>
      <c r="AN269" s="318"/>
      <c r="AO269" s="318"/>
      <c r="AP269" s="318"/>
      <c r="AQ269" s="318"/>
      <c r="AR269" s="318"/>
      <c r="AS269" s="318"/>
      <c r="AT269" s="318"/>
      <c r="AU269" s="318"/>
      <c r="AV269" s="318"/>
      <c r="AW269" s="318"/>
      <c r="AX269" s="318"/>
      <c r="AY269" s="318"/>
      <c r="AZ269" s="346"/>
      <c r="BA269" s="322"/>
      <c r="BB269" s="322"/>
      <c r="BC269" s="322"/>
      <c r="BD269" s="322"/>
      <c r="BE269" s="322"/>
      <c r="BF269" s="346"/>
      <c r="BG269" s="328"/>
      <c r="BH269" s="328"/>
      <c r="BI269" s="328"/>
      <c r="BJ269" s="328"/>
      <c r="BK269" s="328"/>
      <c r="BL269" s="328"/>
      <c r="BM269" s="328"/>
      <c r="BN269" s="217"/>
      <c r="BO269" s="336"/>
      <c r="BP269" s="333"/>
      <c r="BQ269" s="336"/>
      <c r="BR269" s="336"/>
      <c r="BS269" s="336"/>
      <c r="BT269" s="336"/>
      <c r="BU269" s="336"/>
      <c r="BV269" s="336"/>
      <c r="BW269" s="336"/>
      <c r="BX269" s="217"/>
      <c r="BY269" s="341"/>
      <c r="BZ269" s="341"/>
      <c r="CA269" s="341"/>
      <c r="CB269" s="342"/>
      <c r="CC269" s="341"/>
      <c r="CD269" s="341"/>
      <c r="CE269" s="341"/>
      <c r="CF269" s="341"/>
      <c r="CG269" s="341"/>
      <c r="CH269" s="341"/>
      <c r="CI269" s="341"/>
      <c r="CJ269" s="342"/>
      <c r="CK269" s="342"/>
    </row>
    <row r="270">
      <c r="A270" s="753"/>
      <c r="B270" s="202" t="s">
        <v>271</v>
      </c>
      <c r="C270" s="196" t="s">
        <v>271</v>
      </c>
      <c r="D270" s="197" t="s">
        <v>271</v>
      </c>
      <c r="E270" s="199" t="s">
        <v>271</v>
      </c>
      <c r="F270" s="201" t="s">
        <v>271</v>
      </c>
      <c r="G270" s="202" t="s">
        <v>271</v>
      </c>
      <c r="H270" s="303"/>
      <c r="I270" s="303"/>
      <c r="J270" s="303"/>
      <c r="K270" s="303"/>
      <c r="L270" s="303"/>
      <c r="M270" s="303"/>
      <c r="N270" s="303"/>
      <c r="O270" s="303"/>
      <c r="P270" s="217"/>
      <c r="Q270" s="348"/>
      <c r="R270" s="348"/>
      <c r="S270" s="348"/>
      <c r="T270" s="348"/>
      <c r="U270" s="348"/>
      <c r="V270" s="348"/>
      <c r="W270" s="217"/>
      <c r="X270" s="313"/>
      <c r="Y270" s="313"/>
      <c r="Z270" s="313"/>
      <c r="AA270" s="602"/>
      <c r="AB270" s="313"/>
      <c r="AC270" s="313"/>
      <c r="AD270" s="313"/>
      <c r="AE270" s="313"/>
      <c r="AF270" s="313"/>
      <c r="AG270" s="313"/>
      <c r="AH270" s="253"/>
      <c r="AI270" s="217"/>
      <c r="AJ270" s="318"/>
      <c r="AK270" s="318"/>
      <c r="AL270" s="318"/>
      <c r="AM270" s="318"/>
      <c r="AN270" s="318"/>
      <c r="AO270" s="318"/>
      <c r="AP270" s="318"/>
      <c r="AQ270" s="318"/>
      <c r="AR270" s="318"/>
      <c r="AS270" s="318"/>
      <c r="AT270" s="318"/>
      <c r="AU270" s="318"/>
      <c r="AV270" s="318"/>
      <c r="AW270" s="318"/>
      <c r="AX270" s="318"/>
      <c r="AY270" s="318"/>
      <c r="AZ270" s="346"/>
      <c r="BA270" s="322"/>
      <c r="BB270" s="322"/>
      <c r="BC270" s="322"/>
      <c r="BD270" s="322"/>
      <c r="BE270" s="322"/>
      <c r="BF270" s="346"/>
      <c r="BG270" s="328"/>
      <c r="BH270" s="328"/>
      <c r="BI270" s="328"/>
      <c r="BJ270" s="328"/>
      <c r="BK270" s="328"/>
      <c r="BL270" s="328"/>
      <c r="BM270" s="328"/>
      <c r="BN270" s="217"/>
      <c r="BO270" s="336"/>
      <c r="BP270" s="333"/>
      <c r="BQ270" s="336"/>
      <c r="BR270" s="336"/>
      <c r="BS270" s="336"/>
      <c r="BT270" s="336"/>
      <c r="BU270" s="336"/>
      <c r="BV270" s="336"/>
      <c r="BW270" s="336"/>
      <c r="BX270" s="217"/>
      <c r="BY270" s="341"/>
      <c r="BZ270" s="341"/>
      <c r="CA270" s="341"/>
      <c r="CB270" s="342"/>
      <c r="CC270" s="341"/>
      <c r="CD270" s="341"/>
      <c r="CE270" s="341"/>
      <c r="CF270" s="341"/>
      <c r="CG270" s="341"/>
      <c r="CH270" s="341"/>
      <c r="CI270" s="341"/>
      <c r="CJ270" s="342"/>
      <c r="CK270" s="342"/>
    </row>
    <row r="271">
      <c r="A271" s="753"/>
      <c r="B271" s="202" t="s">
        <v>271</v>
      </c>
      <c r="C271" s="196" t="s">
        <v>271</v>
      </c>
      <c r="D271" s="197" t="s">
        <v>271</v>
      </c>
      <c r="E271" s="199" t="s">
        <v>271</v>
      </c>
      <c r="F271" s="201" t="s">
        <v>271</v>
      </c>
      <c r="G271" s="202" t="s">
        <v>271</v>
      </c>
      <c r="H271" s="303"/>
      <c r="I271" s="303"/>
      <c r="J271" s="303"/>
      <c r="K271" s="303"/>
      <c r="L271" s="303"/>
      <c r="M271" s="303"/>
      <c r="N271" s="303"/>
      <c r="O271" s="303"/>
      <c r="P271" s="217"/>
      <c r="Q271" s="348"/>
      <c r="R271" s="348"/>
      <c r="S271" s="348"/>
      <c r="T271" s="348"/>
      <c r="U271" s="348"/>
      <c r="V271" s="348"/>
      <c r="W271" s="217"/>
      <c r="X271" s="313"/>
      <c r="Y271" s="313"/>
      <c r="Z271" s="313"/>
      <c r="AA271" s="602"/>
      <c r="AB271" s="313"/>
      <c r="AC271" s="313"/>
      <c r="AD271" s="313"/>
      <c r="AE271" s="313"/>
      <c r="AF271" s="313"/>
      <c r="AG271" s="313"/>
      <c r="AH271" s="253"/>
      <c r="AI271" s="217"/>
      <c r="AJ271" s="318"/>
      <c r="AK271" s="318"/>
      <c r="AL271" s="318"/>
      <c r="AM271" s="318"/>
      <c r="AN271" s="318"/>
      <c r="AO271" s="318"/>
      <c r="AP271" s="318"/>
      <c r="AQ271" s="318"/>
      <c r="AR271" s="318"/>
      <c r="AS271" s="318"/>
      <c r="AT271" s="318"/>
      <c r="AU271" s="318"/>
      <c r="AV271" s="318"/>
      <c r="AW271" s="318"/>
      <c r="AX271" s="318"/>
      <c r="AY271" s="318"/>
      <c r="AZ271" s="346"/>
      <c r="BA271" s="322"/>
      <c r="BB271" s="322"/>
      <c r="BC271" s="322"/>
      <c r="BD271" s="322"/>
      <c r="BE271" s="322"/>
      <c r="BF271" s="346"/>
      <c r="BG271" s="328"/>
      <c r="BH271" s="328"/>
      <c r="BI271" s="328"/>
      <c r="BJ271" s="328"/>
      <c r="BK271" s="328"/>
      <c r="BL271" s="328"/>
      <c r="BM271" s="328"/>
      <c r="BN271" s="217"/>
      <c r="BO271" s="336"/>
      <c r="BP271" s="333"/>
      <c r="BQ271" s="336"/>
      <c r="BR271" s="336"/>
      <c r="BS271" s="336"/>
      <c r="BT271" s="336"/>
      <c r="BU271" s="336"/>
      <c r="BV271" s="336"/>
      <c r="BW271" s="336"/>
      <c r="BX271" s="217"/>
      <c r="BY271" s="341"/>
      <c r="BZ271" s="341"/>
      <c r="CA271" s="341"/>
      <c r="CB271" s="342"/>
      <c r="CC271" s="341"/>
      <c r="CD271" s="341"/>
      <c r="CE271" s="341"/>
      <c r="CF271" s="341"/>
      <c r="CG271" s="341"/>
      <c r="CH271" s="341"/>
      <c r="CI271" s="341"/>
      <c r="CJ271" s="342"/>
      <c r="CK271" s="342"/>
    </row>
    <row r="272">
      <c r="A272" s="753"/>
      <c r="B272" s="202" t="s">
        <v>271</v>
      </c>
      <c r="C272" s="196" t="s">
        <v>271</v>
      </c>
      <c r="D272" s="197" t="s">
        <v>271</v>
      </c>
      <c r="E272" s="199" t="s">
        <v>271</v>
      </c>
      <c r="F272" s="201" t="s">
        <v>271</v>
      </c>
      <c r="G272" s="202" t="s">
        <v>271</v>
      </c>
      <c r="H272" s="303"/>
      <c r="I272" s="303"/>
      <c r="J272" s="303"/>
      <c r="K272" s="303"/>
      <c r="L272" s="303"/>
      <c r="M272" s="303"/>
      <c r="N272" s="303"/>
      <c r="O272" s="303"/>
      <c r="P272" s="217"/>
      <c r="Q272" s="348"/>
      <c r="R272" s="348"/>
      <c r="S272" s="348"/>
      <c r="T272" s="348"/>
      <c r="U272" s="348"/>
      <c r="V272" s="348"/>
      <c r="W272" s="217"/>
      <c r="X272" s="313"/>
      <c r="Y272" s="313"/>
      <c r="Z272" s="313"/>
      <c r="AA272" s="602"/>
      <c r="AB272" s="313"/>
      <c r="AC272" s="313"/>
      <c r="AD272" s="313"/>
      <c r="AE272" s="313"/>
      <c r="AF272" s="313"/>
      <c r="AG272" s="313"/>
      <c r="AH272" s="253"/>
      <c r="AI272" s="217"/>
      <c r="AJ272" s="318"/>
      <c r="AK272" s="318"/>
      <c r="AL272" s="318"/>
      <c r="AM272" s="318"/>
      <c r="AN272" s="318"/>
      <c r="AO272" s="318"/>
      <c r="AP272" s="318"/>
      <c r="AQ272" s="318"/>
      <c r="AR272" s="318"/>
      <c r="AS272" s="318"/>
      <c r="AT272" s="318"/>
      <c r="AU272" s="318"/>
      <c r="AV272" s="318"/>
      <c r="AW272" s="318"/>
      <c r="AX272" s="318"/>
      <c r="AY272" s="318"/>
      <c r="AZ272" s="346"/>
      <c r="BA272" s="322"/>
      <c r="BB272" s="322"/>
      <c r="BC272" s="322"/>
      <c r="BD272" s="322"/>
      <c r="BE272" s="322"/>
      <c r="BF272" s="346"/>
      <c r="BG272" s="328"/>
      <c r="BH272" s="328"/>
      <c r="BI272" s="328"/>
      <c r="BJ272" s="328"/>
      <c r="BK272" s="328"/>
      <c r="BL272" s="328"/>
      <c r="BM272" s="328"/>
      <c r="BN272" s="217"/>
      <c r="BO272" s="336"/>
      <c r="BP272" s="333"/>
      <c r="BQ272" s="336"/>
      <c r="BR272" s="336"/>
      <c r="BS272" s="336"/>
      <c r="BT272" s="336"/>
      <c r="BU272" s="336"/>
      <c r="BV272" s="336"/>
      <c r="BW272" s="336"/>
      <c r="BX272" s="217"/>
      <c r="BY272" s="341"/>
      <c r="BZ272" s="341"/>
      <c r="CA272" s="341"/>
      <c r="CB272" s="342"/>
      <c r="CC272" s="341"/>
      <c r="CD272" s="341"/>
      <c r="CE272" s="341"/>
      <c r="CF272" s="341"/>
      <c r="CG272" s="341"/>
      <c r="CH272" s="341"/>
      <c r="CI272" s="341"/>
      <c r="CJ272" s="342"/>
      <c r="CK272" s="342"/>
    </row>
    <row r="273">
      <c r="A273" s="753"/>
      <c r="B273" s="202" t="s">
        <v>271</v>
      </c>
      <c r="C273" s="196" t="s">
        <v>271</v>
      </c>
      <c r="D273" s="197" t="s">
        <v>271</v>
      </c>
      <c r="E273" s="199" t="s">
        <v>271</v>
      </c>
      <c r="F273" s="201" t="s">
        <v>271</v>
      </c>
      <c r="G273" s="202" t="s">
        <v>271</v>
      </c>
      <c r="H273" s="303"/>
      <c r="I273" s="303"/>
      <c r="J273" s="303"/>
      <c r="K273" s="303"/>
      <c r="L273" s="303"/>
      <c r="M273" s="303"/>
      <c r="N273" s="303"/>
      <c r="O273" s="303"/>
      <c r="P273" s="217"/>
      <c r="Q273" s="348"/>
      <c r="R273" s="348"/>
      <c r="S273" s="348"/>
      <c r="T273" s="348"/>
      <c r="U273" s="348"/>
      <c r="V273" s="348"/>
      <c r="W273" s="217"/>
      <c r="X273" s="313"/>
      <c r="Y273" s="313"/>
      <c r="Z273" s="313"/>
      <c r="AA273" s="602"/>
      <c r="AB273" s="313"/>
      <c r="AC273" s="313"/>
      <c r="AD273" s="313"/>
      <c r="AE273" s="313"/>
      <c r="AF273" s="313"/>
      <c r="AG273" s="313"/>
      <c r="AH273" s="253"/>
      <c r="AI273" s="217"/>
      <c r="AJ273" s="318"/>
      <c r="AK273" s="318"/>
      <c r="AL273" s="318"/>
      <c r="AM273" s="318"/>
      <c r="AN273" s="318"/>
      <c r="AO273" s="318"/>
      <c r="AP273" s="318"/>
      <c r="AQ273" s="318"/>
      <c r="AR273" s="318"/>
      <c r="AS273" s="318"/>
      <c r="AT273" s="318"/>
      <c r="AU273" s="318"/>
      <c r="AV273" s="318"/>
      <c r="AW273" s="318"/>
      <c r="AX273" s="318"/>
      <c r="AY273" s="318"/>
      <c r="AZ273" s="346"/>
      <c r="BA273" s="322"/>
      <c r="BB273" s="322"/>
      <c r="BC273" s="322"/>
      <c r="BD273" s="322"/>
      <c r="BE273" s="322"/>
      <c r="BF273" s="346"/>
      <c r="BG273" s="328"/>
      <c r="BH273" s="328"/>
      <c r="BI273" s="328"/>
      <c r="BJ273" s="328"/>
      <c r="BK273" s="328"/>
      <c r="BL273" s="328"/>
      <c r="BM273" s="328"/>
      <c r="BN273" s="217"/>
      <c r="BO273" s="336"/>
      <c r="BP273" s="333"/>
      <c r="BQ273" s="336"/>
      <c r="BR273" s="336"/>
      <c r="BS273" s="336"/>
      <c r="BT273" s="336"/>
      <c r="BU273" s="336"/>
      <c r="BV273" s="336"/>
      <c r="BW273" s="336"/>
      <c r="BX273" s="217"/>
      <c r="BY273" s="341"/>
      <c r="BZ273" s="341"/>
      <c r="CA273" s="341"/>
      <c r="CB273" s="342"/>
      <c r="CC273" s="341"/>
      <c r="CD273" s="341"/>
      <c r="CE273" s="341"/>
      <c r="CF273" s="341"/>
      <c r="CG273" s="341"/>
      <c r="CH273" s="341"/>
      <c r="CI273" s="341"/>
      <c r="CJ273" s="342"/>
      <c r="CK273" s="342"/>
    </row>
    <row r="274">
      <c r="A274" s="753"/>
      <c r="B274" s="202" t="s">
        <v>271</v>
      </c>
      <c r="C274" s="196" t="s">
        <v>271</v>
      </c>
      <c r="D274" s="197" t="s">
        <v>271</v>
      </c>
      <c r="E274" s="199" t="s">
        <v>271</v>
      </c>
      <c r="F274" s="201" t="s">
        <v>271</v>
      </c>
      <c r="G274" s="202" t="s">
        <v>271</v>
      </c>
      <c r="H274" s="303"/>
      <c r="I274" s="303"/>
      <c r="J274" s="303"/>
      <c r="K274" s="303"/>
      <c r="L274" s="303"/>
      <c r="M274" s="303"/>
      <c r="N274" s="303"/>
      <c r="O274" s="303"/>
      <c r="P274" s="217"/>
      <c r="Q274" s="348"/>
      <c r="R274" s="348"/>
      <c r="S274" s="348"/>
      <c r="T274" s="348"/>
      <c r="U274" s="348"/>
      <c r="V274" s="348"/>
      <c r="W274" s="217"/>
      <c r="X274" s="313"/>
      <c r="Y274" s="313"/>
      <c r="Z274" s="313"/>
      <c r="AA274" s="602"/>
      <c r="AB274" s="313"/>
      <c r="AC274" s="313"/>
      <c r="AD274" s="313"/>
      <c r="AE274" s="313"/>
      <c r="AF274" s="313"/>
      <c r="AG274" s="313"/>
      <c r="AH274" s="253"/>
      <c r="AI274" s="217"/>
      <c r="AJ274" s="318"/>
      <c r="AK274" s="318"/>
      <c r="AL274" s="318"/>
      <c r="AM274" s="318"/>
      <c r="AN274" s="318"/>
      <c r="AO274" s="318"/>
      <c r="AP274" s="318"/>
      <c r="AQ274" s="318"/>
      <c r="AR274" s="318"/>
      <c r="AS274" s="318"/>
      <c r="AT274" s="318"/>
      <c r="AU274" s="318"/>
      <c r="AV274" s="318"/>
      <c r="AW274" s="318"/>
      <c r="AX274" s="318"/>
      <c r="AY274" s="318"/>
      <c r="AZ274" s="346"/>
      <c r="BA274" s="322"/>
      <c r="BB274" s="322"/>
      <c r="BC274" s="322"/>
      <c r="BD274" s="322"/>
      <c r="BE274" s="322"/>
      <c r="BF274" s="346"/>
      <c r="BG274" s="328"/>
      <c r="BH274" s="328"/>
      <c r="BI274" s="328"/>
      <c r="BJ274" s="328"/>
      <c r="BK274" s="328"/>
      <c r="BL274" s="328"/>
      <c r="BM274" s="328"/>
      <c r="BN274" s="217"/>
      <c r="BO274" s="336"/>
      <c r="BP274" s="333"/>
      <c r="BQ274" s="336"/>
      <c r="BR274" s="336"/>
      <c r="BS274" s="336"/>
      <c r="BT274" s="336"/>
      <c r="BU274" s="336"/>
      <c r="BV274" s="336"/>
      <c r="BW274" s="336"/>
      <c r="BX274" s="217"/>
      <c r="BY274" s="341"/>
      <c r="BZ274" s="341"/>
      <c r="CA274" s="341"/>
      <c r="CB274" s="342"/>
      <c r="CC274" s="341"/>
      <c r="CD274" s="341"/>
      <c r="CE274" s="341"/>
      <c r="CF274" s="341"/>
      <c r="CG274" s="341"/>
      <c r="CH274" s="341"/>
      <c r="CI274" s="341"/>
      <c r="CJ274" s="342"/>
      <c r="CK274" s="342"/>
    </row>
    <row r="275">
      <c r="A275" s="753"/>
      <c r="B275" s="202" t="s">
        <v>271</v>
      </c>
      <c r="C275" s="196" t="s">
        <v>271</v>
      </c>
      <c r="D275" s="197" t="s">
        <v>271</v>
      </c>
      <c r="E275" s="199" t="s">
        <v>271</v>
      </c>
      <c r="F275" s="201" t="s">
        <v>271</v>
      </c>
      <c r="G275" s="202" t="s">
        <v>271</v>
      </c>
      <c r="H275" s="303"/>
      <c r="I275" s="303"/>
      <c r="J275" s="303"/>
      <c r="K275" s="303"/>
      <c r="L275" s="303"/>
      <c r="M275" s="303"/>
      <c r="N275" s="303"/>
      <c r="O275" s="303"/>
      <c r="P275" s="217"/>
      <c r="Q275" s="348"/>
      <c r="R275" s="348"/>
      <c r="S275" s="348"/>
      <c r="T275" s="348"/>
      <c r="U275" s="348"/>
      <c r="V275" s="348"/>
      <c r="W275" s="217"/>
      <c r="X275" s="313"/>
      <c r="Y275" s="313"/>
      <c r="Z275" s="313"/>
      <c r="AA275" s="602"/>
      <c r="AB275" s="313"/>
      <c r="AC275" s="313"/>
      <c r="AD275" s="313"/>
      <c r="AE275" s="313"/>
      <c r="AF275" s="313"/>
      <c r="AG275" s="313"/>
      <c r="AH275" s="253"/>
      <c r="AI275" s="217"/>
      <c r="AJ275" s="318"/>
      <c r="AK275" s="318"/>
      <c r="AL275" s="318"/>
      <c r="AM275" s="318"/>
      <c r="AN275" s="318"/>
      <c r="AO275" s="318"/>
      <c r="AP275" s="318"/>
      <c r="AQ275" s="318"/>
      <c r="AR275" s="318"/>
      <c r="AS275" s="318"/>
      <c r="AT275" s="318"/>
      <c r="AU275" s="318"/>
      <c r="AV275" s="318"/>
      <c r="AW275" s="318"/>
      <c r="AX275" s="318"/>
      <c r="AY275" s="318"/>
      <c r="AZ275" s="346"/>
      <c r="BA275" s="322"/>
      <c r="BB275" s="322"/>
      <c r="BC275" s="322"/>
      <c r="BD275" s="322"/>
      <c r="BE275" s="322"/>
      <c r="BF275" s="346"/>
      <c r="BG275" s="328"/>
      <c r="BH275" s="328"/>
      <c r="BI275" s="328"/>
      <c r="BJ275" s="328"/>
      <c r="BK275" s="328"/>
      <c r="BL275" s="328"/>
      <c r="BM275" s="328"/>
      <c r="BN275" s="217"/>
      <c r="BO275" s="336"/>
      <c r="BP275" s="333"/>
      <c r="BQ275" s="336"/>
      <c r="BR275" s="336"/>
      <c r="BS275" s="336"/>
      <c r="BT275" s="336"/>
      <c r="BU275" s="336"/>
      <c r="BV275" s="336"/>
      <c r="BW275" s="336"/>
      <c r="BX275" s="217"/>
      <c r="BY275" s="341"/>
      <c r="BZ275" s="341"/>
      <c r="CA275" s="341"/>
      <c r="CB275" s="342"/>
      <c r="CC275" s="341"/>
      <c r="CD275" s="341"/>
      <c r="CE275" s="341"/>
      <c r="CF275" s="341"/>
      <c r="CG275" s="341"/>
      <c r="CH275" s="341"/>
      <c r="CI275" s="341"/>
      <c r="CJ275" s="342"/>
      <c r="CK275" s="342"/>
    </row>
    <row r="276">
      <c r="A276" s="753"/>
      <c r="B276" s="202" t="s">
        <v>271</v>
      </c>
      <c r="C276" s="196" t="s">
        <v>271</v>
      </c>
      <c r="D276" s="197" t="s">
        <v>271</v>
      </c>
      <c r="E276" s="199" t="s">
        <v>271</v>
      </c>
      <c r="F276" s="201" t="s">
        <v>271</v>
      </c>
      <c r="G276" s="202" t="s">
        <v>271</v>
      </c>
      <c r="H276" s="303"/>
      <c r="I276" s="303"/>
      <c r="J276" s="303"/>
      <c r="K276" s="303"/>
      <c r="L276" s="303"/>
      <c r="M276" s="303"/>
      <c r="N276" s="303"/>
      <c r="O276" s="303"/>
      <c r="P276" s="217"/>
      <c r="Q276" s="348"/>
      <c r="R276" s="348"/>
      <c r="S276" s="348"/>
      <c r="T276" s="348"/>
      <c r="U276" s="348"/>
      <c r="V276" s="348"/>
      <c r="W276" s="217"/>
      <c r="X276" s="313"/>
      <c r="Y276" s="313"/>
      <c r="Z276" s="313"/>
      <c r="AA276" s="602"/>
      <c r="AB276" s="313"/>
      <c r="AC276" s="313"/>
      <c r="AD276" s="313"/>
      <c r="AE276" s="313"/>
      <c r="AF276" s="313"/>
      <c r="AG276" s="313"/>
      <c r="AH276" s="253"/>
      <c r="AI276" s="217"/>
      <c r="AJ276" s="318"/>
      <c r="AK276" s="318"/>
      <c r="AL276" s="318"/>
      <c r="AM276" s="318"/>
      <c r="AN276" s="318"/>
      <c r="AO276" s="318"/>
      <c r="AP276" s="318"/>
      <c r="AQ276" s="318"/>
      <c r="AR276" s="318"/>
      <c r="AS276" s="318"/>
      <c r="AT276" s="318"/>
      <c r="AU276" s="318"/>
      <c r="AV276" s="318"/>
      <c r="AW276" s="318"/>
      <c r="AX276" s="318"/>
      <c r="AY276" s="318"/>
      <c r="AZ276" s="346"/>
      <c r="BA276" s="322"/>
      <c r="BB276" s="322"/>
      <c r="BC276" s="322"/>
      <c r="BD276" s="322"/>
      <c r="BE276" s="322"/>
      <c r="BF276" s="346"/>
      <c r="BG276" s="328"/>
      <c r="BH276" s="328"/>
      <c r="BI276" s="328"/>
      <c r="BJ276" s="328"/>
      <c r="BK276" s="328"/>
      <c r="BL276" s="328"/>
      <c r="BM276" s="328"/>
      <c r="BN276" s="217"/>
      <c r="BO276" s="336"/>
      <c r="BP276" s="333"/>
      <c r="BQ276" s="336"/>
      <c r="BR276" s="336"/>
      <c r="BS276" s="336"/>
      <c r="BT276" s="336"/>
      <c r="BU276" s="336"/>
      <c r="BV276" s="336"/>
      <c r="BW276" s="336"/>
      <c r="BX276" s="217"/>
      <c r="BY276" s="341"/>
      <c r="BZ276" s="341"/>
      <c r="CA276" s="341"/>
      <c r="CB276" s="342"/>
      <c r="CC276" s="341"/>
      <c r="CD276" s="341"/>
      <c r="CE276" s="341"/>
      <c r="CF276" s="341"/>
      <c r="CG276" s="341"/>
      <c r="CH276" s="341"/>
      <c r="CI276" s="341"/>
      <c r="CJ276" s="342"/>
      <c r="CK276" s="342"/>
    </row>
    <row r="277">
      <c r="A277" s="753"/>
      <c r="B277" s="202" t="s">
        <v>271</v>
      </c>
      <c r="C277" s="196" t="s">
        <v>271</v>
      </c>
      <c r="D277" s="197" t="s">
        <v>271</v>
      </c>
      <c r="E277" s="199" t="s">
        <v>271</v>
      </c>
      <c r="F277" s="201" t="s">
        <v>271</v>
      </c>
      <c r="G277" s="202" t="s">
        <v>271</v>
      </c>
      <c r="H277" s="303"/>
      <c r="I277" s="303"/>
      <c r="J277" s="303"/>
      <c r="K277" s="303"/>
      <c r="L277" s="303"/>
      <c r="M277" s="303"/>
      <c r="N277" s="303"/>
      <c r="O277" s="303"/>
      <c r="P277" s="217"/>
      <c r="Q277" s="348"/>
      <c r="R277" s="348"/>
      <c r="S277" s="348"/>
      <c r="T277" s="348"/>
      <c r="U277" s="348"/>
      <c r="V277" s="348"/>
      <c r="W277" s="217"/>
      <c r="X277" s="313"/>
      <c r="Y277" s="313"/>
      <c r="Z277" s="313"/>
      <c r="AA277" s="602"/>
      <c r="AB277" s="313"/>
      <c r="AC277" s="313"/>
      <c r="AD277" s="313"/>
      <c r="AE277" s="313"/>
      <c r="AF277" s="313"/>
      <c r="AG277" s="313"/>
      <c r="AH277" s="253"/>
      <c r="AI277" s="217"/>
      <c r="AJ277" s="318"/>
      <c r="AK277" s="318"/>
      <c r="AL277" s="318"/>
      <c r="AM277" s="318"/>
      <c r="AN277" s="318"/>
      <c r="AO277" s="318"/>
      <c r="AP277" s="318"/>
      <c r="AQ277" s="318"/>
      <c r="AR277" s="318"/>
      <c r="AS277" s="318"/>
      <c r="AT277" s="318"/>
      <c r="AU277" s="318"/>
      <c r="AV277" s="318"/>
      <c r="AW277" s="318"/>
      <c r="AX277" s="318"/>
      <c r="AY277" s="318"/>
      <c r="AZ277" s="346"/>
      <c r="BA277" s="322"/>
      <c r="BB277" s="322"/>
      <c r="BC277" s="322"/>
      <c r="BD277" s="322"/>
      <c r="BE277" s="322"/>
      <c r="BF277" s="346"/>
      <c r="BG277" s="328"/>
      <c r="BH277" s="328"/>
      <c r="BI277" s="328"/>
      <c r="BJ277" s="328"/>
      <c r="BK277" s="328"/>
      <c r="BL277" s="328"/>
      <c r="BM277" s="328"/>
      <c r="BN277" s="217"/>
      <c r="BO277" s="336"/>
      <c r="BP277" s="333"/>
      <c r="BQ277" s="336"/>
      <c r="BR277" s="336"/>
      <c r="BS277" s="336"/>
      <c r="BT277" s="336"/>
      <c r="BU277" s="336"/>
      <c r="BV277" s="336"/>
      <c r="BW277" s="336"/>
      <c r="BX277" s="217"/>
      <c r="BY277" s="341"/>
      <c r="BZ277" s="341"/>
      <c r="CA277" s="341"/>
      <c r="CB277" s="342"/>
      <c r="CC277" s="341"/>
      <c r="CD277" s="341"/>
      <c r="CE277" s="341"/>
      <c r="CF277" s="341"/>
      <c r="CG277" s="341"/>
      <c r="CH277" s="341"/>
      <c r="CI277" s="341"/>
      <c r="CJ277" s="342"/>
      <c r="CK277" s="342"/>
    </row>
    <row r="278">
      <c r="A278" s="753"/>
      <c r="B278" s="202" t="s">
        <v>271</v>
      </c>
      <c r="C278" s="196" t="s">
        <v>271</v>
      </c>
      <c r="D278" s="197" t="s">
        <v>271</v>
      </c>
      <c r="E278" s="199" t="s">
        <v>271</v>
      </c>
      <c r="F278" s="201" t="s">
        <v>271</v>
      </c>
      <c r="G278" s="202" t="s">
        <v>271</v>
      </c>
      <c r="H278" s="303"/>
      <c r="I278" s="303"/>
      <c r="J278" s="303"/>
      <c r="K278" s="303"/>
      <c r="L278" s="303"/>
      <c r="M278" s="303"/>
      <c r="N278" s="303"/>
      <c r="O278" s="303"/>
      <c r="P278" s="217"/>
      <c r="Q278" s="348"/>
      <c r="R278" s="348"/>
      <c r="S278" s="348"/>
      <c r="T278" s="348"/>
      <c r="U278" s="348"/>
      <c r="V278" s="348"/>
      <c r="W278" s="217"/>
      <c r="X278" s="313"/>
      <c r="Y278" s="313"/>
      <c r="Z278" s="313"/>
      <c r="AA278" s="602"/>
      <c r="AB278" s="313"/>
      <c r="AC278" s="313"/>
      <c r="AD278" s="313"/>
      <c r="AE278" s="313"/>
      <c r="AF278" s="313"/>
      <c r="AG278" s="313"/>
      <c r="AH278" s="253"/>
      <c r="AI278" s="217"/>
      <c r="AJ278" s="318"/>
      <c r="AK278" s="318"/>
      <c r="AL278" s="318"/>
      <c r="AM278" s="318"/>
      <c r="AN278" s="318"/>
      <c r="AO278" s="318"/>
      <c r="AP278" s="318"/>
      <c r="AQ278" s="318"/>
      <c r="AR278" s="318"/>
      <c r="AS278" s="318"/>
      <c r="AT278" s="318"/>
      <c r="AU278" s="318"/>
      <c r="AV278" s="318"/>
      <c r="AW278" s="318"/>
      <c r="AX278" s="318"/>
      <c r="AY278" s="318"/>
      <c r="AZ278" s="346"/>
      <c r="BA278" s="322"/>
      <c r="BB278" s="322"/>
      <c r="BC278" s="322"/>
      <c r="BD278" s="322"/>
      <c r="BE278" s="322"/>
      <c r="BF278" s="346"/>
      <c r="BG278" s="328"/>
      <c r="BH278" s="328"/>
      <c r="BI278" s="328"/>
      <c r="BJ278" s="328"/>
      <c r="BK278" s="328"/>
      <c r="BL278" s="328"/>
      <c r="BM278" s="328"/>
      <c r="BN278" s="217"/>
      <c r="BO278" s="336"/>
      <c r="BP278" s="333"/>
      <c r="BQ278" s="336"/>
      <c r="BR278" s="336"/>
      <c r="BS278" s="336"/>
      <c r="BT278" s="336"/>
      <c r="BU278" s="336"/>
      <c r="BV278" s="336"/>
      <c r="BW278" s="336"/>
      <c r="BX278" s="217"/>
      <c r="BY278" s="341"/>
      <c r="BZ278" s="341"/>
      <c r="CA278" s="341"/>
      <c r="CB278" s="342"/>
      <c r="CC278" s="341"/>
      <c r="CD278" s="341"/>
      <c r="CE278" s="341"/>
      <c r="CF278" s="341"/>
      <c r="CG278" s="341"/>
      <c r="CH278" s="341"/>
      <c r="CI278" s="341"/>
      <c r="CJ278" s="342"/>
      <c r="CK278" s="342"/>
    </row>
    <row r="279">
      <c r="A279" s="753"/>
      <c r="B279" s="202" t="s">
        <v>271</v>
      </c>
      <c r="C279" s="196" t="s">
        <v>271</v>
      </c>
      <c r="D279" s="197" t="s">
        <v>271</v>
      </c>
      <c r="E279" s="199" t="s">
        <v>271</v>
      </c>
      <c r="F279" s="201" t="s">
        <v>271</v>
      </c>
      <c r="G279" s="202" t="s">
        <v>271</v>
      </c>
      <c r="H279" s="303"/>
      <c r="I279" s="303"/>
      <c r="J279" s="303"/>
      <c r="K279" s="303"/>
      <c r="L279" s="303"/>
      <c r="M279" s="303"/>
      <c r="N279" s="303"/>
      <c r="O279" s="303"/>
      <c r="P279" s="217"/>
      <c r="Q279" s="348"/>
      <c r="R279" s="348"/>
      <c r="S279" s="348"/>
      <c r="T279" s="348"/>
      <c r="U279" s="348"/>
      <c r="V279" s="348"/>
      <c r="W279" s="217"/>
      <c r="X279" s="313"/>
      <c r="Y279" s="313"/>
      <c r="Z279" s="313"/>
      <c r="AA279" s="602"/>
      <c r="AB279" s="313"/>
      <c r="AC279" s="313"/>
      <c r="AD279" s="313"/>
      <c r="AE279" s="313"/>
      <c r="AF279" s="313"/>
      <c r="AG279" s="313"/>
      <c r="AH279" s="253"/>
      <c r="AI279" s="217"/>
      <c r="AJ279" s="318"/>
      <c r="AK279" s="318"/>
      <c r="AL279" s="318"/>
      <c r="AM279" s="318"/>
      <c r="AN279" s="318"/>
      <c r="AO279" s="318"/>
      <c r="AP279" s="318"/>
      <c r="AQ279" s="318"/>
      <c r="AR279" s="318"/>
      <c r="AS279" s="318"/>
      <c r="AT279" s="318"/>
      <c r="AU279" s="318"/>
      <c r="AV279" s="318"/>
      <c r="AW279" s="318"/>
      <c r="AX279" s="318"/>
      <c r="AY279" s="318"/>
      <c r="AZ279" s="346"/>
      <c r="BA279" s="322"/>
      <c r="BB279" s="322"/>
      <c r="BC279" s="322"/>
      <c r="BD279" s="322"/>
      <c r="BE279" s="322"/>
      <c r="BF279" s="346"/>
      <c r="BG279" s="328"/>
      <c r="BH279" s="328"/>
      <c r="BI279" s="328"/>
      <c r="BJ279" s="328"/>
      <c r="BK279" s="328"/>
      <c r="BL279" s="328"/>
      <c r="BM279" s="328"/>
      <c r="BN279" s="217"/>
      <c r="BO279" s="336"/>
      <c r="BP279" s="333"/>
      <c r="BQ279" s="336"/>
      <c r="BR279" s="336"/>
      <c r="BS279" s="336"/>
      <c r="BT279" s="336"/>
      <c r="BU279" s="336"/>
      <c r="BV279" s="336"/>
      <c r="BW279" s="336"/>
      <c r="BX279" s="217"/>
      <c r="BY279" s="341"/>
      <c r="BZ279" s="341"/>
      <c r="CA279" s="341"/>
      <c r="CB279" s="342"/>
      <c r="CC279" s="341"/>
      <c r="CD279" s="341"/>
      <c r="CE279" s="341"/>
      <c r="CF279" s="341"/>
      <c r="CG279" s="341"/>
      <c r="CH279" s="341"/>
      <c r="CI279" s="341"/>
      <c r="CJ279" s="342"/>
      <c r="CK279" s="342"/>
    </row>
    <row r="280">
      <c r="A280" s="753"/>
      <c r="B280" s="202" t="s">
        <v>271</v>
      </c>
      <c r="C280" s="196" t="s">
        <v>271</v>
      </c>
      <c r="D280" s="197" t="s">
        <v>271</v>
      </c>
      <c r="E280" s="199" t="s">
        <v>271</v>
      </c>
      <c r="F280" s="201" t="s">
        <v>271</v>
      </c>
      <c r="G280" s="202" t="s">
        <v>271</v>
      </c>
      <c r="H280" s="303"/>
      <c r="I280" s="303"/>
      <c r="J280" s="303"/>
      <c r="K280" s="303"/>
      <c r="L280" s="303"/>
      <c r="M280" s="303"/>
      <c r="N280" s="303"/>
      <c r="O280" s="303"/>
      <c r="P280" s="217"/>
      <c r="Q280" s="348"/>
      <c r="R280" s="348"/>
      <c r="S280" s="348"/>
      <c r="T280" s="348"/>
      <c r="U280" s="348"/>
      <c r="V280" s="348"/>
      <c r="W280" s="217"/>
      <c r="X280" s="313"/>
      <c r="Y280" s="313"/>
      <c r="Z280" s="313"/>
      <c r="AA280" s="602"/>
      <c r="AB280" s="313"/>
      <c r="AC280" s="313"/>
      <c r="AD280" s="313"/>
      <c r="AE280" s="313"/>
      <c r="AF280" s="313"/>
      <c r="AG280" s="313"/>
      <c r="AH280" s="253"/>
      <c r="AI280" s="217"/>
      <c r="AJ280" s="318"/>
      <c r="AK280" s="318"/>
      <c r="AL280" s="318"/>
      <c r="AM280" s="318"/>
      <c r="AN280" s="318"/>
      <c r="AO280" s="318"/>
      <c r="AP280" s="318"/>
      <c r="AQ280" s="318"/>
      <c r="AR280" s="318"/>
      <c r="AS280" s="318"/>
      <c r="AT280" s="318"/>
      <c r="AU280" s="318"/>
      <c r="AV280" s="318"/>
      <c r="AW280" s="318"/>
      <c r="AX280" s="318"/>
      <c r="AY280" s="318"/>
      <c r="AZ280" s="346"/>
      <c r="BA280" s="322"/>
      <c r="BB280" s="322"/>
      <c r="BC280" s="322"/>
      <c r="BD280" s="322"/>
      <c r="BE280" s="322"/>
      <c r="BF280" s="346"/>
      <c r="BG280" s="328"/>
      <c r="BH280" s="328"/>
      <c r="BI280" s="328"/>
      <c r="BJ280" s="328"/>
      <c r="BK280" s="328"/>
      <c r="BL280" s="328"/>
      <c r="BM280" s="328"/>
      <c r="BN280" s="217"/>
      <c r="BO280" s="336"/>
      <c r="BP280" s="333"/>
      <c r="BQ280" s="336"/>
      <c r="BR280" s="336"/>
      <c r="BS280" s="336"/>
      <c r="BT280" s="336"/>
      <c r="BU280" s="336"/>
      <c r="BV280" s="336"/>
      <c r="BW280" s="336"/>
      <c r="BX280" s="217"/>
      <c r="BY280" s="341"/>
      <c r="BZ280" s="341"/>
      <c r="CA280" s="341"/>
      <c r="CB280" s="342"/>
      <c r="CC280" s="341"/>
      <c r="CD280" s="341"/>
      <c r="CE280" s="341"/>
      <c r="CF280" s="341"/>
      <c r="CG280" s="341"/>
      <c r="CH280" s="341"/>
      <c r="CI280" s="341"/>
      <c r="CJ280" s="342"/>
      <c r="CK280" s="342"/>
    </row>
    <row r="281">
      <c r="A281" s="753"/>
      <c r="B281" s="202" t="s">
        <v>271</v>
      </c>
      <c r="C281" s="196" t="s">
        <v>271</v>
      </c>
      <c r="D281" s="197" t="s">
        <v>271</v>
      </c>
      <c r="E281" s="199" t="s">
        <v>271</v>
      </c>
      <c r="F281" s="201" t="s">
        <v>271</v>
      </c>
      <c r="G281" s="202" t="s">
        <v>271</v>
      </c>
      <c r="H281" s="303"/>
      <c r="I281" s="303"/>
      <c r="J281" s="303"/>
      <c r="K281" s="303"/>
      <c r="L281" s="303"/>
      <c r="M281" s="303"/>
      <c r="N281" s="303"/>
      <c r="O281" s="303"/>
      <c r="P281" s="217"/>
      <c r="Q281" s="348"/>
      <c r="R281" s="348"/>
      <c r="S281" s="348"/>
      <c r="T281" s="348"/>
      <c r="U281" s="348"/>
      <c r="V281" s="348"/>
      <c r="W281" s="217"/>
      <c r="X281" s="313"/>
      <c r="Y281" s="313"/>
      <c r="Z281" s="313"/>
      <c r="AA281" s="602"/>
      <c r="AB281" s="313"/>
      <c r="AC281" s="313"/>
      <c r="AD281" s="313"/>
      <c r="AE281" s="313"/>
      <c r="AF281" s="313"/>
      <c r="AG281" s="313"/>
      <c r="AH281" s="253"/>
      <c r="AI281" s="217"/>
      <c r="AJ281" s="318"/>
      <c r="AK281" s="318"/>
      <c r="AL281" s="318"/>
      <c r="AM281" s="318"/>
      <c r="AN281" s="318"/>
      <c r="AO281" s="318"/>
      <c r="AP281" s="318"/>
      <c r="AQ281" s="318"/>
      <c r="AR281" s="318"/>
      <c r="AS281" s="318"/>
      <c r="AT281" s="318"/>
      <c r="AU281" s="318"/>
      <c r="AV281" s="318"/>
      <c r="AW281" s="318"/>
      <c r="AX281" s="318"/>
      <c r="AY281" s="318"/>
      <c r="AZ281" s="346"/>
      <c r="BA281" s="322"/>
      <c r="BB281" s="322"/>
      <c r="BC281" s="322"/>
      <c r="BD281" s="322"/>
      <c r="BE281" s="322"/>
      <c r="BF281" s="346"/>
      <c r="BG281" s="328"/>
      <c r="BH281" s="328"/>
      <c r="BI281" s="328"/>
      <c r="BJ281" s="328"/>
      <c r="BK281" s="328"/>
      <c r="BL281" s="328"/>
      <c r="BM281" s="328"/>
      <c r="BN281" s="217"/>
      <c r="BO281" s="336"/>
      <c r="BP281" s="333"/>
      <c r="BQ281" s="336"/>
      <c r="BR281" s="336"/>
      <c r="BS281" s="336"/>
      <c r="BT281" s="336"/>
      <c r="BU281" s="336"/>
      <c r="BV281" s="336"/>
      <c r="BW281" s="336"/>
      <c r="BX281" s="217"/>
      <c r="BY281" s="341"/>
      <c r="BZ281" s="341"/>
      <c r="CA281" s="341"/>
      <c r="CB281" s="342"/>
      <c r="CC281" s="341"/>
      <c r="CD281" s="341"/>
      <c r="CE281" s="341"/>
      <c r="CF281" s="341"/>
      <c r="CG281" s="341"/>
      <c r="CH281" s="341"/>
      <c r="CI281" s="341"/>
      <c r="CJ281" s="342"/>
      <c r="CK281" s="342"/>
    </row>
    <row r="282">
      <c r="A282" s="753"/>
      <c r="B282" s="202" t="s">
        <v>271</v>
      </c>
      <c r="C282" s="196" t="s">
        <v>271</v>
      </c>
      <c r="D282" s="197" t="s">
        <v>271</v>
      </c>
      <c r="E282" s="199" t="s">
        <v>271</v>
      </c>
      <c r="F282" s="201" t="s">
        <v>271</v>
      </c>
      <c r="G282" s="202" t="s">
        <v>271</v>
      </c>
      <c r="H282" s="303"/>
      <c r="I282" s="303"/>
      <c r="J282" s="303"/>
      <c r="K282" s="303"/>
      <c r="L282" s="303"/>
      <c r="M282" s="303"/>
      <c r="N282" s="303"/>
      <c r="O282" s="303"/>
      <c r="P282" s="217"/>
      <c r="Q282" s="348"/>
      <c r="R282" s="348"/>
      <c r="S282" s="348"/>
      <c r="T282" s="348"/>
      <c r="U282" s="348"/>
      <c r="V282" s="348"/>
      <c r="W282" s="217"/>
      <c r="X282" s="313"/>
      <c r="Y282" s="313"/>
      <c r="Z282" s="313"/>
      <c r="AA282" s="602"/>
      <c r="AB282" s="313"/>
      <c r="AC282" s="313"/>
      <c r="AD282" s="313"/>
      <c r="AE282" s="313"/>
      <c r="AF282" s="313"/>
      <c r="AG282" s="313"/>
      <c r="AH282" s="253"/>
      <c r="AI282" s="217"/>
      <c r="AJ282" s="318"/>
      <c r="AK282" s="318"/>
      <c r="AL282" s="318"/>
      <c r="AM282" s="318"/>
      <c r="AN282" s="318"/>
      <c r="AO282" s="318"/>
      <c r="AP282" s="318"/>
      <c r="AQ282" s="318"/>
      <c r="AR282" s="318"/>
      <c r="AS282" s="318"/>
      <c r="AT282" s="318"/>
      <c r="AU282" s="318"/>
      <c r="AV282" s="318"/>
      <c r="AW282" s="318"/>
      <c r="AX282" s="318"/>
      <c r="AY282" s="318"/>
      <c r="AZ282" s="346"/>
      <c r="BA282" s="322"/>
      <c r="BB282" s="322"/>
      <c r="BC282" s="322"/>
      <c r="BD282" s="322"/>
      <c r="BE282" s="322"/>
      <c r="BF282" s="346"/>
      <c r="BG282" s="328"/>
      <c r="BH282" s="328"/>
      <c r="BI282" s="328"/>
      <c r="BJ282" s="328"/>
      <c r="BK282" s="328"/>
      <c r="BL282" s="328"/>
      <c r="BM282" s="328"/>
      <c r="BN282" s="217"/>
      <c r="BO282" s="336"/>
      <c r="BP282" s="333"/>
      <c r="BQ282" s="336"/>
      <c r="BR282" s="336"/>
      <c r="BS282" s="336"/>
      <c r="BT282" s="336"/>
      <c r="BU282" s="336"/>
      <c r="BV282" s="336"/>
      <c r="BW282" s="336"/>
      <c r="BX282" s="217"/>
      <c r="BY282" s="341"/>
      <c r="BZ282" s="341"/>
      <c r="CA282" s="341"/>
      <c r="CB282" s="342"/>
      <c r="CC282" s="341"/>
      <c r="CD282" s="341"/>
      <c r="CE282" s="341"/>
      <c r="CF282" s="341"/>
      <c r="CG282" s="341"/>
      <c r="CH282" s="341"/>
      <c r="CI282" s="341"/>
      <c r="CJ282" s="342"/>
      <c r="CK282" s="342"/>
    </row>
    <row r="283">
      <c r="A283" s="753"/>
      <c r="B283" s="202" t="s">
        <v>271</v>
      </c>
      <c r="C283" s="196" t="s">
        <v>271</v>
      </c>
      <c r="D283" s="197" t="s">
        <v>271</v>
      </c>
      <c r="E283" s="199" t="s">
        <v>271</v>
      </c>
      <c r="F283" s="201" t="s">
        <v>271</v>
      </c>
      <c r="G283" s="202" t="s">
        <v>271</v>
      </c>
      <c r="H283" s="303"/>
      <c r="I283" s="303"/>
      <c r="J283" s="303"/>
      <c r="K283" s="303"/>
      <c r="L283" s="303"/>
      <c r="M283" s="303"/>
      <c r="N283" s="303"/>
      <c r="O283" s="303"/>
      <c r="P283" s="217"/>
      <c r="Q283" s="348"/>
      <c r="R283" s="348"/>
      <c r="S283" s="348"/>
      <c r="T283" s="348"/>
      <c r="U283" s="348"/>
      <c r="V283" s="348"/>
      <c r="W283" s="217"/>
      <c r="X283" s="313"/>
      <c r="Y283" s="313"/>
      <c r="Z283" s="313"/>
      <c r="AA283" s="602"/>
      <c r="AB283" s="313"/>
      <c r="AC283" s="313"/>
      <c r="AD283" s="313"/>
      <c r="AE283" s="313"/>
      <c r="AF283" s="313"/>
      <c r="AG283" s="313"/>
      <c r="AH283" s="253"/>
      <c r="AI283" s="217"/>
      <c r="AJ283" s="318"/>
      <c r="AK283" s="318"/>
      <c r="AL283" s="318"/>
      <c r="AM283" s="318"/>
      <c r="AN283" s="318"/>
      <c r="AO283" s="318"/>
      <c r="AP283" s="318"/>
      <c r="AQ283" s="318"/>
      <c r="AR283" s="318"/>
      <c r="AS283" s="318"/>
      <c r="AT283" s="318"/>
      <c r="AU283" s="318"/>
      <c r="AV283" s="318"/>
      <c r="AW283" s="318"/>
      <c r="AX283" s="318"/>
      <c r="AY283" s="318"/>
      <c r="AZ283" s="346"/>
      <c r="BA283" s="322"/>
      <c r="BB283" s="322"/>
      <c r="BC283" s="322"/>
      <c r="BD283" s="322"/>
      <c r="BE283" s="322"/>
      <c r="BF283" s="346"/>
      <c r="BG283" s="328"/>
      <c r="BH283" s="328"/>
      <c r="BI283" s="328"/>
      <c r="BJ283" s="328"/>
      <c r="BK283" s="328"/>
      <c r="BL283" s="328"/>
      <c r="BM283" s="328"/>
      <c r="BN283" s="217"/>
      <c r="BO283" s="336"/>
      <c r="BP283" s="333"/>
      <c r="BQ283" s="336"/>
      <c r="BR283" s="336"/>
      <c r="BS283" s="336"/>
      <c r="BT283" s="336"/>
      <c r="BU283" s="336"/>
      <c r="BV283" s="336"/>
      <c r="BW283" s="336"/>
      <c r="BX283" s="217"/>
      <c r="BY283" s="341"/>
      <c r="BZ283" s="341"/>
      <c r="CA283" s="341"/>
      <c r="CB283" s="342"/>
      <c r="CC283" s="341"/>
      <c r="CD283" s="341"/>
      <c r="CE283" s="341"/>
      <c r="CF283" s="341"/>
      <c r="CG283" s="341"/>
      <c r="CH283" s="341"/>
      <c r="CI283" s="341"/>
      <c r="CJ283" s="342"/>
      <c r="CK283" s="342"/>
    </row>
    <row r="284">
      <c r="A284" s="753"/>
      <c r="B284" s="202" t="s">
        <v>271</v>
      </c>
      <c r="C284" s="196" t="s">
        <v>271</v>
      </c>
      <c r="D284" s="197" t="s">
        <v>271</v>
      </c>
      <c r="E284" s="199" t="s">
        <v>271</v>
      </c>
      <c r="F284" s="201" t="s">
        <v>271</v>
      </c>
      <c r="G284" s="202" t="s">
        <v>271</v>
      </c>
      <c r="H284" s="303"/>
      <c r="I284" s="303"/>
      <c r="J284" s="303"/>
      <c r="K284" s="303"/>
      <c r="L284" s="303"/>
      <c r="M284" s="303"/>
      <c r="N284" s="303"/>
      <c r="O284" s="303"/>
      <c r="P284" s="217"/>
      <c r="Q284" s="348"/>
      <c r="R284" s="348"/>
      <c r="S284" s="348"/>
      <c r="T284" s="348"/>
      <c r="U284" s="348"/>
      <c r="V284" s="348"/>
      <c r="W284" s="217"/>
      <c r="X284" s="313"/>
      <c r="Y284" s="313"/>
      <c r="Z284" s="313"/>
      <c r="AA284" s="602"/>
      <c r="AB284" s="313"/>
      <c r="AC284" s="313"/>
      <c r="AD284" s="313"/>
      <c r="AE284" s="313"/>
      <c r="AF284" s="313"/>
      <c r="AG284" s="313"/>
      <c r="AH284" s="253"/>
      <c r="AI284" s="217"/>
      <c r="AJ284" s="318"/>
      <c r="AK284" s="318"/>
      <c r="AL284" s="318"/>
      <c r="AM284" s="318"/>
      <c r="AN284" s="318"/>
      <c r="AO284" s="318"/>
      <c r="AP284" s="318"/>
      <c r="AQ284" s="318"/>
      <c r="AR284" s="318"/>
      <c r="AS284" s="318"/>
      <c r="AT284" s="318"/>
      <c r="AU284" s="318"/>
      <c r="AV284" s="318"/>
      <c r="AW284" s="318"/>
      <c r="AX284" s="318"/>
      <c r="AY284" s="318"/>
      <c r="AZ284" s="346"/>
      <c r="BA284" s="322"/>
      <c r="BB284" s="322"/>
      <c r="BC284" s="322"/>
      <c r="BD284" s="322"/>
      <c r="BE284" s="322"/>
      <c r="BF284" s="346"/>
      <c r="BG284" s="328"/>
      <c r="BH284" s="328"/>
      <c r="BI284" s="328"/>
      <c r="BJ284" s="328"/>
      <c r="BK284" s="328"/>
      <c r="BL284" s="328"/>
      <c r="BM284" s="328"/>
      <c r="BN284" s="217"/>
      <c r="BO284" s="336"/>
      <c r="BP284" s="333"/>
      <c r="BQ284" s="336"/>
      <c r="BR284" s="336"/>
      <c r="BS284" s="336"/>
      <c r="BT284" s="336"/>
      <c r="BU284" s="336"/>
      <c r="BV284" s="336"/>
      <c r="BW284" s="336"/>
      <c r="BX284" s="217"/>
      <c r="BY284" s="341"/>
      <c r="BZ284" s="341"/>
      <c r="CA284" s="341"/>
      <c r="CB284" s="342"/>
      <c r="CC284" s="341"/>
      <c r="CD284" s="341"/>
      <c r="CE284" s="341"/>
      <c r="CF284" s="341"/>
      <c r="CG284" s="341"/>
      <c r="CH284" s="341"/>
      <c r="CI284" s="341"/>
      <c r="CJ284" s="342"/>
      <c r="CK284" s="342"/>
    </row>
    <row r="285">
      <c r="A285" s="753"/>
      <c r="B285" s="202" t="s">
        <v>271</v>
      </c>
      <c r="C285" s="196" t="s">
        <v>271</v>
      </c>
      <c r="D285" s="197" t="s">
        <v>271</v>
      </c>
      <c r="E285" s="199" t="s">
        <v>271</v>
      </c>
      <c r="F285" s="201" t="s">
        <v>271</v>
      </c>
      <c r="G285" s="202" t="s">
        <v>271</v>
      </c>
      <c r="H285" s="303"/>
      <c r="I285" s="303"/>
      <c r="J285" s="303"/>
      <c r="K285" s="303"/>
      <c r="L285" s="303"/>
      <c r="M285" s="303"/>
      <c r="N285" s="303"/>
      <c r="O285" s="303"/>
      <c r="P285" s="217"/>
      <c r="Q285" s="348"/>
      <c r="R285" s="348"/>
      <c r="S285" s="348"/>
      <c r="T285" s="348"/>
      <c r="U285" s="348"/>
      <c r="V285" s="348"/>
      <c r="W285" s="217"/>
      <c r="X285" s="313"/>
      <c r="Y285" s="313"/>
      <c r="Z285" s="313"/>
      <c r="AA285" s="602"/>
      <c r="AB285" s="313"/>
      <c r="AC285" s="313"/>
      <c r="AD285" s="313"/>
      <c r="AE285" s="313"/>
      <c r="AF285" s="313"/>
      <c r="AG285" s="313"/>
      <c r="AH285" s="253"/>
      <c r="AI285" s="217"/>
      <c r="AJ285" s="318"/>
      <c r="AK285" s="318"/>
      <c r="AL285" s="318"/>
      <c r="AM285" s="318"/>
      <c r="AN285" s="318"/>
      <c r="AO285" s="318"/>
      <c r="AP285" s="318"/>
      <c r="AQ285" s="318"/>
      <c r="AR285" s="318"/>
      <c r="AS285" s="318"/>
      <c r="AT285" s="318"/>
      <c r="AU285" s="318"/>
      <c r="AV285" s="318"/>
      <c r="AW285" s="318"/>
      <c r="AX285" s="318"/>
      <c r="AY285" s="318"/>
      <c r="AZ285" s="346"/>
      <c r="BA285" s="322"/>
      <c r="BB285" s="322"/>
      <c r="BC285" s="322"/>
      <c r="BD285" s="322"/>
      <c r="BE285" s="322"/>
      <c r="BF285" s="346"/>
      <c r="BG285" s="328"/>
      <c r="BH285" s="328"/>
      <c r="BI285" s="328"/>
      <c r="BJ285" s="328"/>
      <c r="BK285" s="328"/>
      <c r="BL285" s="328"/>
      <c r="BM285" s="328"/>
      <c r="BN285" s="217"/>
      <c r="BO285" s="336"/>
      <c r="BP285" s="333"/>
      <c r="BQ285" s="336"/>
      <c r="BR285" s="336"/>
      <c r="BS285" s="336"/>
      <c r="BT285" s="336"/>
      <c r="BU285" s="336"/>
      <c r="BV285" s="336"/>
      <c r="BW285" s="336"/>
      <c r="BX285" s="217"/>
      <c r="BY285" s="341"/>
      <c r="BZ285" s="341"/>
      <c r="CA285" s="341"/>
      <c r="CB285" s="342"/>
      <c r="CC285" s="341"/>
      <c r="CD285" s="341"/>
      <c r="CE285" s="341"/>
      <c r="CF285" s="341"/>
      <c r="CG285" s="341"/>
      <c r="CH285" s="341"/>
      <c r="CI285" s="341"/>
      <c r="CJ285" s="342"/>
      <c r="CK285" s="342"/>
    </row>
    <row r="286">
      <c r="A286" s="753"/>
      <c r="B286" s="202" t="s">
        <v>271</v>
      </c>
      <c r="C286" s="196" t="s">
        <v>271</v>
      </c>
      <c r="D286" s="197" t="s">
        <v>271</v>
      </c>
      <c r="E286" s="199" t="s">
        <v>271</v>
      </c>
      <c r="F286" s="201" t="s">
        <v>271</v>
      </c>
      <c r="G286" s="202" t="s">
        <v>271</v>
      </c>
      <c r="H286" s="303"/>
      <c r="I286" s="303"/>
      <c r="J286" s="303"/>
      <c r="K286" s="303"/>
      <c r="L286" s="303"/>
      <c r="M286" s="303"/>
      <c r="N286" s="303"/>
      <c r="O286" s="303"/>
      <c r="P286" s="217"/>
      <c r="Q286" s="348"/>
      <c r="R286" s="348"/>
      <c r="S286" s="348"/>
      <c r="T286" s="348"/>
      <c r="U286" s="348"/>
      <c r="V286" s="348"/>
      <c r="W286" s="217"/>
      <c r="X286" s="313"/>
      <c r="Y286" s="313"/>
      <c r="Z286" s="313"/>
      <c r="AA286" s="602"/>
      <c r="AB286" s="313"/>
      <c r="AC286" s="313"/>
      <c r="AD286" s="313"/>
      <c r="AE286" s="313"/>
      <c r="AF286" s="313"/>
      <c r="AG286" s="313"/>
      <c r="AH286" s="253"/>
      <c r="AI286" s="217"/>
      <c r="AJ286" s="318"/>
      <c r="AK286" s="318"/>
      <c r="AL286" s="318"/>
      <c r="AM286" s="318"/>
      <c r="AN286" s="318"/>
      <c r="AO286" s="318"/>
      <c r="AP286" s="318"/>
      <c r="AQ286" s="318"/>
      <c r="AR286" s="318"/>
      <c r="AS286" s="318"/>
      <c r="AT286" s="318"/>
      <c r="AU286" s="318"/>
      <c r="AV286" s="318"/>
      <c r="AW286" s="318"/>
      <c r="AX286" s="318"/>
      <c r="AY286" s="318"/>
      <c r="AZ286" s="346"/>
      <c r="BA286" s="322"/>
      <c r="BB286" s="322"/>
      <c r="BC286" s="322"/>
      <c r="BD286" s="322"/>
      <c r="BE286" s="322"/>
      <c r="BF286" s="346"/>
      <c r="BG286" s="328"/>
      <c r="BH286" s="328"/>
      <c r="BI286" s="328"/>
      <c r="BJ286" s="328"/>
      <c r="BK286" s="328"/>
      <c r="BL286" s="328"/>
      <c r="BM286" s="328"/>
      <c r="BN286" s="217"/>
      <c r="BO286" s="336"/>
      <c r="BP286" s="333"/>
      <c r="BQ286" s="336"/>
      <c r="BR286" s="336"/>
      <c r="BS286" s="336"/>
      <c r="BT286" s="336"/>
      <c r="BU286" s="336"/>
      <c r="BV286" s="336"/>
      <c r="BW286" s="336"/>
      <c r="BX286" s="217"/>
      <c r="BY286" s="341"/>
      <c r="BZ286" s="341"/>
      <c r="CA286" s="341"/>
      <c r="CB286" s="342"/>
      <c r="CC286" s="341"/>
      <c r="CD286" s="341"/>
      <c r="CE286" s="341"/>
      <c r="CF286" s="341"/>
      <c r="CG286" s="341"/>
      <c r="CH286" s="341"/>
      <c r="CI286" s="341"/>
      <c r="CJ286" s="342"/>
      <c r="CK286" s="342"/>
    </row>
    <row r="287">
      <c r="A287" s="753"/>
      <c r="B287" s="202" t="s">
        <v>271</v>
      </c>
      <c r="C287" s="196" t="s">
        <v>271</v>
      </c>
      <c r="D287" s="197" t="s">
        <v>271</v>
      </c>
      <c r="E287" s="199" t="s">
        <v>271</v>
      </c>
      <c r="F287" s="201" t="s">
        <v>271</v>
      </c>
      <c r="G287" s="202" t="s">
        <v>271</v>
      </c>
      <c r="H287" s="303"/>
      <c r="I287" s="303"/>
      <c r="J287" s="303"/>
      <c r="K287" s="303"/>
      <c r="L287" s="303"/>
      <c r="M287" s="303"/>
      <c r="N287" s="303"/>
      <c r="O287" s="303"/>
      <c r="P287" s="217"/>
      <c r="Q287" s="348"/>
      <c r="R287" s="348"/>
      <c r="S287" s="348"/>
      <c r="T287" s="348"/>
      <c r="U287" s="348"/>
      <c r="V287" s="348"/>
      <c r="W287" s="217"/>
      <c r="X287" s="313"/>
      <c r="Y287" s="313"/>
      <c r="Z287" s="313"/>
      <c r="AA287" s="602"/>
      <c r="AB287" s="313"/>
      <c r="AC287" s="313"/>
      <c r="AD287" s="313"/>
      <c r="AE287" s="313"/>
      <c r="AF287" s="313"/>
      <c r="AG287" s="313"/>
      <c r="AH287" s="253"/>
      <c r="AI287" s="217"/>
      <c r="AJ287" s="318"/>
      <c r="AK287" s="318"/>
      <c r="AL287" s="318"/>
      <c r="AM287" s="318"/>
      <c r="AN287" s="318"/>
      <c r="AO287" s="318"/>
      <c r="AP287" s="318"/>
      <c r="AQ287" s="318"/>
      <c r="AR287" s="318"/>
      <c r="AS287" s="318"/>
      <c r="AT287" s="318"/>
      <c r="AU287" s="318"/>
      <c r="AV287" s="318"/>
      <c r="AW287" s="318"/>
      <c r="AX287" s="318"/>
      <c r="AY287" s="318"/>
      <c r="AZ287" s="346"/>
      <c r="BA287" s="322"/>
      <c r="BB287" s="322"/>
      <c r="BC287" s="322"/>
      <c r="BD287" s="322"/>
      <c r="BE287" s="322"/>
      <c r="BF287" s="346"/>
      <c r="BG287" s="328"/>
      <c r="BH287" s="328"/>
      <c r="BI287" s="328"/>
      <c r="BJ287" s="328"/>
      <c r="BK287" s="328"/>
      <c r="BL287" s="328"/>
      <c r="BM287" s="328"/>
      <c r="BN287" s="217"/>
      <c r="BO287" s="336"/>
      <c r="BP287" s="333"/>
      <c r="BQ287" s="336"/>
      <c r="BR287" s="336"/>
      <c r="BS287" s="336"/>
      <c r="BT287" s="336"/>
      <c r="BU287" s="336"/>
      <c r="BV287" s="336"/>
      <c r="BW287" s="336"/>
      <c r="BX287" s="217"/>
      <c r="BY287" s="341"/>
      <c r="BZ287" s="341"/>
      <c r="CA287" s="341"/>
      <c r="CB287" s="342"/>
      <c r="CC287" s="341"/>
      <c r="CD287" s="341"/>
      <c r="CE287" s="341"/>
      <c r="CF287" s="341"/>
      <c r="CG287" s="341"/>
      <c r="CH287" s="341"/>
      <c r="CI287" s="341"/>
      <c r="CJ287" s="342"/>
      <c r="CK287" s="342"/>
    </row>
    <row r="288">
      <c r="A288" s="753"/>
      <c r="B288" s="202" t="s">
        <v>271</v>
      </c>
      <c r="C288" s="196" t="s">
        <v>271</v>
      </c>
      <c r="D288" s="197" t="s">
        <v>271</v>
      </c>
      <c r="E288" s="199" t="s">
        <v>271</v>
      </c>
      <c r="F288" s="201" t="s">
        <v>271</v>
      </c>
      <c r="G288" s="202" t="s">
        <v>271</v>
      </c>
      <c r="H288" s="303"/>
      <c r="I288" s="303"/>
      <c r="J288" s="303"/>
      <c r="K288" s="303"/>
      <c r="L288" s="303"/>
      <c r="M288" s="303"/>
      <c r="N288" s="303"/>
      <c r="O288" s="303"/>
      <c r="P288" s="217"/>
      <c r="Q288" s="348"/>
      <c r="R288" s="348"/>
      <c r="S288" s="348"/>
      <c r="T288" s="348"/>
      <c r="U288" s="348"/>
      <c r="V288" s="348"/>
      <c r="W288" s="217"/>
      <c r="X288" s="313"/>
      <c r="Y288" s="313"/>
      <c r="Z288" s="313"/>
      <c r="AA288" s="602"/>
      <c r="AB288" s="313"/>
      <c r="AC288" s="313"/>
      <c r="AD288" s="313"/>
      <c r="AE288" s="313"/>
      <c r="AF288" s="313"/>
      <c r="AG288" s="313"/>
      <c r="AH288" s="253"/>
      <c r="AI288" s="217"/>
      <c r="AJ288" s="318"/>
      <c r="AK288" s="318"/>
      <c r="AL288" s="318"/>
      <c r="AM288" s="318"/>
      <c r="AN288" s="318"/>
      <c r="AO288" s="318"/>
      <c r="AP288" s="318"/>
      <c r="AQ288" s="318"/>
      <c r="AR288" s="318"/>
      <c r="AS288" s="318"/>
      <c r="AT288" s="318"/>
      <c r="AU288" s="318"/>
      <c r="AV288" s="318"/>
      <c r="AW288" s="318"/>
      <c r="AX288" s="318"/>
      <c r="AY288" s="318"/>
      <c r="AZ288" s="346"/>
      <c r="BA288" s="322"/>
      <c r="BB288" s="322"/>
      <c r="BC288" s="322"/>
      <c r="BD288" s="322"/>
      <c r="BE288" s="322"/>
      <c r="BF288" s="346"/>
      <c r="BG288" s="328"/>
      <c r="BH288" s="328"/>
      <c r="BI288" s="328"/>
      <c r="BJ288" s="328"/>
      <c r="BK288" s="328"/>
      <c r="BL288" s="328"/>
      <c r="BM288" s="328"/>
      <c r="BN288" s="217"/>
      <c r="BO288" s="336"/>
      <c r="BP288" s="333"/>
      <c r="BQ288" s="336"/>
      <c r="BR288" s="336"/>
      <c r="BS288" s="336"/>
      <c r="BT288" s="336"/>
      <c r="BU288" s="336"/>
      <c r="BV288" s="336"/>
      <c r="BW288" s="336"/>
      <c r="BX288" s="217"/>
      <c r="BY288" s="341"/>
      <c r="BZ288" s="341"/>
      <c r="CA288" s="341"/>
      <c r="CB288" s="342"/>
      <c r="CC288" s="341"/>
      <c r="CD288" s="341"/>
      <c r="CE288" s="341"/>
      <c r="CF288" s="341"/>
      <c r="CG288" s="341"/>
      <c r="CH288" s="341"/>
      <c r="CI288" s="341"/>
      <c r="CJ288" s="342"/>
      <c r="CK288" s="342"/>
    </row>
    <row r="289">
      <c r="A289" s="753"/>
      <c r="B289" s="202" t="s">
        <v>271</v>
      </c>
      <c r="C289" s="196" t="s">
        <v>271</v>
      </c>
      <c r="D289" s="197" t="s">
        <v>271</v>
      </c>
      <c r="E289" s="199" t="s">
        <v>271</v>
      </c>
      <c r="F289" s="201" t="s">
        <v>271</v>
      </c>
      <c r="G289" s="202" t="s">
        <v>271</v>
      </c>
      <c r="H289" s="303"/>
      <c r="I289" s="303"/>
      <c r="J289" s="303"/>
      <c r="K289" s="303"/>
      <c r="L289" s="303"/>
      <c r="M289" s="303"/>
      <c r="N289" s="303"/>
      <c r="O289" s="303"/>
      <c r="P289" s="217"/>
      <c r="Q289" s="348"/>
      <c r="R289" s="348"/>
      <c r="S289" s="348"/>
      <c r="T289" s="348"/>
      <c r="U289" s="348"/>
      <c r="V289" s="348"/>
      <c r="W289" s="217"/>
      <c r="X289" s="313"/>
      <c r="Y289" s="313"/>
      <c r="Z289" s="313"/>
      <c r="AA289" s="602"/>
      <c r="AB289" s="313"/>
      <c r="AC289" s="313"/>
      <c r="AD289" s="313"/>
      <c r="AE289" s="313"/>
      <c r="AF289" s="313"/>
      <c r="AG289" s="313"/>
      <c r="AH289" s="253"/>
      <c r="AI289" s="217"/>
      <c r="AJ289" s="318"/>
      <c r="AK289" s="318"/>
      <c r="AL289" s="318"/>
      <c r="AM289" s="318"/>
      <c r="AN289" s="318"/>
      <c r="AO289" s="318"/>
      <c r="AP289" s="318"/>
      <c r="AQ289" s="318"/>
      <c r="AR289" s="318"/>
      <c r="AS289" s="318"/>
      <c r="AT289" s="318"/>
      <c r="AU289" s="318"/>
      <c r="AV289" s="318"/>
      <c r="AW289" s="318"/>
      <c r="AX289" s="318"/>
      <c r="AY289" s="318"/>
      <c r="AZ289" s="346"/>
      <c r="BA289" s="322"/>
      <c r="BB289" s="322"/>
      <c r="BC289" s="322"/>
      <c r="BD289" s="322"/>
      <c r="BE289" s="322"/>
      <c r="BF289" s="346"/>
      <c r="BG289" s="328"/>
      <c r="BH289" s="328"/>
      <c r="BI289" s="328"/>
      <c r="BJ289" s="328"/>
      <c r="BK289" s="328"/>
      <c r="BL289" s="328"/>
      <c r="BM289" s="328"/>
      <c r="BN289" s="217"/>
      <c r="BO289" s="336"/>
      <c r="BP289" s="333"/>
      <c r="BQ289" s="336"/>
      <c r="BR289" s="336"/>
      <c r="BS289" s="336"/>
      <c r="BT289" s="336"/>
      <c r="BU289" s="336"/>
      <c r="BV289" s="336"/>
      <c r="BW289" s="336"/>
      <c r="BX289" s="217"/>
      <c r="BY289" s="341"/>
      <c r="BZ289" s="341"/>
      <c r="CA289" s="341"/>
      <c r="CB289" s="342"/>
      <c r="CC289" s="341"/>
      <c r="CD289" s="341"/>
      <c r="CE289" s="341"/>
      <c r="CF289" s="341"/>
      <c r="CG289" s="341"/>
      <c r="CH289" s="341"/>
      <c r="CI289" s="341"/>
      <c r="CJ289" s="342"/>
      <c r="CK289" s="342"/>
    </row>
    <row r="290">
      <c r="A290" s="753"/>
      <c r="B290" s="202" t="s">
        <v>271</v>
      </c>
      <c r="C290" s="196" t="s">
        <v>271</v>
      </c>
      <c r="D290" s="197" t="s">
        <v>271</v>
      </c>
      <c r="E290" s="199" t="s">
        <v>271</v>
      </c>
      <c r="F290" s="201" t="s">
        <v>271</v>
      </c>
      <c r="G290" s="202" t="s">
        <v>271</v>
      </c>
      <c r="H290" s="303"/>
      <c r="I290" s="303"/>
      <c r="J290" s="303"/>
      <c r="K290" s="303"/>
      <c r="L290" s="303"/>
      <c r="M290" s="303"/>
      <c r="N290" s="303"/>
      <c r="O290" s="303"/>
      <c r="P290" s="217"/>
      <c r="Q290" s="348"/>
      <c r="R290" s="348"/>
      <c r="S290" s="348"/>
      <c r="T290" s="348"/>
      <c r="U290" s="348"/>
      <c r="V290" s="348"/>
      <c r="W290" s="217"/>
      <c r="X290" s="313"/>
      <c r="Y290" s="313"/>
      <c r="Z290" s="313"/>
      <c r="AA290" s="602"/>
      <c r="AB290" s="313"/>
      <c r="AC290" s="313"/>
      <c r="AD290" s="313"/>
      <c r="AE290" s="313"/>
      <c r="AF290" s="313"/>
      <c r="AG290" s="313"/>
      <c r="AH290" s="253"/>
      <c r="AI290" s="217"/>
      <c r="AJ290" s="318"/>
      <c r="AK290" s="318"/>
      <c r="AL290" s="318"/>
      <c r="AM290" s="318"/>
      <c r="AN290" s="318"/>
      <c r="AO290" s="318"/>
      <c r="AP290" s="318"/>
      <c r="AQ290" s="318"/>
      <c r="AR290" s="318"/>
      <c r="AS290" s="318"/>
      <c r="AT290" s="318"/>
      <c r="AU290" s="318"/>
      <c r="AV290" s="318"/>
      <c r="AW290" s="318"/>
      <c r="AX290" s="318"/>
      <c r="AY290" s="318"/>
      <c r="AZ290" s="346"/>
      <c r="BA290" s="322"/>
      <c r="BB290" s="322"/>
      <c r="BC290" s="322"/>
      <c r="BD290" s="322"/>
      <c r="BE290" s="322"/>
      <c r="BF290" s="346"/>
      <c r="BG290" s="328"/>
      <c r="BH290" s="328"/>
      <c r="BI290" s="328"/>
      <c r="BJ290" s="328"/>
      <c r="BK290" s="328"/>
      <c r="BL290" s="328"/>
      <c r="BM290" s="328"/>
      <c r="BN290" s="217"/>
      <c r="BO290" s="336"/>
      <c r="BP290" s="333"/>
      <c r="BQ290" s="336"/>
      <c r="BR290" s="336"/>
      <c r="BS290" s="336"/>
      <c r="BT290" s="336"/>
      <c r="BU290" s="336"/>
      <c r="BV290" s="336"/>
      <c r="BW290" s="336"/>
      <c r="BX290" s="217"/>
      <c r="BY290" s="341"/>
      <c r="BZ290" s="341"/>
      <c r="CA290" s="341"/>
      <c r="CB290" s="342"/>
      <c r="CC290" s="341"/>
      <c r="CD290" s="341"/>
      <c r="CE290" s="341"/>
      <c r="CF290" s="341"/>
      <c r="CG290" s="341"/>
      <c r="CH290" s="341"/>
      <c r="CI290" s="341"/>
      <c r="CJ290" s="342"/>
      <c r="CK290" s="342"/>
    </row>
    <row r="291">
      <c r="A291" s="753"/>
      <c r="B291" s="202" t="s">
        <v>271</v>
      </c>
      <c r="C291" s="196" t="s">
        <v>271</v>
      </c>
      <c r="D291" s="197" t="s">
        <v>271</v>
      </c>
      <c r="E291" s="199" t="s">
        <v>271</v>
      </c>
      <c r="F291" s="201" t="s">
        <v>271</v>
      </c>
      <c r="G291" s="202" t="s">
        <v>271</v>
      </c>
      <c r="H291" s="303"/>
      <c r="I291" s="303"/>
      <c r="J291" s="303"/>
      <c r="K291" s="303"/>
      <c r="L291" s="303"/>
      <c r="M291" s="303"/>
      <c r="N291" s="303"/>
      <c r="O291" s="303"/>
      <c r="P291" s="217"/>
      <c r="Q291" s="348"/>
      <c r="R291" s="348"/>
      <c r="S291" s="348"/>
      <c r="T291" s="348"/>
      <c r="U291" s="348"/>
      <c r="V291" s="348"/>
      <c r="W291" s="217"/>
      <c r="X291" s="313"/>
      <c r="Y291" s="313"/>
      <c r="Z291" s="313"/>
      <c r="AA291" s="602"/>
      <c r="AB291" s="313"/>
      <c r="AC291" s="313"/>
      <c r="AD291" s="313"/>
      <c r="AE291" s="313"/>
      <c r="AF291" s="313"/>
      <c r="AG291" s="313"/>
      <c r="AH291" s="253"/>
      <c r="AI291" s="217"/>
      <c r="AJ291" s="318"/>
      <c r="AK291" s="318"/>
      <c r="AL291" s="318"/>
      <c r="AM291" s="318"/>
      <c r="AN291" s="318"/>
      <c r="AO291" s="318"/>
      <c r="AP291" s="318"/>
      <c r="AQ291" s="318"/>
      <c r="AR291" s="318"/>
      <c r="AS291" s="318"/>
      <c r="AT291" s="318"/>
      <c r="AU291" s="318"/>
      <c r="AV291" s="318"/>
      <c r="AW291" s="318"/>
      <c r="AX291" s="318"/>
      <c r="AY291" s="318"/>
      <c r="AZ291" s="346"/>
      <c r="BA291" s="322"/>
      <c r="BB291" s="322"/>
      <c r="BC291" s="322"/>
      <c r="BD291" s="322"/>
      <c r="BE291" s="322"/>
      <c r="BF291" s="346"/>
      <c r="BG291" s="328"/>
      <c r="BH291" s="328"/>
      <c r="BI291" s="328"/>
      <c r="BJ291" s="328"/>
      <c r="BK291" s="328"/>
      <c r="BL291" s="328"/>
      <c r="BM291" s="328"/>
      <c r="BN291" s="217"/>
      <c r="BO291" s="336"/>
      <c r="BP291" s="333"/>
      <c r="BQ291" s="336"/>
      <c r="BR291" s="336"/>
      <c r="BS291" s="336"/>
      <c r="BT291" s="336"/>
      <c r="BU291" s="336"/>
      <c r="BV291" s="336"/>
      <c r="BW291" s="336"/>
      <c r="BX291" s="217"/>
      <c r="BY291" s="341"/>
      <c r="BZ291" s="341"/>
      <c r="CA291" s="341"/>
      <c r="CB291" s="342"/>
      <c r="CC291" s="341"/>
      <c r="CD291" s="341"/>
      <c r="CE291" s="341"/>
      <c r="CF291" s="341"/>
      <c r="CG291" s="341"/>
      <c r="CH291" s="341"/>
      <c r="CI291" s="341"/>
      <c r="CJ291" s="342"/>
      <c r="CK291" s="342"/>
    </row>
    <row r="292">
      <c r="A292" s="753"/>
      <c r="B292" s="202" t="s">
        <v>271</v>
      </c>
      <c r="C292" s="196" t="s">
        <v>271</v>
      </c>
      <c r="D292" s="197" t="s">
        <v>271</v>
      </c>
      <c r="E292" s="199" t="s">
        <v>271</v>
      </c>
      <c r="F292" s="201" t="s">
        <v>271</v>
      </c>
      <c r="G292" s="202" t="s">
        <v>271</v>
      </c>
      <c r="H292" s="303"/>
      <c r="I292" s="303"/>
      <c r="J292" s="303"/>
      <c r="K292" s="303"/>
      <c r="L292" s="303"/>
      <c r="M292" s="303"/>
      <c r="N292" s="303"/>
      <c r="O292" s="303"/>
      <c r="P292" s="217"/>
      <c r="Q292" s="348"/>
      <c r="R292" s="348"/>
      <c r="S292" s="348"/>
      <c r="T292" s="348"/>
      <c r="U292" s="348"/>
      <c r="V292" s="348"/>
      <c r="W292" s="217"/>
      <c r="X292" s="313"/>
      <c r="Y292" s="313"/>
      <c r="Z292" s="313"/>
      <c r="AA292" s="602"/>
      <c r="AB292" s="313"/>
      <c r="AC292" s="313"/>
      <c r="AD292" s="313"/>
      <c r="AE292" s="313"/>
      <c r="AF292" s="313"/>
      <c r="AG292" s="313"/>
      <c r="AH292" s="253"/>
      <c r="AI292" s="217"/>
      <c r="AJ292" s="318"/>
      <c r="AK292" s="318"/>
      <c r="AL292" s="318"/>
      <c r="AM292" s="318"/>
      <c r="AN292" s="318"/>
      <c r="AO292" s="318"/>
      <c r="AP292" s="318"/>
      <c r="AQ292" s="318"/>
      <c r="AR292" s="318"/>
      <c r="AS292" s="318"/>
      <c r="AT292" s="318"/>
      <c r="AU292" s="318"/>
      <c r="AV292" s="318"/>
      <c r="AW292" s="318"/>
      <c r="AX292" s="318"/>
      <c r="AY292" s="318"/>
      <c r="AZ292" s="346"/>
      <c r="BA292" s="322"/>
      <c r="BB292" s="322"/>
      <c r="BC292" s="322"/>
      <c r="BD292" s="322"/>
      <c r="BE292" s="322"/>
      <c r="BF292" s="346"/>
      <c r="BG292" s="328"/>
      <c r="BH292" s="328"/>
      <c r="BI292" s="328"/>
      <c r="BJ292" s="328"/>
      <c r="BK292" s="328"/>
      <c r="BL292" s="328"/>
      <c r="BM292" s="328"/>
      <c r="BN292" s="217"/>
      <c r="BO292" s="336"/>
      <c r="BP292" s="333"/>
      <c r="BQ292" s="336"/>
      <c r="BR292" s="336"/>
      <c r="BS292" s="336"/>
      <c r="BT292" s="336"/>
      <c r="BU292" s="336"/>
      <c r="BV292" s="336"/>
      <c r="BW292" s="336"/>
      <c r="BX292" s="217"/>
      <c r="BY292" s="341"/>
      <c r="BZ292" s="341"/>
      <c r="CA292" s="341"/>
      <c r="CB292" s="342"/>
      <c r="CC292" s="341"/>
      <c r="CD292" s="341"/>
      <c r="CE292" s="341"/>
      <c r="CF292" s="341"/>
      <c r="CG292" s="341"/>
      <c r="CH292" s="341"/>
      <c r="CI292" s="341"/>
      <c r="CJ292" s="342"/>
      <c r="CK292" s="342"/>
    </row>
    <row r="293">
      <c r="A293" s="753"/>
      <c r="B293" s="202" t="s">
        <v>271</v>
      </c>
      <c r="C293" s="196" t="s">
        <v>271</v>
      </c>
      <c r="D293" s="197" t="s">
        <v>271</v>
      </c>
      <c r="E293" s="199" t="s">
        <v>271</v>
      </c>
      <c r="F293" s="201" t="s">
        <v>271</v>
      </c>
      <c r="G293" s="202" t="s">
        <v>271</v>
      </c>
      <c r="H293" s="303"/>
      <c r="I293" s="303"/>
      <c r="J293" s="303"/>
      <c r="K293" s="303"/>
      <c r="L293" s="303"/>
      <c r="M293" s="303"/>
      <c r="N293" s="303"/>
      <c r="O293" s="303"/>
      <c r="P293" s="217"/>
      <c r="Q293" s="348"/>
      <c r="R293" s="348"/>
      <c r="S293" s="348"/>
      <c r="T293" s="348"/>
      <c r="U293" s="348"/>
      <c r="V293" s="348"/>
      <c r="W293" s="217"/>
      <c r="X293" s="313"/>
      <c r="Y293" s="313"/>
      <c r="Z293" s="313"/>
      <c r="AA293" s="602"/>
      <c r="AB293" s="313"/>
      <c r="AC293" s="313"/>
      <c r="AD293" s="313"/>
      <c r="AE293" s="313"/>
      <c r="AF293" s="313"/>
      <c r="AG293" s="313"/>
      <c r="AH293" s="253"/>
      <c r="AI293" s="217"/>
      <c r="AJ293" s="318"/>
      <c r="AK293" s="318"/>
      <c r="AL293" s="318"/>
      <c r="AM293" s="318"/>
      <c r="AN293" s="318"/>
      <c r="AO293" s="318"/>
      <c r="AP293" s="318"/>
      <c r="AQ293" s="318"/>
      <c r="AR293" s="318"/>
      <c r="AS293" s="318"/>
      <c r="AT293" s="318"/>
      <c r="AU293" s="318"/>
      <c r="AV293" s="318"/>
      <c r="AW293" s="318"/>
      <c r="AX293" s="318"/>
      <c r="AY293" s="318"/>
      <c r="AZ293" s="346"/>
      <c r="BA293" s="322"/>
      <c r="BB293" s="322"/>
      <c r="BC293" s="322"/>
      <c r="BD293" s="322"/>
      <c r="BE293" s="322"/>
      <c r="BF293" s="346"/>
      <c r="BG293" s="328"/>
      <c r="BH293" s="328"/>
      <c r="BI293" s="328"/>
      <c r="BJ293" s="328"/>
      <c r="BK293" s="328"/>
      <c r="BL293" s="328"/>
      <c r="BM293" s="328"/>
      <c r="BN293" s="217"/>
      <c r="BO293" s="336"/>
      <c r="BP293" s="333"/>
      <c r="BQ293" s="336"/>
      <c r="BR293" s="336"/>
      <c r="BS293" s="336"/>
      <c r="BT293" s="336"/>
      <c r="BU293" s="336"/>
      <c r="BV293" s="336"/>
      <c r="BW293" s="336"/>
      <c r="BX293" s="217"/>
      <c r="BY293" s="341"/>
      <c r="BZ293" s="341"/>
      <c r="CA293" s="341"/>
      <c r="CB293" s="342"/>
      <c r="CC293" s="341"/>
      <c r="CD293" s="341"/>
      <c r="CE293" s="341"/>
      <c r="CF293" s="341"/>
      <c r="CG293" s="341"/>
      <c r="CH293" s="341"/>
      <c r="CI293" s="341"/>
      <c r="CJ293" s="342"/>
      <c r="CK293" s="342"/>
    </row>
    <row r="294">
      <c r="A294" s="753"/>
      <c r="B294" s="202" t="s">
        <v>271</v>
      </c>
      <c r="C294" s="196" t="s">
        <v>271</v>
      </c>
      <c r="D294" s="197" t="s">
        <v>271</v>
      </c>
      <c r="E294" s="199" t="s">
        <v>271</v>
      </c>
      <c r="F294" s="201" t="s">
        <v>271</v>
      </c>
      <c r="G294" s="202" t="s">
        <v>271</v>
      </c>
      <c r="H294" s="303"/>
      <c r="I294" s="303"/>
      <c r="J294" s="303"/>
      <c r="K294" s="303"/>
      <c r="L294" s="303"/>
      <c r="M294" s="303"/>
      <c r="N294" s="303"/>
      <c r="O294" s="303"/>
      <c r="P294" s="217"/>
      <c r="Q294" s="348"/>
      <c r="R294" s="348"/>
      <c r="S294" s="348"/>
      <c r="T294" s="348"/>
      <c r="U294" s="348"/>
      <c r="V294" s="348"/>
      <c r="W294" s="217"/>
      <c r="X294" s="313"/>
      <c r="Y294" s="313"/>
      <c r="Z294" s="313"/>
      <c r="AA294" s="602"/>
      <c r="AB294" s="313"/>
      <c r="AC294" s="313"/>
      <c r="AD294" s="313"/>
      <c r="AE294" s="313"/>
      <c r="AF294" s="313"/>
      <c r="AG294" s="313"/>
      <c r="AH294" s="253"/>
      <c r="AI294" s="217"/>
      <c r="AJ294" s="318"/>
      <c r="AK294" s="318"/>
      <c r="AL294" s="318"/>
      <c r="AM294" s="318"/>
      <c r="AN294" s="318"/>
      <c r="AO294" s="318"/>
      <c r="AP294" s="318"/>
      <c r="AQ294" s="318"/>
      <c r="AR294" s="318"/>
      <c r="AS294" s="318"/>
      <c r="AT294" s="318"/>
      <c r="AU294" s="318"/>
      <c r="AV294" s="318"/>
      <c r="AW294" s="318"/>
      <c r="AX294" s="318"/>
      <c r="AY294" s="318"/>
      <c r="AZ294" s="346"/>
      <c r="BA294" s="322"/>
      <c r="BB294" s="322"/>
      <c r="BC294" s="322"/>
      <c r="BD294" s="322"/>
      <c r="BE294" s="322"/>
      <c r="BF294" s="346"/>
      <c r="BG294" s="328"/>
      <c r="BH294" s="328"/>
      <c r="BI294" s="328"/>
      <c r="BJ294" s="328"/>
      <c r="BK294" s="328"/>
      <c r="BL294" s="328"/>
      <c r="BM294" s="328"/>
      <c r="BN294" s="217"/>
      <c r="BO294" s="336"/>
      <c r="BP294" s="333"/>
      <c r="BQ294" s="336"/>
      <c r="BR294" s="336"/>
      <c r="BS294" s="336"/>
      <c r="BT294" s="336"/>
      <c r="BU294" s="336"/>
      <c r="BV294" s="336"/>
      <c r="BW294" s="336"/>
      <c r="BX294" s="217"/>
      <c r="BY294" s="341"/>
      <c r="BZ294" s="341"/>
      <c r="CA294" s="341"/>
      <c r="CB294" s="342"/>
      <c r="CC294" s="341"/>
      <c r="CD294" s="341"/>
      <c r="CE294" s="341"/>
      <c r="CF294" s="341"/>
      <c r="CG294" s="341"/>
      <c r="CH294" s="341"/>
      <c r="CI294" s="341"/>
      <c r="CJ294" s="342"/>
      <c r="CK294" s="342"/>
    </row>
    <row r="295">
      <c r="A295" s="753"/>
      <c r="B295" s="202" t="s">
        <v>271</v>
      </c>
      <c r="C295" s="196" t="s">
        <v>271</v>
      </c>
      <c r="D295" s="197" t="s">
        <v>271</v>
      </c>
      <c r="E295" s="199" t="s">
        <v>271</v>
      </c>
      <c r="F295" s="201" t="s">
        <v>271</v>
      </c>
      <c r="G295" s="202" t="s">
        <v>271</v>
      </c>
      <c r="H295" s="303"/>
      <c r="I295" s="303"/>
      <c r="J295" s="303"/>
      <c r="K295" s="303"/>
      <c r="L295" s="303"/>
      <c r="M295" s="303"/>
      <c r="N295" s="303"/>
      <c r="O295" s="303"/>
      <c r="P295" s="217"/>
      <c r="Q295" s="348"/>
      <c r="R295" s="348"/>
      <c r="S295" s="348"/>
      <c r="T295" s="348"/>
      <c r="U295" s="348"/>
      <c r="V295" s="348"/>
      <c r="W295" s="217"/>
      <c r="X295" s="313"/>
      <c r="Y295" s="313"/>
      <c r="Z295" s="313"/>
      <c r="AA295" s="602"/>
      <c r="AB295" s="313"/>
      <c r="AC295" s="313"/>
      <c r="AD295" s="313"/>
      <c r="AE295" s="313"/>
      <c r="AF295" s="313"/>
      <c r="AG295" s="313"/>
      <c r="AH295" s="253"/>
      <c r="AI295" s="217"/>
      <c r="AJ295" s="318"/>
      <c r="AK295" s="318"/>
      <c r="AL295" s="318"/>
      <c r="AM295" s="318"/>
      <c r="AN295" s="318"/>
      <c r="AO295" s="318"/>
      <c r="AP295" s="318"/>
      <c r="AQ295" s="318"/>
      <c r="AR295" s="318"/>
      <c r="AS295" s="318"/>
      <c r="AT295" s="318"/>
      <c r="AU295" s="318"/>
      <c r="AV295" s="318"/>
      <c r="AW295" s="318"/>
      <c r="AX295" s="318"/>
      <c r="AY295" s="318"/>
      <c r="AZ295" s="346"/>
      <c r="BA295" s="322"/>
      <c r="BB295" s="322"/>
      <c r="BC295" s="322"/>
      <c r="BD295" s="322"/>
      <c r="BE295" s="322"/>
      <c r="BF295" s="346"/>
      <c r="BG295" s="328"/>
      <c r="BH295" s="328"/>
      <c r="BI295" s="328"/>
      <c r="BJ295" s="328"/>
      <c r="BK295" s="328"/>
      <c r="BL295" s="328"/>
      <c r="BM295" s="328"/>
      <c r="BN295" s="217"/>
      <c r="BO295" s="336"/>
      <c r="BP295" s="333"/>
      <c r="BQ295" s="336"/>
      <c r="BR295" s="336"/>
      <c r="BS295" s="336"/>
      <c r="BT295" s="336"/>
      <c r="BU295" s="336"/>
      <c r="BV295" s="336"/>
      <c r="BW295" s="336"/>
      <c r="BX295" s="217"/>
      <c r="BY295" s="341"/>
      <c r="BZ295" s="341"/>
      <c r="CA295" s="341"/>
      <c r="CB295" s="342"/>
      <c r="CC295" s="341"/>
      <c r="CD295" s="341"/>
      <c r="CE295" s="341"/>
      <c r="CF295" s="341"/>
      <c r="CG295" s="341"/>
      <c r="CH295" s="341"/>
      <c r="CI295" s="341"/>
      <c r="CJ295" s="342"/>
      <c r="CK295" s="342"/>
    </row>
    <row r="296">
      <c r="A296" s="753"/>
      <c r="B296" s="202" t="s">
        <v>271</v>
      </c>
      <c r="C296" s="196" t="s">
        <v>271</v>
      </c>
      <c r="D296" s="197" t="s">
        <v>271</v>
      </c>
      <c r="E296" s="199" t="s">
        <v>271</v>
      </c>
      <c r="F296" s="201" t="s">
        <v>271</v>
      </c>
      <c r="G296" s="202" t="s">
        <v>271</v>
      </c>
      <c r="H296" s="303"/>
      <c r="I296" s="303"/>
      <c r="J296" s="303"/>
      <c r="K296" s="303"/>
      <c r="L296" s="303"/>
      <c r="M296" s="303"/>
      <c r="N296" s="303"/>
      <c r="O296" s="303"/>
      <c r="P296" s="217"/>
      <c r="Q296" s="348"/>
      <c r="R296" s="348"/>
      <c r="S296" s="348"/>
      <c r="T296" s="348"/>
      <c r="U296" s="348"/>
      <c r="V296" s="348"/>
      <c r="W296" s="217"/>
      <c r="X296" s="313"/>
      <c r="Y296" s="313"/>
      <c r="Z296" s="313"/>
      <c r="AA296" s="602"/>
      <c r="AB296" s="313"/>
      <c r="AC296" s="313"/>
      <c r="AD296" s="313"/>
      <c r="AE296" s="313"/>
      <c r="AF296" s="313"/>
      <c r="AG296" s="313"/>
      <c r="AH296" s="253"/>
      <c r="AI296" s="217"/>
      <c r="AJ296" s="318"/>
      <c r="AK296" s="318"/>
      <c r="AL296" s="318"/>
      <c r="AM296" s="318"/>
      <c r="AN296" s="318"/>
      <c r="AO296" s="318"/>
      <c r="AP296" s="318"/>
      <c r="AQ296" s="318"/>
      <c r="AR296" s="318"/>
      <c r="AS296" s="318"/>
      <c r="AT296" s="318"/>
      <c r="AU296" s="318"/>
      <c r="AV296" s="318"/>
      <c r="AW296" s="318"/>
      <c r="AX296" s="318"/>
      <c r="AY296" s="318"/>
      <c r="AZ296" s="346"/>
      <c r="BA296" s="322"/>
      <c r="BB296" s="322"/>
      <c r="BC296" s="322"/>
      <c r="BD296" s="322"/>
      <c r="BE296" s="322"/>
      <c r="BF296" s="346"/>
      <c r="BG296" s="328"/>
      <c r="BH296" s="328"/>
      <c r="BI296" s="328"/>
      <c r="BJ296" s="328"/>
      <c r="BK296" s="328"/>
      <c r="BL296" s="328"/>
      <c r="BM296" s="328"/>
      <c r="BN296" s="217"/>
      <c r="BO296" s="336"/>
      <c r="BP296" s="333"/>
      <c r="BQ296" s="336"/>
      <c r="BR296" s="336"/>
      <c r="BS296" s="336"/>
      <c r="BT296" s="336"/>
      <c r="BU296" s="336"/>
      <c r="BV296" s="336"/>
      <c r="BW296" s="336"/>
      <c r="BX296" s="217"/>
      <c r="BY296" s="341"/>
      <c r="BZ296" s="341"/>
      <c r="CA296" s="341"/>
      <c r="CB296" s="342"/>
      <c r="CC296" s="341"/>
      <c r="CD296" s="341"/>
      <c r="CE296" s="341"/>
      <c r="CF296" s="341"/>
      <c r="CG296" s="341"/>
      <c r="CH296" s="341"/>
      <c r="CI296" s="341"/>
      <c r="CJ296" s="342"/>
      <c r="CK296" s="342"/>
    </row>
    <row r="297">
      <c r="A297" s="753"/>
      <c r="B297" s="202" t="s">
        <v>271</v>
      </c>
      <c r="C297" s="196" t="s">
        <v>271</v>
      </c>
      <c r="D297" s="197" t="s">
        <v>271</v>
      </c>
      <c r="E297" s="199" t="s">
        <v>271</v>
      </c>
      <c r="F297" s="201" t="s">
        <v>271</v>
      </c>
      <c r="G297" s="202" t="s">
        <v>271</v>
      </c>
      <c r="H297" s="303"/>
      <c r="I297" s="303"/>
      <c r="J297" s="303"/>
      <c r="K297" s="303"/>
      <c r="L297" s="303"/>
      <c r="M297" s="303"/>
      <c r="N297" s="303"/>
      <c r="O297" s="303"/>
      <c r="P297" s="217"/>
      <c r="Q297" s="348"/>
      <c r="R297" s="348"/>
      <c r="S297" s="348"/>
      <c r="T297" s="348"/>
      <c r="U297" s="348"/>
      <c r="V297" s="348"/>
      <c r="W297" s="217"/>
      <c r="X297" s="313"/>
      <c r="Y297" s="313"/>
      <c r="Z297" s="313"/>
      <c r="AA297" s="602"/>
      <c r="AB297" s="313"/>
      <c r="AC297" s="313"/>
      <c r="AD297" s="313"/>
      <c r="AE297" s="313"/>
      <c r="AF297" s="313"/>
      <c r="AG297" s="313"/>
      <c r="AH297" s="253"/>
      <c r="AI297" s="217"/>
      <c r="AJ297" s="318"/>
      <c r="AK297" s="318"/>
      <c r="AL297" s="318"/>
      <c r="AM297" s="318"/>
      <c r="AN297" s="318"/>
      <c r="AO297" s="318"/>
      <c r="AP297" s="318"/>
      <c r="AQ297" s="318"/>
      <c r="AR297" s="318"/>
      <c r="AS297" s="318"/>
      <c r="AT297" s="318"/>
      <c r="AU297" s="318"/>
      <c r="AV297" s="318"/>
      <c r="AW297" s="318"/>
      <c r="AX297" s="318"/>
      <c r="AY297" s="318"/>
      <c r="AZ297" s="346"/>
      <c r="BA297" s="322"/>
      <c r="BB297" s="322"/>
      <c r="BC297" s="322"/>
      <c r="BD297" s="322"/>
      <c r="BE297" s="322"/>
      <c r="BF297" s="346"/>
      <c r="BG297" s="328"/>
      <c r="BH297" s="328"/>
      <c r="BI297" s="328"/>
      <c r="BJ297" s="328"/>
      <c r="BK297" s="328"/>
      <c r="BL297" s="328"/>
      <c r="BM297" s="328"/>
      <c r="BN297" s="217"/>
      <c r="BO297" s="336"/>
      <c r="BP297" s="333"/>
      <c r="BQ297" s="336"/>
      <c r="BR297" s="336"/>
      <c r="BS297" s="336"/>
      <c r="BT297" s="336"/>
      <c r="BU297" s="336"/>
      <c r="BV297" s="336"/>
      <c r="BW297" s="336"/>
      <c r="BX297" s="217"/>
      <c r="BY297" s="341"/>
      <c r="BZ297" s="341"/>
      <c r="CA297" s="341"/>
      <c r="CB297" s="342"/>
      <c r="CC297" s="341"/>
      <c r="CD297" s="341"/>
      <c r="CE297" s="341"/>
      <c r="CF297" s="341"/>
      <c r="CG297" s="341"/>
      <c r="CH297" s="341"/>
      <c r="CI297" s="341"/>
      <c r="CJ297" s="342"/>
      <c r="CK297" s="342"/>
    </row>
    <row r="298">
      <c r="A298" s="753"/>
      <c r="B298" s="202" t="s">
        <v>271</v>
      </c>
      <c r="C298" s="196" t="s">
        <v>271</v>
      </c>
      <c r="D298" s="197" t="s">
        <v>271</v>
      </c>
      <c r="E298" s="199" t="s">
        <v>271</v>
      </c>
      <c r="F298" s="201" t="s">
        <v>271</v>
      </c>
      <c r="G298" s="202" t="s">
        <v>271</v>
      </c>
      <c r="H298" s="303"/>
      <c r="I298" s="303"/>
      <c r="J298" s="303"/>
      <c r="K298" s="303"/>
      <c r="L298" s="303"/>
      <c r="M298" s="303"/>
      <c r="N298" s="303"/>
      <c r="O298" s="303"/>
      <c r="P298" s="217"/>
      <c r="Q298" s="348"/>
      <c r="R298" s="348"/>
      <c r="S298" s="348"/>
      <c r="T298" s="348"/>
      <c r="U298" s="348"/>
      <c r="V298" s="348"/>
      <c r="W298" s="217"/>
      <c r="X298" s="313"/>
      <c r="Y298" s="313"/>
      <c r="Z298" s="313"/>
      <c r="AA298" s="602"/>
      <c r="AB298" s="313"/>
      <c r="AC298" s="313"/>
      <c r="AD298" s="313"/>
      <c r="AE298" s="313"/>
      <c r="AF298" s="313"/>
      <c r="AG298" s="313"/>
      <c r="AH298" s="253"/>
      <c r="AI298" s="217"/>
      <c r="AJ298" s="318"/>
      <c r="AK298" s="318"/>
      <c r="AL298" s="318"/>
      <c r="AM298" s="318"/>
      <c r="AN298" s="318"/>
      <c r="AO298" s="318"/>
      <c r="AP298" s="318"/>
      <c r="AQ298" s="318"/>
      <c r="AR298" s="318"/>
      <c r="AS298" s="318"/>
      <c r="AT298" s="318"/>
      <c r="AU298" s="318"/>
      <c r="AV298" s="318"/>
      <c r="AW298" s="318"/>
      <c r="AX298" s="318"/>
      <c r="AY298" s="318"/>
      <c r="AZ298" s="346"/>
      <c r="BA298" s="322"/>
      <c r="BB298" s="322"/>
      <c r="BC298" s="322"/>
      <c r="BD298" s="322"/>
      <c r="BE298" s="322"/>
      <c r="BF298" s="346"/>
      <c r="BG298" s="328"/>
      <c r="BH298" s="328"/>
      <c r="BI298" s="328"/>
      <c r="BJ298" s="328"/>
      <c r="BK298" s="328"/>
      <c r="BL298" s="328"/>
      <c r="BM298" s="328"/>
      <c r="BN298" s="217"/>
      <c r="BO298" s="336"/>
      <c r="BP298" s="333"/>
      <c r="BQ298" s="336"/>
      <c r="BR298" s="336"/>
      <c r="BS298" s="336"/>
      <c r="BT298" s="336"/>
      <c r="BU298" s="336"/>
      <c r="BV298" s="336"/>
      <c r="BW298" s="336"/>
      <c r="BX298" s="217"/>
      <c r="BY298" s="341"/>
      <c r="BZ298" s="341"/>
      <c r="CA298" s="341"/>
      <c r="CB298" s="342"/>
      <c r="CC298" s="341"/>
      <c r="CD298" s="341"/>
      <c r="CE298" s="341"/>
      <c r="CF298" s="341"/>
      <c r="CG298" s="341"/>
      <c r="CH298" s="341"/>
      <c r="CI298" s="341"/>
      <c r="CJ298" s="342"/>
      <c r="CK298" s="342"/>
    </row>
    <row r="299">
      <c r="A299" s="753"/>
      <c r="B299" s="202" t="s">
        <v>271</v>
      </c>
      <c r="C299" s="196" t="s">
        <v>271</v>
      </c>
      <c r="D299" s="197" t="s">
        <v>271</v>
      </c>
      <c r="E299" s="199" t="s">
        <v>271</v>
      </c>
      <c r="F299" s="201" t="s">
        <v>271</v>
      </c>
      <c r="G299" s="202" t="s">
        <v>271</v>
      </c>
      <c r="H299" s="303"/>
      <c r="I299" s="303"/>
      <c r="J299" s="303"/>
      <c r="K299" s="303"/>
      <c r="L299" s="303"/>
      <c r="M299" s="303"/>
      <c r="N299" s="303"/>
      <c r="O299" s="303"/>
      <c r="P299" s="217"/>
      <c r="Q299" s="348"/>
      <c r="R299" s="348"/>
      <c r="S299" s="348"/>
      <c r="T299" s="348"/>
      <c r="U299" s="348"/>
      <c r="V299" s="348"/>
      <c r="W299" s="217"/>
      <c r="X299" s="313"/>
      <c r="Y299" s="313"/>
      <c r="Z299" s="313"/>
      <c r="AA299" s="602"/>
      <c r="AB299" s="313"/>
      <c r="AC299" s="313"/>
      <c r="AD299" s="313"/>
      <c r="AE299" s="313"/>
      <c r="AF299" s="313"/>
      <c r="AG299" s="313"/>
      <c r="AH299" s="253"/>
      <c r="AI299" s="217"/>
      <c r="AJ299" s="318"/>
      <c r="AK299" s="318"/>
      <c r="AL299" s="318"/>
      <c r="AM299" s="318"/>
      <c r="AN299" s="318"/>
      <c r="AO299" s="318"/>
      <c r="AP299" s="318"/>
      <c r="AQ299" s="318"/>
      <c r="AR299" s="318"/>
      <c r="AS299" s="318"/>
      <c r="AT299" s="318"/>
      <c r="AU299" s="318"/>
      <c r="AV299" s="318"/>
      <c r="AW299" s="318"/>
      <c r="AX299" s="318"/>
      <c r="AY299" s="318"/>
      <c r="AZ299" s="346"/>
      <c r="BA299" s="322"/>
      <c r="BB299" s="322"/>
      <c r="BC299" s="322"/>
      <c r="BD299" s="322"/>
      <c r="BE299" s="322"/>
      <c r="BF299" s="346"/>
      <c r="BG299" s="328"/>
      <c r="BH299" s="328"/>
      <c r="BI299" s="328"/>
      <c r="BJ299" s="328"/>
      <c r="BK299" s="328"/>
      <c r="BL299" s="328"/>
      <c r="BM299" s="328"/>
      <c r="BN299" s="217"/>
      <c r="BO299" s="336"/>
      <c r="BP299" s="333"/>
      <c r="BQ299" s="336"/>
      <c r="BR299" s="336"/>
      <c r="BS299" s="336"/>
      <c r="BT299" s="336"/>
      <c r="BU299" s="336"/>
      <c r="BV299" s="336"/>
      <c r="BW299" s="336"/>
      <c r="BX299" s="217"/>
      <c r="BY299" s="341"/>
      <c r="BZ299" s="341"/>
      <c r="CA299" s="341"/>
      <c r="CB299" s="342"/>
      <c r="CC299" s="341"/>
      <c r="CD299" s="341"/>
      <c r="CE299" s="341"/>
      <c r="CF299" s="341"/>
      <c r="CG299" s="341"/>
      <c r="CH299" s="341"/>
      <c r="CI299" s="341"/>
      <c r="CJ299" s="342"/>
      <c r="CK299" s="342"/>
    </row>
    <row r="300">
      <c r="A300" s="753"/>
      <c r="B300" s="202" t="s">
        <v>271</v>
      </c>
      <c r="C300" s="196" t="s">
        <v>271</v>
      </c>
      <c r="D300" s="197" t="s">
        <v>271</v>
      </c>
      <c r="E300" s="199" t="s">
        <v>271</v>
      </c>
      <c r="F300" s="201" t="s">
        <v>271</v>
      </c>
      <c r="G300" s="202" t="s">
        <v>271</v>
      </c>
      <c r="H300" s="303"/>
      <c r="I300" s="303"/>
      <c r="J300" s="303"/>
      <c r="K300" s="303"/>
      <c r="L300" s="303"/>
      <c r="M300" s="303"/>
      <c r="N300" s="303"/>
      <c r="O300" s="303"/>
      <c r="P300" s="217"/>
      <c r="Q300" s="348"/>
      <c r="R300" s="348"/>
      <c r="S300" s="348"/>
      <c r="T300" s="348"/>
      <c r="U300" s="348"/>
      <c r="V300" s="348"/>
      <c r="W300" s="217"/>
      <c r="X300" s="313"/>
      <c r="Y300" s="313"/>
      <c r="Z300" s="313"/>
      <c r="AA300" s="602"/>
      <c r="AB300" s="313"/>
      <c r="AC300" s="313"/>
      <c r="AD300" s="313"/>
      <c r="AE300" s="313"/>
      <c r="AF300" s="313"/>
      <c r="AG300" s="313"/>
      <c r="AH300" s="253"/>
      <c r="AI300" s="217"/>
      <c r="AJ300" s="318"/>
      <c r="AK300" s="318"/>
      <c r="AL300" s="318"/>
      <c r="AM300" s="318"/>
      <c r="AN300" s="318"/>
      <c r="AO300" s="318"/>
      <c r="AP300" s="318"/>
      <c r="AQ300" s="318"/>
      <c r="AR300" s="318"/>
      <c r="AS300" s="318"/>
      <c r="AT300" s="318"/>
      <c r="AU300" s="318"/>
      <c r="AV300" s="318"/>
      <c r="AW300" s="318"/>
      <c r="AX300" s="318"/>
      <c r="AY300" s="318"/>
      <c r="AZ300" s="346"/>
      <c r="BA300" s="322"/>
      <c r="BB300" s="322"/>
      <c r="BC300" s="322"/>
      <c r="BD300" s="322"/>
      <c r="BE300" s="322"/>
      <c r="BF300" s="346"/>
      <c r="BG300" s="328"/>
      <c r="BH300" s="328"/>
      <c r="BI300" s="328"/>
      <c r="BJ300" s="328"/>
      <c r="BK300" s="328"/>
      <c r="BL300" s="328"/>
      <c r="BM300" s="328"/>
      <c r="BN300" s="217"/>
      <c r="BO300" s="336"/>
      <c r="BP300" s="333"/>
      <c r="BQ300" s="336"/>
      <c r="BR300" s="336"/>
      <c r="BS300" s="336"/>
      <c r="BT300" s="336"/>
      <c r="BU300" s="336"/>
      <c r="BV300" s="336"/>
      <c r="BW300" s="336"/>
      <c r="BX300" s="217"/>
      <c r="BY300" s="341"/>
      <c r="BZ300" s="341"/>
      <c r="CA300" s="341"/>
      <c r="CB300" s="342"/>
      <c r="CC300" s="341"/>
      <c r="CD300" s="341"/>
      <c r="CE300" s="341"/>
      <c r="CF300" s="341"/>
      <c r="CG300" s="341"/>
      <c r="CH300" s="341"/>
      <c r="CI300" s="341"/>
      <c r="CJ300" s="342"/>
      <c r="CK300" s="342"/>
    </row>
    <row r="301">
      <c r="A301" s="753"/>
      <c r="B301" s="202" t="s">
        <v>271</v>
      </c>
      <c r="C301" s="196" t="s">
        <v>271</v>
      </c>
      <c r="D301" s="197" t="s">
        <v>271</v>
      </c>
      <c r="E301" s="199" t="s">
        <v>271</v>
      </c>
      <c r="F301" s="201" t="s">
        <v>271</v>
      </c>
      <c r="G301" s="202" t="s">
        <v>271</v>
      </c>
      <c r="H301" s="303"/>
      <c r="I301" s="303"/>
      <c r="J301" s="303"/>
      <c r="K301" s="303"/>
      <c r="L301" s="303"/>
      <c r="M301" s="303"/>
      <c r="N301" s="303"/>
      <c r="O301" s="303"/>
      <c r="P301" s="217"/>
      <c r="Q301" s="348"/>
      <c r="R301" s="348"/>
      <c r="S301" s="348"/>
      <c r="T301" s="348"/>
      <c r="U301" s="348"/>
      <c r="V301" s="348"/>
      <c r="W301" s="217"/>
      <c r="X301" s="313"/>
      <c r="Y301" s="313"/>
      <c r="Z301" s="313"/>
      <c r="AA301" s="602"/>
      <c r="AB301" s="313"/>
      <c r="AC301" s="313"/>
      <c r="AD301" s="313"/>
      <c r="AE301" s="313"/>
      <c r="AF301" s="313"/>
      <c r="AG301" s="313"/>
      <c r="AH301" s="313"/>
      <c r="AI301" s="217"/>
      <c r="AJ301" s="318"/>
      <c r="AK301" s="318"/>
      <c r="AL301" s="318"/>
      <c r="AM301" s="318"/>
      <c r="AN301" s="318"/>
      <c r="AO301" s="318"/>
      <c r="AP301" s="318"/>
      <c r="AQ301" s="318"/>
      <c r="AR301" s="318"/>
      <c r="AS301" s="318"/>
      <c r="AT301" s="318"/>
      <c r="AU301" s="318"/>
      <c r="AV301" s="318"/>
      <c r="AW301" s="318"/>
      <c r="AX301" s="318"/>
      <c r="AY301" s="318"/>
      <c r="AZ301" s="346"/>
      <c r="BA301" s="322"/>
      <c r="BB301" s="322"/>
      <c r="BC301" s="322"/>
      <c r="BD301" s="322"/>
      <c r="BE301" s="322"/>
      <c r="BF301" s="346"/>
      <c r="BG301" s="328"/>
      <c r="BH301" s="328"/>
      <c r="BI301" s="328"/>
      <c r="BJ301" s="328"/>
      <c r="BK301" s="328"/>
      <c r="BL301" s="328"/>
      <c r="BM301" s="328"/>
      <c r="BN301" s="217"/>
      <c r="BO301" s="336"/>
      <c r="BP301" s="333"/>
      <c r="BQ301" s="336"/>
      <c r="BR301" s="336"/>
      <c r="BS301" s="336"/>
      <c r="BT301" s="336"/>
      <c r="BU301" s="336"/>
      <c r="BV301" s="336"/>
      <c r="BW301" s="336"/>
      <c r="BX301" s="217"/>
      <c r="BY301" s="341"/>
      <c r="BZ301" s="341"/>
      <c r="CA301" s="341"/>
      <c r="CB301" s="342"/>
      <c r="CC301" s="341"/>
      <c r="CD301" s="341"/>
      <c r="CE301" s="341"/>
      <c r="CF301" s="341"/>
      <c r="CG301" s="341"/>
      <c r="CH301" s="341"/>
      <c r="CI301" s="341"/>
      <c r="CJ301" s="342"/>
      <c r="CK301" s="342"/>
    </row>
    <row r="302">
      <c r="A302" s="753"/>
      <c r="B302" s="202" t="s">
        <v>271</v>
      </c>
      <c r="C302" s="196" t="s">
        <v>271</v>
      </c>
      <c r="D302" s="197" t="s">
        <v>271</v>
      </c>
      <c r="E302" s="199" t="s">
        <v>271</v>
      </c>
      <c r="F302" s="201" t="s">
        <v>271</v>
      </c>
      <c r="G302" s="202" t="s">
        <v>271</v>
      </c>
      <c r="H302" s="303"/>
      <c r="I302" s="303"/>
      <c r="J302" s="303"/>
      <c r="K302" s="303"/>
      <c r="L302" s="303"/>
      <c r="M302" s="303"/>
      <c r="N302" s="303"/>
      <c r="O302" s="303"/>
      <c r="P302" s="217"/>
      <c r="Q302" s="348"/>
      <c r="R302" s="348"/>
      <c r="S302" s="348"/>
      <c r="T302" s="348"/>
      <c r="U302" s="348"/>
      <c r="V302" s="348"/>
      <c r="W302" s="217"/>
      <c r="X302" s="313"/>
      <c r="Y302" s="313"/>
      <c r="Z302" s="313"/>
      <c r="AA302" s="602"/>
      <c r="AB302" s="313"/>
      <c r="AC302" s="313"/>
      <c r="AD302" s="313"/>
      <c r="AE302" s="313"/>
      <c r="AF302" s="313"/>
      <c r="AG302" s="313"/>
      <c r="AH302" s="313"/>
      <c r="AI302" s="217"/>
      <c r="AJ302" s="318"/>
      <c r="AK302" s="318"/>
      <c r="AL302" s="318"/>
      <c r="AM302" s="318"/>
      <c r="AN302" s="318"/>
      <c r="AO302" s="318"/>
      <c r="AP302" s="318"/>
      <c r="AQ302" s="318"/>
      <c r="AR302" s="318"/>
      <c r="AS302" s="318"/>
      <c r="AT302" s="318"/>
      <c r="AU302" s="318"/>
      <c r="AV302" s="318"/>
      <c r="AW302" s="318"/>
      <c r="AX302" s="318"/>
      <c r="AY302" s="318"/>
      <c r="AZ302" s="346"/>
      <c r="BA302" s="322"/>
      <c r="BB302" s="322"/>
      <c r="BC302" s="322"/>
      <c r="BD302" s="322"/>
      <c r="BE302" s="322"/>
      <c r="BF302" s="346"/>
      <c r="BG302" s="328"/>
      <c r="BH302" s="328"/>
      <c r="BI302" s="328"/>
      <c r="BJ302" s="328"/>
      <c r="BK302" s="328"/>
      <c r="BL302" s="328"/>
      <c r="BM302" s="328"/>
      <c r="BN302" s="217"/>
      <c r="BO302" s="336"/>
      <c r="BP302" s="333"/>
      <c r="BQ302" s="336"/>
      <c r="BR302" s="336"/>
      <c r="BS302" s="336"/>
      <c r="BT302" s="336"/>
      <c r="BU302" s="336"/>
      <c r="BV302" s="336"/>
      <c r="BW302" s="336"/>
      <c r="BX302" s="217"/>
      <c r="BY302" s="341"/>
      <c r="BZ302" s="341"/>
      <c r="CA302" s="341"/>
      <c r="CB302" s="342"/>
      <c r="CC302" s="341"/>
      <c r="CD302" s="341"/>
      <c r="CE302" s="341"/>
      <c r="CF302" s="341"/>
      <c r="CG302" s="341"/>
      <c r="CH302" s="341"/>
      <c r="CI302" s="341"/>
      <c r="CJ302" s="342"/>
      <c r="CK302" s="342"/>
    </row>
    <row r="303">
      <c r="A303" s="753"/>
      <c r="B303" s="202" t="s">
        <v>271</v>
      </c>
      <c r="C303" s="196" t="s">
        <v>271</v>
      </c>
      <c r="D303" s="197" t="s">
        <v>271</v>
      </c>
      <c r="E303" s="199" t="s">
        <v>271</v>
      </c>
      <c r="F303" s="201" t="s">
        <v>271</v>
      </c>
      <c r="G303" s="202" t="s">
        <v>271</v>
      </c>
      <c r="H303" s="303"/>
      <c r="I303" s="303"/>
      <c r="J303" s="303"/>
      <c r="K303" s="303"/>
      <c r="L303" s="303"/>
      <c r="M303" s="303"/>
      <c r="N303" s="303"/>
      <c r="O303" s="303"/>
      <c r="P303" s="217"/>
      <c r="Q303" s="348"/>
      <c r="R303" s="348"/>
      <c r="S303" s="348"/>
      <c r="T303" s="348"/>
      <c r="U303" s="348"/>
      <c r="V303" s="348"/>
      <c r="W303" s="217"/>
      <c r="X303" s="313"/>
      <c r="Y303" s="313"/>
      <c r="Z303" s="313"/>
      <c r="AA303" s="602"/>
      <c r="AB303" s="313"/>
      <c r="AC303" s="313"/>
      <c r="AD303" s="313"/>
      <c r="AE303" s="313"/>
      <c r="AF303" s="313"/>
      <c r="AG303" s="313"/>
      <c r="AH303" s="313"/>
      <c r="AI303" s="217"/>
      <c r="AJ303" s="318"/>
      <c r="AK303" s="318"/>
      <c r="AL303" s="318"/>
      <c r="AM303" s="318"/>
      <c r="AN303" s="318"/>
      <c r="AO303" s="318"/>
      <c r="AP303" s="318"/>
      <c r="AQ303" s="318"/>
      <c r="AR303" s="318"/>
      <c r="AS303" s="318"/>
      <c r="AT303" s="318"/>
      <c r="AU303" s="318"/>
      <c r="AV303" s="318"/>
      <c r="AW303" s="318"/>
      <c r="AX303" s="318"/>
      <c r="AY303" s="318"/>
      <c r="AZ303" s="346"/>
      <c r="BA303" s="322"/>
      <c r="BB303" s="322"/>
      <c r="BC303" s="322"/>
      <c r="BD303" s="322"/>
      <c r="BE303" s="322"/>
      <c r="BF303" s="346"/>
      <c r="BG303" s="328"/>
      <c r="BH303" s="328"/>
      <c r="BI303" s="328"/>
      <c r="BJ303" s="328"/>
      <c r="BK303" s="328"/>
      <c r="BL303" s="328"/>
      <c r="BM303" s="328"/>
      <c r="BN303" s="217"/>
      <c r="BO303" s="336"/>
      <c r="BP303" s="333"/>
      <c r="BQ303" s="336"/>
      <c r="BR303" s="336"/>
      <c r="BS303" s="336"/>
      <c r="BT303" s="336"/>
      <c r="BU303" s="336"/>
      <c r="BV303" s="336"/>
      <c r="BW303" s="336"/>
      <c r="BX303" s="217"/>
      <c r="BY303" s="341"/>
      <c r="BZ303" s="341"/>
      <c r="CA303" s="341"/>
      <c r="CB303" s="342"/>
      <c r="CC303" s="341"/>
      <c r="CD303" s="341"/>
      <c r="CE303" s="341"/>
      <c r="CF303" s="341"/>
      <c r="CG303" s="341"/>
      <c r="CH303" s="341"/>
      <c r="CI303" s="341"/>
      <c r="CJ303" s="342"/>
      <c r="CK303" s="342"/>
    </row>
    <row r="304">
      <c r="A304" s="753"/>
      <c r="B304" s="202"/>
      <c r="C304" s="196"/>
      <c r="D304" s="197"/>
      <c r="E304" s="199"/>
      <c r="F304" s="201"/>
      <c r="G304" s="202"/>
      <c r="H304" s="303"/>
      <c r="I304" s="303"/>
      <c r="J304" s="303"/>
      <c r="K304" s="303"/>
      <c r="L304" s="303"/>
      <c r="M304" s="303"/>
      <c r="N304" s="303"/>
      <c r="O304" s="303"/>
      <c r="P304" s="217"/>
      <c r="Q304" s="348"/>
      <c r="R304" s="348"/>
      <c r="S304" s="348"/>
      <c r="T304" s="348"/>
      <c r="U304" s="348"/>
      <c r="V304" s="348"/>
      <c r="W304" s="217"/>
      <c r="X304" s="313"/>
      <c r="Y304" s="313"/>
      <c r="Z304" s="313"/>
      <c r="AA304" s="602"/>
      <c r="AB304" s="313"/>
      <c r="AC304" s="313"/>
      <c r="AD304" s="313"/>
      <c r="AE304" s="313"/>
      <c r="AF304" s="313"/>
      <c r="AG304" s="313"/>
      <c r="AH304" s="313"/>
      <c r="AI304" s="217"/>
      <c r="AJ304" s="318"/>
      <c r="AK304" s="318"/>
      <c r="AL304" s="318"/>
      <c r="AM304" s="318"/>
      <c r="AN304" s="318"/>
      <c r="AO304" s="318"/>
      <c r="AP304" s="318"/>
      <c r="AQ304" s="318"/>
      <c r="AR304" s="318"/>
      <c r="AS304" s="318"/>
      <c r="AT304" s="374"/>
      <c r="AU304" s="318"/>
      <c r="AV304" s="318"/>
      <c r="AW304" s="318"/>
      <c r="AX304" s="318"/>
      <c r="AY304" s="318"/>
      <c r="AZ304" s="217"/>
      <c r="BA304" s="322"/>
      <c r="BB304" s="322"/>
      <c r="BC304" s="322"/>
      <c r="BD304" s="322"/>
      <c r="BE304" s="322"/>
      <c r="BF304" s="217"/>
      <c r="BG304" s="328"/>
      <c r="BH304" s="328"/>
      <c r="BI304" s="328"/>
      <c r="BJ304" s="918"/>
      <c r="BK304" s="328"/>
      <c r="BL304" s="328"/>
      <c r="BM304" s="328"/>
      <c r="BN304" s="217"/>
      <c r="BO304" s="336"/>
      <c r="BP304" s="333"/>
      <c r="BQ304" s="336"/>
      <c r="BR304" s="336"/>
      <c r="BS304" s="336"/>
      <c r="BT304" s="336"/>
      <c r="BU304" s="336"/>
      <c r="BV304" s="336"/>
      <c r="BW304" s="336"/>
      <c r="BX304" s="217"/>
      <c r="BY304" s="341"/>
      <c r="BZ304" s="341"/>
      <c r="CA304" s="342"/>
      <c r="CB304" s="342"/>
      <c r="CC304" s="342"/>
      <c r="CD304" s="341"/>
      <c r="CE304" s="341"/>
      <c r="CF304" s="341"/>
      <c r="CG304" s="341"/>
      <c r="CH304" s="341"/>
      <c r="CI304" s="341"/>
      <c r="CJ304" s="342"/>
      <c r="CK304" s="342"/>
    </row>
    <row r="305">
      <c r="A305" s="667"/>
      <c r="B305" s="919"/>
      <c r="C305" s="920"/>
      <c r="D305" s="921"/>
      <c r="E305" s="922"/>
      <c r="F305" s="923"/>
      <c r="G305" s="919"/>
      <c r="H305" s="303"/>
      <c r="I305" s="303"/>
      <c r="J305" s="303"/>
      <c r="K305" s="303"/>
      <c r="L305" s="303"/>
      <c r="M305" s="303"/>
      <c r="N305" s="303"/>
      <c r="O305" s="303"/>
      <c r="P305" s="217"/>
      <c r="Q305" s="348"/>
      <c r="R305" s="348"/>
      <c r="S305" s="348"/>
      <c r="T305" s="348"/>
      <c r="U305" s="348"/>
      <c r="V305" s="348"/>
      <c r="W305" s="217"/>
      <c r="X305" s="313"/>
      <c r="Y305" s="313"/>
      <c r="Z305" s="313"/>
      <c r="AA305" s="602"/>
      <c r="AB305" s="313"/>
      <c r="AC305" s="313"/>
      <c r="AD305" s="313"/>
      <c r="AE305" s="313"/>
      <c r="AF305" s="313"/>
      <c r="AG305" s="313"/>
      <c r="AH305" s="313"/>
      <c r="AI305" s="217"/>
      <c r="AJ305" s="318"/>
      <c r="AK305" s="318"/>
      <c r="AL305" s="318"/>
      <c r="AM305" s="318"/>
      <c r="AN305" s="318"/>
      <c r="AO305" s="318"/>
      <c r="AP305" s="318"/>
      <c r="AQ305" s="318"/>
      <c r="AR305" s="318"/>
      <c r="AS305" s="318"/>
      <c r="AT305" s="374"/>
      <c r="AU305" s="318"/>
      <c r="AV305" s="318"/>
      <c r="AW305" s="318"/>
      <c r="AX305" s="318"/>
      <c r="AY305" s="318"/>
      <c r="AZ305" s="217"/>
      <c r="BA305" s="322"/>
      <c r="BB305" s="322"/>
      <c r="BC305" s="322"/>
      <c r="BD305" s="322"/>
      <c r="BE305" s="322"/>
      <c r="BF305" s="217"/>
      <c r="BG305" s="328"/>
      <c r="BH305" s="328"/>
      <c r="BI305" s="328"/>
      <c r="BJ305" s="918"/>
      <c r="BK305" s="328"/>
      <c r="BL305" s="328"/>
      <c r="BM305" s="328"/>
      <c r="BN305" s="217"/>
      <c r="BO305" s="336"/>
      <c r="BP305" s="333"/>
      <c r="BQ305" s="336"/>
      <c r="BR305" s="336"/>
      <c r="BS305" s="336"/>
      <c r="BT305" s="336"/>
      <c r="BU305" s="336"/>
      <c r="BV305" s="336"/>
      <c r="BW305" s="336"/>
      <c r="BX305" s="217"/>
      <c r="BY305" s="341"/>
      <c r="BZ305" s="341"/>
      <c r="CA305" s="342"/>
      <c r="CB305" s="342"/>
      <c r="CC305" s="342"/>
      <c r="CD305" s="341"/>
      <c r="CE305" s="341"/>
      <c r="CF305" s="341"/>
      <c r="CG305" s="341"/>
      <c r="CH305" s="341"/>
      <c r="CI305" s="341"/>
      <c r="CJ305" s="342"/>
      <c r="CK305" s="342"/>
    </row>
    <row r="306">
      <c r="A306" s="667"/>
      <c r="B306" s="919"/>
      <c r="C306" s="920"/>
      <c r="D306" s="921"/>
      <c r="E306" s="922"/>
      <c r="F306" s="923"/>
      <c r="G306" s="919"/>
      <c r="H306" s="303"/>
      <c r="I306" s="303"/>
      <c r="J306" s="303"/>
      <c r="K306" s="303"/>
      <c r="L306" s="303"/>
      <c r="M306" s="303"/>
      <c r="N306" s="303"/>
      <c r="O306" s="303"/>
      <c r="P306" s="217"/>
      <c r="Q306" s="348"/>
      <c r="R306" s="348"/>
      <c r="S306" s="348"/>
      <c r="T306" s="348"/>
      <c r="U306" s="348"/>
      <c r="V306" s="348"/>
      <c r="W306" s="217"/>
      <c r="X306" s="313"/>
      <c r="Y306" s="313"/>
      <c r="Z306" s="313"/>
      <c r="AA306" s="602"/>
      <c r="AB306" s="313"/>
      <c r="AC306" s="313"/>
      <c r="AD306" s="313"/>
      <c r="AE306" s="313"/>
      <c r="AF306" s="313"/>
      <c r="AG306" s="313"/>
      <c r="AH306" s="313"/>
      <c r="AI306" s="217"/>
      <c r="AJ306" s="318"/>
      <c r="AK306" s="318"/>
      <c r="AL306" s="318"/>
      <c r="AM306" s="318"/>
      <c r="AN306" s="318"/>
      <c r="AO306" s="318"/>
      <c r="AP306" s="318"/>
      <c r="AQ306" s="318"/>
      <c r="AR306" s="318"/>
      <c r="AS306" s="318"/>
      <c r="AT306" s="374"/>
      <c r="AU306" s="318"/>
      <c r="AV306" s="318"/>
      <c r="AW306" s="318"/>
      <c r="AX306" s="318"/>
      <c r="AY306" s="318"/>
      <c r="AZ306" s="217"/>
      <c r="BA306" s="322"/>
      <c r="BB306" s="322"/>
      <c r="BC306" s="322"/>
      <c r="BD306" s="322"/>
      <c r="BE306" s="322"/>
      <c r="BF306" s="217"/>
      <c r="BG306" s="328"/>
      <c r="BH306" s="328"/>
      <c r="BI306" s="328"/>
      <c r="BJ306" s="918"/>
      <c r="BK306" s="328"/>
      <c r="BL306" s="328"/>
      <c r="BM306" s="328"/>
      <c r="BN306" s="217"/>
      <c r="BO306" s="336"/>
      <c r="BP306" s="333"/>
      <c r="BQ306" s="336"/>
      <c r="BR306" s="336"/>
      <c r="BS306" s="336"/>
      <c r="BT306" s="336"/>
      <c r="BU306" s="336"/>
      <c r="BV306" s="336"/>
      <c r="BW306" s="336"/>
      <c r="BX306" s="217"/>
      <c r="BY306" s="341"/>
      <c r="BZ306" s="341"/>
      <c r="CA306" s="342"/>
      <c r="CB306" s="342"/>
      <c r="CC306" s="342"/>
      <c r="CD306" s="341"/>
      <c r="CE306" s="341"/>
      <c r="CF306" s="341"/>
      <c r="CG306" s="341"/>
      <c r="CH306" s="341"/>
      <c r="CI306" s="341"/>
      <c r="CJ306" s="342"/>
      <c r="CK306" s="342"/>
    </row>
    <row r="307">
      <c r="A307" s="667"/>
      <c r="B307" s="919"/>
      <c r="C307" s="920"/>
      <c r="D307" s="921"/>
      <c r="E307" s="922"/>
      <c r="F307" s="923"/>
      <c r="G307" s="919"/>
      <c r="H307" s="303"/>
      <c r="I307" s="303"/>
      <c r="J307" s="303"/>
      <c r="K307" s="303"/>
      <c r="L307" s="303"/>
      <c r="M307" s="303"/>
      <c r="N307" s="303"/>
      <c r="O307" s="303"/>
      <c r="P307" s="217"/>
      <c r="Q307" s="348"/>
      <c r="R307" s="348"/>
      <c r="S307" s="348"/>
      <c r="T307" s="348"/>
      <c r="U307" s="348"/>
      <c r="V307" s="348"/>
      <c r="W307" s="217"/>
      <c r="X307" s="313"/>
      <c r="Y307" s="313"/>
      <c r="Z307" s="313"/>
      <c r="AA307" s="602"/>
      <c r="AB307" s="313"/>
      <c r="AC307" s="313"/>
      <c r="AD307" s="313"/>
      <c r="AE307" s="313"/>
      <c r="AF307" s="313"/>
      <c r="AG307" s="313"/>
      <c r="AH307" s="313"/>
      <c r="AI307" s="217"/>
      <c r="AJ307" s="318"/>
      <c r="AK307" s="318"/>
      <c r="AL307" s="318"/>
      <c r="AM307" s="318"/>
      <c r="AN307" s="318"/>
      <c r="AO307" s="318"/>
      <c r="AP307" s="318"/>
      <c r="AQ307" s="318"/>
      <c r="AR307" s="318"/>
      <c r="AS307" s="318"/>
      <c r="AT307" s="374"/>
      <c r="AU307" s="318"/>
      <c r="AV307" s="318"/>
      <c r="AW307" s="318"/>
      <c r="AX307" s="318"/>
      <c r="AY307" s="318"/>
      <c r="AZ307" s="217"/>
      <c r="BA307" s="322"/>
      <c r="BB307" s="322"/>
      <c r="BC307" s="322"/>
      <c r="BD307" s="322"/>
      <c r="BE307" s="322"/>
      <c r="BF307" s="217"/>
      <c r="BG307" s="328"/>
      <c r="BH307" s="328"/>
      <c r="BI307" s="328"/>
      <c r="BJ307" s="918"/>
      <c r="BK307" s="328"/>
      <c r="BL307" s="328"/>
      <c r="BM307" s="328"/>
      <c r="BN307" s="217"/>
      <c r="BO307" s="336"/>
      <c r="BP307" s="333"/>
      <c r="BQ307" s="336"/>
      <c r="BR307" s="336"/>
      <c r="BS307" s="336"/>
      <c r="BT307" s="336"/>
      <c r="BU307" s="336"/>
      <c r="BV307" s="336"/>
      <c r="BW307" s="336"/>
      <c r="BX307" s="217"/>
      <c r="BY307" s="341"/>
      <c r="BZ307" s="341"/>
      <c r="CA307" s="342"/>
      <c r="CB307" s="342"/>
      <c r="CC307" s="342"/>
      <c r="CD307" s="341"/>
      <c r="CE307" s="341"/>
      <c r="CF307" s="341"/>
      <c r="CG307" s="341"/>
      <c r="CH307" s="341"/>
      <c r="CI307" s="341"/>
      <c r="CJ307" s="342"/>
      <c r="CK307" s="342"/>
    </row>
    <row r="308">
      <c r="A308" s="667"/>
      <c r="B308" s="919"/>
      <c r="C308" s="920"/>
      <c r="D308" s="921"/>
      <c r="E308" s="922"/>
      <c r="F308" s="923"/>
      <c r="G308" s="919"/>
      <c r="H308" s="303"/>
      <c r="I308" s="303"/>
      <c r="J308" s="303"/>
      <c r="K308" s="303"/>
      <c r="L308" s="303"/>
      <c r="M308" s="303"/>
      <c r="N308" s="303"/>
      <c r="O308" s="303"/>
      <c r="P308" s="217"/>
      <c r="Q308" s="348"/>
      <c r="R308" s="348"/>
      <c r="S308" s="348"/>
      <c r="T308" s="348"/>
      <c r="U308" s="348"/>
      <c r="V308" s="348"/>
      <c r="W308" s="217"/>
      <c r="X308" s="313"/>
      <c r="Y308" s="313"/>
      <c r="Z308" s="313"/>
      <c r="AA308" s="602"/>
      <c r="AB308" s="313"/>
      <c r="AC308" s="313"/>
      <c r="AD308" s="313"/>
      <c r="AE308" s="313"/>
      <c r="AF308" s="313"/>
      <c r="AG308" s="313"/>
      <c r="AH308" s="313"/>
      <c r="AI308" s="217"/>
      <c r="AJ308" s="318"/>
      <c r="AK308" s="318"/>
      <c r="AL308" s="318"/>
      <c r="AM308" s="318"/>
      <c r="AN308" s="318"/>
      <c r="AO308" s="318"/>
      <c r="AP308" s="318"/>
      <c r="AQ308" s="318"/>
      <c r="AR308" s="318"/>
      <c r="AS308" s="318"/>
      <c r="AT308" s="374"/>
      <c r="AU308" s="318"/>
      <c r="AV308" s="318"/>
      <c r="AW308" s="318"/>
      <c r="AX308" s="318"/>
      <c r="AY308" s="318"/>
      <c r="AZ308" s="217"/>
      <c r="BA308" s="322"/>
      <c r="BB308" s="322"/>
      <c r="BC308" s="322"/>
      <c r="BD308" s="322"/>
      <c r="BE308" s="322"/>
      <c r="BF308" s="217"/>
      <c r="BG308" s="328"/>
      <c r="BH308" s="328"/>
      <c r="BI308" s="328"/>
      <c r="BJ308" s="918"/>
      <c r="BK308" s="328"/>
      <c r="BL308" s="328"/>
      <c r="BM308" s="328"/>
      <c r="BN308" s="217"/>
      <c r="BO308" s="336"/>
      <c r="BP308" s="333"/>
      <c r="BQ308" s="336"/>
      <c r="BR308" s="336"/>
      <c r="BS308" s="336"/>
      <c r="BT308" s="336"/>
      <c r="BU308" s="336"/>
      <c r="BV308" s="336"/>
      <c r="BW308" s="336"/>
      <c r="BX308" s="217"/>
      <c r="BY308" s="341"/>
      <c r="BZ308" s="341"/>
      <c r="CA308" s="342"/>
      <c r="CB308" s="342"/>
      <c r="CC308" s="342"/>
      <c r="CD308" s="341"/>
      <c r="CE308" s="341"/>
      <c r="CF308" s="341"/>
      <c r="CG308" s="341"/>
      <c r="CH308" s="341"/>
      <c r="CI308" s="341"/>
      <c r="CJ308" s="342"/>
      <c r="CK308" s="342"/>
    </row>
    <row r="309">
      <c r="A309" s="667"/>
      <c r="B309" s="919"/>
      <c r="C309" s="920"/>
      <c r="D309" s="921"/>
      <c r="E309" s="922"/>
      <c r="F309" s="923"/>
      <c r="G309" s="919"/>
      <c r="H309" s="303"/>
      <c r="I309" s="303"/>
      <c r="J309" s="303"/>
      <c r="K309" s="303"/>
      <c r="L309" s="303"/>
      <c r="M309" s="303"/>
      <c r="N309" s="303"/>
      <c r="O309" s="303"/>
      <c r="P309" s="217"/>
      <c r="Q309" s="348"/>
      <c r="R309" s="348"/>
      <c r="S309" s="348"/>
      <c r="T309" s="348"/>
      <c r="U309" s="348"/>
      <c r="V309" s="348"/>
      <c r="W309" s="217"/>
      <c r="X309" s="313"/>
      <c r="Y309" s="313"/>
      <c r="Z309" s="313"/>
      <c r="AA309" s="602"/>
      <c r="AB309" s="313"/>
      <c r="AC309" s="313"/>
      <c r="AD309" s="313"/>
      <c r="AE309" s="313"/>
      <c r="AF309" s="313"/>
      <c r="AG309" s="313"/>
      <c r="AH309" s="313"/>
      <c r="AI309" s="217"/>
      <c r="AJ309" s="318"/>
      <c r="AK309" s="318"/>
      <c r="AL309" s="318"/>
      <c r="AM309" s="318"/>
      <c r="AN309" s="318"/>
      <c r="AO309" s="318"/>
      <c r="AP309" s="318"/>
      <c r="AQ309" s="318"/>
      <c r="AR309" s="318"/>
      <c r="AS309" s="318"/>
      <c r="AT309" s="374"/>
      <c r="AU309" s="318"/>
      <c r="AV309" s="318"/>
      <c r="AW309" s="318"/>
      <c r="AX309" s="318"/>
      <c r="AY309" s="318"/>
      <c r="AZ309" s="217"/>
      <c r="BA309" s="322"/>
      <c r="BB309" s="322"/>
      <c r="BC309" s="322"/>
      <c r="BD309" s="322"/>
      <c r="BE309" s="322"/>
      <c r="BF309" s="217"/>
      <c r="BG309" s="328"/>
      <c r="BH309" s="328"/>
      <c r="BI309" s="328"/>
      <c r="BJ309" s="918"/>
      <c r="BK309" s="328"/>
      <c r="BL309" s="328"/>
      <c r="BM309" s="328"/>
      <c r="BN309" s="217"/>
      <c r="BO309" s="336"/>
      <c r="BP309" s="333"/>
      <c r="BQ309" s="336"/>
      <c r="BR309" s="336"/>
      <c r="BS309" s="336"/>
      <c r="BT309" s="336"/>
      <c r="BU309" s="336"/>
      <c r="BV309" s="336"/>
      <c r="BW309" s="336"/>
      <c r="BX309" s="217"/>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112</v>
      </c>
      <c r="C1" s="32" t="s">
        <v>10</v>
      </c>
      <c r="F1" s="32" t="s">
        <v>56</v>
      </c>
      <c r="H1" s="55" t="s">
        <v>85</v>
      </c>
      <c r="K1" s="57" t="s">
        <v>96</v>
      </c>
      <c r="O1" s="37" t="s">
        <v>129</v>
      </c>
      <c r="R1" s="40" t="s">
        <v>107</v>
      </c>
      <c r="U1" s="59" t="s">
        <v>108</v>
      </c>
      <c r="X1" s="45" t="s">
        <v>130</v>
      </c>
      <c r="AA1" s="46" t="s">
        <v>131</v>
      </c>
      <c r="AD1" s="61" t="s">
        <v>111</v>
      </c>
      <c r="AG1" s="63"/>
      <c r="AH1" s="63"/>
    </row>
    <row r="2" ht="38.25" customHeight="1">
      <c r="A2" s="48" t="s">
        <v>34</v>
      </c>
      <c r="B2" s="49" t="s">
        <v>113</v>
      </c>
      <c r="C2" s="49" t="s">
        <v>114</v>
      </c>
      <c r="F2" s="49" t="s">
        <v>132</v>
      </c>
      <c r="H2" s="69" t="s">
        <v>133</v>
      </c>
      <c r="I2" s="70"/>
      <c r="J2" s="70"/>
      <c r="K2" s="71" t="s">
        <v>134</v>
      </c>
      <c r="L2" s="73" t="s">
        <v>136</v>
      </c>
      <c r="M2" s="71" t="s">
        <v>138</v>
      </c>
      <c r="N2" s="71" t="s">
        <v>140</v>
      </c>
      <c r="O2" s="75" t="s">
        <v>142</v>
      </c>
      <c r="P2" s="75" t="s">
        <v>145</v>
      </c>
      <c r="Q2" s="75"/>
      <c r="R2" s="78" t="s">
        <v>117</v>
      </c>
      <c r="S2" s="78" t="s">
        <v>150</v>
      </c>
      <c r="T2" s="78"/>
      <c r="U2" s="80" t="s">
        <v>126</v>
      </c>
      <c r="V2" s="80" t="s">
        <v>119</v>
      </c>
      <c r="W2" s="80" t="s">
        <v>154</v>
      </c>
      <c r="X2" s="82" t="s">
        <v>122</v>
      </c>
      <c r="Y2" s="82"/>
      <c r="Z2" s="82"/>
      <c r="AA2" s="84" t="s">
        <v>128</v>
      </c>
      <c r="AB2" s="86" t="s">
        <v>159</v>
      </c>
      <c r="AC2" s="84"/>
      <c r="AD2" s="87" t="s">
        <v>163</v>
      </c>
      <c r="AE2" s="87"/>
      <c r="AF2" s="87"/>
      <c r="AG2" s="91"/>
      <c r="AH2" s="91"/>
    </row>
    <row r="3">
      <c r="A3" s="93" t="s">
        <v>168</v>
      </c>
      <c r="B3" s="95" t="s">
        <v>169</v>
      </c>
      <c r="C3" s="97" t="s">
        <v>171</v>
      </c>
      <c r="D3" s="99" t="s">
        <v>171</v>
      </c>
      <c r="E3" s="101" t="s">
        <v>171</v>
      </c>
      <c r="F3" s="102" t="s">
        <v>176</v>
      </c>
      <c r="G3" s="95" t="s">
        <v>178</v>
      </c>
      <c r="H3" s="104"/>
      <c r="I3" s="105"/>
      <c r="J3" s="106"/>
      <c r="K3" s="104"/>
      <c r="L3" s="107" t="s">
        <v>185</v>
      </c>
      <c r="M3" s="107" t="s">
        <v>186</v>
      </c>
      <c r="N3" s="107" t="s">
        <v>188</v>
      </c>
      <c r="O3" s="104"/>
      <c r="P3" s="104"/>
      <c r="Q3" s="104"/>
      <c r="R3" s="116" t="s">
        <v>192</v>
      </c>
      <c r="S3" s="104"/>
      <c r="T3" s="104"/>
      <c r="U3" s="121" t="s">
        <v>211</v>
      </c>
      <c r="V3" s="122"/>
      <c r="W3" s="122"/>
      <c r="X3" s="126" t="s">
        <v>218</v>
      </c>
      <c r="Y3" s="122"/>
      <c r="Z3" s="122"/>
      <c r="AA3" s="131" t="s">
        <v>224</v>
      </c>
      <c r="AB3" s="122"/>
      <c r="AC3" s="104"/>
      <c r="AD3" s="122"/>
      <c r="AE3" s="122"/>
      <c r="AF3" s="122"/>
      <c r="AG3" s="133"/>
      <c r="AH3" s="133"/>
    </row>
    <row r="4">
      <c r="A4" s="136" t="s">
        <v>228</v>
      </c>
      <c r="B4" s="95" t="s">
        <v>231</v>
      </c>
      <c r="C4" s="97" t="s">
        <v>171</v>
      </c>
      <c r="D4" s="99" t="s">
        <v>171</v>
      </c>
      <c r="E4" s="101" t="s">
        <v>233</v>
      </c>
      <c r="F4" s="102" t="s">
        <v>176</v>
      </c>
      <c r="G4" s="95" t="s">
        <v>176</v>
      </c>
      <c r="H4" s="137"/>
      <c r="I4" s="138"/>
      <c r="J4" s="140"/>
      <c r="K4" s="143"/>
      <c r="L4" s="104"/>
      <c r="M4" s="104"/>
      <c r="N4" s="104"/>
      <c r="O4" s="104"/>
      <c r="P4" s="104"/>
      <c r="Q4" s="104"/>
      <c r="R4" s="126" t="s">
        <v>240</v>
      </c>
      <c r="S4" s="137"/>
      <c r="T4" s="137"/>
      <c r="U4" s="150" t="s">
        <v>249</v>
      </c>
      <c r="V4" s="122"/>
      <c r="W4" s="122"/>
      <c r="X4" s="150" t="s">
        <v>256</v>
      </c>
      <c r="Y4" s="122"/>
      <c r="Z4" s="122"/>
      <c r="AA4" s="153" t="s">
        <v>262</v>
      </c>
      <c r="AB4" s="122"/>
      <c r="AC4" s="104"/>
      <c r="AD4" s="122"/>
      <c r="AE4" s="122"/>
      <c r="AF4" s="122"/>
      <c r="AG4" s="133"/>
      <c r="AH4" s="133"/>
    </row>
    <row r="5">
      <c r="A5" s="136" t="s">
        <v>59</v>
      </c>
      <c r="B5" s="95" t="s">
        <v>270</v>
      </c>
      <c r="C5" s="97" t="s">
        <v>271</v>
      </c>
      <c r="D5" s="99" t="s">
        <v>171</v>
      </c>
      <c r="E5" s="101" t="s">
        <v>271</v>
      </c>
      <c r="F5" s="102" t="s">
        <v>274</v>
      </c>
      <c r="G5" s="95" t="s">
        <v>203</v>
      </c>
      <c r="H5" s="104"/>
      <c r="I5" s="105"/>
      <c r="J5" s="106"/>
      <c r="K5" s="104"/>
      <c r="L5" s="104"/>
      <c r="M5" s="104"/>
      <c r="N5" s="104"/>
      <c r="O5" s="104"/>
      <c r="P5" s="104"/>
      <c r="Q5" s="104"/>
      <c r="R5" s="121" t="s">
        <v>279</v>
      </c>
      <c r="S5" s="159" t="s">
        <v>283</v>
      </c>
      <c r="T5" s="104"/>
      <c r="U5" s="131" t="s">
        <v>287</v>
      </c>
      <c r="V5" s="122"/>
      <c r="W5" s="122"/>
      <c r="X5" s="131" t="s">
        <v>295</v>
      </c>
      <c r="Y5" s="122"/>
      <c r="Z5" s="122"/>
      <c r="AA5" s="162" t="s">
        <v>300</v>
      </c>
      <c r="AB5" s="122"/>
      <c r="AC5" s="104"/>
      <c r="AD5" s="122"/>
      <c r="AE5" s="122"/>
      <c r="AF5" s="122"/>
      <c r="AG5" s="133"/>
      <c r="AH5" s="133"/>
    </row>
    <row r="6">
      <c r="A6" s="136" t="s">
        <v>303</v>
      </c>
      <c r="B6" s="95" t="s">
        <v>270</v>
      </c>
      <c r="C6" s="97" t="s">
        <v>171</v>
      </c>
      <c r="D6" s="99" t="s">
        <v>171</v>
      </c>
      <c r="E6" s="101" t="s">
        <v>271</v>
      </c>
      <c r="F6" s="102" t="s">
        <v>274</v>
      </c>
      <c r="G6" s="95" t="s">
        <v>274</v>
      </c>
      <c r="H6" s="104"/>
      <c r="I6" s="105"/>
      <c r="J6" s="140"/>
      <c r="K6" s="104"/>
      <c r="L6" s="104"/>
      <c r="M6" s="104"/>
      <c r="N6" s="104"/>
      <c r="O6" s="104"/>
      <c r="P6" s="104"/>
      <c r="Q6" s="104"/>
      <c r="R6" s="122"/>
      <c r="S6" s="104"/>
      <c r="T6" s="104"/>
      <c r="U6" s="166" t="s">
        <v>306</v>
      </c>
      <c r="V6" s="105"/>
      <c r="W6" s="167" t="s">
        <v>315</v>
      </c>
      <c r="X6" s="104"/>
      <c r="Y6" s="122"/>
      <c r="Z6" s="122"/>
      <c r="AA6" s="104"/>
      <c r="AB6" s="122"/>
      <c r="AC6" s="104"/>
      <c r="AD6" s="131" t="s">
        <v>322</v>
      </c>
      <c r="AE6" s="122"/>
      <c r="AF6" s="122"/>
      <c r="AG6" s="133"/>
      <c r="AH6" s="133"/>
    </row>
    <row r="7">
      <c r="A7" s="136" t="s">
        <v>39</v>
      </c>
      <c r="B7" s="95" t="s">
        <v>270</v>
      </c>
      <c r="C7" s="97" t="s">
        <v>171</v>
      </c>
      <c r="D7" s="99" t="s">
        <v>233</v>
      </c>
      <c r="E7" s="101" t="s">
        <v>171</v>
      </c>
      <c r="F7" s="102" t="s">
        <v>176</v>
      </c>
      <c r="G7" s="95" t="s">
        <v>176</v>
      </c>
      <c r="H7" s="104"/>
      <c r="I7" s="105"/>
      <c r="J7" s="106"/>
      <c r="K7" s="121" t="s">
        <v>335</v>
      </c>
      <c r="L7" s="116" t="s">
        <v>342</v>
      </c>
      <c r="M7" s="104"/>
      <c r="N7" s="104"/>
      <c r="O7" s="104"/>
      <c r="P7" s="121" t="s">
        <v>350</v>
      </c>
      <c r="Q7" s="104"/>
      <c r="R7" s="122"/>
      <c r="S7" s="104"/>
      <c r="T7" s="104"/>
      <c r="U7" s="122"/>
      <c r="V7" s="122"/>
      <c r="W7" s="122"/>
      <c r="X7" s="126" t="s">
        <v>218</v>
      </c>
      <c r="Y7" s="122"/>
      <c r="Z7" s="122"/>
      <c r="AA7" s="104"/>
      <c r="AB7" s="122"/>
      <c r="AC7" s="104"/>
      <c r="AD7" s="122"/>
      <c r="AE7" s="122"/>
      <c r="AF7" s="122"/>
      <c r="AG7" s="133"/>
      <c r="AH7" s="133"/>
    </row>
    <row r="8">
      <c r="A8" s="136" t="s">
        <v>49</v>
      </c>
      <c r="B8" s="95" t="s">
        <v>361</v>
      </c>
      <c r="C8" s="97" t="s">
        <v>233</v>
      </c>
      <c r="D8" s="99" t="s">
        <v>171</v>
      </c>
      <c r="E8" s="101" t="s">
        <v>271</v>
      </c>
      <c r="F8" s="102" t="s">
        <v>274</v>
      </c>
      <c r="G8" s="95" t="s">
        <v>274</v>
      </c>
      <c r="H8" s="104"/>
      <c r="I8" s="105"/>
      <c r="J8" s="106"/>
      <c r="K8" s="137"/>
      <c r="L8" s="137"/>
      <c r="M8" s="137"/>
      <c r="N8" s="107"/>
      <c r="O8" s="185"/>
      <c r="P8" s="104"/>
      <c r="Q8" s="104"/>
      <c r="R8" s="122"/>
      <c r="S8" s="121" t="s">
        <v>366</v>
      </c>
      <c r="T8" s="104"/>
      <c r="U8" s="122"/>
      <c r="V8" s="122"/>
      <c r="W8" s="122"/>
      <c r="X8" s="104"/>
      <c r="Y8" s="122"/>
      <c r="Z8" s="122"/>
      <c r="AA8" s="126" t="s">
        <v>379</v>
      </c>
      <c r="AB8" s="126" t="s">
        <v>387</v>
      </c>
      <c r="AC8" s="104"/>
      <c r="AD8" s="122"/>
      <c r="AE8" s="122"/>
      <c r="AF8" s="122"/>
      <c r="AG8" s="133"/>
      <c r="AH8" s="133"/>
    </row>
    <row r="9">
      <c r="A9" s="193" t="s">
        <v>393</v>
      </c>
      <c r="B9" s="95" t="s">
        <v>394</v>
      </c>
      <c r="C9" s="97" t="s">
        <v>271</v>
      </c>
      <c r="D9" s="99" t="s">
        <v>271</v>
      </c>
      <c r="E9" s="101" t="s">
        <v>271</v>
      </c>
      <c r="F9" s="102" t="s">
        <v>176</v>
      </c>
      <c r="G9" s="95" t="s">
        <v>176</v>
      </c>
      <c r="H9" s="137"/>
      <c r="I9" s="138"/>
      <c r="J9" s="140"/>
      <c r="K9" s="143"/>
      <c r="L9" s="143"/>
      <c r="M9" s="143"/>
      <c r="N9" s="198"/>
      <c r="O9" s="198"/>
      <c r="P9" s="198"/>
      <c r="Q9" s="198"/>
      <c r="R9" s="131" t="s">
        <v>402</v>
      </c>
      <c r="S9" s="137"/>
      <c r="T9" s="137"/>
      <c r="U9" s="209" t="s">
        <v>409</v>
      </c>
      <c r="V9" s="122"/>
      <c r="W9" s="122"/>
      <c r="X9" s="209" t="s">
        <v>430</v>
      </c>
      <c r="Y9" s="213"/>
      <c r="Z9" s="213"/>
      <c r="AA9" s="209" t="s">
        <v>447</v>
      </c>
      <c r="AB9" s="213"/>
      <c r="AC9" s="198"/>
      <c r="AD9" s="122"/>
      <c r="AE9" s="213"/>
      <c r="AF9" s="213"/>
      <c r="AG9" s="218"/>
      <c r="AH9" s="218"/>
    </row>
    <row r="10">
      <c r="A10" s="136" t="s">
        <v>466</v>
      </c>
      <c r="B10" s="95" t="s">
        <v>394</v>
      </c>
      <c r="C10" s="97" t="s">
        <v>274</v>
      </c>
      <c r="D10" s="99" t="s">
        <v>271</v>
      </c>
      <c r="E10" s="101" t="s">
        <v>271</v>
      </c>
      <c r="F10" s="102" t="s">
        <v>274</v>
      </c>
      <c r="G10" s="95" t="s">
        <v>274</v>
      </c>
      <c r="H10" s="104"/>
      <c r="I10" s="105"/>
      <c r="J10" s="106"/>
      <c r="K10" s="126" t="s">
        <v>475</v>
      </c>
      <c r="L10" s="126" t="s">
        <v>492</v>
      </c>
      <c r="M10" s="126" t="s">
        <v>509</v>
      </c>
      <c r="N10" s="104"/>
      <c r="O10" s="104"/>
      <c r="P10" s="104"/>
      <c r="Q10" s="104"/>
      <c r="R10" s="122"/>
      <c r="S10" s="104"/>
      <c r="T10" s="104"/>
      <c r="U10" s="122"/>
      <c r="V10" s="122"/>
      <c r="W10" s="122"/>
      <c r="X10" s="104"/>
      <c r="Y10" s="122"/>
      <c r="Z10" s="122"/>
      <c r="AA10" s="236"/>
      <c r="AB10" s="122"/>
      <c r="AC10" s="104"/>
      <c r="AD10" s="122"/>
      <c r="AE10" s="122"/>
      <c r="AF10" s="122"/>
      <c r="AG10" s="133"/>
      <c r="AH10" s="133"/>
    </row>
    <row r="11">
      <c r="A11" s="240" t="s">
        <v>536</v>
      </c>
      <c r="B11" s="95" t="s">
        <v>178</v>
      </c>
      <c r="C11" s="97" t="s">
        <v>271</v>
      </c>
      <c r="D11" s="99" t="s">
        <v>171</v>
      </c>
      <c r="E11" s="101" t="s">
        <v>271</v>
      </c>
      <c r="F11" s="102" t="s">
        <v>233</v>
      </c>
      <c r="G11" s="95" t="s">
        <v>233</v>
      </c>
      <c r="H11" s="241"/>
      <c r="I11" s="105"/>
      <c r="J11" s="106"/>
      <c r="K11" s="104"/>
      <c r="L11" s="104"/>
      <c r="M11" s="104"/>
      <c r="N11" s="104"/>
      <c r="O11" s="104"/>
      <c r="P11" s="104"/>
      <c r="Q11" s="104"/>
      <c r="R11" s="242"/>
      <c r="S11" s="241"/>
      <c r="T11" s="241"/>
      <c r="U11" s="243"/>
      <c r="V11" s="105"/>
      <c r="W11" s="121" t="s">
        <v>555</v>
      </c>
      <c r="X11" s="104"/>
      <c r="Y11" s="122"/>
      <c r="Z11" s="122"/>
      <c r="AA11" s="104"/>
      <c r="AB11" s="122"/>
      <c r="AC11" s="104"/>
      <c r="AD11" s="121" t="s">
        <v>570</v>
      </c>
      <c r="AE11" s="122"/>
      <c r="AF11" s="122"/>
      <c r="AG11" s="133"/>
      <c r="AH11" s="133"/>
    </row>
    <row r="12">
      <c r="A12" s="136" t="s">
        <v>52</v>
      </c>
      <c r="B12" s="95" t="s">
        <v>178</v>
      </c>
      <c r="C12" s="97" t="s">
        <v>271</v>
      </c>
      <c r="D12" s="99" t="s">
        <v>271</v>
      </c>
      <c r="E12" s="101" t="s">
        <v>171</v>
      </c>
      <c r="F12" s="102" t="s">
        <v>233</v>
      </c>
      <c r="G12" s="95" t="s">
        <v>233</v>
      </c>
      <c r="H12" s="104"/>
      <c r="I12" s="105"/>
      <c r="J12" s="106"/>
      <c r="K12" s="104"/>
      <c r="L12" s="131" t="s">
        <v>347</v>
      </c>
      <c r="M12" s="104"/>
      <c r="N12" s="104"/>
      <c r="O12" s="104"/>
      <c r="P12" s="104"/>
      <c r="Q12" s="104"/>
      <c r="R12" s="122"/>
      <c r="S12" s="104"/>
      <c r="T12" s="104"/>
      <c r="U12" s="122"/>
      <c r="V12" s="122"/>
      <c r="W12" s="122"/>
      <c r="X12" s="104"/>
      <c r="Y12" s="122"/>
      <c r="Z12" s="122"/>
      <c r="AA12" s="116" t="s">
        <v>590</v>
      </c>
      <c r="AB12" s="122"/>
      <c r="AC12" s="104"/>
      <c r="AD12" s="122"/>
      <c r="AE12" s="122"/>
      <c r="AF12" s="122"/>
      <c r="AG12" s="133"/>
      <c r="AH12" s="133"/>
    </row>
    <row r="13">
      <c r="A13" s="240" t="s">
        <v>599</v>
      </c>
      <c r="B13" s="95" t="s">
        <v>399</v>
      </c>
      <c r="C13" s="97" t="s">
        <v>171</v>
      </c>
      <c r="D13" s="99" t="s">
        <v>271</v>
      </c>
      <c r="E13" s="101" t="s">
        <v>271</v>
      </c>
      <c r="F13" s="102" t="s">
        <v>171</v>
      </c>
      <c r="G13" s="95" t="s">
        <v>171</v>
      </c>
      <c r="H13" s="104"/>
      <c r="I13" s="105"/>
      <c r="J13" s="106"/>
      <c r="K13" s="104"/>
      <c r="L13" s="104"/>
      <c r="M13" s="104"/>
      <c r="N13" s="104"/>
      <c r="O13" s="104"/>
      <c r="P13" s="104"/>
      <c r="Q13" s="104"/>
      <c r="R13" s="122"/>
      <c r="S13" s="104"/>
      <c r="T13" s="104"/>
      <c r="U13" s="122"/>
      <c r="V13" s="105"/>
      <c r="W13" s="122"/>
      <c r="X13" s="104"/>
      <c r="Y13" s="122"/>
      <c r="Z13" s="122"/>
      <c r="AA13" s="104"/>
      <c r="AB13" s="122"/>
      <c r="AC13" s="104"/>
      <c r="AD13" s="269" t="s">
        <v>610</v>
      </c>
      <c r="AE13" s="122"/>
      <c r="AF13" s="122"/>
      <c r="AG13" s="133"/>
      <c r="AH13" s="133"/>
    </row>
    <row r="14">
      <c r="A14" s="193" t="s">
        <v>619</v>
      </c>
      <c r="B14" s="95" t="s">
        <v>399</v>
      </c>
      <c r="C14" s="97" t="s">
        <v>171</v>
      </c>
      <c r="D14" s="99" t="s">
        <v>271</v>
      </c>
      <c r="E14" s="101" t="s">
        <v>271</v>
      </c>
      <c r="F14" s="102" t="s">
        <v>171</v>
      </c>
      <c r="G14" s="95" t="s">
        <v>171</v>
      </c>
      <c r="H14" s="104"/>
      <c r="I14" s="105"/>
      <c r="J14" s="106"/>
      <c r="K14" s="104"/>
      <c r="L14" s="104"/>
      <c r="M14" s="104"/>
      <c r="N14" s="104"/>
      <c r="O14" s="104"/>
      <c r="P14" s="104"/>
      <c r="Q14" s="104"/>
      <c r="R14" s="122"/>
      <c r="S14" s="104"/>
      <c r="T14" s="104"/>
      <c r="U14" s="243"/>
      <c r="V14" s="122"/>
      <c r="W14" s="131" t="s">
        <v>624</v>
      </c>
      <c r="X14" s="104"/>
      <c r="Y14" s="122"/>
      <c r="Z14" s="122"/>
      <c r="AA14" s="104"/>
      <c r="AB14" s="122"/>
      <c r="AC14" s="104"/>
      <c r="AD14" s="122"/>
      <c r="AE14" s="122"/>
      <c r="AF14" s="122"/>
      <c r="AG14" s="133"/>
      <c r="AH14" s="133"/>
    </row>
    <row r="15">
      <c r="A15" s="136" t="s">
        <v>629</v>
      </c>
      <c r="B15" s="95" t="s">
        <v>203</v>
      </c>
      <c r="C15" s="97" t="s">
        <v>171</v>
      </c>
      <c r="D15" s="99" t="s">
        <v>271</v>
      </c>
      <c r="E15" s="101" t="s">
        <v>271</v>
      </c>
      <c r="F15" s="102" t="s">
        <v>171</v>
      </c>
      <c r="G15" s="95" t="s">
        <v>171</v>
      </c>
      <c r="H15" s="104"/>
      <c r="I15" s="105"/>
      <c r="J15" s="106"/>
      <c r="K15" s="104"/>
      <c r="L15" s="126" t="s">
        <v>492</v>
      </c>
      <c r="M15" s="104"/>
      <c r="N15" s="104"/>
      <c r="O15" s="104"/>
      <c r="P15" s="104"/>
      <c r="Q15" s="104"/>
      <c r="R15" s="122"/>
      <c r="S15" s="104"/>
      <c r="T15" s="104"/>
      <c r="U15" s="122"/>
      <c r="V15" s="122"/>
      <c r="W15" s="122"/>
      <c r="X15" s="104"/>
      <c r="Y15" s="122"/>
      <c r="Z15" s="122"/>
      <c r="AA15" s="104"/>
      <c r="AB15" s="122"/>
      <c r="AC15" s="104"/>
      <c r="AD15" s="122"/>
      <c r="AE15" s="122"/>
      <c r="AF15" s="122"/>
      <c r="AG15" s="133"/>
      <c r="AH15" s="133"/>
    </row>
    <row r="16">
      <c r="A16" s="136" t="s">
        <v>643</v>
      </c>
      <c r="B16" s="95" t="s">
        <v>176</v>
      </c>
      <c r="C16" s="97" t="s">
        <v>271</v>
      </c>
      <c r="D16" s="99" t="s">
        <v>271</v>
      </c>
      <c r="E16" s="101" t="s">
        <v>171</v>
      </c>
      <c r="F16" s="102" t="s">
        <v>171</v>
      </c>
      <c r="G16" s="95" t="s">
        <v>171</v>
      </c>
      <c r="H16" s="104"/>
      <c r="I16" s="105"/>
      <c r="J16" s="106"/>
      <c r="K16" s="137"/>
      <c r="L16" s="107"/>
      <c r="M16" s="107"/>
      <c r="N16" s="185"/>
      <c r="O16" s="104"/>
      <c r="P16" s="104"/>
      <c r="Q16" s="104"/>
      <c r="R16" s="122"/>
      <c r="S16" s="104"/>
      <c r="T16" s="104"/>
      <c r="U16" s="122"/>
      <c r="V16" s="105"/>
      <c r="W16" s="122"/>
      <c r="X16" s="104"/>
      <c r="Y16" s="122"/>
      <c r="Z16" s="122"/>
      <c r="AA16" s="104"/>
      <c r="AB16" s="122"/>
      <c r="AC16" s="104"/>
      <c r="AD16" s="116" t="s">
        <v>652</v>
      </c>
      <c r="AE16" s="122"/>
      <c r="AF16" s="122"/>
      <c r="AG16" s="133"/>
      <c r="AH16" s="133"/>
    </row>
    <row r="17">
      <c r="A17" s="136" t="s">
        <v>91</v>
      </c>
      <c r="B17" s="95" t="s">
        <v>176</v>
      </c>
      <c r="C17" s="97" t="s">
        <v>271</v>
      </c>
      <c r="D17" s="99" t="s">
        <v>271</v>
      </c>
      <c r="E17" s="101" t="s">
        <v>171</v>
      </c>
      <c r="F17" s="102" t="s">
        <v>171</v>
      </c>
      <c r="G17" s="95" t="s">
        <v>171</v>
      </c>
      <c r="H17" s="104"/>
      <c r="I17" s="105"/>
      <c r="J17" s="106"/>
      <c r="K17" s="104"/>
      <c r="L17" s="104"/>
      <c r="M17" s="104"/>
      <c r="N17" s="104"/>
      <c r="O17" s="104"/>
      <c r="P17" s="104"/>
      <c r="Q17" s="104"/>
      <c r="R17" s="122"/>
      <c r="S17" s="104"/>
      <c r="T17" s="104"/>
      <c r="U17" s="243"/>
      <c r="V17" s="105"/>
      <c r="W17" s="131" t="s">
        <v>659</v>
      </c>
      <c r="X17" s="104"/>
      <c r="Y17" s="122"/>
      <c r="Z17" s="122"/>
      <c r="AA17" s="104"/>
      <c r="AB17" s="122"/>
      <c r="AC17" s="104"/>
      <c r="AD17" s="122"/>
      <c r="AE17" s="122"/>
      <c r="AF17" s="122"/>
      <c r="AG17" s="133"/>
      <c r="AH17" s="133"/>
    </row>
    <row r="18">
      <c r="A18" s="136" t="s">
        <v>661</v>
      </c>
      <c r="B18" s="95" t="s">
        <v>176</v>
      </c>
      <c r="C18" s="97" t="s">
        <v>171</v>
      </c>
      <c r="D18" s="99" t="s">
        <v>271</v>
      </c>
      <c r="E18" s="101" t="s">
        <v>271</v>
      </c>
      <c r="F18" s="102" t="s">
        <v>171</v>
      </c>
      <c r="G18" s="95" t="s">
        <v>171</v>
      </c>
      <c r="H18" s="104"/>
      <c r="I18" s="105"/>
      <c r="J18" s="106"/>
      <c r="K18" s="104"/>
      <c r="L18" s="104"/>
      <c r="M18" s="104"/>
      <c r="N18" s="104"/>
      <c r="O18" s="104"/>
      <c r="P18" s="104"/>
      <c r="Q18" s="104"/>
      <c r="R18" s="122"/>
      <c r="S18" s="126" t="s">
        <v>662</v>
      </c>
      <c r="T18" s="104"/>
      <c r="U18" s="122"/>
      <c r="V18" s="122"/>
      <c r="W18" s="122"/>
      <c r="X18" s="104"/>
      <c r="Y18" s="122"/>
      <c r="Z18" s="122"/>
      <c r="AA18" s="104"/>
      <c r="AB18" s="122"/>
      <c r="AC18" s="104"/>
      <c r="AD18" s="122"/>
      <c r="AE18" s="122"/>
      <c r="AF18" s="122"/>
      <c r="AG18" s="133"/>
      <c r="AH18" s="133"/>
    </row>
    <row r="19">
      <c r="A19" s="193" t="s">
        <v>89</v>
      </c>
      <c r="B19" s="95" t="s">
        <v>274</v>
      </c>
      <c r="C19" s="97" t="s">
        <v>271</v>
      </c>
      <c r="D19" s="99" t="s">
        <v>271</v>
      </c>
      <c r="E19" s="101" t="s">
        <v>271</v>
      </c>
      <c r="F19" s="102" t="s">
        <v>274</v>
      </c>
      <c r="G19" s="95" t="s">
        <v>274</v>
      </c>
      <c r="H19" s="137"/>
      <c r="I19" s="140"/>
      <c r="J19" s="140"/>
      <c r="K19" s="143"/>
      <c r="L19" s="143"/>
      <c r="M19" s="143"/>
      <c r="N19" s="143"/>
      <c r="O19" s="143"/>
      <c r="P19" s="143"/>
      <c r="Q19" s="143"/>
      <c r="R19" s="131" t="s">
        <v>669</v>
      </c>
      <c r="S19" s="137"/>
      <c r="T19" s="137"/>
      <c r="U19" s="209" t="s">
        <v>673</v>
      </c>
      <c r="V19" s="104"/>
      <c r="W19" s="104"/>
      <c r="X19" s="209" t="s">
        <v>680</v>
      </c>
      <c r="Y19" s="143"/>
      <c r="Z19" s="143"/>
      <c r="AA19" s="198"/>
      <c r="AB19" s="143"/>
      <c r="AC19" s="143"/>
      <c r="AD19" s="107"/>
      <c r="AE19" s="295"/>
      <c r="AF19" s="295"/>
      <c r="AG19" s="296"/>
      <c r="AH19" s="297"/>
    </row>
    <row r="20">
      <c r="A20" s="240" t="s">
        <v>687</v>
      </c>
      <c r="B20" s="95" t="s">
        <v>274</v>
      </c>
      <c r="C20" s="97" t="s">
        <v>271</v>
      </c>
      <c r="D20" s="99" t="s">
        <v>271</v>
      </c>
      <c r="E20" s="101" t="s">
        <v>271</v>
      </c>
      <c r="F20" s="102" t="s">
        <v>171</v>
      </c>
      <c r="G20" s="95" t="s">
        <v>171</v>
      </c>
      <c r="H20" s="104"/>
      <c r="I20" s="105"/>
      <c r="J20" s="106"/>
      <c r="K20" s="104"/>
      <c r="L20" s="137"/>
      <c r="M20" s="137"/>
      <c r="N20" s="137"/>
      <c r="O20" s="137"/>
      <c r="P20" s="104"/>
      <c r="Q20" s="104"/>
      <c r="R20" s="122"/>
      <c r="S20" s="104"/>
      <c r="T20" s="104"/>
      <c r="U20" s="122"/>
      <c r="V20" s="105"/>
      <c r="W20" s="122"/>
      <c r="X20" s="104"/>
      <c r="Y20" s="122"/>
      <c r="Z20" s="122"/>
      <c r="AA20" s="104"/>
      <c r="AB20" s="162"/>
      <c r="AC20" s="104"/>
      <c r="AD20" s="167" t="s">
        <v>691</v>
      </c>
      <c r="AE20" s="122"/>
      <c r="AF20" s="122"/>
      <c r="AG20" s="133"/>
      <c r="AH20" s="133"/>
    </row>
    <row r="21">
      <c r="A21" s="240" t="s">
        <v>697</v>
      </c>
      <c r="B21" s="95" t="s">
        <v>274</v>
      </c>
      <c r="C21" s="97" t="s">
        <v>271</v>
      </c>
      <c r="D21" s="99" t="s">
        <v>271</v>
      </c>
      <c r="E21" s="101" t="s">
        <v>271</v>
      </c>
      <c r="F21" s="102" t="s">
        <v>171</v>
      </c>
      <c r="G21" s="95" t="s">
        <v>171</v>
      </c>
      <c r="H21" s="104"/>
      <c r="I21" s="105"/>
      <c r="J21" s="140"/>
      <c r="K21" s="137"/>
      <c r="L21" s="107"/>
      <c r="M21" s="107"/>
      <c r="N21" s="185"/>
      <c r="O21" s="104"/>
      <c r="P21" s="104"/>
      <c r="Q21" s="104"/>
      <c r="R21" s="122"/>
      <c r="S21" s="104"/>
      <c r="T21" s="104"/>
      <c r="U21" s="243"/>
      <c r="V21" s="105"/>
      <c r="W21" s="116" t="s">
        <v>702</v>
      </c>
      <c r="X21" s="104"/>
      <c r="Y21" s="122"/>
      <c r="Z21" s="122"/>
      <c r="AA21" s="104"/>
      <c r="AB21" s="122"/>
      <c r="AC21" s="104"/>
      <c r="AD21" s="122"/>
      <c r="AE21" s="122"/>
      <c r="AF21" s="122"/>
      <c r="AG21" s="133"/>
      <c r="AH21" s="133"/>
    </row>
    <row r="22">
      <c r="A22" s="136" t="s">
        <v>75</v>
      </c>
      <c r="B22" s="95" t="s">
        <v>274</v>
      </c>
      <c r="C22" s="97" t="s">
        <v>171</v>
      </c>
      <c r="D22" s="99" t="s">
        <v>271</v>
      </c>
      <c r="E22" s="101" t="s">
        <v>271</v>
      </c>
      <c r="F22" s="102" t="s">
        <v>171</v>
      </c>
      <c r="G22" s="95" t="s">
        <v>171</v>
      </c>
      <c r="H22" s="104"/>
      <c r="I22" s="105"/>
      <c r="J22" s="106"/>
      <c r="K22" s="104"/>
      <c r="L22" s="104"/>
      <c r="M22" s="104"/>
      <c r="N22" s="104"/>
      <c r="O22" s="104"/>
      <c r="P22" s="104"/>
      <c r="Q22" s="104"/>
      <c r="R22" s="122"/>
      <c r="S22" s="104"/>
      <c r="T22" s="104"/>
      <c r="U22" s="122"/>
      <c r="V22" s="105"/>
      <c r="W22" s="122"/>
      <c r="X22" s="104"/>
      <c r="Y22" s="122"/>
      <c r="Z22" s="122"/>
      <c r="AA22" s="104"/>
      <c r="AB22" s="122"/>
      <c r="AC22" s="104"/>
      <c r="AD22" s="167" t="s">
        <v>709</v>
      </c>
      <c r="AE22" s="122"/>
      <c r="AF22" s="122"/>
      <c r="AG22" s="133"/>
      <c r="AH22" s="133"/>
    </row>
    <row r="23">
      <c r="A23" s="136" t="s">
        <v>43</v>
      </c>
      <c r="B23" s="95" t="s">
        <v>233</v>
      </c>
      <c r="C23" s="97" t="s">
        <v>271</v>
      </c>
      <c r="D23" s="99" t="s">
        <v>271</v>
      </c>
      <c r="E23" s="101" t="s">
        <v>271</v>
      </c>
      <c r="F23" s="102" t="s">
        <v>171</v>
      </c>
      <c r="G23" s="95" t="s">
        <v>171</v>
      </c>
      <c r="H23" s="104"/>
      <c r="I23" s="105"/>
      <c r="J23" s="106"/>
      <c r="K23" s="104"/>
      <c r="L23" s="104"/>
      <c r="M23" s="104"/>
      <c r="N23" s="104"/>
      <c r="O23" s="104"/>
      <c r="P23" s="104"/>
      <c r="Q23" s="104"/>
      <c r="R23" s="122"/>
      <c r="S23" s="116" t="s">
        <v>529</v>
      </c>
      <c r="T23" s="104"/>
      <c r="U23" s="122"/>
      <c r="V23" s="122"/>
      <c r="W23" s="122"/>
      <c r="X23" s="104"/>
      <c r="Y23" s="122"/>
      <c r="Z23" s="122"/>
      <c r="AA23" s="104"/>
      <c r="AB23" s="122"/>
      <c r="AC23" s="104"/>
      <c r="AD23" s="122"/>
      <c r="AE23" s="122"/>
      <c r="AF23" s="122"/>
      <c r="AG23" s="133"/>
      <c r="AH23" s="133"/>
    </row>
    <row r="24">
      <c r="A24" s="136" t="s">
        <v>67</v>
      </c>
      <c r="B24" s="95" t="s">
        <v>233</v>
      </c>
      <c r="C24" s="97" t="s">
        <v>271</v>
      </c>
      <c r="D24" s="99" t="s">
        <v>271</v>
      </c>
      <c r="E24" s="101" t="s">
        <v>171</v>
      </c>
      <c r="F24" s="102" t="s">
        <v>171</v>
      </c>
      <c r="G24" s="95" t="s">
        <v>171</v>
      </c>
      <c r="H24" s="241"/>
      <c r="I24" s="105"/>
      <c r="J24" s="106"/>
      <c r="K24" s="104"/>
      <c r="L24" s="104"/>
      <c r="M24" s="104"/>
      <c r="N24" s="104"/>
      <c r="O24" s="104"/>
      <c r="P24" s="104"/>
      <c r="Q24" s="104"/>
      <c r="R24" s="242"/>
      <c r="S24" s="241"/>
      <c r="T24" s="241"/>
      <c r="U24" s="306"/>
      <c r="V24" s="105"/>
      <c r="W24" s="166" t="s">
        <v>726</v>
      </c>
      <c r="X24" s="104"/>
      <c r="Y24" s="122"/>
      <c r="Z24" s="122"/>
      <c r="AA24" s="104"/>
      <c r="AB24" s="122"/>
      <c r="AC24" s="104"/>
      <c r="AD24" s="122"/>
      <c r="AE24" s="122"/>
      <c r="AF24" s="122"/>
      <c r="AG24" s="133"/>
      <c r="AH24" s="133"/>
    </row>
    <row r="25">
      <c r="A25" s="136" t="s">
        <v>731</v>
      </c>
      <c r="B25" s="95" t="s">
        <v>171</v>
      </c>
      <c r="C25" s="97" t="s">
        <v>271</v>
      </c>
      <c r="D25" s="99" t="s">
        <v>271</v>
      </c>
      <c r="E25" s="101" t="s">
        <v>271</v>
      </c>
      <c r="F25" s="102" t="s">
        <v>171</v>
      </c>
      <c r="G25" s="95" t="s">
        <v>171</v>
      </c>
      <c r="H25" s="104"/>
      <c r="I25" s="105"/>
      <c r="J25" s="106"/>
      <c r="K25" s="104"/>
      <c r="L25" s="104"/>
      <c r="M25" s="104"/>
      <c r="N25" s="104"/>
      <c r="O25" s="104"/>
      <c r="P25" s="104"/>
      <c r="Q25" s="104"/>
      <c r="R25" s="122"/>
      <c r="S25" s="104"/>
      <c r="T25" s="104"/>
      <c r="U25" s="122"/>
      <c r="V25" s="126" t="s">
        <v>733</v>
      </c>
      <c r="W25" s="122"/>
      <c r="X25" s="104"/>
      <c r="Y25" s="122"/>
      <c r="Z25" s="122"/>
      <c r="AA25" s="104"/>
      <c r="AB25" s="122"/>
      <c r="AC25" s="104"/>
      <c r="AD25" s="122"/>
      <c r="AE25" s="122"/>
      <c r="AF25" s="122"/>
      <c r="AG25" s="133"/>
      <c r="AH25" s="133"/>
    </row>
    <row r="26">
      <c r="A26" s="309" t="s">
        <v>737</v>
      </c>
      <c r="B26" s="95" t="s">
        <v>171</v>
      </c>
      <c r="C26" s="97" t="s">
        <v>171</v>
      </c>
      <c r="D26" s="99" t="s">
        <v>271</v>
      </c>
      <c r="E26" s="101" t="s">
        <v>271</v>
      </c>
      <c r="F26" s="102" t="s">
        <v>171</v>
      </c>
      <c r="G26" s="95" t="s">
        <v>171</v>
      </c>
      <c r="H26" s="104"/>
      <c r="I26" s="105"/>
      <c r="J26" s="106"/>
      <c r="K26" s="104"/>
      <c r="L26" s="104"/>
      <c r="M26" s="104"/>
      <c r="N26" s="104"/>
      <c r="O26" s="104"/>
      <c r="P26" s="116" t="s">
        <v>740</v>
      </c>
      <c r="Q26" s="104"/>
      <c r="R26" s="122"/>
      <c r="S26" s="104"/>
      <c r="T26" s="104"/>
      <c r="U26" s="122"/>
      <c r="V26" s="122"/>
      <c r="W26" s="122"/>
      <c r="X26" s="104"/>
      <c r="Y26" s="122"/>
      <c r="Z26" s="122"/>
      <c r="AA26" s="104"/>
      <c r="AB26" s="122"/>
      <c r="AC26" s="104"/>
      <c r="AD26" s="122"/>
      <c r="AE26" s="122"/>
      <c r="AF26" s="122"/>
      <c r="AG26" s="133"/>
      <c r="AH26" s="133"/>
    </row>
    <row r="27">
      <c r="A27" s="310" t="s">
        <v>745</v>
      </c>
      <c r="B27" s="95" t="s">
        <v>171</v>
      </c>
      <c r="C27" s="97" t="s">
        <v>271</v>
      </c>
      <c r="D27" s="99" t="s">
        <v>271</v>
      </c>
      <c r="E27" s="101" t="s">
        <v>171</v>
      </c>
      <c r="F27" s="102" t="s">
        <v>171</v>
      </c>
      <c r="G27" s="95" t="s">
        <v>171</v>
      </c>
      <c r="H27" s="104"/>
      <c r="I27" s="105"/>
      <c r="J27" s="106"/>
      <c r="K27" s="104"/>
      <c r="L27" s="131" t="s">
        <v>747</v>
      </c>
      <c r="M27" s="104"/>
      <c r="N27" s="104"/>
      <c r="O27" s="104"/>
      <c r="P27" s="104"/>
      <c r="Q27" s="104"/>
      <c r="R27" s="122"/>
      <c r="S27" s="104"/>
      <c r="T27" s="104"/>
      <c r="U27" s="122"/>
      <c r="V27" s="122"/>
      <c r="W27" s="122"/>
      <c r="X27" s="104"/>
      <c r="Y27" s="122"/>
      <c r="Z27" s="122"/>
      <c r="AA27" s="104"/>
      <c r="AB27" s="122"/>
      <c r="AC27" s="104"/>
      <c r="AD27" s="122"/>
      <c r="AE27" s="122"/>
      <c r="AF27" s="122"/>
      <c r="AG27" s="133"/>
      <c r="AH27" s="133"/>
    </row>
    <row r="28">
      <c r="A28" s="193" t="s">
        <v>753</v>
      </c>
      <c r="B28" s="95" t="s">
        <v>171</v>
      </c>
      <c r="C28" s="97" t="s">
        <v>271</v>
      </c>
      <c r="D28" s="99" t="s">
        <v>271</v>
      </c>
      <c r="E28" s="101" t="s">
        <v>271</v>
      </c>
      <c r="F28" s="102" t="s">
        <v>171</v>
      </c>
      <c r="G28" s="95" t="s">
        <v>171</v>
      </c>
      <c r="H28" s="104"/>
      <c r="I28" s="105"/>
      <c r="J28" s="106"/>
      <c r="K28" s="104"/>
      <c r="L28" s="104"/>
      <c r="M28" s="104"/>
      <c r="N28" s="104"/>
      <c r="O28" s="137"/>
      <c r="P28" s="104"/>
      <c r="Q28" s="104"/>
      <c r="R28" s="122"/>
      <c r="S28" s="104"/>
      <c r="T28" s="104"/>
      <c r="U28" s="122"/>
      <c r="V28" s="122"/>
      <c r="W28" s="122"/>
      <c r="X28" s="104"/>
      <c r="Y28" s="122"/>
      <c r="Z28" s="122"/>
      <c r="AA28" s="104"/>
      <c r="AB28" s="122"/>
      <c r="AC28" s="104"/>
      <c r="AD28" s="122"/>
      <c r="AE28" s="122"/>
      <c r="AF28" s="122"/>
      <c r="AG28" s="133"/>
      <c r="AH28" s="133"/>
    </row>
    <row r="29">
      <c r="A29" s="136"/>
      <c r="B29" s="95" t="s">
        <v>271</v>
      </c>
      <c r="C29" s="97" t="s">
        <v>271</v>
      </c>
      <c r="D29" s="99" t="s">
        <v>271</v>
      </c>
      <c r="E29" s="101" t="s">
        <v>271</v>
      </c>
      <c r="F29" s="102" t="s">
        <v>271</v>
      </c>
      <c r="G29" s="95" t="s">
        <v>271</v>
      </c>
      <c r="H29" s="104"/>
      <c r="I29" s="105"/>
      <c r="J29" s="106"/>
      <c r="K29" s="104"/>
      <c r="L29" s="104"/>
      <c r="M29" s="104"/>
      <c r="N29" s="104"/>
      <c r="O29" s="104"/>
      <c r="P29" s="104"/>
      <c r="Q29" s="104"/>
      <c r="R29" s="122"/>
      <c r="S29" s="104"/>
      <c r="T29" s="104"/>
      <c r="U29" s="122"/>
      <c r="V29" s="122"/>
      <c r="W29" s="122"/>
      <c r="X29" s="104"/>
      <c r="Y29" s="122"/>
      <c r="Z29" s="122"/>
      <c r="AA29" s="104"/>
      <c r="AB29" s="122"/>
      <c r="AC29" s="104"/>
      <c r="AD29" s="122"/>
      <c r="AE29" s="122"/>
      <c r="AF29" s="122"/>
      <c r="AG29" s="133"/>
      <c r="AH29" s="133"/>
    </row>
    <row r="30">
      <c r="A30" s="136"/>
      <c r="B30" s="95" t="s">
        <v>271</v>
      </c>
      <c r="C30" s="97" t="s">
        <v>271</v>
      </c>
      <c r="D30" s="99" t="s">
        <v>271</v>
      </c>
      <c r="E30" s="101" t="s">
        <v>271</v>
      </c>
      <c r="F30" s="102" t="s">
        <v>271</v>
      </c>
      <c r="G30" s="95" t="s">
        <v>271</v>
      </c>
      <c r="H30" s="104"/>
      <c r="I30" s="105"/>
      <c r="J30" s="106"/>
      <c r="K30" s="104"/>
      <c r="L30" s="104"/>
      <c r="M30" s="104"/>
      <c r="N30" s="104"/>
      <c r="O30" s="104"/>
      <c r="P30" s="104"/>
      <c r="Q30" s="104"/>
      <c r="R30" s="122"/>
      <c r="S30" s="104"/>
      <c r="T30" s="104"/>
      <c r="U30" s="122"/>
      <c r="V30" s="122"/>
      <c r="W30" s="122"/>
      <c r="X30" s="104"/>
      <c r="Y30" s="122"/>
      <c r="Z30" s="122"/>
      <c r="AA30" s="104"/>
      <c r="AB30" s="122"/>
      <c r="AC30" s="104"/>
      <c r="AD30" s="122"/>
      <c r="AE30" s="122"/>
      <c r="AF30" s="122"/>
      <c r="AG30" s="133"/>
      <c r="AH30" s="133"/>
    </row>
    <row r="31">
      <c r="A31" s="136"/>
      <c r="B31" s="95" t="s">
        <v>271</v>
      </c>
      <c r="C31" s="97" t="s">
        <v>271</v>
      </c>
      <c r="D31" s="99" t="s">
        <v>271</v>
      </c>
      <c r="E31" s="101" t="s">
        <v>271</v>
      </c>
      <c r="F31" s="102" t="s">
        <v>271</v>
      </c>
      <c r="G31" s="95" t="s">
        <v>271</v>
      </c>
      <c r="H31" s="104"/>
      <c r="I31" s="105"/>
      <c r="J31" s="106"/>
      <c r="K31" s="104"/>
      <c r="L31" s="104"/>
      <c r="M31" s="104"/>
      <c r="N31" s="104"/>
      <c r="O31" s="104"/>
      <c r="P31" s="104"/>
      <c r="Q31" s="104"/>
      <c r="R31" s="122"/>
      <c r="S31" s="104"/>
      <c r="T31" s="104"/>
      <c r="U31" s="122"/>
      <c r="V31" s="122"/>
      <c r="W31" s="122"/>
      <c r="X31" s="104"/>
      <c r="Y31" s="122"/>
      <c r="Z31" s="122"/>
      <c r="AA31" s="104"/>
      <c r="AB31" s="122"/>
      <c r="AC31" s="104"/>
      <c r="AD31" s="122"/>
      <c r="AE31" s="122"/>
      <c r="AF31" s="122"/>
      <c r="AG31" s="133"/>
      <c r="AH31" s="133"/>
    </row>
    <row r="32">
      <c r="A32" s="136"/>
      <c r="B32" s="95" t="s">
        <v>271</v>
      </c>
      <c r="C32" s="97" t="s">
        <v>271</v>
      </c>
      <c r="D32" s="99" t="s">
        <v>271</v>
      </c>
      <c r="E32" s="101" t="s">
        <v>271</v>
      </c>
      <c r="F32" s="102" t="s">
        <v>271</v>
      </c>
      <c r="G32" s="95" t="s">
        <v>271</v>
      </c>
      <c r="H32" s="104"/>
      <c r="I32" s="105"/>
      <c r="J32" s="106"/>
      <c r="K32" s="104"/>
      <c r="L32" s="104"/>
      <c r="M32" s="104"/>
      <c r="N32" s="104"/>
      <c r="O32" s="104"/>
      <c r="P32" s="104"/>
      <c r="Q32" s="104"/>
      <c r="R32" s="122"/>
      <c r="S32" s="104"/>
      <c r="T32" s="104"/>
      <c r="U32" s="122"/>
      <c r="V32" s="122"/>
      <c r="W32" s="122"/>
      <c r="X32" s="104"/>
      <c r="Y32" s="122"/>
      <c r="Z32" s="122"/>
      <c r="AA32" s="104"/>
      <c r="AB32" s="122"/>
      <c r="AC32" s="104"/>
      <c r="AD32" s="122"/>
      <c r="AE32" s="122"/>
      <c r="AF32" s="122"/>
      <c r="AG32" s="133"/>
      <c r="AH32" s="133"/>
    </row>
    <row r="33">
      <c r="A33" s="136"/>
      <c r="B33" s="95" t="s">
        <v>271</v>
      </c>
      <c r="C33" s="97" t="s">
        <v>271</v>
      </c>
      <c r="D33" s="99" t="s">
        <v>271</v>
      </c>
      <c r="E33" s="101" t="s">
        <v>271</v>
      </c>
      <c r="F33" s="102" t="s">
        <v>271</v>
      </c>
      <c r="G33" s="95" t="s">
        <v>271</v>
      </c>
      <c r="H33" s="104"/>
      <c r="I33" s="105"/>
      <c r="J33" s="106"/>
      <c r="K33" s="104"/>
      <c r="L33" s="104"/>
      <c r="M33" s="104"/>
      <c r="N33" s="104"/>
      <c r="O33" s="104"/>
      <c r="P33" s="104"/>
      <c r="Q33" s="104"/>
      <c r="R33" s="122"/>
      <c r="S33" s="104"/>
      <c r="T33" s="104"/>
      <c r="U33" s="122"/>
      <c r="V33" s="122"/>
      <c r="W33" s="122"/>
      <c r="X33" s="104"/>
      <c r="Y33" s="122"/>
      <c r="Z33" s="122"/>
      <c r="AA33" s="104"/>
      <c r="AB33" s="122"/>
      <c r="AC33" s="104"/>
      <c r="AD33" s="122"/>
      <c r="AE33" s="122"/>
      <c r="AF33" s="122"/>
      <c r="AG33" s="133"/>
      <c r="AH33" s="133"/>
    </row>
    <row r="34">
      <c r="A34" s="136"/>
      <c r="B34" s="95" t="s">
        <v>271</v>
      </c>
      <c r="C34" s="97" t="s">
        <v>271</v>
      </c>
      <c r="D34" s="99" t="s">
        <v>271</v>
      </c>
      <c r="E34" s="101" t="s">
        <v>271</v>
      </c>
      <c r="F34" s="102" t="s">
        <v>271</v>
      </c>
      <c r="G34" s="95" t="s">
        <v>271</v>
      </c>
      <c r="H34" s="104"/>
      <c r="I34" s="105"/>
      <c r="J34" s="106"/>
      <c r="K34" s="104"/>
      <c r="L34" s="104"/>
      <c r="M34" s="104"/>
      <c r="N34" s="104"/>
      <c r="O34" s="104"/>
      <c r="P34" s="104"/>
      <c r="Q34" s="104"/>
      <c r="R34" s="122"/>
      <c r="S34" s="104"/>
      <c r="T34" s="104"/>
      <c r="U34" s="122"/>
      <c r="V34" s="122"/>
      <c r="W34" s="122"/>
      <c r="X34" s="104"/>
      <c r="Y34" s="122"/>
      <c r="Z34" s="122"/>
      <c r="AA34" s="104"/>
      <c r="AB34" s="122"/>
      <c r="AC34" s="104"/>
      <c r="AD34" s="122"/>
      <c r="AE34" s="122"/>
      <c r="AF34" s="122"/>
      <c r="AG34" s="133"/>
      <c r="AH34" s="133"/>
    </row>
    <row r="35">
      <c r="A35" s="136"/>
      <c r="B35" s="95" t="s">
        <v>271</v>
      </c>
      <c r="C35" s="97" t="s">
        <v>271</v>
      </c>
      <c r="D35" s="99" t="s">
        <v>271</v>
      </c>
      <c r="E35" s="101" t="s">
        <v>271</v>
      </c>
      <c r="F35" s="102" t="s">
        <v>271</v>
      </c>
      <c r="G35" s="95" t="s">
        <v>271</v>
      </c>
      <c r="H35" s="104"/>
      <c r="I35" s="105"/>
      <c r="J35" s="106"/>
      <c r="K35" s="104"/>
      <c r="L35" s="104"/>
      <c r="M35" s="104"/>
      <c r="N35" s="104"/>
      <c r="O35" s="104"/>
      <c r="P35" s="104"/>
      <c r="Q35" s="104"/>
      <c r="R35" s="122"/>
      <c r="S35" s="104"/>
      <c r="T35" s="104"/>
      <c r="U35" s="122"/>
      <c r="V35" s="122"/>
      <c r="W35" s="122"/>
      <c r="X35" s="104"/>
      <c r="Y35" s="122"/>
      <c r="Z35" s="122"/>
      <c r="AA35" s="104"/>
      <c r="AB35" s="122"/>
      <c r="AC35" s="104"/>
      <c r="AD35" s="122"/>
      <c r="AE35" s="122"/>
      <c r="AF35" s="122"/>
      <c r="AG35" s="133"/>
      <c r="AH35" s="133"/>
    </row>
    <row r="36">
      <c r="A36" s="136"/>
      <c r="B36" s="95" t="s">
        <v>271</v>
      </c>
      <c r="C36" s="97" t="s">
        <v>271</v>
      </c>
      <c r="D36" s="99" t="s">
        <v>271</v>
      </c>
      <c r="E36" s="101" t="s">
        <v>271</v>
      </c>
      <c r="F36" s="102" t="s">
        <v>271</v>
      </c>
      <c r="G36" s="95" t="s">
        <v>271</v>
      </c>
      <c r="H36" s="104"/>
      <c r="I36" s="105"/>
      <c r="J36" s="106"/>
      <c r="K36" s="104"/>
      <c r="L36" s="104"/>
      <c r="M36" s="104"/>
      <c r="N36" s="104"/>
      <c r="O36" s="104"/>
      <c r="P36" s="104"/>
      <c r="Q36" s="104"/>
      <c r="R36" s="122"/>
      <c r="S36" s="104"/>
      <c r="T36" s="104"/>
      <c r="U36" s="122"/>
      <c r="V36" s="122"/>
      <c r="W36" s="122"/>
      <c r="X36" s="104"/>
      <c r="Y36" s="122"/>
      <c r="Z36" s="122"/>
      <c r="AA36" s="104"/>
      <c r="AB36" s="122"/>
      <c r="AC36" s="104"/>
      <c r="AD36" s="122"/>
      <c r="AE36" s="122"/>
      <c r="AF36" s="122"/>
      <c r="AG36" s="133"/>
      <c r="AH36" s="133"/>
    </row>
    <row r="37">
      <c r="A37" s="136"/>
      <c r="B37" s="95" t="s">
        <v>271</v>
      </c>
      <c r="C37" s="97" t="s">
        <v>271</v>
      </c>
      <c r="D37" s="99" t="s">
        <v>271</v>
      </c>
      <c r="E37" s="101" t="s">
        <v>271</v>
      </c>
      <c r="F37" s="102" t="s">
        <v>271</v>
      </c>
      <c r="G37" s="95" t="s">
        <v>271</v>
      </c>
      <c r="H37" s="104"/>
      <c r="I37" s="105"/>
      <c r="J37" s="106"/>
      <c r="K37" s="104"/>
      <c r="L37" s="104"/>
      <c r="M37" s="104"/>
      <c r="N37" s="104"/>
      <c r="O37" s="104"/>
      <c r="P37" s="104"/>
      <c r="Q37" s="104"/>
      <c r="R37" s="122"/>
      <c r="S37" s="104"/>
      <c r="T37" s="104"/>
      <c r="U37" s="122"/>
      <c r="V37" s="122"/>
      <c r="W37" s="122"/>
      <c r="X37" s="104"/>
      <c r="Y37" s="122"/>
      <c r="Z37" s="122"/>
      <c r="AA37" s="104"/>
      <c r="AB37" s="122"/>
      <c r="AC37" s="104"/>
      <c r="AD37" s="122"/>
      <c r="AE37" s="122"/>
      <c r="AF37" s="122"/>
      <c r="AG37" s="133"/>
      <c r="AH37" s="133"/>
    </row>
    <row r="38">
      <c r="A38" s="136"/>
      <c r="B38" s="95" t="s">
        <v>271</v>
      </c>
      <c r="C38" s="97" t="s">
        <v>271</v>
      </c>
      <c r="D38" s="99" t="s">
        <v>271</v>
      </c>
      <c r="E38" s="101" t="s">
        <v>271</v>
      </c>
      <c r="F38" s="102" t="s">
        <v>271</v>
      </c>
      <c r="G38" s="95" t="s">
        <v>271</v>
      </c>
      <c r="H38" s="104"/>
      <c r="I38" s="105"/>
      <c r="J38" s="106"/>
      <c r="K38" s="104"/>
      <c r="L38" s="104"/>
      <c r="M38" s="104"/>
      <c r="N38" s="104"/>
      <c r="O38" s="104"/>
      <c r="P38" s="104"/>
      <c r="Q38" s="104"/>
      <c r="R38" s="122"/>
      <c r="S38" s="104"/>
      <c r="T38" s="104"/>
      <c r="U38" s="122"/>
      <c r="V38" s="122"/>
      <c r="W38" s="122"/>
      <c r="X38" s="104"/>
      <c r="Y38" s="122"/>
      <c r="Z38" s="122"/>
      <c r="AA38" s="104"/>
      <c r="AB38" s="122"/>
      <c r="AC38" s="104"/>
      <c r="AD38" s="122"/>
      <c r="AE38" s="122"/>
      <c r="AF38" s="122"/>
      <c r="AG38" s="133"/>
      <c r="AH38" s="133"/>
    </row>
    <row r="39">
      <c r="A39" s="136"/>
      <c r="B39" s="95" t="s">
        <v>271</v>
      </c>
      <c r="C39" s="97" t="s">
        <v>271</v>
      </c>
      <c r="D39" s="99" t="s">
        <v>271</v>
      </c>
      <c r="E39" s="101" t="s">
        <v>271</v>
      </c>
      <c r="F39" s="102" t="s">
        <v>271</v>
      </c>
      <c r="G39" s="95" t="s">
        <v>271</v>
      </c>
      <c r="H39" s="104"/>
      <c r="I39" s="105"/>
      <c r="J39" s="106"/>
      <c r="K39" s="104"/>
      <c r="L39" s="104"/>
      <c r="M39" s="104"/>
      <c r="N39" s="104"/>
      <c r="O39" s="104"/>
      <c r="P39" s="104"/>
      <c r="Q39" s="104"/>
      <c r="R39" s="122"/>
      <c r="S39" s="104"/>
      <c r="T39" s="104"/>
      <c r="U39" s="122"/>
      <c r="V39" s="122"/>
      <c r="W39" s="122"/>
      <c r="X39" s="104"/>
      <c r="Y39" s="122"/>
      <c r="Z39" s="122"/>
      <c r="AA39" s="104"/>
      <c r="AB39" s="122"/>
      <c r="AC39" s="104"/>
      <c r="AD39" s="122"/>
      <c r="AE39" s="122"/>
      <c r="AF39" s="122"/>
      <c r="AG39" s="133"/>
      <c r="AH39" s="133"/>
    </row>
    <row r="40">
      <c r="A40" s="136"/>
      <c r="B40" s="95" t="s">
        <v>271</v>
      </c>
      <c r="C40" s="97" t="s">
        <v>271</v>
      </c>
      <c r="D40" s="99" t="s">
        <v>271</v>
      </c>
      <c r="E40" s="101" t="s">
        <v>271</v>
      </c>
      <c r="F40" s="102" t="s">
        <v>271</v>
      </c>
      <c r="G40" s="95" t="s">
        <v>271</v>
      </c>
      <c r="H40" s="104"/>
      <c r="I40" s="105"/>
      <c r="J40" s="106"/>
      <c r="K40" s="104"/>
      <c r="L40" s="104"/>
      <c r="M40" s="104"/>
      <c r="N40" s="104"/>
      <c r="O40" s="104"/>
      <c r="P40" s="104"/>
      <c r="Q40" s="104"/>
      <c r="R40" s="122"/>
      <c r="S40" s="104"/>
      <c r="T40" s="104"/>
      <c r="U40" s="122"/>
      <c r="V40" s="122"/>
      <c r="W40" s="122"/>
      <c r="X40" s="104"/>
      <c r="Y40" s="122"/>
      <c r="Z40" s="122"/>
      <c r="AA40" s="104"/>
      <c r="AB40" s="122"/>
      <c r="AC40" s="104"/>
      <c r="AD40" s="122"/>
      <c r="AE40" s="122"/>
      <c r="AF40" s="122"/>
      <c r="AG40" s="133"/>
      <c r="AH40" s="133"/>
    </row>
    <row r="41">
      <c r="A41" s="136"/>
      <c r="B41" s="95" t="s">
        <v>271</v>
      </c>
      <c r="C41" s="97" t="s">
        <v>271</v>
      </c>
      <c r="D41" s="99" t="s">
        <v>271</v>
      </c>
      <c r="E41" s="101" t="s">
        <v>271</v>
      </c>
      <c r="F41" s="102" t="s">
        <v>271</v>
      </c>
      <c r="G41" s="95" t="s">
        <v>271</v>
      </c>
      <c r="H41" s="104"/>
      <c r="I41" s="105"/>
      <c r="J41" s="106"/>
      <c r="K41" s="104"/>
      <c r="L41" s="104"/>
      <c r="M41" s="104"/>
      <c r="N41" s="104"/>
      <c r="O41" s="104"/>
      <c r="P41" s="104"/>
      <c r="Q41" s="104"/>
      <c r="R41" s="122"/>
      <c r="S41" s="104"/>
      <c r="T41" s="104"/>
      <c r="U41" s="122"/>
      <c r="V41" s="122"/>
      <c r="W41" s="122"/>
      <c r="X41" s="104"/>
      <c r="Y41" s="122"/>
      <c r="Z41" s="122"/>
      <c r="AA41" s="104"/>
      <c r="AB41" s="122"/>
      <c r="AC41" s="104"/>
      <c r="AD41" s="122"/>
      <c r="AE41" s="122"/>
      <c r="AF41" s="122"/>
      <c r="AG41" s="133"/>
      <c r="AH41" s="133"/>
    </row>
    <row r="42">
      <c r="A42" s="136"/>
      <c r="B42" s="95" t="s">
        <v>271</v>
      </c>
      <c r="C42" s="97" t="s">
        <v>271</v>
      </c>
      <c r="D42" s="99" t="s">
        <v>271</v>
      </c>
      <c r="E42" s="101" t="s">
        <v>271</v>
      </c>
      <c r="F42" s="102" t="s">
        <v>271</v>
      </c>
      <c r="G42" s="95" t="s">
        <v>271</v>
      </c>
      <c r="H42" s="104"/>
      <c r="I42" s="105"/>
      <c r="J42" s="106"/>
      <c r="K42" s="104"/>
      <c r="L42" s="104"/>
      <c r="M42" s="104"/>
      <c r="N42" s="104"/>
      <c r="O42" s="104"/>
      <c r="P42" s="104"/>
      <c r="Q42" s="104"/>
      <c r="R42" s="122"/>
      <c r="S42" s="104"/>
      <c r="T42" s="104"/>
      <c r="U42" s="122"/>
      <c r="V42" s="122"/>
      <c r="W42" s="122"/>
      <c r="X42" s="104"/>
      <c r="Y42" s="122"/>
      <c r="Z42" s="122"/>
      <c r="AA42" s="104"/>
      <c r="AB42" s="122"/>
      <c r="AC42" s="104"/>
      <c r="AD42" s="122"/>
      <c r="AE42" s="122"/>
      <c r="AF42" s="122"/>
      <c r="AG42" s="133"/>
      <c r="AH42" s="133"/>
    </row>
    <row r="43">
      <c r="A43" s="136"/>
      <c r="B43" s="95" t="s">
        <v>271</v>
      </c>
      <c r="C43" s="97" t="s">
        <v>271</v>
      </c>
      <c r="D43" s="99" t="s">
        <v>271</v>
      </c>
      <c r="E43" s="101" t="s">
        <v>271</v>
      </c>
      <c r="F43" s="102" t="s">
        <v>271</v>
      </c>
      <c r="G43" s="95" t="s">
        <v>271</v>
      </c>
      <c r="H43" s="104"/>
      <c r="I43" s="105"/>
      <c r="J43" s="106"/>
      <c r="K43" s="104"/>
      <c r="L43" s="104"/>
      <c r="M43" s="104"/>
      <c r="N43" s="104"/>
      <c r="O43" s="104"/>
      <c r="P43" s="104"/>
      <c r="Q43" s="104"/>
      <c r="R43" s="122"/>
      <c r="S43" s="104"/>
      <c r="T43" s="104"/>
      <c r="U43" s="122"/>
      <c r="V43" s="122"/>
      <c r="W43" s="122"/>
      <c r="X43" s="104"/>
      <c r="Y43" s="122"/>
      <c r="Z43" s="122"/>
      <c r="AA43" s="104"/>
      <c r="AB43" s="122"/>
      <c r="AC43" s="104"/>
      <c r="AD43" s="122"/>
      <c r="AE43" s="122"/>
      <c r="AF43" s="122"/>
      <c r="AG43" s="133"/>
      <c r="AH43" s="133"/>
    </row>
    <row r="44">
      <c r="A44" s="136"/>
      <c r="B44" s="95" t="s">
        <v>271</v>
      </c>
      <c r="C44" s="97" t="s">
        <v>271</v>
      </c>
      <c r="D44" s="99" t="s">
        <v>271</v>
      </c>
      <c r="E44" s="101" t="s">
        <v>271</v>
      </c>
      <c r="F44" s="102" t="s">
        <v>271</v>
      </c>
      <c r="G44" s="95" t="s">
        <v>271</v>
      </c>
      <c r="H44" s="104"/>
      <c r="I44" s="105"/>
      <c r="J44" s="106"/>
      <c r="K44" s="104"/>
      <c r="L44" s="104"/>
      <c r="M44" s="104"/>
      <c r="N44" s="104"/>
      <c r="O44" s="104"/>
      <c r="P44" s="104"/>
      <c r="Q44" s="104"/>
      <c r="R44" s="122"/>
      <c r="S44" s="104"/>
      <c r="T44" s="104"/>
      <c r="U44" s="122"/>
      <c r="V44" s="122"/>
      <c r="W44" s="122"/>
      <c r="X44" s="104"/>
      <c r="Y44" s="122"/>
      <c r="Z44" s="122"/>
      <c r="AA44" s="104"/>
      <c r="AB44" s="122"/>
      <c r="AC44" s="104"/>
      <c r="AD44" s="122"/>
      <c r="AE44" s="122"/>
      <c r="AF44" s="122"/>
      <c r="AG44" s="133"/>
      <c r="AH44" s="133"/>
    </row>
    <row r="45">
      <c r="A45" s="136"/>
      <c r="B45" s="95" t="s">
        <v>271</v>
      </c>
      <c r="C45" s="97" t="s">
        <v>271</v>
      </c>
      <c r="D45" s="99" t="s">
        <v>271</v>
      </c>
      <c r="E45" s="101" t="s">
        <v>271</v>
      </c>
      <c r="F45" s="102" t="s">
        <v>271</v>
      </c>
      <c r="G45" s="95" t="s">
        <v>271</v>
      </c>
      <c r="H45" s="104"/>
      <c r="I45" s="105"/>
      <c r="J45" s="106"/>
      <c r="K45" s="104"/>
      <c r="L45" s="104"/>
      <c r="M45" s="104"/>
      <c r="N45" s="104"/>
      <c r="O45" s="104"/>
      <c r="P45" s="104"/>
      <c r="Q45" s="104"/>
      <c r="R45" s="122"/>
      <c r="S45" s="104"/>
      <c r="T45" s="104"/>
      <c r="U45" s="122"/>
      <c r="V45" s="122"/>
      <c r="W45" s="122"/>
      <c r="X45" s="104"/>
      <c r="Y45" s="122"/>
      <c r="Z45" s="122"/>
      <c r="AA45" s="104"/>
      <c r="AB45" s="122"/>
      <c r="AC45" s="104"/>
      <c r="AD45" s="122"/>
      <c r="AE45" s="122"/>
      <c r="AF45" s="122"/>
      <c r="AG45" s="133"/>
      <c r="AH45" s="133"/>
    </row>
    <row r="46">
      <c r="A46" s="136"/>
      <c r="B46" s="95" t="s">
        <v>271</v>
      </c>
      <c r="C46" s="97" t="s">
        <v>271</v>
      </c>
      <c r="D46" s="99" t="s">
        <v>271</v>
      </c>
      <c r="E46" s="101" t="s">
        <v>271</v>
      </c>
      <c r="F46" s="102" t="s">
        <v>271</v>
      </c>
      <c r="G46" s="95" t="s">
        <v>271</v>
      </c>
      <c r="H46" s="104"/>
      <c r="I46" s="105"/>
      <c r="J46" s="106"/>
      <c r="K46" s="104"/>
      <c r="L46" s="104"/>
      <c r="M46" s="104"/>
      <c r="N46" s="104"/>
      <c r="O46" s="104"/>
      <c r="P46" s="104"/>
      <c r="Q46" s="104"/>
      <c r="R46" s="122"/>
      <c r="S46" s="104"/>
      <c r="T46" s="104"/>
      <c r="U46" s="122"/>
      <c r="V46" s="122"/>
      <c r="W46" s="122"/>
      <c r="X46" s="104"/>
      <c r="Y46" s="122"/>
      <c r="Z46" s="122"/>
      <c r="AA46" s="104"/>
      <c r="AB46" s="122"/>
      <c r="AC46" s="104"/>
      <c r="AD46" s="122"/>
      <c r="AE46" s="122"/>
      <c r="AF46" s="122"/>
      <c r="AG46" s="133"/>
      <c r="AH46" s="133"/>
    </row>
    <row r="47">
      <c r="A47" s="136"/>
      <c r="B47" s="95" t="s">
        <v>271</v>
      </c>
      <c r="C47" s="97" t="s">
        <v>271</v>
      </c>
      <c r="D47" s="99" t="s">
        <v>271</v>
      </c>
      <c r="E47" s="101" t="s">
        <v>271</v>
      </c>
      <c r="F47" s="102" t="s">
        <v>271</v>
      </c>
      <c r="G47" s="95" t="s">
        <v>271</v>
      </c>
      <c r="H47" s="104"/>
      <c r="I47" s="105"/>
      <c r="J47" s="106"/>
      <c r="K47" s="104"/>
      <c r="L47" s="104"/>
      <c r="M47" s="104"/>
      <c r="N47" s="104"/>
      <c r="O47" s="104"/>
      <c r="P47" s="104"/>
      <c r="Q47" s="104"/>
      <c r="R47" s="122"/>
      <c r="S47" s="104"/>
      <c r="T47" s="104"/>
      <c r="U47" s="122"/>
      <c r="V47" s="122"/>
      <c r="W47" s="122"/>
      <c r="X47" s="104"/>
      <c r="Y47" s="122"/>
      <c r="Z47" s="122"/>
      <c r="AA47" s="104"/>
      <c r="AB47" s="122"/>
      <c r="AC47" s="104"/>
      <c r="AD47" s="122"/>
      <c r="AE47" s="122"/>
      <c r="AF47" s="122"/>
      <c r="AG47" s="133"/>
      <c r="AH47" s="133"/>
    </row>
    <row r="48">
      <c r="A48" s="136"/>
      <c r="B48" s="95" t="s">
        <v>271</v>
      </c>
      <c r="C48" s="97" t="s">
        <v>271</v>
      </c>
      <c r="D48" s="99" t="s">
        <v>271</v>
      </c>
      <c r="E48" s="101" t="s">
        <v>271</v>
      </c>
      <c r="F48" s="102" t="s">
        <v>271</v>
      </c>
      <c r="G48" s="95" t="s">
        <v>271</v>
      </c>
      <c r="H48" s="104"/>
      <c r="I48" s="105"/>
      <c r="J48" s="106"/>
      <c r="K48" s="104"/>
      <c r="L48" s="104"/>
      <c r="M48" s="104"/>
      <c r="N48" s="104"/>
      <c r="O48" s="104"/>
      <c r="P48" s="104"/>
      <c r="Q48" s="104"/>
      <c r="R48" s="122"/>
      <c r="S48" s="104"/>
      <c r="T48" s="104"/>
      <c r="U48" s="122"/>
      <c r="V48" s="122"/>
      <c r="W48" s="122"/>
      <c r="X48" s="104"/>
      <c r="Y48" s="122"/>
      <c r="Z48" s="122"/>
      <c r="AA48" s="104"/>
      <c r="AB48" s="122"/>
      <c r="AC48" s="104"/>
      <c r="AD48" s="122"/>
      <c r="AE48" s="122"/>
      <c r="AF48" s="122"/>
      <c r="AG48" s="133"/>
      <c r="AH48" s="133"/>
    </row>
    <row r="49">
      <c r="A49" s="136"/>
      <c r="B49" s="95" t="s">
        <v>271</v>
      </c>
      <c r="C49" s="97" t="s">
        <v>271</v>
      </c>
      <c r="D49" s="99" t="s">
        <v>271</v>
      </c>
      <c r="E49" s="101" t="s">
        <v>271</v>
      </c>
      <c r="F49" s="102" t="s">
        <v>271</v>
      </c>
      <c r="G49" s="95" t="s">
        <v>271</v>
      </c>
      <c r="H49" s="104"/>
      <c r="I49" s="105"/>
      <c r="J49" s="106"/>
      <c r="K49" s="104"/>
      <c r="L49" s="104"/>
      <c r="M49" s="104"/>
      <c r="N49" s="104"/>
      <c r="O49" s="104"/>
      <c r="P49" s="104"/>
      <c r="Q49" s="104"/>
      <c r="R49" s="122"/>
      <c r="S49" s="104"/>
      <c r="T49" s="104"/>
      <c r="U49" s="122"/>
      <c r="V49" s="122"/>
      <c r="W49" s="122"/>
      <c r="X49" s="104"/>
      <c r="Y49" s="122"/>
      <c r="Z49" s="122"/>
      <c r="AA49" s="104"/>
      <c r="AB49" s="122"/>
      <c r="AC49" s="104"/>
      <c r="AD49" s="122"/>
      <c r="AE49" s="122"/>
      <c r="AF49" s="122"/>
      <c r="AG49" s="133"/>
      <c r="AH49" s="133"/>
    </row>
    <row r="50">
      <c r="A50" s="136"/>
      <c r="B50" s="95" t="s">
        <v>271</v>
      </c>
      <c r="C50" s="97" t="s">
        <v>271</v>
      </c>
      <c r="D50" s="99" t="s">
        <v>271</v>
      </c>
      <c r="E50" s="101" t="s">
        <v>271</v>
      </c>
      <c r="F50" s="102" t="s">
        <v>271</v>
      </c>
      <c r="G50" s="95" t="s">
        <v>271</v>
      </c>
      <c r="H50" s="104"/>
      <c r="I50" s="105"/>
      <c r="J50" s="106"/>
      <c r="K50" s="104"/>
      <c r="L50" s="104"/>
      <c r="M50" s="104"/>
      <c r="N50" s="104"/>
      <c r="O50" s="104"/>
      <c r="P50" s="104"/>
      <c r="Q50" s="104"/>
      <c r="R50" s="122"/>
      <c r="S50" s="104"/>
      <c r="T50" s="104"/>
      <c r="U50" s="122"/>
      <c r="V50" s="122"/>
      <c r="W50" s="122"/>
      <c r="X50" s="104"/>
      <c r="Y50" s="122"/>
      <c r="Z50" s="122"/>
      <c r="AA50" s="104"/>
      <c r="AB50" s="122"/>
      <c r="AC50" s="104"/>
      <c r="AD50" s="122"/>
      <c r="AE50" s="122"/>
      <c r="AF50" s="122"/>
      <c r="AG50" s="133"/>
      <c r="AH50" s="133"/>
    </row>
    <row r="51">
      <c r="A51" s="136"/>
      <c r="B51" s="95" t="s">
        <v>271</v>
      </c>
      <c r="C51" s="97" t="s">
        <v>271</v>
      </c>
      <c r="D51" s="99" t="s">
        <v>271</v>
      </c>
      <c r="E51" s="101" t="s">
        <v>271</v>
      </c>
      <c r="F51" s="102" t="s">
        <v>271</v>
      </c>
      <c r="G51" s="95" t="s">
        <v>271</v>
      </c>
      <c r="H51" s="122"/>
      <c r="I51" s="105"/>
      <c r="J51" s="105"/>
      <c r="K51" s="122"/>
      <c r="L51" s="122"/>
      <c r="M51" s="122"/>
      <c r="N51" s="122"/>
      <c r="O51" s="122"/>
      <c r="P51" s="122"/>
      <c r="Q51" s="122"/>
      <c r="R51" s="122"/>
      <c r="S51" s="104"/>
      <c r="T51" s="122"/>
      <c r="U51" s="122"/>
      <c r="V51" s="122"/>
      <c r="W51" s="122"/>
      <c r="X51" s="122"/>
      <c r="Y51" s="122"/>
      <c r="Z51" s="122"/>
      <c r="AA51" s="122"/>
      <c r="AB51" s="122"/>
      <c r="AC51" s="122"/>
      <c r="AD51" s="122"/>
      <c r="AE51" s="122"/>
      <c r="AF51" s="122"/>
      <c r="AG51" s="133"/>
      <c r="AH51" s="133"/>
    </row>
    <row r="52">
      <c r="A52" s="136"/>
      <c r="B52" s="95"/>
      <c r="C52" s="97"/>
      <c r="D52" s="99"/>
      <c r="E52" s="101"/>
      <c r="F52" s="102"/>
      <c r="G52" s="95"/>
      <c r="H52" s="122"/>
      <c r="I52" s="105"/>
      <c r="J52" s="105"/>
      <c r="K52" s="122"/>
      <c r="L52" s="122"/>
      <c r="M52" s="122"/>
      <c r="N52" s="122"/>
      <c r="O52" s="122"/>
      <c r="P52" s="122"/>
      <c r="Q52" s="122"/>
      <c r="R52" s="122"/>
      <c r="S52" s="104"/>
      <c r="T52" s="122"/>
      <c r="U52" s="122"/>
      <c r="V52" s="122"/>
      <c r="W52" s="122"/>
      <c r="X52" s="122"/>
      <c r="Y52" s="122"/>
      <c r="Z52" s="122"/>
      <c r="AA52" s="122"/>
      <c r="AB52" s="122"/>
      <c r="AC52" s="122"/>
      <c r="AD52" s="122"/>
      <c r="AE52" s="122"/>
      <c r="AF52" s="122"/>
      <c r="AG52" s="133"/>
      <c r="AH52" s="133"/>
    </row>
    <row r="53">
      <c r="A53" s="136"/>
      <c r="B53" s="95"/>
      <c r="C53" s="97"/>
      <c r="D53" s="99"/>
      <c r="E53" s="101"/>
      <c r="F53" s="102"/>
      <c r="G53" s="95"/>
      <c r="H53" s="122"/>
      <c r="I53" s="105"/>
      <c r="J53" s="105"/>
      <c r="K53" s="122"/>
      <c r="L53" s="122"/>
      <c r="M53" s="122"/>
      <c r="N53" s="122"/>
      <c r="O53" s="122"/>
      <c r="P53" s="122"/>
      <c r="Q53" s="122"/>
      <c r="R53" s="122"/>
      <c r="S53" s="104"/>
      <c r="T53" s="122"/>
      <c r="U53" s="122"/>
      <c r="V53" s="122"/>
      <c r="W53" s="122"/>
      <c r="X53" s="122"/>
      <c r="Y53" s="122"/>
      <c r="Z53" s="122"/>
      <c r="AA53" s="122"/>
      <c r="AB53" s="122"/>
      <c r="AC53" s="122"/>
      <c r="AD53" s="122"/>
      <c r="AE53" s="122"/>
      <c r="AF53" s="122"/>
      <c r="AG53" s="133"/>
      <c r="AH53" s="133"/>
    </row>
    <row r="54">
      <c r="A54" s="136"/>
      <c r="B54" s="95"/>
      <c r="C54" s="97"/>
      <c r="D54" s="99"/>
      <c r="E54" s="101"/>
      <c r="F54" s="102"/>
      <c r="G54" s="95"/>
      <c r="H54" s="122"/>
      <c r="I54" s="105"/>
      <c r="J54" s="105"/>
      <c r="K54" s="122"/>
      <c r="L54" s="122"/>
      <c r="M54" s="122"/>
      <c r="N54" s="122"/>
      <c r="O54" s="122"/>
      <c r="P54" s="122"/>
      <c r="Q54" s="122"/>
      <c r="R54" s="122"/>
      <c r="S54" s="104"/>
      <c r="T54" s="122"/>
      <c r="U54" s="122"/>
      <c r="V54" s="122"/>
      <c r="W54" s="122"/>
      <c r="X54" s="122"/>
      <c r="Y54" s="122"/>
      <c r="Z54" s="122"/>
      <c r="AA54" s="122"/>
      <c r="AB54" s="122"/>
      <c r="AC54" s="122"/>
      <c r="AD54" s="122"/>
      <c r="AE54" s="122"/>
      <c r="AF54" s="122"/>
      <c r="AG54" s="133"/>
      <c r="AH54" s="133"/>
    </row>
    <row r="55">
      <c r="A55" s="136"/>
      <c r="B55" s="95"/>
      <c r="C55" s="97"/>
      <c r="D55" s="99"/>
      <c r="E55" s="101"/>
      <c r="F55" s="102"/>
      <c r="G55" s="95"/>
      <c r="H55" s="122"/>
      <c r="I55" s="105"/>
      <c r="J55" s="105"/>
      <c r="K55" s="122"/>
      <c r="L55" s="122"/>
      <c r="M55" s="122"/>
      <c r="N55" s="122"/>
      <c r="O55" s="122"/>
      <c r="P55" s="122"/>
      <c r="Q55" s="122"/>
      <c r="R55" s="122"/>
      <c r="S55" s="104"/>
      <c r="T55" s="122"/>
      <c r="U55" s="122"/>
      <c r="V55" s="122"/>
      <c r="W55" s="122"/>
      <c r="X55" s="122"/>
      <c r="Y55" s="122"/>
      <c r="Z55" s="122"/>
      <c r="AA55" s="122"/>
      <c r="AB55" s="122"/>
      <c r="AC55" s="122"/>
      <c r="AD55" s="122"/>
      <c r="AE55" s="122"/>
      <c r="AF55" s="122"/>
      <c r="AG55" s="133"/>
      <c r="AH55" s="133"/>
    </row>
    <row r="56">
      <c r="A56" s="136"/>
      <c r="B56" s="95"/>
      <c r="C56" s="97"/>
      <c r="D56" s="99"/>
      <c r="E56" s="101"/>
      <c r="F56" s="102"/>
      <c r="G56" s="95"/>
      <c r="H56" s="122"/>
      <c r="I56" s="105"/>
      <c r="J56" s="105"/>
      <c r="K56" s="122"/>
      <c r="L56" s="122"/>
      <c r="M56" s="122"/>
      <c r="N56" s="122"/>
      <c r="O56" s="122"/>
      <c r="P56" s="122"/>
      <c r="Q56" s="122"/>
      <c r="R56" s="122"/>
      <c r="S56" s="104"/>
      <c r="T56" s="122"/>
      <c r="U56" s="122"/>
      <c r="V56" s="122"/>
      <c r="W56" s="122"/>
      <c r="X56" s="122"/>
      <c r="Y56" s="122"/>
      <c r="Z56" s="122"/>
      <c r="AA56" s="122"/>
      <c r="AB56" s="122"/>
      <c r="AC56" s="122"/>
      <c r="AD56" s="122"/>
      <c r="AE56" s="122"/>
      <c r="AF56" s="122"/>
      <c r="AG56" s="133"/>
      <c r="AH56" s="133"/>
    </row>
    <row r="57">
      <c r="A57" s="136"/>
      <c r="B57" s="95"/>
      <c r="C57" s="97"/>
      <c r="D57" s="99"/>
      <c r="E57" s="101"/>
      <c r="F57" s="102"/>
      <c r="G57" s="95"/>
      <c r="H57" s="122"/>
      <c r="I57" s="105"/>
      <c r="J57" s="105"/>
      <c r="K57" s="122"/>
      <c r="L57" s="122"/>
      <c r="M57" s="122"/>
      <c r="N57" s="122"/>
      <c r="O57" s="122"/>
      <c r="P57" s="122"/>
      <c r="Q57" s="122"/>
      <c r="R57" s="122"/>
      <c r="S57" s="104"/>
      <c r="T57" s="122"/>
      <c r="U57" s="122"/>
      <c r="V57" s="122"/>
      <c r="W57" s="122"/>
      <c r="X57" s="122"/>
      <c r="Y57" s="122"/>
      <c r="Z57" s="122"/>
      <c r="AA57" s="122"/>
      <c r="AB57" s="122"/>
      <c r="AC57" s="122"/>
      <c r="AD57" s="122"/>
      <c r="AE57" s="122"/>
      <c r="AF57" s="122"/>
      <c r="AG57" s="133"/>
      <c r="AH57" s="133"/>
    </row>
    <row r="58">
      <c r="A58" s="136"/>
      <c r="B58" s="95"/>
      <c r="C58" s="97"/>
      <c r="D58" s="99"/>
      <c r="E58" s="101"/>
      <c r="F58" s="102"/>
      <c r="G58" s="95"/>
      <c r="H58" s="122"/>
      <c r="I58" s="105"/>
      <c r="J58" s="105"/>
      <c r="K58" s="122"/>
      <c r="L58" s="122"/>
      <c r="M58" s="122"/>
      <c r="N58" s="122"/>
      <c r="O58" s="122"/>
      <c r="P58" s="122"/>
      <c r="Q58" s="122"/>
      <c r="R58" s="122"/>
      <c r="S58" s="104"/>
      <c r="T58" s="122"/>
      <c r="U58" s="122"/>
      <c r="V58" s="122"/>
      <c r="W58" s="122"/>
      <c r="X58" s="122"/>
      <c r="Y58" s="122"/>
      <c r="Z58" s="122"/>
      <c r="AA58" s="122"/>
      <c r="AB58" s="122"/>
      <c r="AC58" s="122"/>
      <c r="AD58" s="122"/>
      <c r="AE58" s="122"/>
      <c r="AF58" s="122"/>
      <c r="AG58" s="133"/>
      <c r="AH58" s="133"/>
    </row>
    <row r="59">
      <c r="A59" s="136"/>
      <c r="B59" s="95"/>
      <c r="C59" s="97"/>
      <c r="D59" s="99"/>
      <c r="E59" s="101"/>
      <c r="F59" s="102"/>
      <c r="G59" s="95"/>
      <c r="H59" s="122"/>
      <c r="I59" s="105"/>
      <c r="J59" s="105"/>
      <c r="K59" s="122"/>
      <c r="L59" s="122"/>
      <c r="M59" s="122"/>
      <c r="N59" s="122"/>
      <c r="O59" s="122"/>
      <c r="P59" s="122"/>
      <c r="Q59" s="122"/>
      <c r="R59" s="122"/>
      <c r="S59" s="104"/>
      <c r="T59" s="122"/>
      <c r="U59" s="122"/>
      <c r="V59" s="122"/>
      <c r="W59" s="122"/>
      <c r="X59" s="122"/>
      <c r="Y59" s="122"/>
      <c r="Z59" s="122"/>
      <c r="AA59" s="122"/>
      <c r="AB59" s="122"/>
      <c r="AC59" s="122"/>
      <c r="AD59" s="122"/>
      <c r="AE59" s="122"/>
      <c r="AF59" s="122"/>
      <c r="AG59" s="133"/>
      <c r="AH59" s="133"/>
    </row>
    <row r="60">
      <c r="A60" s="136"/>
      <c r="B60" s="95"/>
      <c r="C60" s="97"/>
      <c r="D60" s="99"/>
      <c r="E60" s="101"/>
      <c r="F60" s="102"/>
      <c r="G60" s="95"/>
      <c r="H60" s="122"/>
      <c r="I60" s="105"/>
      <c r="J60" s="105"/>
      <c r="K60" s="122"/>
      <c r="L60" s="122"/>
      <c r="M60" s="122"/>
      <c r="N60" s="122"/>
      <c r="O60" s="122"/>
      <c r="P60" s="122"/>
      <c r="Q60" s="122"/>
      <c r="R60" s="122"/>
      <c r="S60" s="104"/>
      <c r="T60" s="122"/>
      <c r="U60" s="122"/>
      <c r="V60" s="122"/>
      <c r="W60" s="122"/>
      <c r="X60" s="122"/>
      <c r="Y60" s="122"/>
      <c r="Z60" s="122"/>
      <c r="AA60" s="122"/>
      <c r="AB60" s="122"/>
      <c r="AC60" s="122"/>
      <c r="AD60" s="122"/>
      <c r="AE60" s="122"/>
      <c r="AF60" s="122"/>
      <c r="AG60" s="133"/>
      <c r="AH60" s="133"/>
    </row>
    <row r="61">
      <c r="A61" s="136"/>
      <c r="B61" s="95"/>
      <c r="C61" s="97"/>
      <c r="D61" s="99"/>
      <c r="E61" s="101"/>
      <c r="F61" s="102"/>
      <c r="G61" s="95"/>
      <c r="H61" s="122"/>
      <c r="I61" s="105"/>
      <c r="J61" s="105"/>
      <c r="K61" s="122"/>
      <c r="L61" s="122"/>
      <c r="M61" s="122"/>
      <c r="N61" s="122"/>
      <c r="O61" s="122"/>
      <c r="P61" s="122"/>
      <c r="Q61" s="122"/>
      <c r="R61" s="122"/>
      <c r="S61" s="104"/>
      <c r="T61" s="122"/>
      <c r="U61" s="122"/>
      <c r="V61" s="122"/>
      <c r="W61" s="122"/>
      <c r="X61" s="122"/>
      <c r="Y61" s="122"/>
      <c r="Z61" s="122"/>
      <c r="AA61" s="122"/>
      <c r="AB61" s="122"/>
      <c r="AC61" s="122"/>
      <c r="AD61" s="122"/>
      <c r="AE61" s="122"/>
      <c r="AF61" s="122"/>
      <c r="AG61" s="133"/>
      <c r="AH61" s="133"/>
    </row>
    <row r="62">
      <c r="A62" s="136"/>
      <c r="B62" s="95"/>
      <c r="C62" s="97"/>
      <c r="D62" s="99"/>
      <c r="E62" s="101"/>
      <c r="F62" s="102"/>
      <c r="G62" s="95"/>
      <c r="H62" s="122"/>
      <c r="I62" s="105"/>
      <c r="J62" s="105"/>
      <c r="K62" s="122"/>
      <c r="L62" s="122"/>
      <c r="M62" s="122"/>
      <c r="N62" s="122"/>
      <c r="O62" s="122"/>
      <c r="P62" s="122"/>
      <c r="Q62" s="122"/>
      <c r="R62" s="122"/>
      <c r="S62" s="104"/>
      <c r="T62" s="122"/>
      <c r="U62" s="122"/>
      <c r="V62" s="122"/>
      <c r="W62" s="122"/>
      <c r="X62" s="122"/>
      <c r="Y62" s="122"/>
      <c r="Z62" s="122"/>
      <c r="AA62" s="122"/>
      <c r="AB62" s="122"/>
      <c r="AC62" s="122"/>
      <c r="AD62" s="122"/>
      <c r="AE62" s="122"/>
      <c r="AF62" s="122"/>
      <c r="AG62" s="133"/>
      <c r="AH62" s="133"/>
    </row>
    <row r="63">
      <c r="A63" s="136"/>
      <c r="B63" s="95"/>
      <c r="C63" s="97"/>
      <c r="D63" s="99"/>
      <c r="E63" s="101"/>
      <c r="F63" s="102"/>
      <c r="G63" s="95"/>
      <c r="H63" s="122"/>
      <c r="I63" s="105"/>
      <c r="J63" s="105"/>
      <c r="K63" s="122"/>
      <c r="L63" s="122"/>
      <c r="M63" s="122"/>
      <c r="N63" s="122"/>
      <c r="O63" s="122"/>
      <c r="P63" s="122"/>
      <c r="Q63" s="122"/>
      <c r="R63" s="122"/>
      <c r="S63" s="104"/>
      <c r="T63" s="122"/>
      <c r="U63" s="122"/>
      <c r="V63" s="122"/>
      <c r="W63" s="122"/>
      <c r="X63" s="122"/>
      <c r="Y63" s="122"/>
      <c r="Z63" s="122"/>
      <c r="AA63" s="122"/>
      <c r="AB63" s="122"/>
      <c r="AC63" s="122"/>
      <c r="AD63" s="122"/>
      <c r="AE63" s="122"/>
      <c r="AF63" s="122"/>
      <c r="AG63" s="133"/>
      <c r="AH63" s="133"/>
    </row>
    <row r="64">
      <c r="A64" s="136"/>
      <c r="B64" s="95"/>
      <c r="C64" s="97"/>
      <c r="D64" s="99"/>
      <c r="E64" s="101"/>
      <c r="F64" s="102"/>
      <c r="G64" s="95"/>
      <c r="H64" s="122"/>
      <c r="I64" s="105"/>
      <c r="J64" s="105"/>
      <c r="K64" s="122"/>
      <c r="L64" s="122"/>
      <c r="M64" s="122"/>
      <c r="N64" s="122"/>
      <c r="O64" s="122"/>
      <c r="P64" s="122"/>
      <c r="Q64" s="122"/>
      <c r="R64" s="122"/>
      <c r="S64" s="104"/>
      <c r="T64" s="122"/>
      <c r="U64" s="122"/>
      <c r="V64" s="122"/>
      <c r="W64" s="122"/>
      <c r="X64" s="122"/>
      <c r="Y64" s="122"/>
      <c r="Z64" s="122"/>
      <c r="AA64" s="122"/>
      <c r="AB64" s="122"/>
      <c r="AC64" s="122"/>
      <c r="AD64" s="122"/>
      <c r="AE64" s="122"/>
      <c r="AF64" s="122"/>
      <c r="AG64" s="133"/>
      <c r="AH64" s="133"/>
    </row>
    <row r="65">
      <c r="A65" s="136"/>
      <c r="B65" s="95"/>
      <c r="C65" s="97"/>
      <c r="D65" s="99"/>
      <c r="E65" s="101"/>
      <c r="F65" s="102"/>
      <c r="G65" s="95"/>
      <c r="H65" s="122"/>
      <c r="I65" s="105"/>
      <c r="J65" s="105"/>
      <c r="K65" s="122"/>
      <c r="L65" s="122"/>
      <c r="M65" s="122"/>
      <c r="N65" s="122"/>
      <c r="O65" s="122"/>
      <c r="P65" s="122"/>
      <c r="Q65" s="122"/>
      <c r="R65" s="122"/>
      <c r="S65" s="104"/>
      <c r="T65" s="122"/>
      <c r="U65" s="122"/>
      <c r="V65" s="122"/>
      <c r="W65" s="122"/>
      <c r="X65" s="122"/>
      <c r="Y65" s="122"/>
      <c r="Z65" s="122"/>
      <c r="AA65" s="122"/>
      <c r="AB65" s="122"/>
      <c r="AC65" s="122"/>
      <c r="AD65" s="122"/>
      <c r="AE65" s="122"/>
      <c r="AF65" s="122"/>
      <c r="AG65" s="133"/>
      <c r="AH65" s="133"/>
    </row>
    <row r="66">
      <c r="A66" s="136"/>
      <c r="B66" s="95"/>
      <c r="C66" s="97"/>
      <c r="D66" s="99"/>
      <c r="E66" s="101"/>
      <c r="F66" s="102"/>
      <c r="G66" s="95"/>
      <c r="H66" s="122"/>
      <c r="I66" s="105"/>
      <c r="J66" s="105"/>
      <c r="K66" s="122"/>
      <c r="L66" s="122"/>
      <c r="M66" s="122"/>
      <c r="N66" s="122"/>
      <c r="O66" s="122"/>
      <c r="P66" s="122"/>
      <c r="Q66" s="122"/>
      <c r="R66" s="122"/>
      <c r="S66" s="104"/>
      <c r="T66" s="122"/>
      <c r="U66" s="122"/>
      <c r="V66" s="122"/>
      <c r="W66" s="122"/>
      <c r="X66" s="122"/>
      <c r="Y66" s="122"/>
      <c r="Z66" s="122"/>
      <c r="AA66" s="122"/>
      <c r="AB66" s="122"/>
      <c r="AC66" s="122"/>
      <c r="AD66" s="122"/>
      <c r="AE66" s="122"/>
      <c r="AF66" s="122"/>
      <c r="AG66" s="133"/>
      <c r="AH66" s="133"/>
    </row>
    <row r="67">
      <c r="A67" s="136"/>
      <c r="B67" s="95"/>
      <c r="C67" s="97"/>
      <c r="D67" s="99"/>
      <c r="E67" s="101"/>
      <c r="F67" s="102"/>
      <c r="G67" s="95"/>
      <c r="H67" s="122"/>
      <c r="I67" s="105"/>
      <c r="J67" s="105"/>
      <c r="K67" s="122"/>
      <c r="L67" s="122"/>
      <c r="M67" s="122"/>
      <c r="N67" s="122"/>
      <c r="O67" s="122"/>
      <c r="P67" s="122"/>
      <c r="Q67" s="122"/>
      <c r="R67" s="122"/>
      <c r="S67" s="104"/>
      <c r="T67" s="122"/>
      <c r="U67" s="122"/>
      <c r="V67" s="122"/>
      <c r="W67" s="122"/>
      <c r="X67" s="122"/>
      <c r="Y67" s="122"/>
      <c r="Z67" s="122"/>
      <c r="AA67" s="122"/>
      <c r="AB67" s="122"/>
      <c r="AC67" s="122"/>
      <c r="AD67" s="122"/>
      <c r="AE67" s="122"/>
      <c r="AF67" s="122"/>
      <c r="AG67" s="133"/>
      <c r="AH67" s="133"/>
    </row>
    <row r="68">
      <c r="A68" s="136"/>
      <c r="B68" s="95"/>
      <c r="C68" s="97"/>
      <c r="D68" s="99"/>
      <c r="E68" s="101"/>
      <c r="F68" s="102"/>
      <c r="G68" s="95"/>
      <c r="H68" s="122"/>
      <c r="I68" s="105"/>
      <c r="J68" s="105"/>
      <c r="K68" s="122"/>
      <c r="L68" s="122"/>
      <c r="M68" s="122"/>
      <c r="N68" s="122"/>
      <c r="O68" s="122"/>
      <c r="P68" s="122"/>
      <c r="Q68" s="122"/>
      <c r="R68" s="122"/>
      <c r="S68" s="104"/>
      <c r="T68" s="122"/>
      <c r="U68" s="122"/>
      <c r="V68" s="122"/>
      <c r="W68" s="122"/>
      <c r="X68" s="122"/>
      <c r="Y68" s="122"/>
      <c r="Z68" s="122"/>
      <c r="AA68" s="122"/>
      <c r="AB68" s="122"/>
      <c r="AC68" s="122"/>
      <c r="AD68" s="122"/>
      <c r="AE68" s="122"/>
      <c r="AF68" s="122"/>
      <c r="AG68" s="133"/>
      <c r="AH68" s="133"/>
    </row>
    <row r="69">
      <c r="A69" s="136"/>
      <c r="B69" s="95"/>
      <c r="C69" s="97"/>
      <c r="D69" s="99"/>
      <c r="E69" s="101"/>
      <c r="F69" s="102"/>
      <c r="G69" s="95"/>
      <c r="H69" s="122"/>
      <c r="I69" s="105"/>
      <c r="J69" s="105"/>
      <c r="K69" s="122"/>
      <c r="L69" s="122"/>
      <c r="M69" s="122"/>
      <c r="N69" s="122"/>
      <c r="O69" s="122"/>
      <c r="P69" s="122"/>
      <c r="Q69" s="122"/>
      <c r="R69" s="122"/>
      <c r="S69" s="104"/>
      <c r="T69" s="122"/>
      <c r="U69" s="122"/>
      <c r="V69" s="122"/>
      <c r="W69" s="122"/>
      <c r="X69" s="122"/>
      <c r="Y69" s="122"/>
      <c r="Z69" s="122"/>
      <c r="AA69" s="122"/>
      <c r="AB69" s="122"/>
      <c r="AC69" s="122"/>
      <c r="AD69" s="122"/>
      <c r="AE69" s="122"/>
      <c r="AF69" s="122"/>
      <c r="AG69" s="133"/>
      <c r="AH69" s="133"/>
    </row>
    <row r="70">
      <c r="A70" s="136"/>
      <c r="B70" s="95"/>
      <c r="C70" s="97"/>
      <c r="D70" s="99"/>
      <c r="E70" s="101"/>
      <c r="F70" s="102"/>
      <c r="G70" s="95"/>
      <c r="H70" s="122"/>
      <c r="I70" s="105"/>
      <c r="J70" s="105"/>
      <c r="K70" s="122"/>
      <c r="L70" s="122"/>
      <c r="M70" s="122"/>
      <c r="N70" s="122"/>
      <c r="O70" s="122"/>
      <c r="P70" s="122"/>
      <c r="Q70" s="122"/>
      <c r="R70" s="122"/>
      <c r="S70" s="104"/>
      <c r="T70" s="122"/>
      <c r="U70" s="122"/>
      <c r="V70" s="122"/>
      <c r="W70" s="122"/>
      <c r="X70" s="122"/>
      <c r="Y70" s="122"/>
      <c r="Z70" s="122"/>
      <c r="AA70" s="122"/>
      <c r="AB70" s="122"/>
      <c r="AC70" s="122"/>
      <c r="AD70" s="122"/>
      <c r="AE70" s="122"/>
      <c r="AF70" s="122"/>
      <c r="AG70" s="133"/>
      <c r="AH70" s="133"/>
    </row>
    <row r="71">
      <c r="A71" s="136"/>
      <c r="B71" s="95"/>
      <c r="C71" s="97"/>
      <c r="D71" s="99"/>
      <c r="E71" s="101"/>
      <c r="F71" s="102"/>
      <c r="G71" s="95"/>
      <c r="H71" s="122"/>
      <c r="I71" s="105"/>
      <c r="J71" s="105"/>
      <c r="K71" s="122"/>
      <c r="L71" s="122"/>
      <c r="M71" s="122"/>
      <c r="N71" s="122"/>
      <c r="O71" s="122"/>
      <c r="P71" s="122"/>
      <c r="Q71" s="122"/>
      <c r="R71" s="122"/>
      <c r="S71" s="104"/>
      <c r="T71" s="122"/>
      <c r="U71" s="122"/>
      <c r="V71" s="122"/>
      <c r="W71" s="122"/>
      <c r="X71" s="122"/>
      <c r="Y71" s="122"/>
      <c r="Z71" s="122"/>
      <c r="AA71" s="122"/>
      <c r="AB71" s="122"/>
      <c r="AC71" s="122"/>
      <c r="AD71" s="122"/>
      <c r="AE71" s="122"/>
      <c r="AF71" s="122"/>
      <c r="AG71" s="133"/>
      <c r="AH71" s="133"/>
    </row>
    <row r="72">
      <c r="A72" s="136"/>
      <c r="B72" s="95"/>
      <c r="C72" s="97"/>
      <c r="D72" s="99"/>
      <c r="E72" s="101"/>
      <c r="F72" s="102"/>
      <c r="G72" s="95"/>
      <c r="H72" s="122"/>
      <c r="I72" s="105"/>
      <c r="J72" s="105"/>
      <c r="K72" s="122"/>
      <c r="L72" s="122"/>
      <c r="M72" s="122"/>
      <c r="N72" s="122"/>
      <c r="O72" s="122"/>
      <c r="P72" s="122"/>
      <c r="Q72" s="122"/>
      <c r="R72" s="122"/>
      <c r="S72" s="104"/>
      <c r="T72" s="122"/>
      <c r="U72" s="122"/>
      <c r="V72" s="122"/>
      <c r="W72" s="122"/>
      <c r="X72" s="122"/>
      <c r="Y72" s="122"/>
      <c r="Z72" s="122"/>
      <c r="AA72" s="122"/>
      <c r="AB72" s="122"/>
      <c r="AC72" s="122"/>
      <c r="AD72" s="122"/>
      <c r="AE72" s="122"/>
      <c r="AF72" s="122"/>
      <c r="AG72" s="133"/>
      <c r="AH72" s="133"/>
    </row>
    <row r="73">
      <c r="A73" s="136"/>
      <c r="B73" s="95"/>
      <c r="C73" s="97"/>
      <c r="D73" s="99"/>
      <c r="E73" s="101"/>
      <c r="F73" s="102"/>
      <c r="G73" s="95"/>
      <c r="H73" s="122"/>
      <c r="I73" s="105"/>
      <c r="J73" s="105"/>
      <c r="K73" s="122"/>
      <c r="L73" s="122"/>
      <c r="M73" s="122"/>
      <c r="N73" s="122"/>
      <c r="O73" s="122"/>
      <c r="P73" s="122"/>
      <c r="Q73" s="122"/>
      <c r="R73" s="122"/>
      <c r="S73" s="104"/>
      <c r="T73" s="122"/>
      <c r="U73" s="122"/>
      <c r="V73" s="122"/>
      <c r="W73" s="122"/>
      <c r="X73" s="122"/>
      <c r="Y73" s="122"/>
      <c r="Z73" s="122"/>
      <c r="AA73" s="122"/>
      <c r="AB73" s="122"/>
      <c r="AC73" s="122"/>
      <c r="AD73" s="122"/>
      <c r="AE73" s="122"/>
      <c r="AF73" s="122"/>
      <c r="AG73" s="133"/>
      <c r="AH73" s="133"/>
    </row>
    <row r="74">
      <c r="A74" s="136"/>
      <c r="B74" s="95"/>
      <c r="C74" s="97"/>
      <c r="D74" s="99"/>
      <c r="E74" s="101"/>
      <c r="F74" s="102"/>
      <c r="G74" s="95"/>
      <c r="H74" s="122"/>
      <c r="I74" s="105"/>
      <c r="J74" s="105"/>
      <c r="K74" s="122"/>
      <c r="L74" s="122"/>
      <c r="M74" s="122"/>
      <c r="N74" s="122"/>
      <c r="O74" s="122"/>
      <c r="P74" s="122"/>
      <c r="Q74" s="122"/>
      <c r="R74" s="122"/>
      <c r="S74" s="104"/>
      <c r="T74" s="122"/>
      <c r="U74" s="122"/>
      <c r="V74" s="122"/>
      <c r="W74" s="122"/>
      <c r="X74" s="122"/>
      <c r="Y74" s="122"/>
      <c r="Z74" s="122"/>
      <c r="AA74" s="122"/>
      <c r="AB74" s="122"/>
      <c r="AC74" s="122"/>
      <c r="AD74" s="122"/>
      <c r="AE74" s="122"/>
      <c r="AF74" s="122"/>
      <c r="AG74" s="133"/>
      <c r="AH74" s="133"/>
    </row>
    <row r="75">
      <c r="A75" s="136"/>
      <c r="B75" s="95"/>
      <c r="C75" s="97"/>
      <c r="D75" s="99"/>
      <c r="E75" s="101"/>
      <c r="F75" s="102"/>
      <c r="G75" s="95"/>
      <c r="H75" s="122"/>
      <c r="I75" s="105"/>
      <c r="J75" s="105"/>
      <c r="K75" s="122"/>
      <c r="L75" s="122"/>
      <c r="M75" s="122"/>
      <c r="N75" s="122"/>
      <c r="O75" s="122"/>
      <c r="P75" s="122"/>
      <c r="Q75" s="122"/>
      <c r="R75" s="122"/>
      <c r="S75" s="104"/>
      <c r="T75" s="122"/>
      <c r="U75" s="122"/>
      <c r="V75" s="122"/>
      <c r="W75" s="122"/>
      <c r="X75" s="122"/>
      <c r="Y75" s="122"/>
      <c r="Z75" s="122"/>
      <c r="AA75" s="122"/>
      <c r="AB75" s="122"/>
      <c r="AC75" s="122"/>
      <c r="AD75" s="122"/>
      <c r="AE75" s="122"/>
      <c r="AF75" s="122"/>
      <c r="AG75" s="133"/>
      <c r="AH75" s="133"/>
    </row>
    <row r="76">
      <c r="A76" s="136"/>
      <c r="B76" s="95"/>
      <c r="C76" s="97"/>
      <c r="D76" s="99"/>
      <c r="E76" s="101"/>
      <c r="F76" s="102"/>
      <c r="G76" s="95"/>
      <c r="H76" s="122"/>
      <c r="I76" s="105"/>
      <c r="J76" s="105"/>
      <c r="K76" s="122"/>
      <c r="L76" s="122"/>
      <c r="M76" s="122"/>
      <c r="N76" s="122"/>
      <c r="O76" s="122"/>
      <c r="P76" s="122"/>
      <c r="Q76" s="122"/>
      <c r="R76" s="122"/>
      <c r="S76" s="104"/>
      <c r="T76" s="122"/>
      <c r="U76" s="122"/>
      <c r="V76" s="122"/>
      <c r="W76" s="122"/>
      <c r="X76" s="122"/>
      <c r="Y76" s="122"/>
      <c r="Z76" s="122"/>
      <c r="AA76" s="122"/>
      <c r="AB76" s="122"/>
      <c r="AC76" s="122"/>
      <c r="AD76" s="122"/>
      <c r="AE76" s="122"/>
      <c r="AF76" s="122"/>
      <c r="AG76" s="133"/>
      <c r="AH76" s="133"/>
    </row>
    <row r="77">
      <c r="A77" s="136"/>
      <c r="B77" s="95"/>
      <c r="C77" s="97"/>
      <c r="D77" s="99"/>
      <c r="E77" s="101"/>
      <c r="F77" s="102"/>
      <c r="G77" s="95"/>
      <c r="H77" s="122"/>
      <c r="I77" s="105"/>
      <c r="J77" s="105"/>
      <c r="K77" s="122"/>
      <c r="L77" s="122"/>
      <c r="M77" s="122"/>
      <c r="N77" s="122"/>
      <c r="O77" s="122"/>
      <c r="P77" s="122"/>
      <c r="Q77" s="122"/>
      <c r="R77" s="122"/>
      <c r="S77" s="104"/>
      <c r="T77" s="122"/>
      <c r="U77" s="122"/>
      <c r="V77" s="122"/>
      <c r="W77" s="122"/>
      <c r="X77" s="122"/>
      <c r="Y77" s="122"/>
      <c r="Z77" s="122"/>
      <c r="AA77" s="122"/>
      <c r="AB77" s="122"/>
      <c r="AC77" s="122"/>
      <c r="AD77" s="122"/>
      <c r="AE77" s="122"/>
      <c r="AF77" s="122"/>
      <c r="AG77" s="133"/>
      <c r="AH77" s="133"/>
    </row>
    <row r="78">
      <c r="A78" s="136"/>
      <c r="B78" s="95"/>
      <c r="C78" s="97"/>
      <c r="D78" s="99"/>
      <c r="E78" s="101"/>
      <c r="F78" s="102"/>
      <c r="G78" s="95"/>
      <c r="H78" s="122"/>
      <c r="I78" s="105"/>
      <c r="J78" s="105"/>
      <c r="K78" s="122"/>
      <c r="L78" s="122"/>
      <c r="M78" s="122"/>
      <c r="N78" s="122"/>
      <c r="O78" s="122"/>
      <c r="P78" s="122"/>
      <c r="Q78" s="122"/>
      <c r="R78" s="122"/>
      <c r="S78" s="104"/>
      <c r="T78" s="122"/>
      <c r="U78" s="122"/>
      <c r="V78" s="122"/>
      <c r="W78" s="122"/>
      <c r="X78" s="122"/>
      <c r="Y78" s="122"/>
      <c r="Z78" s="122"/>
      <c r="AA78" s="122"/>
      <c r="AB78" s="122"/>
      <c r="AC78" s="122"/>
      <c r="AD78" s="122"/>
      <c r="AE78" s="122"/>
      <c r="AF78" s="122"/>
      <c r="AG78" s="133"/>
      <c r="AH78" s="133"/>
    </row>
    <row r="79">
      <c r="A79" s="136"/>
      <c r="B79" s="95"/>
      <c r="C79" s="97"/>
      <c r="D79" s="99"/>
      <c r="E79" s="101"/>
      <c r="F79" s="102"/>
      <c r="G79" s="95"/>
      <c r="H79" s="122"/>
      <c r="I79" s="105"/>
      <c r="J79" s="105"/>
      <c r="K79" s="122"/>
      <c r="L79" s="122"/>
      <c r="M79" s="122"/>
      <c r="N79" s="122"/>
      <c r="O79" s="122"/>
      <c r="P79" s="122"/>
      <c r="Q79" s="122"/>
      <c r="R79" s="122"/>
      <c r="S79" s="104"/>
      <c r="T79" s="122"/>
      <c r="U79" s="122"/>
      <c r="V79" s="122"/>
      <c r="W79" s="122"/>
      <c r="X79" s="122"/>
      <c r="Y79" s="122"/>
      <c r="Z79" s="122"/>
      <c r="AA79" s="122"/>
      <c r="AB79" s="122"/>
      <c r="AC79" s="122"/>
      <c r="AD79" s="122"/>
      <c r="AE79" s="122"/>
      <c r="AF79" s="122"/>
      <c r="AG79" s="133"/>
      <c r="AH79" s="133"/>
    </row>
    <row r="80">
      <c r="A80" s="136"/>
      <c r="B80" s="95"/>
      <c r="C80" s="97"/>
      <c r="D80" s="99"/>
      <c r="E80" s="101"/>
      <c r="F80" s="102"/>
      <c r="G80" s="95"/>
      <c r="H80" s="122"/>
      <c r="I80" s="105"/>
      <c r="J80" s="105"/>
      <c r="K80" s="122"/>
      <c r="L80" s="122"/>
      <c r="M80" s="122"/>
      <c r="N80" s="122"/>
      <c r="O80" s="122"/>
      <c r="P80" s="122"/>
      <c r="Q80" s="122"/>
      <c r="R80" s="122"/>
      <c r="S80" s="104"/>
      <c r="T80" s="122"/>
      <c r="U80" s="122"/>
      <c r="V80" s="122"/>
      <c r="W80" s="122"/>
      <c r="X80" s="122"/>
      <c r="Y80" s="122"/>
      <c r="Z80" s="122"/>
      <c r="AA80" s="122"/>
      <c r="AB80" s="122"/>
      <c r="AC80" s="122"/>
      <c r="AD80" s="122"/>
      <c r="AE80" s="122"/>
      <c r="AF80" s="122"/>
      <c r="AG80" s="133"/>
      <c r="AH80" s="133"/>
    </row>
    <row r="81">
      <c r="A81" s="136"/>
      <c r="B81" s="95"/>
      <c r="C81" s="97"/>
      <c r="D81" s="99"/>
      <c r="E81" s="101"/>
      <c r="F81" s="102"/>
      <c r="G81" s="95"/>
      <c r="H81" s="122"/>
      <c r="I81" s="105"/>
      <c r="J81" s="105"/>
      <c r="K81" s="122"/>
      <c r="L81" s="122"/>
      <c r="M81" s="122"/>
      <c r="N81" s="122"/>
      <c r="O81" s="122"/>
      <c r="P81" s="122"/>
      <c r="Q81" s="122"/>
      <c r="R81" s="122"/>
      <c r="S81" s="104"/>
      <c r="T81" s="122"/>
      <c r="U81" s="122"/>
      <c r="V81" s="122"/>
      <c r="W81" s="122"/>
      <c r="X81" s="122"/>
      <c r="Y81" s="122"/>
      <c r="Z81" s="122"/>
      <c r="AA81" s="122"/>
      <c r="AB81" s="122"/>
      <c r="AC81" s="122"/>
      <c r="AD81" s="122"/>
      <c r="AE81" s="122"/>
      <c r="AF81" s="122"/>
      <c r="AG81" s="133"/>
      <c r="AH81" s="133"/>
    </row>
    <row r="82">
      <c r="A82" s="136"/>
      <c r="B82" s="95"/>
      <c r="C82" s="97"/>
      <c r="D82" s="99"/>
      <c r="E82" s="101"/>
      <c r="F82" s="102"/>
      <c r="G82" s="95"/>
      <c r="H82" s="122"/>
      <c r="I82" s="105"/>
      <c r="J82" s="105"/>
      <c r="K82" s="122"/>
      <c r="L82" s="122"/>
      <c r="M82" s="122"/>
      <c r="N82" s="122"/>
      <c r="O82" s="122"/>
      <c r="P82" s="122"/>
      <c r="Q82" s="122"/>
      <c r="R82" s="122"/>
      <c r="S82" s="104"/>
      <c r="T82" s="122"/>
      <c r="U82" s="122"/>
      <c r="V82" s="122"/>
      <c r="W82" s="122"/>
      <c r="X82" s="122"/>
      <c r="Y82" s="122"/>
      <c r="Z82" s="122"/>
      <c r="AA82" s="122"/>
      <c r="AB82" s="122"/>
      <c r="AC82" s="122"/>
      <c r="AD82" s="122"/>
      <c r="AE82" s="122"/>
      <c r="AF82" s="122"/>
      <c r="AG82" s="133"/>
      <c r="AH82" s="133"/>
    </row>
    <row r="83">
      <c r="A83" s="136"/>
      <c r="B83" s="95"/>
      <c r="C83" s="97"/>
      <c r="D83" s="99"/>
      <c r="E83" s="101"/>
      <c r="F83" s="102"/>
      <c r="G83" s="95"/>
      <c r="H83" s="122"/>
      <c r="I83" s="105"/>
      <c r="J83" s="105"/>
      <c r="K83" s="122"/>
      <c r="L83" s="122"/>
      <c r="M83" s="122"/>
      <c r="N83" s="122"/>
      <c r="O83" s="122"/>
      <c r="P83" s="122"/>
      <c r="Q83" s="122"/>
      <c r="R83" s="122"/>
      <c r="S83" s="104"/>
      <c r="T83" s="122"/>
      <c r="U83" s="122"/>
      <c r="V83" s="122"/>
      <c r="W83" s="122"/>
      <c r="X83" s="122"/>
      <c r="Y83" s="122"/>
      <c r="Z83" s="122"/>
      <c r="AA83" s="122"/>
      <c r="AB83" s="122"/>
      <c r="AC83" s="122"/>
      <c r="AD83" s="122"/>
      <c r="AE83" s="122"/>
      <c r="AF83" s="122"/>
      <c r="AG83" s="133"/>
      <c r="AH83" s="133"/>
    </row>
    <row r="84">
      <c r="A84" s="136"/>
      <c r="B84" s="95"/>
      <c r="C84" s="97"/>
      <c r="D84" s="99"/>
      <c r="E84" s="101"/>
      <c r="F84" s="102"/>
      <c r="G84" s="95"/>
      <c r="H84" s="122"/>
      <c r="I84" s="105"/>
      <c r="J84" s="105"/>
      <c r="K84" s="122"/>
      <c r="L84" s="122"/>
      <c r="M84" s="122"/>
      <c r="N84" s="122"/>
      <c r="O84" s="122"/>
      <c r="P84" s="122"/>
      <c r="Q84" s="122"/>
      <c r="R84" s="122"/>
      <c r="S84" s="104"/>
      <c r="T84" s="122"/>
      <c r="U84" s="122"/>
      <c r="V84" s="122"/>
      <c r="W84" s="122"/>
      <c r="X84" s="122"/>
      <c r="Y84" s="122"/>
      <c r="Z84" s="122"/>
      <c r="AA84" s="122"/>
      <c r="AB84" s="122"/>
      <c r="AC84" s="122"/>
      <c r="AD84" s="122"/>
      <c r="AE84" s="122"/>
      <c r="AF84" s="122"/>
      <c r="AG84" s="133"/>
      <c r="AH84" s="133"/>
    </row>
    <row r="85">
      <c r="A85" s="136"/>
      <c r="B85" s="95"/>
      <c r="C85" s="97"/>
      <c r="D85" s="99"/>
      <c r="E85" s="101"/>
      <c r="F85" s="102"/>
      <c r="G85" s="95"/>
      <c r="H85" s="122"/>
      <c r="I85" s="105"/>
      <c r="J85" s="105"/>
      <c r="K85" s="122"/>
      <c r="L85" s="122"/>
      <c r="M85" s="122"/>
      <c r="N85" s="122"/>
      <c r="O85" s="122"/>
      <c r="P85" s="122"/>
      <c r="Q85" s="122"/>
      <c r="R85" s="122"/>
      <c r="S85" s="104"/>
      <c r="T85" s="122"/>
      <c r="U85" s="122"/>
      <c r="V85" s="122"/>
      <c r="W85" s="122"/>
      <c r="X85" s="122"/>
      <c r="Y85" s="122"/>
      <c r="Z85" s="122"/>
      <c r="AA85" s="122"/>
      <c r="AB85" s="122"/>
      <c r="AC85" s="122"/>
      <c r="AD85" s="122"/>
      <c r="AE85" s="122"/>
      <c r="AF85" s="122"/>
      <c r="AG85" s="133"/>
      <c r="AH85" s="133"/>
    </row>
    <row r="86">
      <c r="A86" s="136"/>
      <c r="B86" s="95"/>
      <c r="C86" s="97"/>
      <c r="D86" s="99"/>
      <c r="E86" s="101"/>
      <c r="F86" s="102"/>
      <c r="G86" s="95"/>
      <c r="H86" s="122"/>
      <c r="I86" s="105"/>
      <c r="J86" s="105"/>
      <c r="K86" s="122"/>
      <c r="L86" s="122"/>
      <c r="M86" s="122"/>
      <c r="N86" s="122"/>
      <c r="O86" s="122"/>
      <c r="P86" s="122"/>
      <c r="Q86" s="122"/>
      <c r="R86" s="122"/>
      <c r="S86" s="104"/>
      <c r="T86" s="122"/>
      <c r="U86" s="122"/>
      <c r="V86" s="122"/>
      <c r="W86" s="122"/>
      <c r="X86" s="122"/>
      <c r="Y86" s="122"/>
      <c r="Z86" s="122"/>
      <c r="AA86" s="122"/>
      <c r="AB86" s="122"/>
      <c r="AC86" s="122"/>
      <c r="AD86" s="122"/>
      <c r="AE86" s="122"/>
      <c r="AF86" s="122"/>
      <c r="AG86" s="133"/>
      <c r="AH86" s="133"/>
    </row>
    <row r="87">
      <c r="A87" s="136"/>
      <c r="B87" s="95"/>
      <c r="C87" s="97"/>
      <c r="D87" s="99"/>
      <c r="E87" s="101"/>
      <c r="F87" s="102"/>
      <c r="G87" s="95"/>
      <c r="H87" s="122"/>
      <c r="I87" s="105"/>
      <c r="J87" s="105"/>
      <c r="K87" s="122"/>
      <c r="L87" s="122"/>
      <c r="M87" s="122"/>
      <c r="N87" s="122"/>
      <c r="O87" s="122"/>
      <c r="P87" s="122"/>
      <c r="Q87" s="122"/>
      <c r="R87" s="122"/>
      <c r="S87" s="104"/>
      <c r="T87" s="122"/>
      <c r="U87" s="122"/>
      <c r="V87" s="122"/>
      <c r="W87" s="122"/>
      <c r="X87" s="122"/>
      <c r="Y87" s="122"/>
      <c r="Z87" s="122"/>
      <c r="AA87" s="122"/>
      <c r="AB87" s="122"/>
      <c r="AC87" s="122"/>
      <c r="AD87" s="122"/>
      <c r="AE87" s="122"/>
      <c r="AF87" s="122"/>
      <c r="AG87" s="133"/>
      <c r="AH87" s="133"/>
    </row>
    <row r="88">
      <c r="A88" s="136"/>
      <c r="B88" s="95"/>
      <c r="C88" s="97"/>
      <c r="D88" s="99"/>
      <c r="E88" s="101"/>
      <c r="F88" s="102"/>
      <c r="G88" s="95"/>
      <c r="H88" s="122"/>
      <c r="I88" s="105"/>
      <c r="J88" s="105"/>
      <c r="K88" s="122"/>
      <c r="L88" s="122"/>
      <c r="M88" s="122"/>
      <c r="N88" s="122"/>
      <c r="O88" s="122"/>
      <c r="P88" s="122"/>
      <c r="Q88" s="122"/>
      <c r="R88" s="122"/>
      <c r="S88" s="104"/>
      <c r="T88" s="122"/>
      <c r="U88" s="122"/>
      <c r="V88" s="122"/>
      <c r="W88" s="122"/>
      <c r="X88" s="122"/>
      <c r="Y88" s="122"/>
      <c r="Z88" s="122"/>
      <c r="AA88" s="122"/>
      <c r="AB88" s="122"/>
      <c r="AC88" s="122"/>
      <c r="AD88" s="122"/>
      <c r="AE88" s="122"/>
      <c r="AF88" s="122"/>
      <c r="AG88" s="133"/>
      <c r="AH88" s="133"/>
    </row>
    <row r="89">
      <c r="A89" s="136"/>
      <c r="B89" s="95"/>
      <c r="C89" s="97"/>
      <c r="D89" s="99"/>
      <c r="E89" s="101"/>
      <c r="F89" s="102"/>
      <c r="G89" s="95"/>
      <c r="H89" s="122"/>
      <c r="I89" s="105"/>
      <c r="J89" s="105"/>
      <c r="K89" s="122"/>
      <c r="L89" s="122"/>
      <c r="M89" s="122"/>
      <c r="N89" s="122"/>
      <c r="O89" s="122"/>
      <c r="P89" s="122"/>
      <c r="Q89" s="122"/>
      <c r="R89" s="122"/>
      <c r="S89" s="104"/>
      <c r="T89" s="122"/>
      <c r="U89" s="122"/>
      <c r="V89" s="122"/>
      <c r="W89" s="122"/>
      <c r="X89" s="122"/>
      <c r="Y89" s="122"/>
      <c r="Z89" s="122"/>
      <c r="AA89" s="122"/>
      <c r="AB89" s="122"/>
      <c r="AC89" s="122"/>
      <c r="AD89" s="122"/>
      <c r="AE89" s="122"/>
      <c r="AF89" s="122"/>
      <c r="AG89" s="133"/>
      <c r="AH89" s="133"/>
    </row>
    <row r="90">
      <c r="A90" s="136"/>
      <c r="B90" s="95"/>
      <c r="C90" s="97"/>
      <c r="D90" s="99"/>
      <c r="E90" s="101"/>
      <c r="F90" s="102"/>
      <c r="G90" s="95"/>
      <c r="H90" s="122"/>
      <c r="I90" s="105"/>
      <c r="J90" s="105"/>
      <c r="K90" s="122"/>
      <c r="L90" s="122"/>
      <c r="M90" s="122"/>
      <c r="N90" s="122"/>
      <c r="O90" s="122"/>
      <c r="P90" s="122"/>
      <c r="Q90" s="122"/>
      <c r="R90" s="122"/>
      <c r="S90" s="104"/>
      <c r="T90" s="122"/>
      <c r="U90" s="122"/>
      <c r="V90" s="122"/>
      <c r="W90" s="122"/>
      <c r="X90" s="122"/>
      <c r="Y90" s="122"/>
      <c r="Z90" s="122"/>
      <c r="AA90" s="122"/>
      <c r="AB90" s="122"/>
      <c r="AC90" s="122"/>
      <c r="AD90" s="122"/>
      <c r="AE90" s="122"/>
      <c r="AF90" s="122"/>
      <c r="AG90" s="133"/>
      <c r="AH90" s="133"/>
    </row>
    <row r="91">
      <c r="A91" s="136"/>
      <c r="B91" s="95"/>
      <c r="C91" s="97"/>
      <c r="D91" s="99"/>
      <c r="E91" s="101"/>
      <c r="F91" s="102"/>
      <c r="G91" s="95"/>
      <c r="H91" s="122"/>
      <c r="I91" s="105"/>
      <c r="J91" s="105"/>
      <c r="K91" s="122"/>
      <c r="L91" s="122"/>
      <c r="M91" s="122"/>
      <c r="N91" s="122"/>
      <c r="O91" s="122"/>
      <c r="P91" s="122"/>
      <c r="Q91" s="122"/>
      <c r="R91" s="122"/>
      <c r="S91" s="104"/>
      <c r="T91" s="122"/>
      <c r="U91" s="122"/>
      <c r="V91" s="122"/>
      <c r="W91" s="122"/>
      <c r="X91" s="122"/>
      <c r="Y91" s="122"/>
      <c r="Z91" s="122"/>
      <c r="AA91" s="122"/>
      <c r="AB91" s="122"/>
      <c r="AC91" s="122"/>
      <c r="AD91" s="122"/>
      <c r="AE91" s="122"/>
      <c r="AF91" s="122"/>
      <c r="AG91" s="133"/>
      <c r="AH91" s="133"/>
    </row>
    <row r="92">
      <c r="A92" s="136"/>
      <c r="B92" s="95"/>
      <c r="C92" s="97"/>
      <c r="D92" s="99"/>
      <c r="E92" s="101"/>
      <c r="F92" s="102"/>
      <c r="G92" s="95"/>
      <c r="H92" s="122"/>
      <c r="I92" s="105"/>
      <c r="J92" s="105"/>
      <c r="K92" s="122"/>
      <c r="L92" s="122"/>
      <c r="M92" s="122"/>
      <c r="N92" s="122"/>
      <c r="O92" s="122"/>
      <c r="P92" s="122"/>
      <c r="Q92" s="122"/>
      <c r="R92" s="122"/>
      <c r="S92" s="104"/>
      <c r="T92" s="122"/>
      <c r="U92" s="122"/>
      <c r="V92" s="122"/>
      <c r="W92" s="122"/>
      <c r="X92" s="122"/>
      <c r="Y92" s="122"/>
      <c r="Z92" s="122"/>
      <c r="AA92" s="122"/>
      <c r="AB92" s="122"/>
      <c r="AC92" s="122"/>
      <c r="AD92" s="122"/>
      <c r="AE92" s="122"/>
      <c r="AF92" s="122"/>
      <c r="AG92" s="133"/>
      <c r="AH92" s="133"/>
    </row>
    <row r="93">
      <c r="A93" s="136"/>
      <c r="B93" s="95"/>
      <c r="C93" s="97"/>
      <c r="D93" s="99"/>
      <c r="E93" s="101"/>
      <c r="F93" s="102"/>
      <c r="G93" s="95"/>
      <c r="H93" s="122"/>
      <c r="I93" s="105"/>
      <c r="J93" s="105"/>
      <c r="K93" s="122"/>
      <c r="L93" s="122"/>
      <c r="M93" s="122"/>
      <c r="N93" s="122"/>
      <c r="O93" s="122"/>
      <c r="P93" s="122"/>
      <c r="Q93" s="122"/>
      <c r="R93" s="122"/>
      <c r="S93" s="104"/>
      <c r="T93" s="122"/>
      <c r="U93" s="122"/>
      <c r="V93" s="122"/>
      <c r="W93" s="122"/>
      <c r="X93" s="122"/>
      <c r="Y93" s="122"/>
      <c r="Z93" s="122"/>
      <c r="AA93" s="122"/>
      <c r="AB93" s="122"/>
      <c r="AC93" s="122"/>
      <c r="AD93" s="122"/>
      <c r="AE93" s="122"/>
      <c r="AF93" s="122"/>
      <c r="AG93" s="133"/>
      <c r="AH93" s="133"/>
    </row>
    <row r="94">
      <c r="A94" s="136"/>
      <c r="B94" s="95"/>
      <c r="C94" s="97"/>
      <c r="D94" s="99"/>
      <c r="E94" s="101"/>
      <c r="F94" s="102"/>
      <c r="G94" s="95"/>
      <c r="H94" s="122"/>
      <c r="I94" s="105"/>
      <c r="J94" s="105"/>
      <c r="K94" s="122"/>
      <c r="L94" s="122"/>
      <c r="M94" s="122"/>
      <c r="N94" s="122"/>
      <c r="O94" s="122"/>
      <c r="P94" s="122"/>
      <c r="Q94" s="122"/>
      <c r="R94" s="122"/>
      <c r="S94" s="104"/>
      <c r="T94" s="122"/>
      <c r="U94" s="122"/>
      <c r="V94" s="122"/>
      <c r="W94" s="122"/>
      <c r="X94" s="122"/>
      <c r="Y94" s="122"/>
      <c r="Z94" s="122"/>
      <c r="AA94" s="122"/>
      <c r="AB94" s="122"/>
      <c r="AC94" s="122"/>
      <c r="AD94" s="122"/>
      <c r="AE94" s="122"/>
      <c r="AF94" s="122"/>
      <c r="AG94" s="133"/>
      <c r="AH94" s="133"/>
    </row>
    <row r="95">
      <c r="A95" s="136"/>
      <c r="B95" s="95"/>
      <c r="C95" s="97"/>
      <c r="D95" s="99"/>
      <c r="E95" s="101"/>
      <c r="F95" s="102"/>
      <c r="G95" s="95"/>
      <c r="H95" s="122"/>
      <c r="I95" s="105"/>
      <c r="J95" s="105"/>
      <c r="K95" s="122"/>
      <c r="L95" s="122"/>
      <c r="M95" s="122"/>
      <c r="N95" s="122"/>
      <c r="O95" s="122"/>
      <c r="P95" s="122"/>
      <c r="Q95" s="122"/>
      <c r="R95" s="122"/>
      <c r="S95" s="104"/>
      <c r="T95" s="122"/>
      <c r="U95" s="122"/>
      <c r="V95" s="122"/>
      <c r="W95" s="122"/>
      <c r="X95" s="122"/>
      <c r="Y95" s="122"/>
      <c r="Z95" s="122"/>
      <c r="AA95" s="122"/>
      <c r="AB95" s="122"/>
      <c r="AC95" s="122"/>
      <c r="AD95" s="122"/>
      <c r="AE95" s="122"/>
      <c r="AF95" s="122"/>
      <c r="AG95" s="133"/>
      <c r="AH95" s="133"/>
    </row>
    <row r="96">
      <c r="A96" s="136"/>
      <c r="B96" s="95"/>
      <c r="C96" s="97"/>
      <c r="D96" s="99"/>
      <c r="E96" s="101"/>
      <c r="F96" s="102"/>
      <c r="G96" s="95"/>
      <c r="H96" s="122"/>
      <c r="I96" s="105"/>
      <c r="J96" s="105"/>
      <c r="K96" s="122"/>
      <c r="L96" s="122"/>
      <c r="M96" s="122"/>
      <c r="N96" s="122"/>
      <c r="O96" s="122"/>
      <c r="P96" s="122"/>
      <c r="Q96" s="122"/>
      <c r="R96" s="122"/>
      <c r="S96" s="104"/>
      <c r="T96" s="122"/>
      <c r="U96" s="122"/>
      <c r="V96" s="122"/>
      <c r="W96" s="122"/>
      <c r="X96" s="122"/>
      <c r="Y96" s="122"/>
      <c r="Z96" s="122"/>
      <c r="AA96" s="122"/>
      <c r="AB96" s="122"/>
      <c r="AC96" s="122"/>
      <c r="AD96" s="122"/>
      <c r="AE96" s="122"/>
      <c r="AF96" s="122"/>
      <c r="AG96" s="133"/>
      <c r="AH96" s="133"/>
    </row>
    <row r="97">
      <c r="A97" s="136"/>
      <c r="B97" s="95"/>
      <c r="C97" s="97"/>
      <c r="D97" s="99"/>
      <c r="E97" s="101"/>
      <c r="F97" s="102"/>
      <c r="G97" s="95"/>
      <c r="H97" s="122"/>
      <c r="I97" s="105"/>
      <c r="J97" s="105"/>
      <c r="K97" s="122"/>
      <c r="L97" s="122"/>
      <c r="M97" s="122"/>
      <c r="N97" s="122"/>
      <c r="O97" s="122"/>
      <c r="P97" s="122"/>
      <c r="Q97" s="122"/>
      <c r="R97" s="122"/>
      <c r="S97" s="104"/>
      <c r="T97" s="122"/>
      <c r="U97" s="122"/>
      <c r="V97" s="122"/>
      <c r="W97" s="122"/>
      <c r="X97" s="122"/>
      <c r="Y97" s="122"/>
      <c r="Z97" s="122"/>
      <c r="AA97" s="122"/>
      <c r="AB97" s="122"/>
      <c r="AC97" s="122"/>
      <c r="AD97" s="122"/>
      <c r="AE97" s="122"/>
      <c r="AF97" s="122"/>
      <c r="AG97" s="133"/>
      <c r="AH97" s="133"/>
    </row>
    <row r="98">
      <c r="A98" s="136"/>
      <c r="B98" s="95"/>
      <c r="C98" s="97"/>
      <c r="D98" s="99"/>
      <c r="E98" s="101"/>
      <c r="F98" s="102"/>
      <c r="G98" s="95"/>
      <c r="H98" s="122"/>
      <c r="I98" s="105"/>
      <c r="J98" s="105"/>
      <c r="K98" s="122"/>
      <c r="L98" s="122"/>
      <c r="M98" s="122"/>
      <c r="N98" s="122"/>
      <c r="O98" s="122"/>
      <c r="P98" s="122"/>
      <c r="Q98" s="122"/>
      <c r="R98" s="122"/>
      <c r="S98" s="104"/>
      <c r="T98" s="122"/>
      <c r="U98" s="122"/>
      <c r="V98" s="122"/>
      <c r="W98" s="122"/>
      <c r="X98" s="122"/>
      <c r="Y98" s="122"/>
      <c r="Z98" s="122"/>
      <c r="AA98" s="122"/>
      <c r="AB98" s="122"/>
      <c r="AC98" s="122"/>
      <c r="AD98" s="122"/>
      <c r="AE98" s="122"/>
      <c r="AF98" s="122"/>
      <c r="AG98" s="133"/>
      <c r="AH98" s="133"/>
    </row>
    <row r="99">
      <c r="A99" s="136"/>
      <c r="B99" s="95"/>
      <c r="C99" s="97"/>
      <c r="D99" s="99"/>
      <c r="E99" s="101"/>
      <c r="F99" s="102"/>
      <c r="G99" s="95"/>
      <c r="H99" s="122"/>
      <c r="I99" s="105"/>
      <c r="J99" s="105"/>
      <c r="K99" s="122"/>
      <c r="L99" s="122"/>
      <c r="M99" s="122"/>
      <c r="N99" s="122"/>
      <c r="O99" s="122"/>
      <c r="P99" s="122"/>
      <c r="Q99" s="122"/>
      <c r="R99" s="122"/>
      <c r="S99" s="104"/>
      <c r="T99" s="122"/>
      <c r="U99" s="122"/>
      <c r="V99" s="122"/>
      <c r="W99" s="122"/>
      <c r="X99" s="122"/>
      <c r="Y99" s="122"/>
      <c r="Z99" s="122"/>
      <c r="AA99" s="122"/>
      <c r="AB99" s="122"/>
      <c r="AC99" s="122"/>
      <c r="AD99" s="122"/>
      <c r="AE99" s="122"/>
      <c r="AF99" s="122"/>
      <c r="AG99" s="133"/>
      <c r="AH99" s="133"/>
    </row>
    <row r="100">
      <c r="A100" s="136"/>
      <c r="B100" s="95"/>
      <c r="C100" s="97"/>
      <c r="D100" s="99"/>
      <c r="E100" s="101"/>
      <c r="F100" s="102"/>
      <c r="G100" s="95"/>
      <c r="H100" s="122"/>
      <c r="I100" s="105"/>
      <c r="J100" s="105"/>
      <c r="K100" s="122"/>
      <c r="L100" s="122"/>
      <c r="M100" s="122"/>
      <c r="N100" s="122"/>
      <c r="O100" s="122"/>
      <c r="P100" s="122"/>
      <c r="Q100" s="122"/>
      <c r="R100" s="122"/>
      <c r="S100" s="104"/>
      <c r="T100" s="122"/>
      <c r="U100" s="122"/>
      <c r="V100" s="122"/>
      <c r="W100" s="122"/>
      <c r="X100" s="122"/>
      <c r="Y100" s="122"/>
      <c r="Z100" s="122"/>
      <c r="AA100" s="122"/>
      <c r="AB100" s="122"/>
      <c r="AC100" s="122"/>
      <c r="AD100" s="122"/>
      <c r="AE100" s="122"/>
      <c r="AF100" s="122"/>
      <c r="AG100" s="133"/>
      <c r="AH100" s="133"/>
    </row>
    <row r="101">
      <c r="A101" s="136"/>
      <c r="B101" s="95"/>
      <c r="C101" s="97"/>
      <c r="D101" s="99"/>
      <c r="E101" s="101"/>
      <c r="F101" s="102"/>
      <c r="G101" s="95"/>
      <c r="H101" s="122"/>
      <c r="I101" s="105"/>
      <c r="J101" s="105"/>
      <c r="K101" s="122"/>
      <c r="L101" s="122"/>
      <c r="M101" s="122"/>
      <c r="N101" s="122"/>
      <c r="O101" s="122"/>
      <c r="P101" s="122"/>
      <c r="Q101" s="122"/>
      <c r="R101" s="122"/>
      <c r="S101" s="104"/>
      <c r="T101" s="122"/>
      <c r="U101" s="122"/>
      <c r="V101" s="122"/>
      <c r="W101" s="122"/>
      <c r="X101" s="122"/>
      <c r="Y101" s="122"/>
      <c r="Z101" s="122"/>
      <c r="AA101" s="122"/>
      <c r="AB101" s="122"/>
      <c r="AC101" s="122"/>
      <c r="AD101" s="122"/>
      <c r="AE101" s="122"/>
      <c r="AF101" s="122"/>
      <c r="AG101" s="133"/>
      <c r="AH101" s="133"/>
    </row>
    <row r="102">
      <c r="A102" s="136"/>
      <c r="B102" s="95"/>
      <c r="C102" s="97"/>
      <c r="D102" s="99"/>
      <c r="E102" s="101"/>
      <c r="F102" s="102"/>
      <c r="G102" s="95"/>
      <c r="H102" s="122"/>
      <c r="I102" s="105"/>
      <c r="J102" s="105"/>
      <c r="K102" s="122"/>
      <c r="L102" s="122"/>
      <c r="M102" s="122"/>
      <c r="N102" s="122"/>
      <c r="O102" s="122"/>
      <c r="P102" s="122"/>
      <c r="Q102" s="122"/>
      <c r="R102" s="122"/>
      <c r="S102" s="104"/>
      <c r="T102" s="122"/>
      <c r="U102" s="122"/>
      <c r="V102" s="122"/>
      <c r="W102" s="122"/>
      <c r="X102" s="122"/>
      <c r="Y102" s="122"/>
      <c r="Z102" s="122"/>
      <c r="AA102" s="122"/>
      <c r="AB102" s="122"/>
      <c r="AC102" s="122"/>
      <c r="AD102" s="122"/>
      <c r="AE102" s="122"/>
      <c r="AF102" s="122"/>
      <c r="AG102" s="133"/>
      <c r="AH102" s="133"/>
    </row>
    <row r="103">
      <c r="A103" s="136"/>
      <c r="B103" s="95"/>
      <c r="C103" s="97"/>
      <c r="D103" s="99"/>
      <c r="E103" s="101"/>
      <c r="F103" s="102"/>
      <c r="G103" s="95"/>
      <c r="H103" s="122"/>
      <c r="I103" s="105"/>
      <c r="J103" s="105"/>
      <c r="K103" s="122"/>
      <c r="L103" s="122"/>
      <c r="M103" s="122"/>
      <c r="N103" s="122"/>
      <c r="O103" s="122"/>
      <c r="P103" s="122"/>
      <c r="Q103" s="122"/>
      <c r="R103" s="122"/>
      <c r="S103" s="104"/>
      <c r="T103" s="122"/>
      <c r="U103" s="122"/>
      <c r="V103" s="122"/>
      <c r="W103" s="122"/>
      <c r="X103" s="122"/>
      <c r="Y103" s="122"/>
      <c r="Z103" s="122"/>
      <c r="AA103" s="122"/>
      <c r="AB103" s="122"/>
      <c r="AC103" s="122"/>
      <c r="AD103" s="122"/>
      <c r="AE103" s="122"/>
      <c r="AF103" s="122"/>
      <c r="AG103" s="133"/>
      <c r="AH103" s="133"/>
    </row>
    <row r="104">
      <c r="A104" s="136"/>
      <c r="B104" s="95"/>
      <c r="C104" s="97"/>
      <c r="D104" s="99"/>
      <c r="E104" s="101"/>
      <c r="F104" s="102"/>
      <c r="G104" s="95"/>
      <c r="H104" s="122"/>
      <c r="I104" s="105"/>
      <c r="J104" s="105"/>
      <c r="K104" s="122"/>
      <c r="L104" s="122"/>
      <c r="M104" s="122"/>
      <c r="N104" s="122"/>
      <c r="O104" s="122"/>
      <c r="P104" s="122"/>
      <c r="Q104" s="122"/>
      <c r="R104" s="122"/>
      <c r="S104" s="104"/>
      <c r="T104" s="122"/>
      <c r="U104" s="122"/>
      <c r="V104" s="122"/>
      <c r="W104" s="122"/>
      <c r="X104" s="122"/>
      <c r="Y104" s="122"/>
      <c r="Z104" s="122"/>
      <c r="AA104" s="122"/>
      <c r="AB104" s="122"/>
      <c r="AC104" s="122"/>
      <c r="AD104" s="122"/>
      <c r="AE104" s="122"/>
      <c r="AF104" s="122"/>
      <c r="AG104" s="133"/>
      <c r="AH104" s="133"/>
    </row>
    <row r="105">
      <c r="A105" s="136"/>
      <c r="B105" s="95"/>
      <c r="C105" s="97"/>
      <c r="D105" s="99"/>
      <c r="E105" s="101"/>
      <c r="F105" s="102"/>
      <c r="G105" s="95"/>
      <c r="H105" s="122"/>
      <c r="I105" s="105"/>
      <c r="J105" s="105"/>
      <c r="K105" s="122"/>
      <c r="L105" s="122"/>
      <c r="M105" s="122"/>
      <c r="N105" s="122"/>
      <c r="O105" s="122"/>
      <c r="P105" s="122"/>
      <c r="Q105" s="122"/>
      <c r="R105" s="122"/>
      <c r="S105" s="104"/>
      <c r="T105" s="122"/>
      <c r="U105" s="122"/>
      <c r="V105" s="122"/>
      <c r="W105" s="122"/>
      <c r="X105" s="122"/>
      <c r="Y105" s="122"/>
      <c r="Z105" s="122"/>
      <c r="AA105" s="122"/>
      <c r="AB105" s="122"/>
      <c r="AC105" s="122"/>
      <c r="AD105" s="122"/>
      <c r="AE105" s="122"/>
      <c r="AF105" s="122"/>
      <c r="AG105" s="133"/>
      <c r="AH105" s="133"/>
    </row>
    <row r="106">
      <c r="A106" s="136"/>
      <c r="B106" s="95"/>
      <c r="C106" s="97"/>
      <c r="D106" s="99"/>
      <c r="E106" s="101"/>
      <c r="F106" s="102"/>
      <c r="G106" s="95"/>
      <c r="H106" s="122"/>
      <c r="I106" s="105"/>
      <c r="J106" s="105"/>
      <c r="K106" s="122"/>
      <c r="L106" s="122"/>
      <c r="M106" s="122"/>
      <c r="N106" s="122"/>
      <c r="O106" s="122"/>
      <c r="P106" s="122"/>
      <c r="Q106" s="122"/>
      <c r="R106" s="122"/>
      <c r="S106" s="104"/>
      <c r="T106" s="122"/>
      <c r="U106" s="122"/>
      <c r="V106" s="122"/>
      <c r="W106" s="122"/>
      <c r="X106" s="122"/>
      <c r="Y106" s="122"/>
      <c r="Z106" s="122"/>
      <c r="AA106" s="122"/>
      <c r="AB106" s="122"/>
      <c r="AC106" s="122"/>
      <c r="AD106" s="122"/>
      <c r="AE106" s="122"/>
      <c r="AF106" s="122"/>
      <c r="AG106" s="133"/>
      <c r="AH106" s="133"/>
    </row>
    <row r="107">
      <c r="A107" s="136"/>
      <c r="B107" s="95"/>
      <c r="C107" s="97"/>
      <c r="D107" s="99"/>
      <c r="E107" s="101"/>
      <c r="F107" s="102"/>
      <c r="G107" s="95"/>
      <c r="H107" s="122"/>
      <c r="I107" s="105"/>
      <c r="J107" s="105"/>
      <c r="K107" s="122"/>
      <c r="L107" s="122"/>
      <c r="M107" s="122"/>
      <c r="N107" s="122"/>
      <c r="O107" s="122"/>
      <c r="P107" s="122"/>
      <c r="Q107" s="122"/>
      <c r="R107" s="122"/>
      <c r="S107" s="104"/>
      <c r="T107" s="122"/>
      <c r="U107" s="122"/>
      <c r="V107" s="122"/>
      <c r="W107" s="122"/>
      <c r="X107" s="122"/>
      <c r="Y107" s="122"/>
      <c r="Z107" s="122"/>
      <c r="AA107" s="122"/>
      <c r="AB107" s="122"/>
      <c r="AC107" s="122"/>
      <c r="AD107" s="122"/>
      <c r="AE107" s="122"/>
      <c r="AF107" s="122"/>
      <c r="AG107" s="133"/>
      <c r="AH107" s="133"/>
    </row>
    <row r="108">
      <c r="A108" s="136"/>
      <c r="B108" s="95"/>
      <c r="C108" s="97"/>
      <c r="D108" s="99"/>
      <c r="E108" s="101"/>
      <c r="F108" s="102"/>
      <c r="G108" s="95"/>
      <c r="H108" s="122"/>
      <c r="I108" s="105"/>
      <c r="J108" s="105"/>
      <c r="K108" s="122"/>
      <c r="L108" s="122"/>
      <c r="M108" s="122"/>
      <c r="N108" s="122"/>
      <c r="O108" s="122"/>
      <c r="P108" s="122"/>
      <c r="Q108" s="122"/>
      <c r="R108" s="122"/>
      <c r="S108" s="104"/>
      <c r="T108" s="122"/>
      <c r="U108" s="122"/>
      <c r="V108" s="122"/>
      <c r="W108" s="122"/>
      <c r="X108" s="122"/>
      <c r="Y108" s="122"/>
      <c r="Z108" s="122"/>
      <c r="AA108" s="122"/>
      <c r="AB108" s="122"/>
      <c r="AC108" s="122"/>
      <c r="AD108" s="122"/>
      <c r="AE108" s="122"/>
      <c r="AF108" s="122"/>
      <c r="AG108" s="133"/>
      <c r="AH108" s="133"/>
    </row>
    <row r="109">
      <c r="A109" s="136"/>
      <c r="B109" s="95"/>
      <c r="C109" s="97"/>
      <c r="D109" s="99"/>
      <c r="E109" s="101"/>
      <c r="F109" s="102"/>
      <c r="G109" s="95"/>
      <c r="H109" s="122"/>
      <c r="I109" s="105"/>
      <c r="J109" s="105"/>
      <c r="K109" s="122"/>
      <c r="L109" s="122"/>
      <c r="M109" s="122"/>
      <c r="N109" s="122"/>
      <c r="O109" s="122"/>
      <c r="P109" s="122"/>
      <c r="Q109" s="122"/>
      <c r="R109" s="122"/>
      <c r="S109" s="104"/>
      <c r="T109" s="122"/>
      <c r="U109" s="122"/>
      <c r="V109" s="122"/>
      <c r="W109" s="122"/>
      <c r="X109" s="122"/>
      <c r="Y109" s="122"/>
      <c r="Z109" s="122"/>
      <c r="AA109" s="122"/>
      <c r="AB109" s="122"/>
      <c r="AC109" s="122"/>
      <c r="AD109" s="122"/>
      <c r="AE109" s="122"/>
      <c r="AF109" s="122"/>
      <c r="AG109" s="133"/>
      <c r="AH109" s="133"/>
    </row>
    <row r="110">
      <c r="A110" s="136"/>
      <c r="B110" s="95"/>
      <c r="C110" s="97"/>
      <c r="D110" s="99"/>
      <c r="E110" s="101"/>
      <c r="F110" s="102"/>
      <c r="G110" s="95"/>
      <c r="H110" s="122"/>
      <c r="I110" s="105"/>
      <c r="J110" s="105"/>
      <c r="K110" s="122"/>
      <c r="L110" s="122"/>
      <c r="M110" s="122"/>
      <c r="N110" s="122"/>
      <c r="O110" s="122"/>
      <c r="P110" s="122"/>
      <c r="Q110" s="122"/>
      <c r="R110" s="122"/>
      <c r="S110" s="104"/>
      <c r="T110" s="122"/>
      <c r="U110" s="122"/>
      <c r="V110" s="122"/>
      <c r="W110" s="122"/>
      <c r="X110" s="122"/>
      <c r="Y110" s="122"/>
      <c r="Z110" s="122"/>
      <c r="AA110" s="122"/>
      <c r="AB110" s="122"/>
      <c r="AC110" s="122"/>
      <c r="AD110" s="122"/>
      <c r="AE110" s="122"/>
      <c r="AF110" s="122"/>
      <c r="AG110" s="133"/>
      <c r="AH110" s="133"/>
    </row>
    <row r="111">
      <c r="A111" s="136"/>
      <c r="B111" s="95"/>
      <c r="C111" s="97"/>
      <c r="D111" s="99"/>
      <c r="E111" s="101"/>
      <c r="F111" s="102"/>
      <c r="G111" s="95"/>
      <c r="H111" s="122"/>
      <c r="I111" s="105"/>
      <c r="J111" s="105"/>
      <c r="K111" s="122"/>
      <c r="L111" s="122"/>
      <c r="M111" s="122"/>
      <c r="N111" s="122"/>
      <c r="O111" s="122"/>
      <c r="P111" s="122"/>
      <c r="Q111" s="122"/>
      <c r="R111" s="122"/>
      <c r="S111" s="104"/>
      <c r="T111" s="122"/>
      <c r="U111" s="122"/>
      <c r="V111" s="122"/>
      <c r="W111" s="122"/>
      <c r="X111" s="122"/>
      <c r="Y111" s="122"/>
      <c r="Z111" s="122"/>
      <c r="AA111" s="122"/>
      <c r="AB111" s="122"/>
      <c r="AC111" s="122"/>
      <c r="AD111" s="122"/>
      <c r="AE111" s="122"/>
      <c r="AF111" s="122"/>
      <c r="AG111" s="133"/>
      <c r="AH111" s="133"/>
    </row>
    <row r="112">
      <c r="A112" s="136"/>
      <c r="B112" s="95"/>
      <c r="C112" s="97"/>
      <c r="D112" s="99"/>
      <c r="E112" s="101"/>
      <c r="F112" s="102"/>
      <c r="G112" s="95"/>
      <c r="H112" s="122"/>
      <c r="I112" s="105"/>
      <c r="J112" s="105"/>
      <c r="K112" s="122"/>
      <c r="L112" s="122"/>
      <c r="M112" s="122"/>
      <c r="N112" s="122"/>
      <c r="O112" s="122"/>
      <c r="P112" s="122"/>
      <c r="Q112" s="122"/>
      <c r="R112" s="122"/>
      <c r="S112" s="104"/>
      <c r="T112" s="122"/>
      <c r="U112" s="122"/>
      <c r="V112" s="122"/>
      <c r="W112" s="122"/>
      <c r="X112" s="122"/>
      <c r="Y112" s="122"/>
      <c r="Z112" s="122"/>
      <c r="AA112" s="122"/>
      <c r="AB112" s="122"/>
      <c r="AC112" s="122"/>
      <c r="AD112" s="122"/>
      <c r="AE112" s="122"/>
      <c r="AF112" s="122"/>
      <c r="AG112" s="133"/>
      <c r="AH112" s="133"/>
    </row>
    <row r="113">
      <c r="A113" s="136"/>
      <c r="B113" s="95"/>
      <c r="C113" s="97"/>
      <c r="D113" s="99"/>
      <c r="E113" s="101"/>
      <c r="F113" s="102"/>
      <c r="G113" s="95"/>
      <c r="H113" s="122"/>
      <c r="I113" s="105"/>
      <c r="J113" s="105"/>
      <c r="K113" s="122"/>
      <c r="L113" s="122"/>
      <c r="M113" s="122"/>
      <c r="N113" s="122"/>
      <c r="O113" s="122"/>
      <c r="P113" s="122"/>
      <c r="Q113" s="122"/>
      <c r="R113" s="122"/>
      <c r="S113" s="104"/>
      <c r="T113" s="122"/>
      <c r="U113" s="122"/>
      <c r="V113" s="122"/>
      <c r="W113" s="122"/>
      <c r="X113" s="122"/>
      <c r="Y113" s="122"/>
      <c r="Z113" s="122"/>
      <c r="AA113" s="122"/>
      <c r="AB113" s="122"/>
      <c r="AC113" s="122"/>
      <c r="AD113" s="122"/>
      <c r="AE113" s="122"/>
      <c r="AF113" s="122"/>
      <c r="AG113" s="133"/>
      <c r="AH113" s="133"/>
    </row>
    <row r="114">
      <c r="A114" s="136"/>
      <c r="B114" s="95"/>
      <c r="C114" s="97"/>
      <c r="D114" s="99"/>
      <c r="E114" s="101"/>
      <c r="F114" s="102"/>
      <c r="G114" s="95"/>
      <c r="H114" s="122"/>
      <c r="I114" s="105"/>
      <c r="J114" s="105"/>
      <c r="K114" s="122"/>
      <c r="L114" s="122"/>
      <c r="M114" s="122"/>
      <c r="N114" s="122"/>
      <c r="O114" s="122"/>
      <c r="P114" s="122"/>
      <c r="Q114" s="122"/>
      <c r="R114" s="122"/>
      <c r="S114" s="104"/>
      <c r="T114" s="122"/>
      <c r="U114" s="122"/>
      <c r="V114" s="122"/>
      <c r="W114" s="122"/>
      <c r="X114" s="122"/>
      <c r="Y114" s="122"/>
      <c r="Z114" s="122"/>
      <c r="AA114" s="122"/>
      <c r="AB114" s="122"/>
      <c r="AC114" s="122"/>
      <c r="AD114" s="122"/>
      <c r="AE114" s="122"/>
      <c r="AF114" s="122"/>
      <c r="AG114" s="133"/>
      <c r="AH114" s="133"/>
    </row>
    <row r="115">
      <c r="A115" s="136"/>
      <c r="B115" s="95"/>
      <c r="C115" s="97"/>
      <c r="D115" s="99"/>
      <c r="E115" s="101"/>
      <c r="F115" s="102"/>
      <c r="G115" s="95"/>
      <c r="H115" s="122"/>
      <c r="I115" s="105"/>
      <c r="J115" s="105"/>
      <c r="K115" s="122"/>
      <c r="L115" s="122"/>
      <c r="M115" s="122"/>
      <c r="N115" s="122"/>
      <c r="O115" s="122"/>
      <c r="P115" s="122"/>
      <c r="Q115" s="122"/>
      <c r="R115" s="122"/>
      <c r="S115" s="104"/>
      <c r="T115" s="122"/>
      <c r="U115" s="122"/>
      <c r="V115" s="122"/>
      <c r="W115" s="122"/>
      <c r="X115" s="122"/>
      <c r="Y115" s="122"/>
      <c r="Z115" s="122"/>
      <c r="AA115" s="122"/>
      <c r="AB115" s="122"/>
      <c r="AC115" s="122"/>
      <c r="AD115" s="122"/>
      <c r="AE115" s="122"/>
      <c r="AF115" s="122"/>
      <c r="AG115" s="133"/>
      <c r="AH115" s="133"/>
    </row>
    <row r="116">
      <c r="A116" s="136"/>
      <c r="B116" s="95"/>
      <c r="C116" s="97"/>
      <c r="D116" s="99"/>
      <c r="E116" s="101"/>
      <c r="F116" s="102"/>
      <c r="G116" s="95"/>
      <c r="H116" s="122"/>
      <c r="I116" s="105"/>
      <c r="J116" s="105"/>
      <c r="K116" s="122"/>
      <c r="L116" s="122"/>
      <c r="M116" s="122"/>
      <c r="N116" s="122"/>
      <c r="O116" s="122"/>
      <c r="P116" s="122"/>
      <c r="Q116" s="122"/>
      <c r="R116" s="122"/>
      <c r="S116" s="104"/>
      <c r="T116" s="122"/>
      <c r="U116" s="122"/>
      <c r="V116" s="122"/>
      <c r="W116" s="122"/>
      <c r="X116" s="122"/>
      <c r="Y116" s="122"/>
      <c r="Z116" s="122"/>
      <c r="AA116" s="122"/>
      <c r="AB116" s="122"/>
      <c r="AC116" s="122"/>
      <c r="AD116" s="122"/>
      <c r="AE116" s="122"/>
      <c r="AF116" s="122"/>
      <c r="AG116" s="133"/>
      <c r="AH116" s="133"/>
    </row>
    <row r="117">
      <c r="A117" s="136"/>
      <c r="B117" s="95"/>
      <c r="C117" s="97"/>
      <c r="D117" s="99"/>
      <c r="E117" s="101"/>
      <c r="F117" s="102"/>
      <c r="G117" s="95"/>
      <c r="H117" s="122"/>
      <c r="I117" s="105"/>
      <c r="J117" s="105"/>
      <c r="K117" s="122"/>
      <c r="L117" s="122"/>
      <c r="M117" s="122"/>
      <c r="N117" s="122"/>
      <c r="O117" s="122"/>
      <c r="P117" s="122"/>
      <c r="Q117" s="122"/>
      <c r="R117" s="122"/>
      <c r="S117" s="104"/>
      <c r="T117" s="122"/>
      <c r="U117" s="122"/>
      <c r="V117" s="122"/>
      <c r="W117" s="122"/>
      <c r="X117" s="122"/>
      <c r="Y117" s="122"/>
      <c r="Z117" s="122"/>
      <c r="AA117" s="122"/>
      <c r="AB117" s="122"/>
      <c r="AC117" s="122"/>
      <c r="AD117" s="122"/>
      <c r="AE117" s="122"/>
      <c r="AF117" s="122"/>
      <c r="AG117" s="133"/>
      <c r="AH117" s="133"/>
    </row>
    <row r="118">
      <c r="A118" s="136"/>
      <c r="B118" s="95"/>
      <c r="C118" s="97"/>
      <c r="D118" s="99"/>
      <c r="E118" s="101"/>
      <c r="F118" s="102"/>
      <c r="G118" s="95"/>
      <c r="H118" s="122"/>
      <c r="I118" s="105"/>
      <c r="J118" s="105"/>
      <c r="K118" s="122"/>
      <c r="L118" s="122"/>
      <c r="M118" s="122"/>
      <c r="N118" s="122"/>
      <c r="O118" s="122"/>
      <c r="P118" s="122"/>
      <c r="Q118" s="122"/>
      <c r="R118" s="122"/>
      <c r="S118" s="104"/>
      <c r="T118" s="122"/>
      <c r="U118" s="122"/>
      <c r="V118" s="122"/>
      <c r="W118" s="122"/>
      <c r="X118" s="122"/>
      <c r="Y118" s="122"/>
      <c r="Z118" s="122"/>
      <c r="AA118" s="122"/>
      <c r="AB118" s="122"/>
      <c r="AC118" s="122"/>
      <c r="AD118" s="122"/>
      <c r="AE118" s="122"/>
      <c r="AF118" s="122"/>
      <c r="AG118" s="133"/>
      <c r="AH118" s="133"/>
    </row>
    <row r="119">
      <c r="A119" s="136"/>
      <c r="B119" s="95"/>
      <c r="C119" s="97"/>
      <c r="D119" s="99"/>
      <c r="E119" s="101"/>
      <c r="F119" s="102"/>
      <c r="G119" s="95"/>
      <c r="H119" s="122"/>
      <c r="I119" s="105"/>
      <c r="J119" s="105"/>
      <c r="K119" s="122"/>
      <c r="L119" s="122"/>
      <c r="M119" s="122"/>
      <c r="N119" s="122"/>
      <c r="O119" s="122"/>
      <c r="P119" s="122"/>
      <c r="Q119" s="122"/>
      <c r="R119" s="122"/>
      <c r="S119" s="104"/>
      <c r="T119" s="122"/>
      <c r="U119" s="122"/>
      <c r="V119" s="122"/>
      <c r="W119" s="122"/>
      <c r="X119" s="122"/>
      <c r="Y119" s="122"/>
      <c r="Z119" s="122"/>
      <c r="AA119" s="122"/>
      <c r="AB119" s="122"/>
      <c r="AC119" s="122"/>
      <c r="AD119" s="122"/>
      <c r="AE119" s="122"/>
      <c r="AF119" s="122"/>
      <c r="AG119" s="133"/>
      <c r="AH119" s="133"/>
    </row>
    <row r="120">
      <c r="A120" s="136"/>
      <c r="B120" s="95"/>
      <c r="C120" s="97"/>
      <c r="D120" s="99"/>
      <c r="E120" s="101"/>
      <c r="F120" s="102"/>
      <c r="G120" s="95"/>
      <c r="H120" s="122"/>
      <c r="I120" s="105"/>
      <c r="J120" s="105"/>
      <c r="K120" s="122"/>
      <c r="L120" s="122"/>
      <c r="M120" s="122"/>
      <c r="N120" s="122"/>
      <c r="O120" s="122"/>
      <c r="P120" s="122"/>
      <c r="Q120" s="122"/>
      <c r="R120" s="122"/>
      <c r="S120" s="104"/>
      <c r="T120" s="122"/>
      <c r="U120" s="122"/>
      <c r="V120" s="122"/>
      <c r="W120" s="122"/>
      <c r="X120" s="122"/>
      <c r="Y120" s="122"/>
      <c r="Z120" s="122"/>
      <c r="AA120" s="122"/>
      <c r="AB120" s="122"/>
      <c r="AC120" s="122"/>
      <c r="AD120" s="122"/>
      <c r="AE120" s="122"/>
      <c r="AF120" s="122"/>
      <c r="AG120" s="133"/>
      <c r="AH120" s="133"/>
    </row>
    <row r="121">
      <c r="A121" s="136"/>
      <c r="B121" s="95"/>
      <c r="C121" s="97"/>
      <c r="D121" s="99"/>
      <c r="E121" s="101"/>
      <c r="F121" s="102"/>
      <c r="G121" s="95"/>
      <c r="H121" s="122"/>
      <c r="I121" s="105"/>
      <c r="J121" s="105"/>
      <c r="K121" s="122"/>
      <c r="L121" s="122"/>
      <c r="M121" s="122"/>
      <c r="N121" s="122"/>
      <c r="O121" s="122"/>
      <c r="P121" s="122"/>
      <c r="Q121" s="122"/>
      <c r="R121" s="122"/>
      <c r="S121" s="104"/>
      <c r="T121" s="122"/>
      <c r="U121" s="122"/>
      <c r="V121" s="122"/>
      <c r="W121" s="122"/>
      <c r="X121" s="122"/>
      <c r="Y121" s="122"/>
      <c r="Z121" s="122"/>
      <c r="AA121" s="122"/>
      <c r="AB121" s="122"/>
      <c r="AC121" s="122"/>
      <c r="AD121" s="122"/>
      <c r="AE121" s="122"/>
      <c r="AF121" s="122"/>
      <c r="AG121" s="133"/>
      <c r="AH121" s="133"/>
    </row>
    <row r="122">
      <c r="A122" s="136"/>
      <c r="B122" s="95"/>
      <c r="C122" s="97"/>
      <c r="D122" s="99"/>
      <c r="E122" s="101"/>
      <c r="F122" s="102"/>
      <c r="G122" s="95"/>
      <c r="H122" s="122"/>
      <c r="I122" s="105"/>
      <c r="J122" s="105"/>
      <c r="K122" s="122"/>
      <c r="L122" s="122"/>
      <c r="M122" s="122"/>
      <c r="N122" s="122"/>
      <c r="O122" s="122"/>
      <c r="P122" s="122"/>
      <c r="Q122" s="122"/>
      <c r="R122" s="122"/>
      <c r="S122" s="104"/>
      <c r="T122" s="122"/>
      <c r="U122" s="122"/>
      <c r="V122" s="122"/>
      <c r="W122" s="122"/>
      <c r="X122" s="122"/>
      <c r="Y122" s="122"/>
      <c r="Z122" s="122"/>
      <c r="AA122" s="122"/>
      <c r="AB122" s="122"/>
      <c r="AC122" s="122"/>
      <c r="AD122" s="122"/>
      <c r="AE122" s="122"/>
      <c r="AF122" s="122"/>
      <c r="AG122" s="133"/>
      <c r="AH122" s="133"/>
    </row>
    <row r="123">
      <c r="A123" s="136"/>
      <c r="B123" s="95"/>
      <c r="C123" s="97"/>
      <c r="D123" s="99"/>
      <c r="E123" s="101"/>
      <c r="F123" s="102"/>
      <c r="G123" s="95"/>
      <c r="H123" s="122"/>
      <c r="I123" s="105"/>
      <c r="J123" s="105"/>
      <c r="K123" s="122"/>
      <c r="L123" s="122"/>
      <c r="M123" s="122"/>
      <c r="N123" s="122"/>
      <c r="O123" s="122"/>
      <c r="P123" s="122"/>
      <c r="Q123" s="122"/>
      <c r="R123" s="122"/>
      <c r="S123" s="104"/>
      <c r="T123" s="122"/>
      <c r="U123" s="122"/>
      <c r="V123" s="122"/>
      <c r="W123" s="122"/>
      <c r="X123" s="122"/>
      <c r="Y123" s="122"/>
      <c r="Z123" s="122"/>
      <c r="AA123" s="122"/>
      <c r="AB123" s="122"/>
      <c r="AC123" s="122"/>
      <c r="AD123" s="122"/>
      <c r="AE123" s="122"/>
      <c r="AF123" s="122"/>
      <c r="AG123" s="133"/>
      <c r="AH123" s="133"/>
    </row>
    <row r="124">
      <c r="A124" s="136"/>
      <c r="B124" s="95"/>
      <c r="C124" s="97"/>
      <c r="D124" s="99"/>
      <c r="E124" s="101"/>
      <c r="F124" s="102"/>
      <c r="G124" s="95"/>
      <c r="H124" s="122"/>
      <c r="I124" s="105"/>
      <c r="J124" s="105"/>
      <c r="K124" s="122"/>
      <c r="L124" s="122"/>
      <c r="M124" s="122"/>
      <c r="N124" s="122"/>
      <c r="O124" s="122"/>
      <c r="P124" s="122"/>
      <c r="Q124" s="122"/>
      <c r="R124" s="122"/>
      <c r="S124" s="104"/>
      <c r="T124" s="122"/>
      <c r="U124" s="122"/>
      <c r="V124" s="122"/>
      <c r="W124" s="122"/>
      <c r="X124" s="122"/>
      <c r="Y124" s="122"/>
      <c r="Z124" s="122"/>
      <c r="AA124" s="122"/>
      <c r="AB124" s="122"/>
      <c r="AC124" s="122"/>
      <c r="AD124" s="122"/>
      <c r="AE124" s="122"/>
      <c r="AF124" s="122"/>
      <c r="AG124" s="133"/>
      <c r="AH124" s="133"/>
    </row>
    <row r="125">
      <c r="A125" s="136"/>
      <c r="B125" s="95"/>
      <c r="C125" s="97"/>
      <c r="D125" s="99"/>
      <c r="E125" s="101"/>
      <c r="F125" s="102"/>
      <c r="G125" s="95"/>
      <c r="H125" s="122"/>
      <c r="I125" s="105"/>
      <c r="J125" s="105"/>
      <c r="K125" s="122"/>
      <c r="L125" s="122"/>
      <c r="M125" s="122"/>
      <c r="N125" s="122"/>
      <c r="O125" s="122"/>
      <c r="P125" s="122"/>
      <c r="Q125" s="122"/>
      <c r="R125" s="122"/>
      <c r="S125" s="104"/>
      <c r="T125" s="122"/>
      <c r="U125" s="122"/>
      <c r="V125" s="122"/>
      <c r="W125" s="122"/>
      <c r="X125" s="122"/>
      <c r="Y125" s="122"/>
      <c r="Z125" s="122"/>
      <c r="AA125" s="122"/>
      <c r="AB125" s="122"/>
      <c r="AC125" s="122"/>
      <c r="AD125" s="122"/>
      <c r="AE125" s="122"/>
      <c r="AF125" s="122"/>
      <c r="AG125" s="133"/>
      <c r="AH125" s="133"/>
    </row>
    <row r="126">
      <c r="A126" s="136"/>
      <c r="B126" s="95"/>
      <c r="C126" s="97"/>
      <c r="D126" s="99"/>
      <c r="E126" s="101"/>
      <c r="F126" s="102"/>
      <c r="G126" s="95"/>
      <c r="H126" s="122"/>
      <c r="I126" s="105"/>
      <c r="J126" s="105"/>
      <c r="K126" s="122"/>
      <c r="L126" s="122"/>
      <c r="M126" s="122"/>
      <c r="N126" s="122"/>
      <c r="O126" s="122"/>
      <c r="P126" s="122"/>
      <c r="Q126" s="122"/>
      <c r="R126" s="122"/>
      <c r="S126" s="104"/>
      <c r="T126" s="122"/>
      <c r="U126" s="122"/>
      <c r="V126" s="122"/>
      <c r="W126" s="122"/>
      <c r="X126" s="122"/>
      <c r="Y126" s="122"/>
      <c r="Z126" s="122"/>
      <c r="AA126" s="122"/>
      <c r="AB126" s="122"/>
      <c r="AC126" s="122"/>
      <c r="AD126" s="122"/>
      <c r="AE126" s="122"/>
      <c r="AF126" s="122"/>
      <c r="AG126" s="133"/>
      <c r="AH126" s="133"/>
    </row>
    <row r="127">
      <c r="A127" s="136"/>
      <c r="B127" s="95"/>
      <c r="C127" s="97"/>
      <c r="D127" s="99"/>
      <c r="E127" s="101"/>
      <c r="F127" s="102"/>
      <c r="G127" s="95"/>
      <c r="H127" s="122"/>
      <c r="I127" s="105"/>
      <c r="J127" s="105"/>
      <c r="K127" s="122"/>
      <c r="L127" s="122"/>
      <c r="M127" s="122"/>
      <c r="N127" s="122"/>
      <c r="O127" s="122"/>
      <c r="P127" s="122"/>
      <c r="Q127" s="122"/>
      <c r="R127" s="122"/>
      <c r="S127" s="104"/>
      <c r="T127" s="122"/>
      <c r="U127" s="122"/>
      <c r="V127" s="122"/>
      <c r="W127" s="122"/>
      <c r="X127" s="122"/>
      <c r="Y127" s="122"/>
      <c r="Z127" s="122"/>
      <c r="AA127" s="122"/>
      <c r="AB127" s="122"/>
      <c r="AC127" s="122"/>
      <c r="AD127" s="122"/>
      <c r="AE127" s="122"/>
      <c r="AF127" s="122"/>
      <c r="AG127" s="133"/>
      <c r="AH127" s="133"/>
    </row>
    <row r="128">
      <c r="A128" s="136"/>
      <c r="B128" s="95"/>
      <c r="C128" s="97"/>
      <c r="D128" s="99"/>
      <c r="E128" s="101"/>
      <c r="F128" s="102"/>
      <c r="G128" s="95"/>
      <c r="H128" s="122"/>
      <c r="I128" s="105"/>
      <c r="J128" s="105"/>
      <c r="K128" s="122"/>
      <c r="L128" s="122"/>
      <c r="M128" s="122"/>
      <c r="N128" s="122"/>
      <c r="O128" s="122"/>
      <c r="P128" s="122"/>
      <c r="Q128" s="122"/>
      <c r="R128" s="122"/>
      <c r="S128" s="104"/>
      <c r="T128" s="122"/>
      <c r="U128" s="122"/>
      <c r="V128" s="122"/>
      <c r="W128" s="122"/>
      <c r="X128" s="122"/>
      <c r="Y128" s="122"/>
      <c r="Z128" s="122"/>
      <c r="AA128" s="122"/>
      <c r="AB128" s="122"/>
      <c r="AC128" s="122"/>
      <c r="AD128" s="122"/>
      <c r="AE128" s="122"/>
      <c r="AF128" s="122"/>
      <c r="AG128" s="133"/>
      <c r="AH128" s="133"/>
    </row>
    <row r="129">
      <c r="A129" s="136"/>
      <c r="B129" s="95"/>
      <c r="C129" s="97"/>
      <c r="D129" s="99"/>
      <c r="E129" s="101"/>
      <c r="F129" s="102"/>
      <c r="G129" s="95"/>
      <c r="H129" s="122"/>
      <c r="I129" s="105"/>
      <c r="J129" s="105"/>
      <c r="K129" s="122"/>
      <c r="L129" s="122"/>
      <c r="M129" s="122"/>
      <c r="N129" s="122"/>
      <c r="O129" s="122"/>
      <c r="P129" s="122"/>
      <c r="Q129" s="122"/>
      <c r="R129" s="122"/>
      <c r="S129" s="104"/>
      <c r="T129" s="122"/>
      <c r="U129" s="122"/>
      <c r="V129" s="122"/>
      <c r="W129" s="122"/>
      <c r="X129" s="122"/>
      <c r="Y129" s="122"/>
      <c r="Z129" s="122"/>
      <c r="AA129" s="122"/>
      <c r="AB129" s="122"/>
      <c r="AC129" s="122"/>
      <c r="AD129" s="122"/>
      <c r="AE129" s="122"/>
      <c r="AF129" s="122"/>
      <c r="AG129" s="133"/>
      <c r="AH129" s="133"/>
    </row>
    <row r="130">
      <c r="A130" s="136"/>
      <c r="B130" s="95"/>
      <c r="C130" s="97"/>
      <c r="D130" s="99"/>
      <c r="E130" s="101"/>
      <c r="F130" s="102"/>
      <c r="G130" s="95"/>
      <c r="H130" s="122"/>
      <c r="I130" s="105"/>
      <c r="J130" s="105"/>
      <c r="K130" s="122"/>
      <c r="L130" s="122"/>
      <c r="M130" s="122"/>
      <c r="N130" s="122"/>
      <c r="O130" s="122"/>
      <c r="P130" s="122"/>
      <c r="Q130" s="122"/>
      <c r="R130" s="122"/>
      <c r="S130" s="104"/>
      <c r="T130" s="122"/>
      <c r="U130" s="122"/>
      <c r="V130" s="122"/>
      <c r="W130" s="122"/>
      <c r="X130" s="122"/>
      <c r="Y130" s="122"/>
      <c r="Z130" s="122"/>
      <c r="AA130" s="122"/>
      <c r="AB130" s="122"/>
      <c r="AC130" s="122"/>
      <c r="AD130" s="122"/>
      <c r="AE130" s="122"/>
      <c r="AF130" s="122"/>
      <c r="AG130" s="133"/>
      <c r="AH130" s="133"/>
    </row>
    <row r="131">
      <c r="A131" s="136"/>
      <c r="B131" s="95"/>
      <c r="C131" s="97"/>
      <c r="D131" s="99"/>
      <c r="E131" s="101"/>
      <c r="F131" s="102"/>
      <c r="G131" s="95"/>
      <c r="H131" s="122"/>
      <c r="I131" s="105"/>
      <c r="J131" s="105"/>
      <c r="K131" s="122"/>
      <c r="L131" s="122"/>
      <c r="M131" s="122"/>
      <c r="N131" s="122"/>
      <c r="O131" s="122"/>
      <c r="P131" s="122"/>
      <c r="Q131" s="122"/>
      <c r="R131" s="122"/>
      <c r="S131" s="104"/>
      <c r="T131" s="122"/>
      <c r="U131" s="122"/>
      <c r="V131" s="122"/>
      <c r="W131" s="122"/>
      <c r="X131" s="122"/>
      <c r="Y131" s="122"/>
      <c r="Z131" s="122"/>
      <c r="AA131" s="122"/>
      <c r="AB131" s="122"/>
      <c r="AC131" s="122"/>
      <c r="AD131" s="122"/>
      <c r="AE131" s="122"/>
      <c r="AF131" s="122"/>
      <c r="AG131" s="133"/>
      <c r="AH131" s="133"/>
    </row>
    <row r="132">
      <c r="A132" s="136"/>
      <c r="B132" s="95"/>
      <c r="C132" s="97"/>
      <c r="D132" s="99"/>
      <c r="E132" s="101"/>
      <c r="F132" s="102"/>
      <c r="G132" s="95"/>
      <c r="H132" s="122"/>
      <c r="I132" s="105"/>
      <c r="J132" s="105"/>
      <c r="K132" s="122"/>
      <c r="L132" s="122"/>
      <c r="M132" s="122"/>
      <c r="N132" s="122"/>
      <c r="O132" s="122"/>
      <c r="P132" s="122"/>
      <c r="Q132" s="122"/>
      <c r="R132" s="122"/>
      <c r="S132" s="104"/>
      <c r="T132" s="122"/>
      <c r="U132" s="122"/>
      <c r="V132" s="122"/>
      <c r="W132" s="122"/>
      <c r="X132" s="122"/>
      <c r="Y132" s="122"/>
      <c r="Z132" s="122"/>
      <c r="AA132" s="122"/>
      <c r="AB132" s="122"/>
      <c r="AC132" s="122"/>
      <c r="AD132" s="122"/>
      <c r="AE132" s="122"/>
      <c r="AF132" s="122"/>
      <c r="AG132" s="133"/>
      <c r="AH132" s="133"/>
    </row>
    <row r="133">
      <c r="A133" s="136"/>
      <c r="B133" s="95"/>
      <c r="C133" s="97"/>
      <c r="D133" s="99"/>
      <c r="E133" s="101"/>
      <c r="F133" s="102"/>
      <c r="G133" s="95"/>
      <c r="H133" s="122"/>
      <c r="I133" s="105"/>
      <c r="J133" s="105"/>
      <c r="K133" s="122"/>
      <c r="L133" s="122"/>
      <c r="M133" s="122"/>
      <c r="N133" s="122"/>
      <c r="O133" s="122"/>
      <c r="P133" s="122"/>
      <c r="Q133" s="122"/>
      <c r="R133" s="122"/>
      <c r="S133" s="104"/>
      <c r="T133" s="122"/>
      <c r="U133" s="122"/>
      <c r="V133" s="122"/>
      <c r="W133" s="122"/>
      <c r="X133" s="122"/>
      <c r="Y133" s="122"/>
      <c r="Z133" s="122"/>
      <c r="AA133" s="122"/>
      <c r="AB133" s="122"/>
      <c r="AC133" s="122"/>
      <c r="AD133" s="122"/>
      <c r="AE133" s="122"/>
      <c r="AF133" s="122"/>
      <c r="AG133" s="133"/>
      <c r="AH133" s="133"/>
    </row>
    <row r="134">
      <c r="A134" s="136"/>
      <c r="B134" s="95"/>
      <c r="C134" s="97"/>
      <c r="D134" s="99"/>
      <c r="E134" s="101"/>
      <c r="F134" s="102"/>
      <c r="G134" s="95"/>
      <c r="H134" s="122"/>
      <c r="I134" s="105"/>
      <c r="J134" s="105"/>
      <c r="K134" s="122"/>
      <c r="L134" s="122"/>
      <c r="M134" s="122"/>
      <c r="N134" s="122"/>
      <c r="O134" s="122"/>
      <c r="P134" s="122"/>
      <c r="Q134" s="122"/>
      <c r="R134" s="122"/>
      <c r="S134" s="104"/>
      <c r="T134" s="122"/>
      <c r="U134" s="122"/>
      <c r="V134" s="122"/>
      <c r="W134" s="122"/>
      <c r="X134" s="122"/>
      <c r="Y134" s="122"/>
      <c r="Z134" s="122"/>
      <c r="AA134" s="122"/>
      <c r="AB134" s="122"/>
      <c r="AC134" s="122"/>
      <c r="AD134" s="122"/>
      <c r="AE134" s="122"/>
      <c r="AF134" s="122"/>
      <c r="AG134" s="133"/>
      <c r="AH134" s="133"/>
    </row>
    <row r="135">
      <c r="A135" s="136"/>
      <c r="B135" s="95"/>
      <c r="C135" s="97"/>
      <c r="D135" s="99"/>
      <c r="E135" s="101"/>
      <c r="F135" s="102"/>
      <c r="G135" s="95"/>
      <c r="H135" s="122"/>
      <c r="I135" s="105"/>
      <c r="J135" s="105"/>
      <c r="K135" s="122"/>
      <c r="L135" s="122"/>
      <c r="M135" s="122"/>
      <c r="N135" s="122"/>
      <c r="O135" s="122"/>
      <c r="P135" s="122"/>
      <c r="Q135" s="122"/>
      <c r="R135" s="122"/>
      <c r="S135" s="104"/>
      <c r="T135" s="122"/>
      <c r="U135" s="122"/>
      <c r="V135" s="122"/>
      <c r="W135" s="122"/>
      <c r="X135" s="122"/>
      <c r="Y135" s="122"/>
      <c r="Z135" s="122"/>
      <c r="AA135" s="122"/>
      <c r="AB135" s="122"/>
      <c r="AC135" s="122"/>
      <c r="AD135" s="122"/>
      <c r="AE135" s="122"/>
      <c r="AF135" s="122"/>
      <c r="AG135" s="133"/>
      <c r="AH135" s="133"/>
    </row>
    <row r="136">
      <c r="A136" s="136"/>
      <c r="B136" s="95"/>
      <c r="C136" s="97"/>
      <c r="D136" s="99"/>
      <c r="E136" s="101"/>
      <c r="F136" s="102"/>
      <c r="G136" s="95"/>
      <c r="H136" s="122"/>
      <c r="I136" s="105"/>
      <c r="J136" s="105"/>
      <c r="K136" s="122"/>
      <c r="L136" s="122"/>
      <c r="M136" s="122"/>
      <c r="N136" s="122"/>
      <c r="O136" s="122"/>
      <c r="P136" s="122"/>
      <c r="Q136" s="122"/>
      <c r="R136" s="122"/>
      <c r="S136" s="104"/>
      <c r="T136" s="122"/>
      <c r="U136" s="122"/>
      <c r="V136" s="122"/>
      <c r="W136" s="122"/>
      <c r="X136" s="122"/>
      <c r="Y136" s="122"/>
      <c r="Z136" s="122"/>
      <c r="AA136" s="122"/>
      <c r="AB136" s="122"/>
      <c r="AC136" s="122"/>
      <c r="AD136" s="122"/>
      <c r="AE136" s="122"/>
      <c r="AF136" s="122"/>
      <c r="AG136" s="133"/>
      <c r="AH136" s="133"/>
    </row>
    <row r="137">
      <c r="A137" s="136"/>
      <c r="B137" s="95"/>
      <c r="C137" s="97"/>
      <c r="D137" s="99"/>
      <c r="E137" s="101"/>
      <c r="F137" s="102"/>
      <c r="G137" s="95"/>
      <c r="H137" s="122"/>
      <c r="I137" s="105"/>
      <c r="J137" s="105"/>
      <c r="K137" s="122"/>
      <c r="L137" s="122"/>
      <c r="M137" s="122"/>
      <c r="N137" s="122"/>
      <c r="O137" s="122"/>
      <c r="P137" s="122"/>
      <c r="Q137" s="122"/>
      <c r="R137" s="122"/>
      <c r="S137" s="104"/>
      <c r="T137" s="122"/>
      <c r="U137" s="122"/>
      <c r="V137" s="122"/>
      <c r="W137" s="122"/>
      <c r="X137" s="122"/>
      <c r="Y137" s="122"/>
      <c r="Z137" s="122"/>
      <c r="AA137" s="122"/>
      <c r="AB137" s="122"/>
      <c r="AC137" s="122"/>
      <c r="AD137" s="122"/>
      <c r="AE137" s="122"/>
      <c r="AF137" s="122"/>
      <c r="AG137" s="133"/>
      <c r="AH137" s="133"/>
    </row>
    <row r="138">
      <c r="A138" s="136"/>
      <c r="B138" s="95"/>
      <c r="C138" s="97"/>
      <c r="D138" s="99"/>
      <c r="E138" s="101"/>
      <c r="F138" s="102"/>
      <c r="G138" s="95"/>
      <c r="H138" s="122"/>
      <c r="I138" s="105"/>
      <c r="J138" s="105"/>
      <c r="K138" s="122"/>
      <c r="L138" s="122"/>
      <c r="M138" s="122"/>
      <c r="N138" s="122"/>
      <c r="O138" s="122"/>
      <c r="P138" s="122"/>
      <c r="Q138" s="122"/>
      <c r="R138" s="122"/>
      <c r="S138" s="104"/>
      <c r="T138" s="122"/>
      <c r="U138" s="122"/>
      <c r="V138" s="122"/>
      <c r="W138" s="122"/>
      <c r="X138" s="122"/>
      <c r="Y138" s="122"/>
      <c r="Z138" s="122"/>
      <c r="AA138" s="122"/>
      <c r="AB138" s="122"/>
      <c r="AC138" s="122"/>
      <c r="AD138" s="122"/>
      <c r="AE138" s="122"/>
      <c r="AF138" s="122"/>
      <c r="AG138" s="133"/>
      <c r="AH138" s="133"/>
    </row>
    <row r="139">
      <c r="A139" s="136"/>
      <c r="B139" s="95"/>
      <c r="C139" s="97"/>
      <c r="D139" s="99"/>
      <c r="E139" s="101"/>
      <c r="F139" s="102"/>
      <c r="G139" s="95"/>
      <c r="H139" s="122"/>
      <c r="I139" s="105"/>
      <c r="J139" s="105"/>
      <c r="K139" s="122"/>
      <c r="L139" s="122"/>
      <c r="M139" s="122"/>
      <c r="N139" s="122"/>
      <c r="O139" s="122"/>
      <c r="P139" s="122"/>
      <c r="Q139" s="122"/>
      <c r="R139" s="122"/>
      <c r="S139" s="104"/>
      <c r="T139" s="122"/>
      <c r="U139" s="122"/>
      <c r="V139" s="122"/>
      <c r="W139" s="122"/>
      <c r="X139" s="122"/>
      <c r="Y139" s="122"/>
      <c r="Z139" s="122"/>
      <c r="AA139" s="122"/>
      <c r="AB139" s="122"/>
      <c r="AC139" s="122"/>
      <c r="AD139" s="122"/>
      <c r="AE139" s="122"/>
      <c r="AF139" s="122"/>
      <c r="AG139" s="133"/>
      <c r="AH139" s="1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1227</v>
      </c>
      <c r="C1" s="32" t="s">
        <v>10</v>
      </c>
      <c r="F1" s="32" t="s">
        <v>56</v>
      </c>
      <c r="H1" s="436" t="s">
        <v>1241</v>
      </c>
      <c r="W1" s="438" t="s">
        <v>1244</v>
      </c>
      <c r="AM1" s="439" t="s">
        <v>1246</v>
      </c>
      <c r="BG1" s="441" t="s">
        <v>1249</v>
      </c>
      <c r="BQ1" s="443" t="s">
        <v>1252</v>
      </c>
      <c r="BV1" s="445" t="s">
        <v>1253</v>
      </c>
      <c r="CE1" s="436" t="s">
        <v>1254</v>
      </c>
      <c r="CM1" s="446" t="s">
        <v>1255</v>
      </c>
      <c r="CP1" s="448" t="s">
        <v>1257</v>
      </c>
      <c r="CT1" s="450" t="s">
        <v>1263</v>
      </c>
      <c r="CU1" s="451" t="s">
        <v>1265</v>
      </c>
    </row>
    <row r="2">
      <c r="A2" s="453" t="s">
        <v>34</v>
      </c>
      <c r="B2" s="49" t="s">
        <v>113</v>
      </c>
      <c r="C2" s="49" t="s">
        <v>114</v>
      </c>
      <c r="F2" s="49" t="s">
        <v>1273</v>
      </c>
      <c r="H2" s="455" t="s">
        <v>1274</v>
      </c>
      <c r="I2" s="455" t="s">
        <v>1276</v>
      </c>
      <c r="J2" s="455" t="s">
        <v>1277</v>
      </c>
      <c r="K2" s="455" t="s">
        <v>1280</v>
      </c>
      <c r="L2" s="455" t="s">
        <v>1281</v>
      </c>
      <c r="M2" s="455" t="s">
        <v>1282</v>
      </c>
      <c r="N2" s="455" t="s">
        <v>1283</v>
      </c>
      <c r="O2" s="455" t="s">
        <v>1284</v>
      </c>
      <c r="P2" s="455" t="s">
        <v>1286</v>
      </c>
      <c r="Q2" s="455" t="s">
        <v>1287</v>
      </c>
      <c r="R2" s="455" t="s">
        <v>1288</v>
      </c>
      <c r="S2" s="455" t="s">
        <v>1289</v>
      </c>
      <c r="T2" s="455" t="s">
        <v>1291</v>
      </c>
      <c r="U2" s="455" t="s">
        <v>1293</v>
      </c>
      <c r="V2" s="455" t="s">
        <v>1295</v>
      </c>
      <c r="W2" s="457" t="s">
        <v>1297</v>
      </c>
      <c r="X2" s="457" t="s">
        <v>1298</v>
      </c>
      <c r="Y2" s="457" t="s">
        <v>1299</v>
      </c>
      <c r="Z2" s="457" t="s">
        <v>1301</v>
      </c>
      <c r="AA2" s="457" t="s">
        <v>1302</v>
      </c>
      <c r="AB2" s="457" t="s">
        <v>1304</v>
      </c>
      <c r="AC2" s="457" t="s">
        <v>1305</v>
      </c>
      <c r="AD2" s="457" t="s">
        <v>1306</v>
      </c>
      <c r="AE2" s="457" t="s">
        <v>1307</v>
      </c>
      <c r="AF2" s="457" t="s">
        <v>1309</v>
      </c>
      <c r="AG2" s="457" t="s">
        <v>1311</v>
      </c>
      <c r="AH2" s="457" t="s">
        <v>1312</v>
      </c>
      <c r="AI2" s="457" t="s">
        <v>1313</v>
      </c>
      <c r="AJ2" s="457" t="s">
        <v>1314</v>
      </c>
      <c r="AK2" s="457" t="s">
        <v>1315</v>
      </c>
      <c r="AL2" s="457" t="s">
        <v>1317</v>
      </c>
      <c r="AM2" s="460" t="s">
        <v>1319</v>
      </c>
      <c r="AN2" s="460" t="s">
        <v>1322</v>
      </c>
      <c r="AO2" s="460" t="s">
        <v>1323</v>
      </c>
      <c r="AP2" s="460" t="s">
        <v>1324</v>
      </c>
      <c r="AQ2" s="460" t="s">
        <v>1325</v>
      </c>
      <c r="AR2" s="460" t="s">
        <v>1326</v>
      </c>
      <c r="AS2" s="460" t="s">
        <v>1327</v>
      </c>
      <c r="AT2" s="460" t="s">
        <v>1329</v>
      </c>
      <c r="AU2" s="460" t="s">
        <v>1330</v>
      </c>
      <c r="AV2" s="460" t="s">
        <v>1332</v>
      </c>
      <c r="AW2" s="460" t="s">
        <v>1333</v>
      </c>
      <c r="AX2" s="460" t="s">
        <v>1334</v>
      </c>
      <c r="AY2" s="460" t="s">
        <v>1336</v>
      </c>
      <c r="AZ2" s="460" t="s">
        <v>1337</v>
      </c>
      <c r="BA2" s="460" t="s">
        <v>1338</v>
      </c>
      <c r="BB2" s="460" t="s">
        <v>1339</v>
      </c>
      <c r="BC2" s="460" t="s">
        <v>1340</v>
      </c>
      <c r="BD2" s="460" t="s">
        <v>1341</v>
      </c>
      <c r="BE2" s="460" t="s">
        <v>1342</v>
      </c>
      <c r="BF2" s="460" t="s">
        <v>1343</v>
      </c>
      <c r="BG2" s="462" t="s">
        <v>1345</v>
      </c>
      <c r="BH2" s="462" t="s">
        <v>1348</v>
      </c>
      <c r="BI2" s="462" t="s">
        <v>1349</v>
      </c>
      <c r="BJ2" s="462" t="s">
        <v>1351</v>
      </c>
      <c r="BK2" s="462" t="s">
        <v>1352</v>
      </c>
      <c r="BL2" s="462" t="s">
        <v>1354</v>
      </c>
      <c r="BM2" s="462" t="s">
        <v>1355</v>
      </c>
      <c r="BN2" s="462" t="s">
        <v>1358</v>
      </c>
      <c r="BO2" s="462" t="s">
        <v>1359</v>
      </c>
      <c r="BP2" s="462" t="s">
        <v>1360</v>
      </c>
      <c r="BQ2" s="466" t="s">
        <v>1362</v>
      </c>
      <c r="BR2" s="466" t="s">
        <v>1363</v>
      </c>
      <c r="BS2" s="466" t="s">
        <v>1364</v>
      </c>
      <c r="BT2" s="466" t="s">
        <v>1365</v>
      </c>
      <c r="BU2" s="466" t="s">
        <v>1366</v>
      </c>
      <c r="BV2" s="468" t="s">
        <v>1367</v>
      </c>
      <c r="BW2" s="468" t="s">
        <v>1368</v>
      </c>
      <c r="BX2" s="468" t="s">
        <v>1369</v>
      </c>
      <c r="BY2" s="468" t="s">
        <v>1370</v>
      </c>
      <c r="BZ2" s="468" t="s">
        <v>1372</v>
      </c>
      <c r="CA2" s="468" t="s">
        <v>1374</v>
      </c>
      <c r="CB2" s="468" t="s">
        <v>1375</v>
      </c>
      <c r="CC2" s="468" t="s">
        <v>1376</v>
      </c>
      <c r="CD2" s="468" t="s">
        <v>1377</v>
      </c>
      <c r="CE2" s="469" t="s">
        <v>1274</v>
      </c>
      <c r="CF2" s="469" t="s">
        <v>1280</v>
      </c>
      <c r="CG2" s="469" t="s">
        <v>1284</v>
      </c>
      <c r="CH2" s="469" t="s">
        <v>1287</v>
      </c>
      <c r="CI2" s="469" t="s">
        <v>1288</v>
      </c>
      <c r="CJ2" s="469" t="s">
        <v>1293</v>
      </c>
      <c r="CK2" s="469" t="s">
        <v>1379</v>
      </c>
      <c r="CL2" s="469" t="s">
        <v>1381</v>
      </c>
      <c r="CM2" s="471" t="s">
        <v>1383</v>
      </c>
      <c r="CN2" s="471" t="s">
        <v>1385</v>
      </c>
      <c r="CO2" s="471" t="s">
        <v>1386</v>
      </c>
      <c r="CP2" s="71" t="s">
        <v>1387</v>
      </c>
      <c r="CQ2" s="71" t="s">
        <v>1388</v>
      </c>
      <c r="CR2" s="71" t="s">
        <v>1389</v>
      </c>
      <c r="CS2" s="71" t="s">
        <v>1390</v>
      </c>
      <c r="CT2" s="472" t="s">
        <v>1391</v>
      </c>
      <c r="CU2" s="474" t="s">
        <v>1393</v>
      </c>
    </row>
    <row r="3">
      <c r="A3" s="476" t="s">
        <v>303</v>
      </c>
      <c r="B3" s="202" t="s">
        <v>1396</v>
      </c>
      <c r="C3" s="196" t="s">
        <v>1398</v>
      </c>
      <c r="D3" s="197" t="s">
        <v>398</v>
      </c>
      <c r="E3" s="199" t="s">
        <v>231</v>
      </c>
      <c r="F3" s="201" t="s">
        <v>1400</v>
      </c>
      <c r="G3" s="202" t="s">
        <v>1400</v>
      </c>
      <c r="H3" s="131" t="s">
        <v>1401</v>
      </c>
      <c r="I3" s="131" t="s">
        <v>1404</v>
      </c>
      <c r="J3" s="150" t="s">
        <v>1407</v>
      </c>
      <c r="K3" s="131" t="s">
        <v>1412</v>
      </c>
      <c r="L3" s="167" t="s">
        <v>1413</v>
      </c>
      <c r="M3" s="121" t="s">
        <v>1415</v>
      </c>
      <c r="N3" s="121" t="s">
        <v>1417</v>
      </c>
      <c r="O3" s="116" t="s">
        <v>1420</v>
      </c>
      <c r="P3" s="116" t="s">
        <v>1427</v>
      </c>
      <c r="Q3" s="131" t="s">
        <v>1432</v>
      </c>
      <c r="R3" s="131" t="s">
        <v>1437</v>
      </c>
      <c r="S3" s="131" t="s">
        <v>1438</v>
      </c>
      <c r="T3" s="131" t="s">
        <v>1442</v>
      </c>
      <c r="U3" s="131" t="s">
        <v>1446</v>
      </c>
      <c r="V3" s="131" t="s">
        <v>1449</v>
      </c>
      <c r="W3" s="116" t="s">
        <v>1451</v>
      </c>
      <c r="X3" s="131" t="s">
        <v>1456</v>
      </c>
      <c r="Y3" s="131" t="s">
        <v>1463</v>
      </c>
      <c r="Z3" s="126" t="s">
        <v>1465</v>
      </c>
      <c r="AA3" s="121" t="s">
        <v>1470</v>
      </c>
      <c r="AB3" s="126" t="s">
        <v>1473</v>
      </c>
      <c r="AC3" s="131" t="s">
        <v>1475</v>
      </c>
      <c r="AD3" s="131" t="s">
        <v>1480</v>
      </c>
      <c r="AE3" s="116" t="s">
        <v>1483</v>
      </c>
      <c r="AF3" s="131" t="s">
        <v>1489</v>
      </c>
      <c r="AG3" s="116" t="s">
        <v>1493</v>
      </c>
      <c r="AH3" s="121" t="s">
        <v>1497</v>
      </c>
      <c r="AI3" s="131" t="s">
        <v>1500</v>
      </c>
      <c r="AJ3" s="121" t="s">
        <v>1503</v>
      </c>
      <c r="AK3" s="131" t="s">
        <v>1508</v>
      </c>
      <c r="AL3" s="126" t="s">
        <v>1513</v>
      </c>
      <c r="AM3" s="121" t="s">
        <v>1520</v>
      </c>
      <c r="AN3" s="126" t="s">
        <v>1523</v>
      </c>
      <c r="AO3" s="126" t="s">
        <v>1529</v>
      </c>
      <c r="AP3" s="116" t="s">
        <v>1534</v>
      </c>
      <c r="AQ3" s="121" t="s">
        <v>1545</v>
      </c>
      <c r="AR3" s="116" t="s">
        <v>1551</v>
      </c>
      <c r="AS3" s="121" t="s">
        <v>1555</v>
      </c>
      <c r="AT3" s="121" t="s">
        <v>1558</v>
      </c>
      <c r="AU3" s="131" t="s">
        <v>1559</v>
      </c>
      <c r="AV3" s="500" t="s">
        <v>1561</v>
      </c>
      <c r="AW3" s="116" t="s">
        <v>1566</v>
      </c>
      <c r="AX3" s="121" t="s">
        <v>1567</v>
      </c>
      <c r="AY3" s="121" t="s">
        <v>1570</v>
      </c>
      <c r="AZ3" s="121" t="s">
        <v>1574</v>
      </c>
      <c r="BA3" s="121" t="s">
        <v>1579</v>
      </c>
      <c r="BB3" s="116" t="s">
        <v>1581</v>
      </c>
      <c r="BC3" s="131" t="s">
        <v>1584</v>
      </c>
      <c r="BD3" s="131" t="s">
        <v>1587</v>
      </c>
      <c r="BE3" s="116" t="s">
        <v>1590</v>
      </c>
      <c r="BF3" s="121" t="s">
        <v>1593</v>
      </c>
      <c r="BG3" s="131" t="s">
        <v>1596</v>
      </c>
      <c r="BH3" s="126" t="s">
        <v>1599</v>
      </c>
      <c r="BI3" s="126" t="s">
        <v>1601</v>
      </c>
      <c r="BJ3" s="121" t="s">
        <v>1603</v>
      </c>
      <c r="BK3" s="121" t="s">
        <v>1606</v>
      </c>
      <c r="BL3" s="116" t="s">
        <v>1609</v>
      </c>
      <c r="BM3" s="116" t="s">
        <v>1613</v>
      </c>
      <c r="BN3" s="121" t="s">
        <v>1615</v>
      </c>
      <c r="BO3" s="116" t="s">
        <v>1617</v>
      </c>
      <c r="BP3" s="126" t="s">
        <v>1620</v>
      </c>
      <c r="BQ3" s="126" t="s">
        <v>1623</v>
      </c>
      <c r="BR3" s="126" t="s">
        <v>1625</v>
      </c>
      <c r="BS3" s="126" t="s">
        <v>1629</v>
      </c>
      <c r="BT3" s="126" t="s">
        <v>1632</v>
      </c>
      <c r="BU3" s="126" t="s">
        <v>1633</v>
      </c>
      <c r="BV3" s="508" t="s">
        <v>1637</v>
      </c>
      <c r="BW3" s="121" t="s">
        <v>1640</v>
      </c>
      <c r="BX3" s="116" t="s">
        <v>1237</v>
      </c>
      <c r="BY3" s="126" t="s">
        <v>1648</v>
      </c>
      <c r="BZ3" s="121" t="s">
        <v>1651</v>
      </c>
      <c r="CA3" s="126" t="s">
        <v>1654</v>
      </c>
      <c r="CB3" s="126" t="s">
        <v>1655</v>
      </c>
      <c r="CC3" s="126" t="s">
        <v>1659</v>
      </c>
      <c r="CD3" s="512" t="s">
        <v>1662</v>
      </c>
      <c r="CE3" s="116" t="s">
        <v>1665</v>
      </c>
      <c r="CF3" s="121" t="s">
        <v>1670</v>
      </c>
      <c r="CG3" s="121" t="s">
        <v>1674</v>
      </c>
      <c r="CH3" s="126" t="s">
        <v>1677</v>
      </c>
      <c r="CI3" s="121" t="s">
        <v>1681</v>
      </c>
      <c r="CJ3" s="116" t="s">
        <v>1685</v>
      </c>
      <c r="CK3" s="126" t="s">
        <v>1688</v>
      </c>
      <c r="CL3" s="131" t="s">
        <v>1690</v>
      </c>
      <c r="CM3" s="126" t="s">
        <v>1693</v>
      </c>
      <c r="CN3" s="126" t="s">
        <v>1696</v>
      </c>
      <c r="CO3" s="121" t="s">
        <v>1701</v>
      </c>
      <c r="CP3" s="116" t="s">
        <v>1705</v>
      </c>
      <c r="CQ3" s="126" t="s">
        <v>1708</v>
      </c>
      <c r="CR3" s="126" t="s">
        <v>1709</v>
      </c>
      <c r="CS3" s="121" t="s">
        <v>1711</v>
      </c>
      <c r="CT3" s="126" t="s">
        <v>1714</v>
      </c>
      <c r="CU3" s="126" t="s">
        <v>1717</v>
      </c>
    </row>
    <row r="4">
      <c r="A4" s="524" t="s">
        <v>72</v>
      </c>
      <c r="B4" s="202" t="s">
        <v>1724</v>
      </c>
      <c r="C4" s="196" t="s">
        <v>1725</v>
      </c>
      <c r="D4" s="197" t="s">
        <v>399</v>
      </c>
      <c r="E4" s="199" t="s">
        <v>274</v>
      </c>
      <c r="F4" s="201" t="s">
        <v>1729</v>
      </c>
      <c r="G4" s="202" t="s">
        <v>1730</v>
      </c>
      <c r="H4" s="116" t="s">
        <v>1731</v>
      </c>
      <c r="I4" s="126" t="s">
        <v>1734</v>
      </c>
      <c r="J4" s="126" t="s">
        <v>1739</v>
      </c>
      <c r="K4" s="131" t="s">
        <v>1743</v>
      </c>
      <c r="L4" s="126" t="s">
        <v>1749</v>
      </c>
      <c r="M4" s="104"/>
      <c r="N4" s="104"/>
      <c r="O4" s="131" t="s">
        <v>1753</v>
      </c>
      <c r="P4" s="104"/>
      <c r="Q4" s="107" t="s">
        <v>1757</v>
      </c>
      <c r="R4" s="131" t="s">
        <v>1758</v>
      </c>
      <c r="S4" s="104"/>
      <c r="T4" s="126" t="s">
        <v>1762</v>
      </c>
      <c r="U4" s="126" t="s">
        <v>1765</v>
      </c>
      <c r="V4" s="107" t="s">
        <v>1769</v>
      </c>
      <c r="W4" s="104"/>
      <c r="X4" s="116" t="s">
        <v>1771</v>
      </c>
      <c r="Y4" s="121" t="s">
        <v>1774</v>
      </c>
      <c r="Z4" s="104"/>
      <c r="AA4" s="126" t="s">
        <v>1777</v>
      </c>
      <c r="AB4" s="104"/>
      <c r="AC4" s="104"/>
      <c r="AD4" s="107" t="s">
        <v>1781</v>
      </c>
      <c r="AE4" s="137"/>
      <c r="AF4" s="131" t="s">
        <v>1576</v>
      </c>
      <c r="AG4" s="137"/>
      <c r="AH4" s="126" t="s">
        <v>1788</v>
      </c>
      <c r="AI4" s="104"/>
      <c r="AJ4" s="126" t="s">
        <v>537</v>
      </c>
      <c r="AK4" s="121" t="s">
        <v>1797</v>
      </c>
      <c r="AL4" s="538" t="s">
        <v>1801</v>
      </c>
      <c r="AM4" s="126" t="s">
        <v>1802</v>
      </c>
      <c r="AN4" s="104"/>
      <c r="AO4" s="104"/>
      <c r="AP4" s="126" t="s">
        <v>1807</v>
      </c>
      <c r="AQ4" s="126" t="s">
        <v>1812</v>
      </c>
      <c r="AR4" s="126" t="s">
        <v>1815</v>
      </c>
      <c r="AS4" s="126" t="s">
        <v>1818</v>
      </c>
      <c r="AT4" s="126" t="s">
        <v>1822</v>
      </c>
      <c r="AU4" s="126" t="s">
        <v>1825</v>
      </c>
      <c r="AV4" s="126" t="s">
        <v>1831</v>
      </c>
      <c r="AW4" s="126" t="s">
        <v>1837</v>
      </c>
      <c r="AX4" s="126" t="s">
        <v>1815</v>
      </c>
      <c r="AY4" s="104"/>
      <c r="AZ4" s="126" t="s">
        <v>1840</v>
      </c>
      <c r="BA4" s="126" t="s">
        <v>1842</v>
      </c>
      <c r="BB4" s="126" t="s">
        <v>1847</v>
      </c>
      <c r="BC4" s="126" t="s">
        <v>1849</v>
      </c>
      <c r="BD4" s="126" t="s">
        <v>1853</v>
      </c>
      <c r="BE4" s="126" t="s">
        <v>1855</v>
      </c>
      <c r="BF4" s="126" t="s">
        <v>1856</v>
      </c>
      <c r="BG4" s="325" t="s">
        <v>1859</v>
      </c>
      <c r="BH4" s="322"/>
      <c r="BI4" s="322"/>
      <c r="BJ4" s="322"/>
      <c r="BK4" s="551" t="s">
        <v>1866</v>
      </c>
      <c r="BL4" s="322"/>
      <c r="BM4" s="323" t="s">
        <v>1871</v>
      </c>
      <c r="BN4" s="325" t="s">
        <v>1873</v>
      </c>
      <c r="BO4" s="322"/>
      <c r="BP4" s="322"/>
      <c r="BQ4" s="552"/>
      <c r="BR4" s="104"/>
      <c r="BS4" s="121" t="s">
        <v>1880</v>
      </c>
      <c r="BT4" s="104"/>
      <c r="BU4" s="104"/>
      <c r="BV4" s="104"/>
      <c r="BW4" s="104"/>
      <c r="BX4" s="104"/>
      <c r="BY4" s="104"/>
      <c r="BZ4" s="104"/>
      <c r="CA4" s="104"/>
      <c r="CB4" s="104"/>
      <c r="CC4" s="121" t="s">
        <v>1104</v>
      </c>
      <c r="CD4" s="137"/>
      <c r="CE4" s="555" t="s">
        <v>1884</v>
      </c>
      <c r="CF4" s="555" t="s">
        <v>1888</v>
      </c>
      <c r="CG4" s="555" t="s">
        <v>1891</v>
      </c>
      <c r="CH4" s="556"/>
      <c r="CI4" s="555" t="s">
        <v>1895</v>
      </c>
      <c r="CJ4" s="555" t="s">
        <v>1717</v>
      </c>
      <c r="CK4" s="556"/>
      <c r="CL4" s="555" t="s">
        <v>1902</v>
      </c>
      <c r="CM4" s="559" t="s">
        <v>1904</v>
      </c>
      <c r="CN4" s="560" t="s">
        <v>1911</v>
      </c>
      <c r="CO4" s="561"/>
      <c r="CP4" s="555" t="s">
        <v>1913</v>
      </c>
      <c r="CQ4" s="561"/>
      <c r="CR4" s="561"/>
      <c r="CS4" s="555" t="s">
        <v>1917</v>
      </c>
      <c r="CT4" s="104"/>
      <c r="CU4" s="104"/>
    </row>
    <row r="5">
      <c r="A5" s="564" t="s">
        <v>88</v>
      </c>
      <c r="B5" s="202" t="s">
        <v>1923</v>
      </c>
      <c r="C5" s="196" t="s">
        <v>176</v>
      </c>
      <c r="D5" s="197" t="s">
        <v>1010</v>
      </c>
      <c r="E5" s="199" t="s">
        <v>1926</v>
      </c>
      <c r="F5" s="201" t="s">
        <v>401</v>
      </c>
      <c r="G5" s="202" t="s">
        <v>1927</v>
      </c>
      <c r="H5" s="107" t="s">
        <v>1930</v>
      </c>
      <c r="I5" s="131" t="s">
        <v>1931</v>
      </c>
      <c r="J5" s="107" t="s">
        <v>1936</v>
      </c>
      <c r="K5" s="126" t="s">
        <v>1938</v>
      </c>
      <c r="L5" s="116" t="s">
        <v>1947</v>
      </c>
      <c r="M5" s="116" t="s">
        <v>1956</v>
      </c>
      <c r="N5" s="107" t="s">
        <v>1959</v>
      </c>
      <c r="O5" s="131" t="s">
        <v>1960</v>
      </c>
      <c r="P5" s="126" t="s">
        <v>1962</v>
      </c>
      <c r="Q5" s="121" t="s">
        <v>1965</v>
      </c>
      <c r="R5" s="116" t="s">
        <v>1970</v>
      </c>
      <c r="S5" s="121" t="s">
        <v>1975</v>
      </c>
      <c r="T5" s="116" t="s">
        <v>1979</v>
      </c>
      <c r="U5" s="121" t="s">
        <v>1983</v>
      </c>
      <c r="V5" s="131" t="s">
        <v>1991</v>
      </c>
      <c r="W5" s="107" t="s">
        <v>1921</v>
      </c>
      <c r="X5" s="162" t="s">
        <v>1995</v>
      </c>
      <c r="Y5" s="131" t="s">
        <v>1996</v>
      </c>
      <c r="Z5" s="162" t="s">
        <v>2000</v>
      </c>
      <c r="AA5" s="131" t="s">
        <v>2001</v>
      </c>
      <c r="AB5" s="107"/>
      <c r="AC5" s="107" t="s">
        <v>2005</v>
      </c>
      <c r="AD5" s="107" t="s">
        <v>2006</v>
      </c>
      <c r="AE5" s="107" t="s">
        <v>2007</v>
      </c>
      <c r="AF5" s="162" t="s">
        <v>2008</v>
      </c>
      <c r="AG5" s="131" t="s">
        <v>2009</v>
      </c>
      <c r="AH5" s="131" t="s">
        <v>2014</v>
      </c>
      <c r="AI5" s="162" t="s">
        <v>2015</v>
      </c>
      <c r="AJ5" s="104"/>
      <c r="AK5" s="107"/>
      <c r="AL5" s="107"/>
      <c r="AM5" s="131" t="s">
        <v>2019</v>
      </c>
      <c r="AN5" s="131" t="s">
        <v>2030</v>
      </c>
      <c r="AO5" s="116" t="s">
        <v>2032</v>
      </c>
      <c r="AP5" s="131" t="s">
        <v>2033</v>
      </c>
      <c r="AQ5" s="116" t="s">
        <v>2036</v>
      </c>
      <c r="AR5" s="121" t="s">
        <v>2039</v>
      </c>
      <c r="AS5" s="116" t="s">
        <v>2042</v>
      </c>
      <c r="AT5" s="116" t="s">
        <v>2043</v>
      </c>
      <c r="AU5" s="121" t="s">
        <v>2045</v>
      </c>
      <c r="AV5" s="116" t="s">
        <v>2049</v>
      </c>
      <c r="AW5" s="131" t="s">
        <v>2052</v>
      </c>
      <c r="AX5" s="116" t="s">
        <v>2056</v>
      </c>
      <c r="AY5" s="116" t="s">
        <v>2059</v>
      </c>
      <c r="AZ5" s="162" t="s">
        <v>2064</v>
      </c>
      <c r="BA5" s="116" t="s">
        <v>2065</v>
      </c>
      <c r="BB5" s="131" t="s">
        <v>2067</v>
      </c>
      <c r="BC5" s="116" t="s">
        <v>2073</v>
      </c>
      <c r="BD5" s="121" t="s">
        <v>2075</v>
      </c>
      <c r="BE5" s="107"/>
      <c r="BF5" s="116" t="s">
        <v>2077</v>
      </c>
      <c r="BG5" s="116" t="s">
        <v>2082</v>
      </c>
      <c r="BH5" s="116" t="s">
        <v>2084</v>
      </c>
      <c r="BI5" s="116" t="s">
        <v>2087</v>
      </c>
      <c r="BJ5" s="126" t="s">
        <v>1617</v>
      </c>
      <c r="BK5" s="107"/>
      <c r="BL5" s="121" t="s">
        <v>2093</v>
      </c>
      <c r="BM5" s="162" t="s">
        <v>2094</v>
      </c>
      <c r="BN5" s="107"/>
      <c r="BO5" s="121" t="s">
        <v>2095</v>
      </c>
      <c r="BP5" s="107"/>
      <c r="BQ5" s="107" t="s">
        <v>2098</v>
      </c>
      <c r="BR5" s="104"/>
      <c r="BS5" s="107" t="s">
        <v>2100</v>
      </c>
      <c r="BT5" s="104"/>
      <c r="BU5" s="107" t="s">
        <v>2102</v>
      </c>
      <c r="BV5" s="104"/>
      <c r="BW5" s="122"/>
      <c r="BX5" s="162" t="s">
        <v>2105</v>
      </c>
      <c r="BY5" s="104"/>
      <c r="BZ5" s="104"/>
      <c r="CA5" s="162" t="s">
        <v>2106</v>
      </c>
      <c r="CB5" s="121" t="s">
        <v>711</v>
      </c>
      <c r="CC5" s="131" t="s">
        <v>2110</v>
      </c>
      <c r="CD5" s="162"/>
      <c r="CE5" s="107" t="s">
        <v>2112</v>
      </c>
      <c r="CF5" s="107" t="s">
        <v>2113</v>
      </c>
      <c r="CG5" s="107"/>
      <c r="CH5" s="107"/>
      <c r="CI5" s="107"/>
      <c r="CJ5" s="107"/>
      <c r="CK5" s="107"/>
      <c r="CL5" s="107"/>
      <c r="CM5" s="107"/>
      <c r="CN5" s="121" t="s">
        <v>2117</v>
      </c>
      <c r="CO5" s="126" t="s">
        <v>2111</v>
      </c>
      <c r="CP5" s="121" t="s">
        <v>2123</v>
      </c>
      <c r="CQ5" s="107" t="s">
        <v>2124</v>
      </c>
      <c r="CR5" s="107"/>
      <c r="CS5" s="107"/>
      <c r="CT5" s="162" t="s">
        <v>2126</v>
      </c>
      <c r="CU5" s="107"/>
    </row>
    <row r="6">
      <c r="A6" s="591" t="s">
        <v>58</v>
      </c>
      <c r="B6" s="202" t="s">
        <v>2128</v>
      </c>
      <c r="C6" s="196" t="s">
        <v>274</v>
      </c>
      <c r="D6" s="197" t="s">
        <v>394</v>
      </c>
      <c r="E6" s="199" t="s">
        <v>274</v>
      </c>
      <c r="F6" s="201" t="s">
        <v>169</v>
      </c>
      <c r="G6" s="202" t="s">
        <v>2131</v>
      </c>
      <c r="H6" s="107" t="s">
        <v>2133</v>
      </c>
      <c r="I6" s="107" t="s">
        <v>2135</v>
      </c>
      <c r="J6" s="107"/>
      <c r="K6" s="121" t="s">
        <v>2136</v>
      </c>
      <c r="L6" s="121" t="s">
        <v>2140</v>
      </c>
      <c r="M6" s="107"/>
      <c r="N6" s="107"/>
      <c r="O6" s="131" t="s">
        <v>2146</v>
      </c>
      <c r="P6" s="107" t="s">
        <v>2149</v>
      </c>
      <c r="Q6" s="107" t="s">
        <v>2150</v>
      </c>
      <c r="R6" s="121" t="s">
        <v>2151</v>
      </c>
      <c r="S6" s="107"/>
      <c r="T6" s="131" t="s">
        <v>2153</v>
      </c>
      <c r="U6" s="116" t="s">
        <v>2155</v>
      </c>
      <c r="V6" s="126" t="s">
        <v>2159</v>
      </c>
      <c r="W6" s="107" t="s">
        <v>375</v>
      </c>
      <c r="X6" s="107"/>
      <c r="Y6" s="107" t="s">
        <v>2163</v>
      </c>
      <c r="Z6" s="116" t="s">
        <v>1745</v>
      </c>
      <c r="AA6" s="116" t="s">
        <v>2168</v>
      </c>
      <c r="AB6" s="137"/>
      <c r="AC6" s="107" t="s">
        <v>2174</v>
      </c>
      <c r="AD6" s="104"/>
      <c r="AE6" s="121" t="s">
        <v>2175</v>
      </c>
      <c r="AF6" s="107" t="s">
        <v>2177</v>
      </c>
      <c r="AG6" s="107"/>
      <c r="AH6" s="107" t="s">
        <v>195</v>
      </c>
      <c r="AI6" s="107" t="s">
        <v>2180</v>
      </c>
      <c r="AJ6" s="104"/>
      <c r="AK6" s="107"/>
      <c r="AL6" s="107"/>
      <c r="AM6" s="107" t="s">
        <v>2181</v>
      </c>
      <c r="AN6" s="104"/>
      <c r="AO6" s="104"/>
      <c r="AP6" s="121" t="s">
        <v>2183</v>
      </c>
      <c r="AQ6" s="131" t="s">
        <v>2188</v>
      </c>
      <c r="AR6" s="107" t="s">
        <v>2190</v>
      </c>
      <c r="AS6" s="107"/>
      <c r="AT6" s="107" t="s">
        <v>2192</v>
      </c>
      <c r="AU6" s="131" t="s">
        <v>2193</v>
      </c>
      <c r="AV6" s="107"/>
      <c r="AW6" s="500" t="s">
        <v>2198</v>
      </c>
      <c r="AX6" s="394"/>
      <c r="AY6" s="394" t="s">
        <v>2205</v>
      </c>
      <c r="AZ6" s="107" t="s">
        <v>2131</v>
      </c>
      <c r="BA6" s="107"/>
      <c r="BB6" s="107" t="s">
        <v>2206</v>
      </c>
      <c r="BC6" s="121" t="s">
        <v>2207</v>
      </c>
      <c r="BD6" s="107" t="s">
        <v>2211</v>
      </c>
      <c r="BE6" s="107"/>
      <c r="BF6" s="107"/>
      <c r="BG6" s="121" t="s">
        <v>2212</v>
      </c>
      <c r="BH6" s="107"/>
      <c r="BI6" s="121" t="s">
        <v>2215</v>
      </c>
      <c r="BJ6" s="107"/>
      <c r="BK6" s="107" t="s">
        <v>2218</v>
      </c>
      <c r="BL6" s="126" t="s">
        <v>2219</v>
      </c>
      <c r="BM6" s="107"/>
      <c r="BN6" s="107"/>
      <c r="BO6" s="126" t="s">
        <v>2226</v>
      </c>
      <c r="BP6" s="107" t="s">
        <v>2232</v>
      </c>
      <c r="BQ6" s="104"/>
      <c r="BR6" s="104"/>
      <c r="BS6" s="104"/>
      <c r="BT6" s="104"/>
      <c r="BU6" s="104"/>
      <c r="BV6" s="107"/>
      <c r="BW6" s="107" t="s">
        <v>2236</v>
      </c>
      <c r="BX6" s="107"/>
      <c r="BY6" s="107"/>
      <c r="BZ6" s="107"/>
      <c r="CA6" s="107"/>
      <c r="CB6" s="107" t="s">
        <v>2238</v>
      </c>
      <c r="CC6" s="107"/>
      <c r="CD6" s="107"/>
      <c r="CE6" s="107"/>
      <c r="CF6" s="107"/>
      <c r="CG6" s="107"/>
      <c r="CH6" s="107"/>
      <c r="CI6" s="107"/>
      <c r="CJ6" s="107"/>
      <c r="CK6" s="107"/>
      <c r="CL6" s="107"/>
      <c r="CM6" s="107"/>
      <c r="CN6" s="107"/>
      <c r="CO6" s="107"/>
      <c r="CP6" s="107"/>
      <c r="CQ6" s="107"/>
      <c r="CR6" s="107"/>
      <c r="CS6" s="107"/>
      <c r="CT6" s="107"/>
      <c r="CU6" s="107"/>
    </row>
    <row r="7">
      <c r="A7" s="595" t="s">
        <v>43</v>
      </c>
      <c r="B7" s="202" t="s">
        <v>2246</v>
      </c>
      <c r="C7" s="196" t="s">
        <v>171</v>
      </c>
      <c r="D7" s="197" t="s">
        <v>274</v>
      </c>
      <c r="E7" s="199" t="s">
        <v>233</v>
      </c>
      <c r="F7" s="201" t="s">
        <v>2251</v>
      </c>
      <c r="G7" s="202" t="s">
        <v>1725</v>
      </c>
      <c r="H7" s="596" t="s">
        <v>2254</v>
      </c>
      <c r="I7" s="596" t="s">
        <v>2255</v>
      </c>
      <c r="J7" s="104"/>
      <c r="K7" s="107" t="s">
        <v>2260</v>
      </c>
      <c r="L7" s="104"/>
      <c r="M7" s="131" t="s">
        <v>2261</v>
      </c>
      <c r="N7" s="104"/>
      <c r="O7" s="131" t="s">
        <v>2265</v>
      </c>
      <c r="P7" s="131" t="s">
        <v>2273</v>
      </c>
      <c r="Q7" s="104"/>
      <c r="R7" s="131" t="s">
        <v>2279</v>
      </c>
      <c r="S7" s="104"/>
      <c r="T7" s="107" t="s">
        <v>2289</v>
      </c>
      <c r="U7" s="131" t="s">
        <v>2290</v>
      </c>
      <c r="V7" s="121" t="s">
        <v>2294</v>
      </c>
      <c r="W7" s="131" t="s">
        <v>212</v>
      </c>
      <c r="X7" s="131" t="s">
        <v>1575</v>
      </c>
      <c r="Y7" s="131" t="s">
        <v>2301</v>
      </c>
      <c r="Z7" s="121" t="s">
        <v>2309</v>
      </c>
      <c r="AA7" s="137"/>
      <c r="AB7" s="601" t="s">
        <v>2315</v>
      </c>
      <c r="AC7" s="131" t="s">
        <v>2319</v>
      </c>
      <c r="AD7" s="131" t="s">
        <v>2328</v>
      </c>
      <c r="AE7" s="137"/>
      <c r="AF7" s="116" t="s">
        <v>2330</v>
      </c>
      <c r="AG7" s="104"/>
      <c r="AH7" s="131" t="s">
        <v>2334</v>
      </c>
      <c r="AI7" s="121" t="s">
        <v>2337</v>
      </c>
      <c r="AJ7" s="104"/>
      <c r="AK7" s="131" t="s">
        <v>2344</v>
      </c>
      <c r="AL7" s="104"/>
      <c r="AM7" s="131" t="s">
        <v>2350</v>
      </c>
      <c r="AN7" s="107" t="s">
        <v>2354</v>
      </c>
      <c r="AO7" s="107" t="s">
        <v>2355</v>
      </c>
      <c r="AP7" s="131" t="s">
        <v>2357</v>
      </c>
      <c r="AQ7" s="104"/>
      <c r="AR7" s="107" t="s">
        <v>2362</v>
      </c>
      <c r="AS7" s="104"/>
      <c r="AT7" s="131" t="s">
        <v>2363</v>
      </c>
      <c r="AU7" s="131" t="s">
        <v>2367</v>
      </c>
      <c r="AV7" s="104"/>
      <c r="AW7" s="131" t="s">
        <v>2370</v>
      </c>
      <c r="AX7" s="104"/>
      <c r="AY7" s="104"/>
      <c r="AZ7" s="131" t="s">
        <v>2381</v>
      </c>
      <c r="BA7" s="131" t="s">
        <v>2384</v>
      </c>
      <c r="BB7" s="131" t="s">
        <v>2389</v>
      </c>
      <c r="BC7" s="131" t="s">
        <v>2394</v>
      </c>
      <c r="BD7" s="131" t="s">
        <v>2206</v>
      </c>
      <c r="BE7" s="104"/>
      <c r="BF7" s="104"/>
      <c r="BG7" s="104"/>
      <c r="BH7" s="104"/>
      <c r="BI7" s="104"/>
      <c r="BJ7" s="104"/>
      <c r="BK7" s="104"/>
      <c r="BL7" s="104"/>
      <c r="BM7" s="104"/>
      <c r="BN7" s="104"/>
      <c r="BO7" s="104"/>
      <c r="BP7" s="104"/>
      <c r="BQ7" s="104"/>
      <c r="BR7" s="104"/>
      <c r="BS7" s="104"/>
      <c r="BT7" s="104"/>
      <c r="BU7" s="104"/>
      <c r="BV7" s="104"/>
      <c r="BW7" s="126" t="s">
        <v>2422</v>
      </c>
      <c r="BX7" s="131" t="s">
        <v>2425</v>
      </c>
      <c r="BY7" s="104"/>
      <c r="BZ7" s="104"/>
      <c r="CA7" s="122"/>
      <c r="CB7" s="104"/>
      <c r="CC7" s="104"/>
      <c r="CD7" s="122"/>
      <c r="CE7" s="104"/>
      <c r="CF7" s="104"/>
      <c r="CG7" s="104"/>
      <c r="CH7" s="104"/>
      <c r="CI7" s="104"/>
      <c r="CJ7" s="104"/>
      <c r="CK7" s="104"/>
      <c r="CL7" s="104"/>
      <c r="CM7" s="104"/>
      <c r="CN7" s="104"/>
      <c r="CO7" s="104"/>
      <c r="CP7" s="104"/>
      <c r="CQ7" s="104"/>
      <c r="CR7" s="104"/>
      <c r="CS7" s="104"/>
      <c r="CT7" s="104"/>
      <c r="CU7" s="104"/>
    </row>
    <row r="8">
      <c r="A8" s="608" t="s">
        <v>2437</v>
      </c>
      <c r="B8" s="202" t="s">
        <v>2438</v>
      </c>
      <c r="C8" s="196" t="s">
        <v>171</v>
      </c>
      <c r="D8" s="197" t="s">
        <v>176</v>
      </c>
      <c r="E8" s="199" t="s">
        <v>203</v>
      </c>
      <c r="F8" s="201" t="s">
        <v>2441</v>
      </c>
      <c r="G8" s="202" t="s">
        <v>2442</v>
      </c>
      <c r="H8" s="609"/>
      <c r="I8" s="596" t="s">
        <v>2443</v>
      </c>
      <c r="J8" s="104"/>
      <c r="K8" s="131" t="s">
        <v>2448</v>
      </c>
      <c r="L8" s="107" t="s">
        <v>2452</v>
      </c>
      <c r="M8" s="92" t="s">
        <v>2453</v>
      </c>
      <c r="N8" s="104"/>
      <c r="O8" s="131" t="s">
        <v>2455</v>
      </c>
      <c r="P8" s="131" t="s">
        <v>2463</v>
      </c>
      <c r="Q8" s="104"/>
      <c r="R8" s="131" t="s">
        <v>2467</v>
      </c>
      <c r="S8" s="131" t="s">
        <v>2481</v>
      </c>
      <c r="T8" s="104"/>
      <c r="U8" s="131" t="s">
        <v>2487</v>
      </c>
      <c r="V8" s="137"/>
      <c r="W8" s="107" t="s">
        <v>2492</v>
      </c>
      <c r="X8" s="131" t="s">
        <v>2493</v>
      </c>
      <c r="Y8" s="131" t="s">
        <v>2504</v>
      </c>
      <c r="Z8" s="104"/>
      <c r="AA8" s="104"/>
      <c r="AB8" s="104"/>
      <c r="AC8" s="131" t="s">
        <v>2516</v>
      </c>
      <c r="AD8" s="92" t="s">
        <v>533</v>
      </c>
      <c r="AE8" s="104"/>
      <c r="AF8" s="104"/>
      <c r="AG8" s="126" t="s">
        <v>2524</v>
      </c>
      <c r="AH8" s="162" t="s">
        <v>2533</v>
      </c>
      <c r="AI8" s="116" t="s">
        <v>2534</v>
      </c>
      <c r="AJ8" s="104"/>
      <c r="AK8" s="162" t="s">
        <v>2539</v>
      </c>
      <c r="AL8" s="107"/>
      <c r="AM8" s="131" t="s">
        <v>2543</v>
      </c>
      <c r="AN8" s="104"/>
      <c r="AO8" s="104"/>
      <c r="AP8" s="131" t="s">
        <v>2549</v>
      </c>
      <c r="AQ8" s="131" t="s">
        <v>2558</v>
      </c>
      <c r="AR8" s="131" t="s">
        <v>2565</v>
      </c>
      <c r="AS8" s="107" t="s">
        <v>2568</v>
      </c>
      <c r="AT8" s="131" t="s">
        <v>2570</v>
      </c>
      <c r="AU8" s="131" t="s">
        <v>2575</v>
      </c>
      <c r="AV8" s="104"/>
      <c r="AW8" s="107" t="s">
        <v>2543</v>
      </c>
      <c r="AX8" s="104"/>
      <c r="AY8" s="104"/>
      <c r="AZ8" s="116" t="s">
        <v>2580</v>
      </c>
      <c r="BA8" s="137"/>
      <c r="BB8" s="131" t="s">
        <v>2584</v>
      </c>
      <c r="BC8" s="131" t="s">
        <v>2591</v>
      </c>
      <c r="BD8" s="116" t="s">
        <v>2595</v>
      </c>
      <c r="BE8" s="104"/>
      <c r="BF8" s="104"/>
      <c r="BG8" s="322"/>
      <c r="BH8" s="322"/>
      <c r="BI8" s="322"/>
      <c r="BJ8" s="322"/>
      <c r="BK8" s="322"/>
      <c r="BL8" s="322"/>
      <c r="BM8" s="322"/>
      <c r="BN8" s="322"/>
      <c r="BO8" s="322"/>
      <c r="BP8" s="322"/>
      <c r="BQ8" s="104"/>
      <c r="BR8" s="104"/>
      <c r="BS8" s="104"/>
      <c r="BT8" s="104"/>
      <c r="BU8" s="104"/>
      <c r="BV8" s="104"/>
      <c r="BW8" s="122"/>
      <c r="BX8" s="104"/>
      <c r="BY8" s="104"/>
      <c r="BZ8" s="104"/>
      <c r="CA8" s="122"/>
      <c r="CB8" s="104"/>
      <c r="CC8" s="104"/>
      <c r="CD8" s="122"/>
      <c r="CE8" s="559" t="s">
        <v>2616</v>
      </c>
      <c r="CF8" s="560" t="s">
        <v>2628</v>
      </c>
      <c r="CG8" s="560" t="s">
        <v>2638</v>
      </c>
      <c r="CH8" s="556"/>
      <c r="CI8" s="556"/>
      <c r="CJ8" s="559" t="s">
        <v>2643</v>
      </c>
      <c r="CK8" s="556"/>
      <c r="CL8" s="559" t="s">
        <v>2441</v>
      </c>
      <c r="CM8" s="556"/>
      <c r="CN8" s="630" t="s">
        <v>565</v>
      </c>
      <c r="CO8" s="556"/>
      <c r="CP8" s="556"/>
      <c r="CQ8" s="556"/>
      <c r="CR8" s="559" t="s">
        <v>2038</v>
      </c>
      <c r="CS8" s="556"/>
      <c r="CT8" s="104"/>
      <c r="CU8" s="104"/>
    </row>
    <row r="9">
      <c r="A9" s="633" t="s">
        <v>2662</v>
      </c>
      <c r="B9" s="202" t="s">
        <v>2663</v>
      </c>
      <c r="C9" s="196" t="s">
        <v>271</v>
      </c>
      <c r="D9" s="197" t="s">
        <v>233</v>
      </c>
      <c r="E9" s="199" t="s">
        <v>399</v>
      </c>
      <c r="F9" s="201" t="s">
        <v>1926</v>
      </c>
      <c r="G9" s="202" t="s">
        <v>2038</v>
      </c>
      <c r="H9" s="131" t="s">
        <v>2667</v>
      </c>
      <c r="I9" s="131" t="s">
        <v>2669</v>
      </c>
      <c r="J9" s="137"/>
      <c r="K9" s="104"/>
      <c r="L9" s="104"/>
      <c r="M9" s="104"/>
      <c r="N9" s="104"/>
      <c r="O9" s="104"/>
      <c r="P9" s="107" t="s">
        <v>2670</v>
      </c>
      <c r="Q9" s="104"/>
      <c r="R9" s="131" t="s">
        <v>2672</v>
      </c>
      <c r="S9" s="104"/>
      <c r="T9" s="104"/>
      <c r="U9" s="635" t="s">
        <v>2674</v>
      </c>
      <c r="V9" s="137"/>
      <c r="W9" s="636" t="s">
        <v>1583</v>
      </c>
      <c r="X9" s="243" t="s">
        <v>2678</v>
      </c>
      <c r="Y9" s="498" t="s">
        <v>2679</v>
      </c>
      <c r="Z9" s="137"/>
      <c r="AA9" s="137" t="s">
        <v>2680</v>
      </c>
      <c r="AB9" s="137"/>
      <c r="AC9" s="116" t="s">
        <v>2691</v>
      </c>
      <c r="AD9" s="131" t="s">
        <v>801</v>
      </c>
      <c r="AE9" s="137"/>
      <c r="AF9" s="137"/>
      <c r="AG9" s="137"/>
      <c r="AH9" s="104"/>
      <c r="AI9" s="104"/>
      <c r="AJ9" s="104"/>
      <c r="AK9" s="162" t="s">
        <v>982</v>
      </c>
      <c r="AL9" s="107"/>
      <c r="AM9" s="116" t="s">
        <v>2720</v>
      </c>
      <c r="AN9" s="162" t="s">
        <v>2543</v>
      </c>
      <c r="AO9" s="104"/>
      <c r="AP9" s="131" t="s">
        <v>2728</v>
      </c>
      <c r="AQ9" s="137"/>
      <c r="AR9" s="104"/>
      <c r="AS9" s="104"/>
      <c r="AT9" s="131" t="s">
        <v>2730</v>
      </c>
      <c r="AU9" s="107"/>
      <c r="AV9" s="107"/>
      <c r="AW9" s="131" t="s">
        <v>2734</v>
      </c>
      <c r="AX9" s="104"/>
      <c r="AY9" s="104"/>
      <c r="AZ9" s="104"/>
      <c r="BA9" s="104"/>
      <c r="BB9" s="131" t="s">
        <v>2739</v>
      </c>
      <c r="BC9" s="162" t="s">
        <v>2743</v>
      </c>
      <c r="BD9" s="104"/>
      <c r="BE9" s="104"/>
      <c r="BF9" s="104"/>
      <c r="BG9" s="322"/>
      <c r="BH9" s="386" t="s">
        <v>2745</v>
      </c>
      <c r="BI9" s="322"/>
      <c r="BJ9" s="322"/>
      <c r="BK9" s="322"/>
      <c r="BL9" s="322"/>
      <c r="BM9" s="322"/>
      <c r="BN9" s="322"/>
      <c r="BO9" s="322"/>
      <c r="BP9" s="322"/>
      <c r="BQ9" s="104"/>
      <c r="BR9" s="104"/>
      <c r="BS9" s="116" t="s">
        <v>2752</v>
      </c>
      <c r="BT9" s="104"/>
      <c r="BU9" s="104"/>
      <c r="BV9" s="640" t="s">
        <v>1229</v>
      </c>
      <c r="BW9" s="116" t="s">
        <v>2764</v>
      </c>
      <c r="BX9" s="121" t="s">
        <v>1190</v>
      </c>
      <c r="BY9" s="635" t="s">
        <v>2772</v>
      </c>
      <c r="BZ9" s="137"/>
      <c r="CA9" s="121" t="s">
        <v>2775</v>
      </c>
      <c r="CB9" s="635" t="s">
        <v>2777</v>
      </c>
      <c r="CC9" s="601" t="s">
        <v>991</v>
      </c>
      <c r="CD9" s="185"/>
      <c r="CE9" s="556"/>
      <c r="CF9" s="556"/>
      <c r="CG9" s="556"/>
      <c r="CH9" s="556"/>
      <c r="CI9" s="556"/>
      <c r="CJ9" s="556"/>
      <c r="CK9" s="556"/>
      <c r="CL9" s="556"/>
      <c r="CM9" s="560" t="s">
        <v>2784</v>
      </c>
      <c r="CN9" s="556"/>
      <c r="CO9" s="556"/>
      <c r="CP9" s="556"/>
      <c r="CQ9" s="643" t="s">
        <v>2793</v>
      </c>
      <c r="CR9" s="556"/>
      <c r="CS9" s="556"/>
      <c r="CT9" s="137"/>
      <c r="CU9" s="137"/>
    </row>
    <row r="10">
      <c r="A10" s="644" t="s">
        <v>2796</v>
      </c>
      <c r="B10" s="202" t="s">
        <v>2799</v>
      </c>
      <c r="C10" s="196" t="s">
        <v>271</v>
      </c>
      <c r="D10" s="197" t="s">
        <v>233</v>
      </c>
      <c r="E10" s="199" t="s">
        <v>233</v>
      </c>
      <c r="F10" s="201" t="s">
        <v>2441</v>
      </c>
      <c r="G10" s="202" t="s">
        <v>1428</v>
      </c>
      <c r="H10" s="596" t="s">
        <v>2803</v>
      </c>
      <c r="I10" s="596" t="s">
        <v>2811</v>
      </c>
      <c r="J10" s="104"/>
      <c r="K10" s="131" t="s">
        <v>2815</v>
      </c>
      <c r="L10" s="131" t="s">
        <v>2820</v>
      </c>
      <c r="M10" s="104"/>
      <c r="N10" s="104"/>
      <c r="O10" s="131" t="s">
        <v>2829</v>
      </c>
      <c r="P10" s="131" t="s">
        <v>2838</v>
      </c>
      <c r="Q10" s="116" t="s">
        <v>2844</v>
      </c>
      <c r="R10" s="131" t="s">
        <v>2849</v>
      </c>
      <c r="S10" s="131" t="s">
        <v>2854</v>
      </c>
      <c r="T10" s="131" t="s">
        <v>2857</v>
      </c>
      <c r="U10" s="131" t="s">
        <v>2864</v>
      </c>
      <c r="V10" s="104"/>
      <c r="W10" s="104"/>
      <c r="X10" s="131" t="s">
        <v>471</v>
      </c>
      <c r="Y10" s="92" t="s">
        <v>2870</v>
      </c>
      <c r="Z10" s="104"/>
      <c r="AA10" s="131" t="s">
        <v>1631</v>
      </c>
      <c r="AB10" s="104"/>
      <c r="AC10" s="131" t="s">
        <v>2869</v>
      </c>
      <c r="AD10" s="131" t="s">
        <v>2873</v>
      </c>
      <c r="AE10" s="131" t="s">
        <v>2477</v>
      </c>
      <c r="AF10" s="104"/>
      <c r="AG10" s="104"/>
      <c r="AH10" s="104"/>
      <c r="AI10" s="104"/>
      <c r="AJ10" s="104"/>
      <c r="AK10" s="104"/>
      <c r="AL10" s="104"/>
      <c r="AM10" s="107" t="s">
        <v>2876</v>
      </c>
      <c r="AN10" s="121" t="s">
        <v>2878</v>
      </c>
      <c r="AO10" s="104"/>
      <c r="AP10" s="648" t="s">
        <v>2876</v>
      </c>
      <c r="AQ10" s="131" t="s">
        <v>2882</v>
      </c>
      <c r="AR10" s="131" t="s">
        <v>2884</v>
      </c>
      <c r="AS10" s="104"/>
      <c r="AT10" s="131" t="s">
        <v>2889</v>
      </c>
      <c r="AU10" s="131" t="s">
        <v>2212</v>
      </c>
      <c r="AV10" s="131" t="s">
        <v>2898</v>
      </c>
      <c r="AW10" s="131" t="s">
        <v>2904</v>
      </c>
      <c r="AX10" s="131" t="s">
        <v>2911</v>
      </c>
      <c r="AY10" s="104"/>
      <c r="AZ10" s="104"/>
      <c r="BA10" s="104"/>
      <c r="BB10" s="131" t="s">
        <v>2212</v>
      </c>
      <c r="BC10" s="104"/>
      <c r="BD10" s="131" t="s">
        <v>2932</v>
      </c>
      <c r="BE10" s="121" t="s">
        <v>2934</v>
      </c>
      <c r="BF10" s="104"/>
      <c r="BG10" s="651" t="s">
        <v>2941</v>
      </c>
      <c r="BH10" s="652"/>
      <c r="BI10" s="652"/>
      <c r="BJ10" s="652"/>
      <c r="BK10" s="652"/>
      <c r="BL10" s="652"/>
      <c r="BM10" s="652"/>
      <c r="BN10" s="652"/>
      <c r="BO10" s="652"/>
      <c r="BP10" s="652"/>
      <c r="BQ10" s="104"/>
      <c r="BR10" s="104"/>
      <c r="BS10" s="104"/>
      <c r="BT10" s="104"/>
      <c r="BU10" s="104"/>
      <c r="BV10" s="104"/>
      <c r="BW10" s="122"/>
      <c r="BX10" s="104"/>
      <c r="BY10" s="104"/>
      <c r="BZ10" s="104"/>
      <c r="CA10" s="122"/>
      <c r="CB10" s="104"/>
      <c r="CC10" s="104"/>
      <c r="CD10" s="122"/>
      <c r="CE10" s="556"/>
      <c r="CF10" s="556"/>
      <c r="CG10" s="556"/>
      <c r="CH10" s="556"/>
      <c r="CI10" s="556"/>
      <c r="CJ10" s="556"/>
      <c r="CK10" s="556"/>
      <c r="CL10" s="556"/>
      <c r="CM10" s="556"/>
      <c r="CN10" s="556"/>
      <c r="CO10" s="556"/>
      <c r="CP10" s="556"/>
      <c r="CQ10" s="556"/>
      <c r="CR10" s="556"/>
      <c r="CS10" s="556"/>
      <c r="CT10" s="116" t="s">
        <v>2957</v>
      </c>
      <c r="CU10" s="104"/>
    </row>
    <row r="11">
      <c r="A11" s="653" t="s">
        <v>2596</v>
      </c>
      <c r="B11" s="202" t="s">
        <v>2962</v>
      </c>
      <c r="C11" s="196" t="s">
        <v>171</v>
      </c>
      <c r="D11" s="197" t="s">
        <v>233</v>
      </c>
      <c r="E11" s="199" t="s">
        <v>171</v>
      </c>
      <c r="F11" s="201" t="s">
        <v>1010</v>
      </c>
      <c r="G11" s="202" t="s">
        <v>2442</v>
      </c>
      <c r="H11" s="609"/>
      <c r="I11" s="609" t="s">
        <v>2971</v>
      </c>
      <c r="J11" s="104"/>
      <c r="K11" s="107" t="s">
        <v>2972</v>
      </c>
      <c r="L11" s="131" t="s">
        <v>2974</v>
      </c>
      <c r="M11" s="107" t="s">
        <v>2448</v>
      </c>
      <c r="N11" s="104"/>
      <c r="O11" s="107" t="s">
        <v>2979</v>
      </c>
      <c r="P11" s="107" t="s">
        <v>2980</v>
      </c>
      <c r="Q11" s="107" t="s">
        <v>2981</v>
      </c>
      <c r="R11" s="107" t="s">
        <v>2982</v>
      </c>
      <c r="S11" s="131" t="s">
        <v>2985</v>
      </c>
      <c r="T11" s="104"/>
      <c r="U11" s="107" t="s">
        <v>2987</v>
      </c>
      <c r="V11" s="104"/>
      <c r="W11" s="107" t="s">
        <v>2991</v>
      </c>
      <c r="X11" s="131" t="s">
        <v>2993</v>
      </c>
      <c r="Y11" s="131" t="s">
        <v>2998</v>
      </c>
      <c r="Z11" s="104"/>
      <c r="AA11" s="131" t="s">
        <v>3002</v>
      </c>
      <c r="AB11" s="104"/>
      <c r="AC11" s="107" t="s">
        <v>3006</v>
      </c>
      <c r="AD11" s="107" t="s">
        <v>3007</v>
      </c>
      <c r="AE11" s="107"/>
      <c r="AF11" s="107" t="s">
        <v>659</v>
      </c>
      <c r="AG11" s="104"/>
      <c r="AH11" s="104"/>
      <c r="AI11" s="104"/>
      <c r="AJ11" s="104"/>
      <c r="AK11" s="104"/>
      <c r="AL11" s="104"/>
      <c r="AM11" s="131" t="s">
        <v>3011</v>
      </c>
      <c r="AN11" s="121" t="s">
        <v>2878</v>
      </c>
      <c r="AO11" s="121" t="s">
        <v>3020</v>
      </c>
      <c r="AP11" s="107" t="s">
        <v>2904</v>
      </c>
      <c r="AQ11" s="107" t="s">
        <v>2904</v>
      </c>
      <c r="AR11" s="131" t="s">
        <v>3026</v>
      </c>
      <c r="AS11" s="107" t="s">
        <v>1601</v>
      </c>
      <c r="AT11" s="107"/>
      <c r="AU11" s="116" t="s">
        <v>3033</v>
      </c>
      <c r="AV11" s="107" t="s">
        <v>2730</v>
      </c>
      <c r="AW11" s="107" t="s">
        <v>3040</v>
      </c>
      <c r="AX11" s="104"/>
      <c r="AY11" s="126" t="s">
        <v>3042</v>
      </c>
      <c r="AZ11" s="107" t="s">
        <v>2064</v>
      </c>
      <c r="BA11" s="107"/>
      <c r="BB11" s="107" t="s">
        <v>1587</v>
      </c>
      <c r="BC11" s="162" t="s">
        <v>3056</v>
      </c>
      <c r="BD11" s="162" t="s">
        <v>3057</v>
      </c>
      <c r="BE11" s="107"/>
      <c r="BF11" s="107"/>
      <c r="BG11" s="322"/>
      <c r="BH11" s="322"/>
      <c r="BI11" s="322"/>
      <c r="BJ11" s="322"/>
      <c r="BK11" s="322"/>
      <c r="BL11" s="322"/>
      <c r="BM11" s="322"/>
      <c r="BN11" s="322"/>
      <c r="BO11" s="322"/>
      <c r="BP11" s="322"/>
      <c r="BQ11" s="104"/>
      <c r="BR11" s="104"/>
      <c r="BS11" s="104"/>
      <c r="BT11" s="104"/>
      <c r="BU11" s="104"/>
      <c r="BV11" s="657" t="s">
        <v>1019</v>
      </c>
      <c r="BW11" s="122"/>
      <c r="BX11" s="107" t="s">
        <v>3069</v>
      </c>
      <c r="BY11" s="107" t="s">
        <v>3073</v>
      </c>
      <c r="BZ11" s="104"/>
      <c r="CA11" s="122"/>
      <c r="CB11" s="107" t="s">
        <v>3076</v>
      </c>
      <c r="CC11" s="104"/>
      <c r="CD11" s="122"/>
      <c r="CE11" s="556"/>
      <c r="CF11" s="556"/>
      <c r="CG11" s="556"/>
      <c r="CH11" s="556"/>
      <c r="CI11" s="556"/>
      <c r="CJ11" s="556"/>
      <c r="CK11" s="556"/>
      <c r="CL11" s="556"/>
      <c r="CM11" s="556"/>
      <c r="CN11" s="556"/>
      <c r="CO11" s="556"/>
      <c r="CP11" s="556"/>
      <c r="CQ11" s="556"/>
      <c r="CR11" s="556"/>
      <c r="CS11" s="561" t="s">
        <v>3084</v>
      </c>
      <c r="CT11" s="104"/>
      <c r="CU11" s="104"/>
    </row>
    <row r="12">
      <c r="A12" s="658" t="s">
        <v>83</v>
      </c>
      <c r="B12" s="202" t="s">
        <v>3089</v>
      </c>
      <c r="C12" s="196" t="s">
        <v>271</v>
      </c>
      <c r="D12" s="197" t="s">
        <v>271</v>
      </c>
      <c r="E12" s="199" t="s">
        <v>271</v>
      </c>
      <c r="F12" s="201" t="s">
        <v>1398</v>
      </c>
      <c r="G12" s="202" t="s">
        <v>2251</v>
      </c>
      <c r="H12" s="609"/>
      <c r="I12" s="596" t="s">
        <v>3095</v>
      </c>
      <c r="J12" s="104"/>
      <c r="K12" s="131" t="s">
        <v>3105</v>
      </c>
      <c r="L12" s="131" t="s">
        <v>3115</v>
      </c>
      <c r="M12" s="131" t="s">
        <v>3121</v>
      </c>
      <c r="N12" s="104"/>
      <c r="O12" s="92" t="s">
        <v>3124</v>
      </c>
      <c r="P12" s="131" t="s">
        <v>3125</v>
      </c>
      <c r="Q12" s="104"/>
      <c r="R12" s="131" t="s">
        <v>3134</v>
      </c>
      <c r="S12" s="131" t="s">
        <v>3137</v>
      </c>
      <c r="T12" s="107" t="s">
        <v>3143</v>
      </c>
      <c r="U12" s="131" t="s">
        <v>3144</v>
      </c>
      <c r="V12" s="104"/>
      <c r="W12" s="104"/>
      <c r="X12" s="92" t="s">
        <v>3147</v>
      </c>
      <c r="Y12" s="131" t="s">
        <v>3148</v>
      </c>
      <c r="Z12" s="104"/>
      <c r="AA12" s="92" t="s">
        <v>3155</v>
      </c>
      <c r="AB12" s="107" t="s">
        <v>3156</v>
      </c>
      <c r="AC12" s="131" t="s">
        <v>3157</v>
      </c>
      <c r="AD12" s="131" t="s">
        <v>3158</v>
      </c>
      <c r="AE12" s="131" t="s">
        <v>3163</v>
      </c>
      <c r="AF12" s="131" t="s">
        <v>3170</v>
      </c>
      <c r="AG12" s="104"/>
      <c r="AH12" s="104"/>
      <c r="AI12" s="104"/>
      <c r="AJ12" s="104"/>
      <c r="AK12" s="104"/>
      <c r="AL12" s="104"/>
      <c r="AM12" s="131" t="s">
        <v>3178</v>
      </c>
      <c r="AN12" s="131" t="s">
        <v>3188</v>
      </c>
      <c r="AO12" s="131" t="s">
        <v>3193</v>
      </c>
      <c r="AP12" s="104"/>
      <c r="AQ12" s="107" t="s">
        <v>2543</v>
      </c>
      <c r="AR12" s="131" t="s">
        <v>3203</v>
      </c>
      <c r="AS12" s="104"/>
      <c r="AT12" s="131" t="s">
        <v>3212</v>
      </c>
      <c r="AU12" s="131" t="s">
        <v>3217</v>
      </c>
      <c r="AV12" s="104"/>
      <c r="AW12" s="131" t="s">
        <v>3222</v>
      </c>
      <c r="AX12" s="104"/>
      <c r="AY12" s="104"/>
      <c r="AZ12" s="104"/>
      <c r="BA12" s="104"/>
      <c r="BB12" s="131" t="s">
        <v>3231</v>
      </c>
      <c r="BC12" s="131" t="s">
        <v>3234</v>
      </c>
      <c r="BD12" s="104"/>
      <c r="BE12" s="104"/>
      <c r="BF12" s="104"/>
      <c r="BG12" s="652"/>
      <c r="BH12" s="652"/>
      <c r="BI12" s="652"/>
      <c r="BJ12" s="652"/>
      <c r="BK12" s="652"/>
      <c r="BL12" s="651" t="s">
        <v>3242</v>
      </c>
      <c r="BM12" s="652"/>
      <c r="BN12" s="652"/>
      <c r="BO12" s="652"/>
      <c r="BP12" s="652"/>
      <c r="BQ12" s="104"/>
      <c r="BR12" s="104"/>
      <c r="BS12" s="104"/>
      <c r="BT12" s="104"/>
      <c r="BU12" s="104"/>
      <c r="BV12" s="131" t="s">
        <v>3247</v>
      </c>
      <c r="BW12" s="122"/>
      <c r="BX12" s="104"/>
      <c r="BY12" s="104"/>
      <c r="BZ12" s="104"/>
      <c r="CA12" s="122"/>
      <c r="CB12" s="104"/>
      <c r="CC12" s="104"/>
      <c r="CD12" s="122"/>
      <c r="CE12" s="131" t="s">
        <v>3251</v>
      </c>
      <c r="CF12" s="104"/>
      <c r="CG12" s="104"/>
      <c r="CH12" s="104"/>
      <c r="CI12" s="104"/>
      <c r="CJ12" s="104"/>
      <c r="CK12" s="104"/>
      <c r="CL12" s="104"/>
      <c r="CM12" s="104"/>
      <c r="CN12" s="104"/>
      <c r="CO12" s="104"/>
      <c r="CP12" s="104"/>
      <c r="CQ12" s="104"/>
      <c r="CR12" s="104"/>
      <c r="CS12" s="104"/>
      <c r="CT12" s="104"/>
      <c r="CU12" s="104"/>
    </row>
    <row r="13">
      <c r="A13" s="591" t="s">
        <v>84</v>
      </c>
      <c r="B13" s="202" t="s">
        <v>3256</v>
      </c>
      <c r="C13" s="196" t="s">
        <v>271</v>
      </c>
      <c r="D13" s="197" t="s">
        <v>271</v>
      </c>
      <c r="E13" s="199" t="s">
        <v>271</v>
      </c>
      <c r="F13" s="201" t="s">
        <v>171</v>
      </c>
      <c r="G13" s="202" t="s">
        <v>3258</v>
      </c>
      <c r="H13" s="609"/>
      <c r="I13" s="609" t="s">
        <v>3260</v>
      </c>
      <c r="J13" s="107" t="s">
        <v>3262</v>
      </c>
      <c r="K13" s="107" t="s">
        <v>3264</v>
      </c>
      <c r="L13" s="107" t="s">
        <v>3265</v>
      </c>
      <c r="M13" s="107" t="s">
        <v>3266</v>
      </c>
      <c r="N13" s="107" t="s">
        <v>3267</v>
      </c>
      <c r="O13" s="107" t="s">
        <v>3268</v>
      </c>
      <c r="P13" s="107" t="s">
        <v>3269</v>
      </c>
      <c r="Q13" s="104"/>
      <c r="R13" s="162" t="s">
        <v>3270</v>
      </c>
      <c r="S13" s="107" t="s">
        <v>3271</v>
      </c>
      <c r="T13" s="107" t="s">
        <v>3272</v>
      </c>
      <c r="U13" s="107" t="s">
        <v>3273</v>
      </c>
      <c r="V13" s="107" t="s">
        <v>3275</v>
      </c>
      <c r="W13" s="107" t="s">
        <v>3276</v>
      </c>
      <c r="X13" s="107" t="s">
        <v>3277</v>
      </c>
      <c r="Y13" s="107" t="s">
        <v>1150</v>
      </c>
      <c r="Z13" s="162" t="s">
        <v>439</v>
      </c>
      <c r="AA13" s="107" t="s">
        <v>3278</v>
      </c>
      <c r="AB13" s="107"/>
      <c r="AC13" s="162" t="s">
        <v>3280</v>
      </c>
      <c r="AD13" s="162" t="s">
        <v>3282</v>
      </c>
      <c r="AE13" s="107" t="s">
        <v>2887</v>
      </c>
      <c r="AF13" s="107" t="s">
        <v>3284</v>
      </c>
      <c r="AG13" s="162" t="s">
        <v>3285</v>
      </c>
      <c r="AH13" s="104"/>
      <c r="AI13" s="104"/>
      <c r="AJ13" s="104"/>
      <c r="AK13" s="104"/>
      <c r="AL13" s="107" t="s">
        <v>3287</v>
      </c>
      <c r="AM13" s="162" t="s">
        <v>3288</v>
      </c>
      <c r="AN13" s="162" t="s">
        <v>3289</v>
      </c>
      <c r="AO13" s="104"/>
      <c r="AP13" s="107" t="s">
        <v>3290</v>
      </c>
      <c r="AQ13" s="107" t="s">
        <v>2876</v>
      </c>
      <c r="AR13" s="162" t="s">
        <v>3292</v>
      </c>
      <c r="AS13" s="107" t="s">
        <v>3293</v>
      </c>
      <c r="AT13" s="107" t="s">
        <v>3294</v>
      </c>
      <c r="AU13" s="107" t="s">
        <v>3295</v>
      </c>
      <c r="AV13" s="394" t="s">
        <v>3296</v>
      </c>
      <c r="AW13" s="107" t="s">
        <v>3297</v>
      </c>
      <c r="AX13" s="107" t="s">
        <v>3299</v>
      </c>
      <c r="AY13" s="104"/>
      <c r="AZ13" s="162" t="s">
        <v>1234</v>
      </c>
      <c r="BA13" s="107"/>
      <c r="BB13" s="162" t="s">
        <v>3302</v>
      </c>
      <c r="BC13" s="162" t="s">
        <v>3303</v>
      </c>
      <c r="BD13" s="107" t="s">
        <v>3304</v>
      </c>
      <c r="BE13" s="107"/>
      <c r="BF13" s="104"/>
      <c r="BG13" s="652"/>
      <c r="BH13" s="652"/>
      <c r="BI13" s="652"/>
      <c r="BJ13" s="652"/>
      <c r="BK13" s="652"/>
      <c r="BL13" s="652"/>
      <c r="BM13" s="652"/>
      <c r="BN13" s="652"/>
      <c r="BO13" s="652"/>
      <c r="BP13" s="652"/>
      <c r="BQ13" s="104"/>
      <c r="BR13" s="104"/>
      <c r="BS13" s="104"/>
      <c r="BT13" s="104"/>
      <c r="BU13" s="104"/>
      <c r="BV13" s="107" t="s">
        <v>937</v>
      </c>
      <c r="BW13" s="122"/>
      <c r="BX13" s="107" t="s">
        <v>3312</v>
      </c>
      <c r="BY13" s="107" t="s">
        <v>3313</v>
      </c>
      <c r="BZ13" s="104"/>
      <c r="CA13" s="122"/>
      <c r="CB13" s="107" t="s">
        <v>3208</v>
      </c>
      <c r="CC13" s="104"/>
      <c r="CD13" s="122"/>
      <c r="CE13" s="556"/>
      <c r="CF13" s="107" t="s">
        <v>3056</v>
      </c>
      <c r="CG13" s="104"/>
      <c r="CH13" s="556"/>
      <c r="CI13" s="643" t="s">
        <v>2124</v>
      </c>
      <c r="CJ13" s="561" t="s">
        <v>2628</v>
      </c>
      <c r="CK13" s="561"/>
      <c r="CL13" s="630" t="s">
        <v>2251</v>
      </c>
      <c r="CM13" s="561" t="s">
        <v>3324</v>
      </c>
      <c r="CN13" s="561" t="s">
        <v>565</v>
      </c>
      <c r="CO13" s="561" t="s">
        <v>2320</v>
      </c>
      <c r="CP13" s="561" t="s">
        <v>3327</v>
      </c>
      <c r="CQ13" s="561" t="s">
        <v>3328</v>
      </c>
      <c r="CR13" s="556"/>
      <c r="CS13" s="556"/>
      <c r="CT13" s="104"/>
      <c r="CU13" s="104"/>
    </row>
    <row r="14">
      <c r="A14" s="677" t="s">
        <v>3164</v>
      </c>
      <c r="B14" s="202" t="s">
        <v>3330</v>
      </c>
      <c r="C14" s="196" t="s">
        <v>271</v>
      </c>
      <c r="D14" s="197" t="s">
        <v>271</v>
      </c>
      <c r="E14" s="199" t="s">
        <v>271</v>
      </c>
      <c r="F14" s="201" t="s">
        <v>176</v>
      </c>
      <c r="G14" s="202" t="s">
        <v>715</v>
      </c>
      <c r="H14" s="609" t="s">
        <v>3336</v>
      </c>
      <c r="I14" s="596" t="s">
        <v>3338</v>
      </c>
      <c r="J14" s="107" t="s">
        <v>3342</v>
      </c>
      <c r="K14" s="107" t="s">
        <v>3344</v>
      </c>
      <c r="L14" s="107" t="s">
        <v>3345</v>
      </c>
      <c r="M14" s="107" t="s">
        <v>3346</v>
      </c>
      <c r="N14" s="107" t="s">
        <v>3347</v>
      </c>
      <c r="O14" s="107" t="s">
        <v>3348</v>
      </c>
      <c r="P14" s="107" t="s">
        <v>3349</v>
      </c>
      <c r="Q14" s="107" t="s">
        <v>3350</v>
      </c>
      <c r="R14" s="107" t="s">
        <v>3351</v>
      </c>
      <c r="S14" s="131" t="s">
        <v>3352</v>
      </c>
      <c r="T14" s="107" t="s">
        <v>3355</v>
      </c>
      <c r="U14" s="107" t="s">
        <v>3356</v>
      </c>
      <c r="V14" s="131" t="s">
        <v>3357</v>
      </c>
      <c r="W14" s="107" t="s">
        <v>3360</v>
      </c>
      <c r="X14" s="107" t="s">
        <v>3361</v>
      </c>
      <c r="Y14" s="162" t="s">
        <v>3007</v>
      </c>
      <c r="Z14" s="104"/>
      <c r="AA14" s="104"/>
      <c r="AB14" s="104"/>
      <c r="AC14" s="162" t="s">
        <v>3362</v>
      </c>
      <c r="AD14" s="162" t="s">
        <v>3363</v>
      </c>
      <c r="AE14" s="131" t="s">
        <v>574</v>
      </c>
      <c r="AF14" s="162" t="s">
        <v>3366</v>
      </c>
      <c r="AG14" s="107" t="s">
        <v>3367</v>
      </c>
      <c r="AH14" s="104"/>
      <c r="AI14" s="104"/>
      <c r="AJ14" s="104"/>
      <c r="AK14" s="107" t="s">
        <v>3368</v>
      </c>
      <c r="AL14" s="107" t="s">
        <v>2557</v>
      </c>
      <c r="AM14" s="104"/>
      <c r="AN14" s="104"/>
      <c r="AO14" s="104"/>
      <c r="AP14" s="104"/>
      <c r="AQ14" s="104"/>
      <c r="AR14" s="104"/>
      <c r="AS14" s="104"/>
      <c r="AT14" s="107" t="s">
        <v>3370</v>
      </c>
      <c r="AU14" s="107" t="s">
        <v>1587</v>
      </c>
      <c r="AV14" s="104"/>
      <c r="AW14" s="107" t="s">
        <v>3371</v>
      </c>
      <c r="AX14" s="107" t="s">
        <v>3372</v>
      </c>
      <c r="AY14" s="104"/>
      <c r="AZ14" s="107"/>
      <c r="BA14" s="107"/>
      <c r="BB14" s="137"/>
      <c r="BC14" s="107" t="s">
        <v>3056</v>
      </c>
      <c r="BD14" s="107" t="s">
        <v>2884</v>
      </c>
      <c r="BE14" s="107"/>
      <c r="BF14" s="107" t="s">
        <v>3373</v>
      </c>
      <c r="BG14" s="104"/>
      <c r="BH14" s="104"/>
      <c r="BI14" s="104"/>
      <c r="BJ14" s="104"/>
      <c r="BK14" s="104"/>
      <c r="BL14" s="104"/>
      <c r="BM14" s="104"/>
      <c r="BN14" s="104"/>
      <c r="BO14" s="104"/>
      <c r="BP14" s="104"/>
      <c r="BQ14" s="104"/>
      <c r="BR14" s="104"/>
      <c r="BS14" s="104"/>
      <c r="BT14" s="104"/>
      <c r="BU14" s="104"/>
      <c r="BV14" s="107"/>
      <c r="BW14" s="162" t="s">
        <v>2919</v>
      </c>
      <c r="BX14" s="162" t="s">
        <v>3375</v>
      </c>
      <c r="BY14" s="162" t="s">
        <v>3376</v>
      </c>
      <c r="BZ14" s="107"/>
      <c r="CA14" s="162" t="s">
        <v>2106</v>
      </c>
      <c r="CB14" s="162" t="s">
        <v>876</v>
      </c>
      <c r="CC14" s="162" t="s">
        <v>527</v>
      </c>
      <c r="CD14" s="162"/>
      <c r="CE14" s="556"/>
      <c r="CF14" s="556"/>
      <c r="CG14" s="556"/>
      <c r="CH14" s="556"/>
      <c r="CI14" s="556"/>
      <c r="CJ14" s="556"/>
      <c r="CK14" s="556"/>
      <c r="CL14" s="556"/>
      <c r="CM14" s="556"/>
      <c r="CN14" s="556"/>
      <c r="CO14" s="556"/>
      <c r="CP14" s="556"/>
      <c r="CQ14" s="556"/>
      <c r="CR14" s="556"/>
      <c r="CS14" s="556"/>
      <c r="CT14" s="162" t="s">
        <v>3379</v>
      </c>
      <c r="CU14" s="107"/>
    </row>
    <row r="15">
      <c r="A15" s="591" t="s">
        <v>51</v>
      </c>
      <c r="B15" s="202" t="s">
        <v>3382</v>
      </c>
      <c r="C15" s="196" t="s">
        <v>176</v>
      </c>
      <c r="D15" s="197" t="s">
        <v>233</v>
      </c>
      <c r="E15" s="199" t="s">
        <v>171</v>
      </c>
      <c r="F15" s="201" t="s">
        <v>394</v>
      </c>
      <c r="G15" s="202" t="s">
        <v>568</v>
      </c>
      <c r="H15" s="609"/>
      <c r="I15" s="682" t="s">
        <v>3384</v>
      </c>
      <c r="J15" s="104"/>
      <c r="K15" s="107" t="s">
        <v>3387</v>
      </c>
      <c r="L15" s="104"/>
      <c r="M15" s="126" t="s">
        <v>3388</v>
      </c>
      <c r="N15" s="104"/>
      <c r="O15" s="104"/>
      <c r="P15" s="107"/>
      <c r="Q15" s="126" t="s">
        <v>3390</v>
      </c>
      <c r="R15" s="126" t="s">
        <v>3393</v>
      </c>
      <c r="S15" s="104"/>
      <c r="T15" s="104"/>
      <c r="U15" s="104"/>
      <c r="V15" s="104"/>
      <c r="W15" s="162" t="s">
        <v>175</v>
      </c>
      <c r="X15" s="107"/>
      <c r="Y15" s="131" t="s">
        <v>3399</v>
      </c>
      <c r="Z15" s="104"/>
      <c r="AA15" s="104"/>
      <c r="AB15" s="104"/>
      <c r="AC15" s="162" t="s">
        <v>2935</v>
      </c>
      <c r="AD15" s="121" t="s">
        <v>1162</v>
      </c>
      <c r="AE15" s="104"/>
      <c r="AF15" s="104"/>
      <c r="AG15" s="104"/>
      <c r="AH15" s="104"/>
      <c r="AI15" s="104"/>
      <c r="AJ15" s="104"/>
      <c r="AK15" s="104"/>
      <c r="AL15" s="104"/>
      <c r="AM15" s="104"/>
      <c r="AN15" s="104"/>
      <c r="AO15" s="104"/>
      <c r="AP15" s="162" t="s">
        <v>2728</v>
      </c>
      <c r="AQ15" s="107"/>
      <c r="AR15" s="162" t="s">
        <v>3408</v>
      </c>
      <c r="AS15" s="107"/>
      <c r="AT15" s="104"/>
      <c r="AU15" s="162" t="s">
        <v>2212</v>
      </c>
      <c r="AV15" s="107"/>
      <c r="AW15" s="162" t="s">
        <v>3410</v>
      </c>
      <c r="AX15" s="104"/>
      <c r="AY15" s="104"/>
      <c r="AZ15" s="104"/>
      <c r="BA15" s="104"/>
      <c r="BB15" s="121" t="s">
        <v>3411</v>
      </c>
      <c r="BC15" s="131" t="s">
        <v>2112</v>
      </c>
      <c r="BD15" s="104"/>
      <c r="BE15" s="104"/>
      <c r="BF15" s="104"/>
      <c r="BG15" s="104"/>
      <c r="BH15" s="104"/>
      <c r="BI15" s="104"/>
      <c r="BJ15" s="104"/>
      <c r="BK15" s="104"/>
      <c r="BL15" s="104"/>
      <c r="BM15" s="126" t="s">
        <v>3424</v>
      </c>
      <c r="BN15" s="104"/>
      <c r="BO15" s="104"/>
      <c r="BP15" s="104"/>
      <c r="BQ15" s="104"/>
      <c r="BR15" s="104"/>
      <c r="BS15" s="104"/>
      <c r="BT15" s="104"/>
      <c r="BU15" s="104"/>
      <c r="BV15" s="104"/>
      <c r="BW15" s="122"/>
      <c r="BX15" s="104"/>
      <c r="BY15" s="104"/>
      <c r="BZ15" s="104"/>
      <c r="CA15" s="122"/>
      <c r="CB15" s="104"/>
      <c r="CC15" s="104"/>
      <c r="CD15" s="122"/>
      <c r="CE15" s="104"/>
      <c r="CF15" s="104"/>
      <c r="CG15" s="104"/>
      <c r="CH15" s="104"/>
      <c r="CI15" s="104"/>
      <c r="CJ15" s="104"/>
      <c r="CK15" s="104"/>
      <c r="CL15" s="104"/>
      <c r="CM15" s="104"/>
      <c r="CN15" s="104"/>
      <c r="CO15" s="104"/>
      <c r="CP15" s="104"/>
      <c r="CQ15" s="104"/>
      <c r="CR15" s="104"/>
      <c r="CS15" s="104"/>
      <c r="CT15" s="104"/>
      <c r="CU15" s="104"/>
    </row>
    <row r="16">
      <c r="A16" s="687" t="s">
        <v>94</v>
      </c>
      <c r="B16" s="202" t="s">
        <v>3438</v>
      </c>
      <c r="C16" s="196" t="s">
        <v>271</v>
      </c>
      <c r="D16" s="197" t="s">
        <v>176</v>
      </c>
      <c r="E16" s="199" t="s">
        <v>233</v>
      </c>
      <c r="F16" s="201" t="s">
        <v>1926</v>
      </c>
      <c r="G16" s="202" t="s">
        <v>3441</v>
      </c>
      <c r="H16" s="689" t="str">
        <f>HYPERLINK("https://www.twitch.tv/videos/990301696","3:46.19")</f>
        <v>3:46.19</v>
      </c>
      <c r="I16" s="609" t="s">
        <v>3443</v>
      </c>
      <c r="J16" s="107"/>
      <c r="K16" s="107" t="s">
        <v>3444</v>
      </c>
      <c r="L16" s="104"/>
      <c r="M16" s="690" t="str">
        <f>HYPERLINK("https://youtu.be/muKa7MrNAp8","2:59.41")</f>
        <v>2:59.41</v>
      </c>
      <c r="N16" s="636"/>
      <c r="O16" s="394" t="s">
        <v>3453</v>
      </c>
      <c r="P16" s="691" t="str">
        <f>HYPERLINK("https://www.twitch.tv/videos/979252942","3:20.49")</f>
        <v>3:20.49</v>
      </c>
      <c r="Q16" s="104"/>
      <c r="R16" s="691" t="str">
        <f>HYPERLINK("https://www.twitch.tv/videos/871584642","2:58.46")</f>
        <v>2:58.46</v>
      </c>
      <c r="S16" s="691" t="str">
        <f>HYPERLINK("https://youtu.be/CJTaXhFHcQg","2:38.94")</f>
        <v>2:38.94</v>
      </c>
      <c r="T16" s="104"/>
      <c r="U16" s="693" t="str">
        <f>HYPERLINK("https://www.twitch.tv/videos/1004615722","1:57.68")</f>
        <v>1:57.68</v>
      </c>
      <c r="V16" s="694" t="str">
        <f>HYPERLINK("https://www.twitch.tv/videos/1004263632","2:18.81")</f>
        <v>2:18.81</v>
      </c>
      <c r="W16" s="107" t="s">
        <v>3468</v>
      </c>
      <c r="X16" s="107"/>
      <c r="Y16" s="107" t="s">
        <v>3469</v>
      </c>
      <c r="Z16" s="104"/>
      <c r="AA16" s="104"/>
      <c r="AB16" s="104"/>
      <c r="AC16" s="104"/>
      <c r="AD16" s="107" t="s">
        <v>533</v>
      </c>
      <c r="AE16" s="104"/>
      <c r="AF16" s="104"/>
      <c r="AG16" s="104"/>
      <c r="AH16" s="107" t="s">
        <v>3474</v>
      </c>
      <c r="AI16" s="107"/>
      <c r="AJ16" s="107"/>
      <c r="AK16" s="116" t="s">
        <v>3475</v>
      </c>
      <c r="AL16" s="137"/>
      <c r="AM16" s="162" t="s">
        <v>2904</v>
      </c>
      <c r="AN16" s="104"/>
      <c r="AO16" s="104"/>
      <c r="AP16" s="104"/>
      <c r="AQ16" s="104"/>
      <c r="AR16" s="104"/>
      <c r="AS16" s="104"/>
      <c r="AT16" s="107" t="s">
        <v>3299</v>
      </c>
      <c r="AU16" s="107" t="s">
        <v>3487</v>
      </c>
      <c r="AV16" s="104"/>
      <c r="AW16" s="104"/>
      <c r="AX16" s="104"/>
      <c r="AY16" s="104"/>
      <c r="AZ16" s="107" t="s">
        <v>2131</v>
      </c>
      <c r="BA16" s="107"/>
      <c r="BB16" s="104"/>
      <c r="BC16" s="104"/>
      <c r="BD16" s="104"/>
      <c r="BE16" s="104"/>
      <c r="BF16" s="104"/>
      <c r="BG16" s="704" t="str">
        <f>HYPERLINK("https://youtu.be/bkbjkIxiol8","3:06")</f>
        <v>3:06</v>
      </c>
      <c r="BH16" s="706" t="str">
        <f>HYPERLINK("https://youtu.be/EiQPLe-OzQM","4:27")</f>
        <v>4:27</v>
      </c>
      <c r="BI16" s="556"/>
      <c r="BJ16" s="556"/>
      <c r="BK16" s="556"/>
      <c r="BL16" s="556"/>
      <c r="BM16" s="556"/>
      <c r="BN16" s="556"/>
      <c r="BO16" s="556"/>
      <c r="BP16" s="556"/>
      <c r="BQ16" s="104"/>
      <c r="BR16" s="104"/>
      <c r="BS16" s="104"/>
      <c r="BT16" s="104"/>
      <c r="BU16" s="104"/>
      <c r="BV16" s="104"/>
      <c r="BW16" s="122"/>
      <c r="BX16" s="104"/>
      <c r="BY16" s="709" t="str">
        <f>HYPERLINK("https://clips.twitch.tv/NiceImportantPidgeonBuddhaBar-rtnvj3c2frKXHMdy","35.38")</f>
        <v>35.38</v>
      </c>
      <c r="BZ16" s="104"/>
      <c r="CA16" s="122"/>
      <c r="CB16" s="104"/>
      <c r="CC16" s="104"/>
      <c r="CD16" s="122"/>
      <c r="CE16" s="712" t="str">
        <f>HYPERLINK("https://youtu.be/6Jf_KMGMEKw","1:14")</f>
        <v>1:14</v>
      </c>
      <c r="CF16" s="712" t="str">
        <f>HYPERLINK("https://www.twitch.tv/videos/1004251594","1:02")</f>
        <v>1:02</v>
      </c>
      <c r="CG16" s="712" t="str">
        <f>HYPERLINK("https://www.twitch.tv/videos/1004254917","1:12")</f>
        <v>1:12</v>
      </c>
      <c r="CH16" s="719"/>
      <c r="CI16" s="719"/>
      <c r="CJ16" s="719"/>
      <c r="CK16" s="719"/>
      <c r="CL16" s="720" t="str">
        <f>HYPERLINK("https://youtu.be/h4aO1fi3I3U","29")</f>
        <v>29</v>
      </c>
      <c r="CM16" s="556"/>
      <c r="CN16" s="556"/>
      <c r="CO16" s="556"/>
      <c r="CP16" s="556"/>
      <c r="CQ16" s="556"/>
      <c r="CR16" s="724" t="str">
        <f>HYPERLINK("https://clips.twitch.tv/ArborealGlutenFreeMushroomAliens-sq7HDhuxrAadlxw_","30")</f>
        <v>30</v>
      </c>
      <c r="CS16" s="556"/>
      <c r="CT16" s="691" t="str">
        <f>HYPERLINK("https://www.twitch.tv/videos/969469110","1:27.41")</f>
        <v>1:27.41</v>
      </c>
      <c r="CU16" s="107"/>
    </row>
    <row r="17">
      <c r="A17" s="524" t="s">
        <v>3414</v>
      </c>
      <c r="B17" s="202" t="s">
        <v>3517</v>
      </c>
      <c r="C17" s="196" t="s">
        <v>271</v>
      </c>
      <c r="D17" s="197" t="s">
        <v>171</v>
      </c>
      <c r="E17" s="199" t="s">
        <v>233</v>
      </c>
      <c r="F17" s="201" t="s">
        <v>178</v>
      </c>
      <c r="G17" s="202" t="s">
        <v>398</v>
      </c>
      <c r="H17" s="727" t="s">
        <v>3518</v>
      </c>
      <c r="I17" s="609" t="s">
        <v>3522</v>
      </c>
      <c r="J17" s="107" t="s">
        <v>3083</v>
      </c>
      <c r="K17" s="609" t="s">
        <v>3523</v>
      </c>
      <c r="L17" s="107" t="s">
        <v>3524</v>
      </c>
      <c r="M17" s="107" t="s">
        <v>1401</v>
      </c>
      <c r="N17" s="107" t="s">
        <v>3527</v>
      </c>
      <c r="O17" s="107" t="s">
        <v>3529</v>
      </c>
      <c r="P17" s="107" t="s">
        <v>3531</v>
      </c>
      <c r="Q17" s="107" t="s">
        <v>2515</v>
      </c>
      <c r="R17" s="107" t="s">
        <v>3533</v>
      </c>
      <c r="S17" s="150" t="s">
        <v>3535</v>
      </c>
      <c r="T17" s="116" t="s">
        <v>1979</v>
      </c>
      <c r="U17" s="730" t="s">
        <v>3538</v>
      </c>
      <c r="V17" s="107" t="s">
        <v>3539</v>
      </c>
      <c r="W17" s="162" t="s">
        <v>3541</v>
      </c>
      <c r="X17" s="107" t="s">
        <v>3543</v>
      </c>
      <c r="Y17" s="107" t="s">
        <v>668</v>
      </c>
      <c r="Z17" s="104"/>
      <c r="AA17" s="131" t="s">
        <v>3544</v>
      </c>
      <c r="AB17" s="104"/>
      <c r="AC17" s="162" t="s">
        <v>3546</v>
      </c>
      <c r="AD17" s="107" t="s">
        <v>677</v>
      </c>
      <c r="AE17" s="131" t="s">
        <v>3547</v>
      </c>
      <c r="AF17" s="104"/>
      <c r="AG17" s="104"/>
      <c r="AH17" s="104"/>
      <c r="AI17" s="104"/>
      <c r="AJ17" s="104"/>
      <c r="AK17" s="104"/>
      <c r="AL17" s="104"/>
      <c r="AM17" s="107"/>
      <c r="AN17" s="104"/>
      <c r="AO17" s="104"/>
      <c r="AP17" s="107" t="s">
        <v>3550</v>
      </c>
      <c r="AQ17" s="107" t="s">
        <v>2878</v>
      </c>
      <c r="AR17" s="104"/>
      <c r="AS17" s="131" t="s">
        <v>3551</v>
      </c>
      <c r="AT17" s="131" t="s">
        <v>3556</v>
      </c>
      <c r="AU17" s="104"/>
      <c r="AV17" s="104"/>
      <c r="AW17" s="104"/>
      <c r="AX17" s="104"/>
      <c r="AY17" s="107" t="s">
        <v>3303</v>
      </c>
      <c r="AZ17" s="104"/>
      <c r="BA17" s="104"/>
      <c r="BB17" s="104"/>
      <c r="BC17" s="104"/>
      <c r="BD17" s="104"/>
      <c r="BE17" s="104"/>
      <c r="BF17" s="104"/>
      <c r="BG17" s="104"/>
      <c r="BH17" s="104"/>
      <c r="BI17" s="104"/>
      <c r="BJ17" s="104"/>
      <c r="BK17" s="104"/>
      <c r="BL17" s="104"/>
      <c r="BM17" s="104"/>
      <c r="BN17" s="104"/>
      <c r="BO17" s="104"/>
      <c r="BP17" s="104"/>
      <c r="BQ17" s="104"/>
      <c r="BR17" s="104"/>
      <c r="BS17" s="104"/>
      <c r="BT17" s="104"/>
      <c r="BU17" s="104"/>
      <c r="BV17" s="104"/>
      <c r="BW17" s="122"/>
      <c r="BX17" s="104"/>
      <c r="BY17" s="104"/>
      <c r="BZ17" s="104"/>
      <c r="CA17" s="122"/>
      <c r="CB17" s="104"/>
      <c r="CC17" s="104"/>
      <c r="CD17" s="122"/>
      <c r="CE17" s="104"/>
      <c r="CF17" s="104"/>
      <c r="CG17" s="104"/>
      <c r="CH17" s="104"/>
      <c r="CI17" s="104"/>
      <c r="CJ17" s="104"/>
      <c r="CK17" s="104"/>
      <c r="CL17" s="104"/>
      <c r="CM17" s="104"/>
      <c r="CN17" s="104"/>
      <c r="CO17" s="104"/>
      <c r="CP17" s="104"/>
      <c r="CQ17" s="104"/>
      <c r="CR17" s="104"/>
      <c r="CS17" s="104"/>
      <c r="CT17" s="104"/>
      <c r="CU17" s="104"/>
    </row>
    <row r="18">
      <c r="A18" s="737" t="s">
        <v>2977</v>
      </c>
      <c r="B18" s="202" t="s">
        <v>3563</v>
      </c>
      <c r="C18" s="196" t="s">
        <v>274</v>
      </c>
      <c r="D18" s="197" t="s">
        <v>176</v>
      </c>
      <c r="E18" s="199" t="s">
        <v>171</v>
      </c>
      <c r="F18" s="201" t="s">
        <v>205</v>
      </c>
      <c r="G18" s="202" t="s">
        <v>204</v>
      </c>
      <c r="H18" s="739" t="s">
        <v>3566</v>
      </c>
      <c r="I18" s="727" t="s">
        <v>3568</v>
      </c>
      <c r="J18" s="121" t="s">
        <v>3573</v>
      </c>
      <c r="K18" s="116" t="s">
        <v>3577</v>
      </c>
      <c r="L18" s="107" t="s">
        <v>3581</v>
      </c>
      <c r="M18" s="104"/>
      <c r="N18" s="126" t="s">
        <v>3582</v>
      </c>
      <c r="O18" s="121" t="s">
        <v>3586</v>
      </c>
      <c r="P18" s="104"/>
      <c r="Q18" s="107" t="s">
        <v>3590</v>
      </c>
      <c r="R18" s="107" t="s">
        <v>3592</v>
      </c>
      <c r="S18" s="126" t="s">
        <v>3593</v>
      </c>
      <c r="T18" s="121" t="s">
        <v>3595</v>
      </c>
      <c r="U18" s="107" t="s">
        <v>3599</v>
      </c>
      <c r="V18" s="107" t="s">
        <v>3600</v>
      </c>
      <c r="W18" s="104"/>
      <c r="X18" s="104"/>
      <c r="Y18" s="104"/>
      <c r="Z18" s="104"/>
      <c r="AA18" s="104"/>
      <c r="AB18" s="104"/>
      <c r="AC18" s="104"/>
      <c r="AD18" s="104"/>
      <c r="AE18" s="104"/>
      <c r="AF18" s="104"/>
      <c r="AG18" s="104"/>
      <c r="AH18" s="104"/>
      <c r="AI18" s="104"/>
      <c r="AJ18" s="104"/>
      <c r="AK18" s="104"/>
      <c r="AL18" s="104"/>
      <c r="AM18" s="104"/>
      <c r="AN18" s="104"/>
      <c r="AO18" s="104"/>
      <c r="AP18" s="104"/>
      <c r="AQ18" s="104"/>
      <c r="AR18" s="104"/>
      <c r="AS18" s="104"/>
      <c r="AT18" s="104"/>
      <c r="AU18" s="104"/>
      <c r="AV18" s="104"/>
      <c r="AW18" s="104"/>
      <c r="AX18" s="104"/>
      <c r="AY18" s="104"/>
      <c r="AZ18" s="104"/>
      <c r="BA18" s="104"/>
      <c r="BB18" s="104"/>
      <c r="BC18" s="104"/>
      <c r="BD18" s="104"/>
      <c r="BE18" s="104"/>
      <c r="BF18" s="104"/>
      <c r="BG18" s="652"/>
      <c r="BH18" s="652"/>
      <c r="BI18" s="652"/>
      <c r="BJ18" s="652"/>
      <c r="BK18" s="652"/>
      <c r="BL18" s="652"/>
      <c r="BM18" s="652"/>
      <c r="BN18" s="652"/>
      <c r="BO18" s="652"/>
      <c r="BP18" s="652"/>
      <c r="BQ18" s="104"/>
      <c r="BR18" s="104"/>
      <c r="BS18" s="104"/>
      <c r="BT18" s="104"/>
      <c r="BU18" s="104"/>
      <c r="BV18" s="104"/>
      <c r="BW18" s="122"/>
      <c r="BX18" s="104"/>
      <c r="BY18" s="104"/>
      <c r="BZ18" s="104"/>
      <c r="CA18" s="122"/>
      <c r="CB18" s="104"/>
      <c r="CC18" s="104"/>
      <c r="CD18" s="122"/>
      <c r="CE18" s="556"/>
      <c r="CF18" s="556"/>
      <c r="CG18" s="556"/>
      <c r="CH18" s="556"/>
      <c r="CI18" s="556"/>
      <c r="CJ18" s="556"/>
      <c r="CK18" s="556"/>
      <c r="CL18" s="556"/>
      <c r="CM18" s="556"/>
      <c r="CN18" s="556"/>
      <c r="CO18" s="556"/>
      <c r="CP18" s="556"/>
      <c r="CQ18" s="556"/>
      <c r="CR18" s="556"/>
      <c r="CS18" s="556"/>
      <c r="CT18" s="104"/>
      <c r="CU18" s="104"/>
    </row>
    <row r="19">
      <c r="A19" s="743" t="s">
        <v>661</v>
      </c>
      <c r="B19" s="202" t="s">
        <v>3612</v>
      </c>
      <c r="C19" s="196" t="s">
        <v>176</v>
      </c>
      <c r="D19" s="197" t="s">
        <v>274</v>
      </c>
      <c r="E19" s="199" t="s">
        <v>171</v>
      </c>
      <c r="F19" s="201" t="s">
        <v>361</v>
      </c>
      <c r="G19" s="202" t="s">
        <v>1010</v>
      </c>
      <c r="H19" s="609"/>
      <c r="I19" s="609"/>
      <c r="J19" s="104"/>
      <c r="K19" s="104"/>
      <c r="L19" s="104"/>
      <c r="M19" s="104"/>
      <c r="N19" s="104"/>
      <c r="O19" s="104"/>
      <c r="P19" s="104"/>
      <c r="Q19" s="104"/>
      <c r="R19" s="104"/>
      <c r="S19" s="104"/>
      <c r="T19" s="104"/>
      <c r="U19" s="104"/>
      <c r="V19" s="104"/>
      <c r="W19" s="126" t="s">
        <v>3615</v>
      </c>
      <c r="X19" s="121" t="s">
        <v>3619</v>
      </c>
      <c r="Y19" s="104"/>
      <c r="Z19" s="104"/>
      <c r="AA19" s="104"/>
      <c r="AB19" s="121" t="s">
        <v>3623</v>
      </c>
      <c r="AC19" s="121" t="s">
        <v>3625</v>
      </c>
      <c r="AD19" s="131" t="s">
        <v>3629</v>
      </c>
      <c r="AE19" s="137"/>
      <c r="AF19" s="126" t="s">
        <v>3630</v>
      </c>
      <c r="AG19" s="104"/>
      <c r="AH19" s="116" t="s">
        <v>3634</v>
      </c>
      <c r="AI19" s="126" t="s">
        <v>3637</v>
      </c>
      <c r="AJ19" s="104"/>
      <c r="AK19" s="107" t="s">
        <v>3480</v>
      </c>
      <c r="AL19" s="104"/>
      <c r="AM19" s="104"/>
      <c r="AN19" s="104"/>
      <c r="AO19" s="104"/>
      <c r="AP19" s="131" t="s">
        <v>3639</v>
      </c>
      <c r="AQ19" s="104"/>
      <c r="AR19" s="104"/>
      <c r="AS19" s="104"/>
      <c r="AT19" s="104"/>
      <c r="AU19" s="104"/>
      <c r="AV19" s="104"/>
      <c r="AW19" s="104"/>
      <c r="AX19" s="104"/>
      <c r="AY19" s="104"/>
      <c r="AZ19" s="104"/>
      <c r="BA19" s="104"/>
      <c r="BB19" s="104"/>
      <c r="BC19" s="104"/>
      <c r="BD19" s="104"/>
      <c r="BE19" s="104"/>
      <c r="BF19" s="104"/>
      <c r="BG19" s="104"/>
      <c r="BH19" s="104"/>
      <c r="BI19" s="104"/>
      <c r="BJ19" s="104"/>
      <c r="BK19" s="104"/>
      <c r="BL19" s="104"/>
      <c r="BM19" s="104"/>
      <c r="BN19" s="104"/>
      <c r="BO19" s="104"/>
      <c r="BP19" s="104"/>
      <c r="BQ19" s="104"/>
      <c r="BR19" s="104"/>
      <c r="BS19" s="104"/>
      <c r="BT19" s="104"/>
      <c r="BU19" s="104"/>
      <c r="BV19" s="126" t="s">
        <v>1097</v>
      </c>
      <c r="BW19" s="122"/>
      <c r="BX19" s="104"/>
      <c r="BY19" s="104"/>
      <c r="BZ19" s="104"/>
      <c r="CA19" s="122"/>
      <c r="CB19" s="104"/>
      <c r="CC19" s="104"/>
      <c r="CD19" s="122"/>
      <c r="CE19" s="104"/>
      <c r="CF19" s="104"/>
      <c r="CG19" s="104"/>
      <c r="CH19" s="104"/>
      <c r="CI19" s="104"/>
      <c r="CJ19" s="104"/>
      <c r="CK19" s="104"/>
      <c r="CL19" s="104"/>
      <c r="CM19" s="104"/>
      <c r="CN19" s="104"/>
      <c r="CO19" s="104"/>
      <c r="CP19" s="104"/>
      <c r="CQ19" s="104"/>
      <c r="CR19" s="104"/>
      <c r="CS19" s="104"/>
      <c r="CT19" s="104"/>
      <c r="CU19" s="104"/>
    </row>
    <row r="20">
      <c r="A20" s="749" t="s">
        <v>3650</v>
      </c>
      <c r="B20" s="202" t="s">
        <v>3652</v>
      </c>
      <c r="C20" s="196" t="s">
        <v>271</v>
      </c>
      <c r="D20" s="197" t="s">
        <v>271</v>
      </c>
      <c r="E20" s="199" t="s">
        <v>271</v>
      </c>
      <c r="F20" s="201" t="s">
        <v>171</v>
      </c>
      <c r="G20" s="202" t="s">
        <v>1791</v>
      </c>
      <c r="H20" s="609"/>
      <c r="I20" s="609" t="s">
        <v>3655</v>
      </c>
      <c r="J20" s="107"/>
      <c r="K20" s="107" t="s">
        <v>3656</v>
      </c>
      <c r="L20" s="107"/>
      <c r="M20" s="104"/>
      <c r="N20" s="104"/>
      <c r="O20" s="104"/>
      <c r="P20" s="104"/>
      <c r="Q20" s="104"/>
      <c r="R20" s="162" t="s">
        <v>3657</v>
      </c>
      <c r="S20" s="104"/>
      <c r="T20" s="162" t="s">
        <v>3659</v>
      </c>
      <c r="U20" s="162" t="s">
        <v>3660</v>
      </c>
      <c r="V20" s="162" t="s">
        <v>3661</v>
      </c>
      <c r="W20" s="162" t="s">
        <v>3662</v>
      </c>
      <c r="X20" s="107" t="s">
        <v>3663</v>
      </c>
      <c r="Y20" s="162" t="s">
        <v>3664</v>
      </c>
      <c r="Z20" s="104"/>
      <c r="AA20" s="104"/>
      <c r="AB20" s="104"/>
      <c r="AC20" s="131" t="s">
        <v>1041</v>
      </c>
      <c r="AD20" s="162" t="s">
        <v>2535</v>
      </c>
      <c r="AE20" s="107"/>
      <c r="AF20" s="162" t="s">
        <v>3668</v>
      </c>
      <c r="AG20" s="107"/>
      <c r="AH20" s="162" t="s">
        <v>3669</v>
      </c>
      <c r="AI20" s="104"/>
      <c r="AJ20" s="104"/>
      <c r="AK20" s="104"/>
      <c r="AL20" s="104"/>
      <c r="AM20" s="104"/>
      <c r="AN20" s="104"/>
      <c r="AO20" s="104"/>
      <c r="AP20" s="107" t="s">
        <v>3671</v>
      </c>
      <c r="AQ20" s="104"/>
      <c r="AR20" s="107" t="s">
        <v>3672</v>
      </c>
      <c r="AS20" s="104"/>
      <c r="AT20" s="107" t="s">
        <v>3673</v>
      </c>
      <c r="AU20" s="107" t="s">
        <v>3674</v>
      </c>
      <c r="AV20" s="107"/>
      <c r="AW20" s="107" t="s">
        <v>2211</v>
      </c>
      <c r="AX20" s="104"/>
      <c r="AY20" s="104"/>
      <c r="AZ20" s="162" t="s">
        <v>1904</v>
      </c>
      <c r="BA20" s="107"/>
      <c r="BB20" s="104"/>
      <c r="BC20" s="162" t="s">
        <v>3677</v>
      </c>
      <c r="BD20" s="107" t="s">
        <v>1596</v>
      </c>
      <c r="BE20" s="104"/>
      <c r="BF20" s="104"/>
      <c r="BG20" s="104"/>
      <c r="BH20" s="104"/>
      <c r="BI20" s="104"/>
      <c r="BJ20" s="104"/>
      <c r="BK20" s="104"/>
      <c r="BL20" s="104"/>
      <c r="BM20" s="104"/>
      <c r="BN20" s="104"/>
      <c r="BO20" s="104"/>
      <c r="BP20" s="104"/>
      <c r="BQ20" s="104"/>
      <c r="BR20" s="104"/>
      <c r="BS20" s="107" t="s">
        <v>3681</v>
      </c>
      <c r="BT20" s="104"/>
      <c r="BU20" s="104"/>
      <c r="BV20" s="104"/>
      <c r="BW20" s="122"/>
      <c r="BX20" s="104"/>
      <c r="BY20" s="104"/>
      <c r="BZ20" s="104"/>
      <c r="CA20" s="122"/>
      <c r="CB20" s="104"/>
      <c r="CC20" s="104"/>
      <c r="CD20" s="122"/>
      <c r="CE20" s="104"/>
      <c r="CF20" s="104"/>
      <c r="CG20" s="104"/>
      <c r="CH20" s="104"/>
      <c r="CI20" s="104"/>
      <c r="CJ20" s="104"/>
      <c r="CK20" s="104"/>
      <c r="CL20" s="104"/>
      <c r="CM20" s="104"/>
      <c r="CN20" s="104"/>
      <c r="CO20" s="104"/>
      <c r="CP20" s="104"/>
      <c r="CQ20" s="104"/>
      <c r="CR20" s="104"/>
      <c r="CS20" s="104"/>
      <c r="CT20" s="104"/>
      <c r="CU20" s="104"/>
    </row>
    <row r="21">
      <c r="A21" s="750" t="s">
        <v>59</v>
      </c>
      <c r="B21" s="202" t="s">
        <v>3685</v>
      </c>
      <c r="C21" s="196" t="s">
        <v>271</v>
      </c>
      <c r="D21" s="197" t="s">
        <v>171</v>
      </c>
      <c r="E21" s="199" t="s">
        <v>271</v>
      </c>
      <c r="F21" s="201" t="s">
        <v>233</v>
      </c>
      <c r="G21" s="202" t="s">
        <v>2131</v>
      </c>
      <c r="H21" s="609"/>
      <c r="I21" s="609" t="s">
        <v>3687</v>
      </c>
      <c r="J21" s="107"/>
      <c r="K21" s="162" t="s">
        <v>3688</v>
      </c>
      <c r="L21" s="107"/>
      <c r="M21" s="162" t="s">
        <v>3690</v>
      </c>
      <c r="N21" s="104"/>
      <c r="O21" s="162" t="s">
        <v>3691</v>
      </c>
      <c r="P21" s="104"/>
      <c r="Q21" s="104"/>
      <c r="R21" s="107" t="s">
        <v>3694</v>
      </c>
      <c r="S21" s="636" t="s">
        <v>3697</v>
      </c>
      <c r="T21" s="162" t="s">
        <v>3698</v>
      </c>
      <c r="U21" s="107" t="s">
        <v>3699</v>
      </c>
      <c r="V21" s="107"/>
      <c r="W21" s="162" t="s">
        <v>3700</v>
      </c>
      <c r="X21" s="107" t="s">
        <v>3701</v>
      </c>
      <c r="Y21" s="162" t="s">
        <v>3702</v>
      </c>
      <c r="Z21" s="104"/>
      <c r="AA21" s="104"/>
      <c r="AB21" s="104"/>
      <c r="AC21" s="162" t="s">
        <v>3703</v>
      </c>
      <c r="AD21" s="107" t="s">
        <v>3704</v>
      </c>
      <c r="AE21" s="107"/>
      <c r="AF21" s="162" t="s">
        <v>3707</v>
      </c>
      <c r="AG21" s="121" t="s">
        <v>3708</v>
      </c>
      <c r="AH21" s="131" t="s">
        <v>3710</v>
      </c>
      <c r="AI21" s="104"/>
      <c r="AJ21" s="104"/>
      <c r="AK21" s="162" t="s">
        <v>2855</v>
      </c>
      <c r="AL21" s="104"/>
      <c r="AM21" s="162" t="s">
        <v>2932</v>
      </c>
      <c r="AN21" s="104"/>
      <c r="AO21" s="104"/>
      <c r="AP21" s="107" t="s">
        <v>2354</v>
      </c>
      <c r="AQ21" s="107"/>
      <c r="AR21" s="107" t="s">
        <v>2192</v>
      </c>
      <c r="AS21" s="107" t="s">
        <v>3716</v>
      </c>
      <c r="AT21" s="107" t="s">
        <v>2215</v>
      </c>
      <c r="AU21" s="107" t="s">
        <v>3717</v>
      </c>
      <c r="AV21" s="107"/>
      <c r="AW21" s="104"/>
      <c r="AX21" s="104"/>
      <c r="AY21" s="104"/>
      <c r="AZ21" s="162" t="s">
        <v>3718</v>
      </c>
      <c r="BA21" s="107"/>
      <c r="BB21" s="162" t="s">
        <v>2212</v>
      </c>
      <c r="BC21" s="162" t="s">
        <v>3719</v>
      </c>
      <c r="BD21" s="162" t="s">
        <v>1866</v>
      </c>
      <c r="BE21" s="107"/>
      <c r="BF21" s="107"/>
      <c r="BG21" s="104"/>
      <c r="BH21" s="104"/>
      <c r="BI21" s="104"/>
      <c r="BJ21" s="104"/>
      <c r="BK21" s="104"/>
      <c r="BL21" s="104"/>
      <c r="BM21" s="104"/>
      <c r="BN21" s="162" t="s">
        <v>3723</v>
      </c>
      <c r="BO21" s="162" t="s">
        <v>3724</v>
      </c>
      <c r="BP21" s="107"/>
      <c r="BQ21" s="104"/>
      <c r="BR21" s="104"/>
      <c r="BS21" s="104"/>
      <c r="BT21" s="104"/>
      <c r="BU21" s="104"/>
      <c r="BV21" s="657" t="s">
        <v>3725</v>
      </c>
      <c r="BW21" s="122"/>
      <c r="BX21" s="104"/>
      <c r="BY21" s="107" t="s">
        <v>3726</v>
      </c>
      <c r="BZ21" s="104"/>
      <c r="CA21" s="122"/>
      <c r="CB21" s="107" t="s">
        <v>3163</v>
      </c>
      <c r="CC21" s="162" t="s">
        <v>3728</v>
      </c>
      <c r="CD21" s="162"/>
      <c r="CE21" s="104"/>
      <c r="CF21" s="104"/>
      <c r="CG21" s="104"/>
      <c r="CH21" s="104"/>
      <c r="CI21" s="104"/>
      <c r="CJ21" s="104"/>
      <c r="CK21" s="104"/>
      <c r="CL21" s="104"/>
      <c r="CM21" s="162" t="s">
        <v>3729</v>
      </c>
      <c r="CN21" s="162" t="s">
        <v>3502</v>
      </c>
      <c r="CO21" s="162" t="s">
        <v>2442</v>
      </c>
      <c r="CP21" s="162" t="s">
        <v>3731</v>
      </c>
      <c r="CQ21" s="107" t="s">
        <v>3732</v>
      </c>
      <c r="CR21" s="162" t="s">
        <v>2387</v>
      </c>
      <c r="CS21" s="107" t="s">
        <v>3733</v>
      </c>
      <c r="CT21" s="104"/>
      <c r="CU21" s="104"/>
    </row>
    <row r="22">
      <c r="A22" s="752" t="s">
        <v>3734</v>
      </c>
      <c r="B22" s="202" t="s">
        <v>3735</v>
      </c>
      <c r="C22" s="196" t="s">
        <v>271</v>
      </c>
      <c r="D22" s="197" t="s">
        <v>271</v>
      </c>
      <c r="E22" s="199" t="s">
        <v>271</v>
      </c>
      <c r="F22" s="201" t="s">
        <v>271</v>
      </c>
      <c r="G22" s="202" t="s">
        <v>1926</v>
      </c>
      <c r="H22" s="609"/>
      <c r="I22" s="609" t="s">
        <v>3736</v>
      </c>
      <c r="J22" s="107"/>
      <c r="K22" s="162" t="s">
        <v>3737</v>
      </c>
      <c r="L22" s="107"/>
      <c r="M22" s="107"/>
      <c r="N22" s="107"/>
      <c r="O22" s="162" t="s">
        <v>3739</v>
      </c>
      <c r="P22" s="107"/>
      <c r="Q22" s="104"/>
      <c r="R22" s="104"/>
      <c r="S22" s="104"/>
      <c r="T22" s="107"/>
      <c r="U22" s="162" t="s">
        <v>3741</v>
      </c>
      <c r="V22" s="107"/>
      <c r="W22" s="162" t="s">
        <v>3742</v>
      </c>
      <c r="X22" s="107"/>
      <c r="Y22" s="162" t="s">
        <v>3743</v>
      </c>
      <c r="Z22" s="107"/>
      <c r="AA22" s="107"/>
      <c r="AB22" s="107"/>
      <c r="AC22" s="162" t="s">
        <v>3744</v>
      </c>
      <c r="AD22" s="162" t="s">
        <v>3745</v>
      </c>
      <c r="AE22" s="107"/>
      <c r="AF22" s="107"/>
      <c r="AG22" s="107"/>
      <c r="AH22" s="104"/>
      <c r="AI22" s="104"/>
      <c r="AJ22" s="104"/>
      <c r="AK22" s="104"/>
      <c r="AL22" s="104"/>
      <c r="AM22" s="162" t="s">
        <v>3747</v>
      </c>
      <c r="AN22" s="104"/>
      <c r="AO22" s="104"/>
      <c r="AP22" s="162" t="s">
        <v>3748</v>
      </c>
      <c r="AQ22" s="107"/>
      <c r="AR22" s="162" t="s">
        <v>3749</v>
      </c>
      <c r="AS22" s="107"/>
      <c r="AT22" s="162" t="s">
        <v>3750</v>
      </c>
      <c r="AU22" s="162" t="s">
        <v>3751</v>
      </c>
      <c r="AV22" s="107"/>
      <c r="AW22" s="107"/>
      <c r="AX22" s="104"/>
      <c r="AY22" s="104"/>
      <c r="AZ22" s="162" t="s">
        <v>2064</v>
      </c>
      <c r="BA22" s="107"/>
      <c r="BB22" s="162" t="s">
        <v>3752</v>
      </c>
      <c r="BC22" s="162" t="s">
        <v>2882</v>
      </c>
      <c r="BD22" s="162" t="s">
        <v>3304</v>
      </c>
      <c r="BE22" s="107"/>
      <c r="BF22" s="107"/>
      <c r="BG22" s="104"/>
      <c r="BH22" s="104"/>
      <c r="BI22" s="104"/>
      <c r="BJ22" s="104"/>
      <c r="BK22" s="104"/>
      <c r="BL22" s="104"/>
      <c r="BM22" s="104"/>
      <c r="BN22" s="104"/>
      <c r="BO22" s="104"/>
      <c r="BP22" s="104"/>
      <c r="BQ22" s="107"/>
      <c r="BR22" s="107"/>
      <c r="BS22" s="107"/>
      <c r="BT22" s="107"/>
      <c r="BU22" s="107"/>
      <c r="BV22" s="754"/>
      <c r="BW22" s="122"/>
      <c r="BX22" s="104"/>
      <c r="BY22" s="104"/>
      <c r="BZ22" s="104"/>
      <c r="CA22" s="122"/>
      <c r="CB22" s="104"/>
      <c r="CC22" s="104"/>
      <c r="CD22" s="122"/>
      <c r="CE22" s="104"/>
      <c r="CF22" s="104"/>
      <c r="CG22" s="104"/>
      <c r="CH22" s="104"/>
      <c r="CI22" s="104"/>
      <c r="CJ22" s="104"/>
      <c r="CK22" s="104"/>
      <c r="CL22" s="104"/>
      <c r="CM22" s="104"/>
      <c r="CN22" s="104"/>
      <c r="CO22" s="104"/>
      <c r="CP22" s="104"/>
      <c r="CQ22" s="104"/>
      <c r="CR22" s="104"/>
      <c r="CS22" s="104"/>
      <c r="CT22" s="107"/>
      <c r="CU22" s="107"/>
    </row>
    <row r="23">
      <c r="A23" s="595" t="s">
        <v>3603</v>
      </c>
      <c r="B23" s="202" t="s">
        <v>3755</v>
      </c>
      <c r="C23" s="196" t="s">
        <v>271</v>
      </c>
      <c r="D23" s="197" t="s">
        <v>271</v>
      </c>
      <c r="E23" s="199" t="s">
        <v>271</v>
      </c>
      <c r="F23" s="201" t="s">
        <v>233</v>
      </c>
      <c r="G23" s="202" t="s">
        <v>1926</v>
      </c>
      <c r="H23" s="609" t="s">
        <v>3756</v>
      </c>
      <c r="I23" s="609"/>
      <c r="J23" s="104"/>
      <c r="K23" s="162" t="s">
        <v>3757</v>
      </c>
      <c r="L23" s="107"/>
      <c r="M23" s="104"/>
      <c r="N23" s="104"/>
      <c r="O23" s="104"/>
      <c r="P23" s="104"/>
      <c r="Q23" s="162" t="s">
        <v>3758</v>
      </c>
      <c r="R23" s="162" t="s">
        <v>3759</v>
      </c>
      <c r="S23" s="104"/>
      <c r="T23" s="162" t="s">
        <v>3760</v>
      </c>
      <c r="U23" s="755" t="s">
        <v>3762</v>
      </c>
      <c r="V23" s="756"/>
      <c r="W23" s="162" t="s">
        <v>1125</v>
      </c>
      <c r="X23" s="107"/>
      <c r="Y23" s="162" t="s">
        <v>1993</v>
      </c>
      <c r="Z23" s="104"/>
      <c r="AA23" s="104"/>
      <c r="AB23" s="104"/>
      <c r="AC23" s="162" t="s">
        <v>3765</v>
      </c>
      <c r="AD23" s="162" t="s">
        <v>3766</v>
      </c>
      <c r="AE23" s="137"/>
      <c r="AF23" s="131" t="s">
        <v>2948</v>
      </c>
      <c r="AG23" s="137"/>
      <c r="AH23" s="162" t="s">
        <v>1564</v>
      </c>
      <c r="AI23" s="162" t="s">
        <v>3769</v>
      </c>
      <c r="AJ23" s="104"/>
      <c r="AK23" s="104"/>
      <c r="AL23" s="104"/>
      <c r="AM23" s="104"/>
      <c r="AN23" s="104"/>
      <c r="AO23" s="104"/>
      <c r="AP23" s="104"/>
      <c r="AQ23" s="104"/>
      <c r="AR23" s="104"/>
      <c r="AS23" s="104"/>
      <c r="AT23" s="104"/>
      <c r="AU23" s="104"/>
      <c r="AV23" s="104"/>
      <c r="AW23" s="104"/>
      <c r="AX23" s="107"/>
      <c r="AY23" s="162" t="s">
        <v>3303</v>
      </c>
      <c r="AZ23" s="104"/>
      <c r="BA23" s="104"/>
      <c r="BB23" s="162" t="s">
        <v>2934</v>
      </c>
      <c r="BC23" s="104"/>
      <c r="BD23" s="104"/>
      <c r="BE23" s="104"/>
      <c r="BF23" s="104"/>
      <c r="BG23" s="652"/>
      <c r="BH23" s="652"/>
      <c r="BI23" s="652"/>
      <c r="BJ23" s="652"/>
      <c r="BK23" s="652"/>
      <c r="BL23" s="652"/>
      <c r="BM23" s="652"/>
      <c r="BN23" s="652"/>
      <c r="BO23" s="652"/>
      <c r="BP23" s="652"/>
      <c r="BQ23" s="104"/>
      <c r="BR23" s="104"/>
      <c r="BS23" s="104"/>
      <c r="BT23" s="104"/>
      <c r="BU23" s="104"/>
      <c r="BV23" s="107"/>
      <c r="BW23" s="162" t="s">
        <v>3773</v>
      </c>
      <c r="BX23" s="104"/>
      <c r="BY23" s="104"/>
      <c r="BZ23" s="104"/>
      <c r="CA23" s="122"/>
      <c r="CB23" s="104"/>
      <c r="CC23" s="104"/>
      <c r="CD23" s="122"/>
      <c r="CE23" s="759"/>
      <c r="CF23" s="759"/>
      <c r="CG23" s="759"/>
      <c r="CH23" s="759"/>
      <c r="CI23" s="759"/>
      <c r="CJ23" s="759"/>
      <c r="CK23" s="759"/>
      <c r="CL23" s="759"/>
      <c r="CM23" s="104"/>
      <c r="CN23" s="104"/>
      <c r="CO23" s="104"/>
      <c r="CP23" s="104"/>
      <c r="CQ23" s="104"/>
      <c r="CR23" s="104"/>
      <c r="CS23" s="104"/>
      <c r="CT23" s="131" t="s">
        <v>3775</v>
      </c>
      <c r="CU23" s="137"/>
    </row>
    <row r="24">
      <c r="A24" s="761" t="s">
        <v>3777</v>
      </c>
      <c r="B24" s="202" t="s">
        <v>3778</v>
      </c>
      <c r="C24" s="196" t="s">
        <v>271</v>
      </c>
      <c r="D24" s="197" t="s">
        <v>271</v>
      </c>
      <c r="E24" s="199" t="s">
        <v>271</v>
      </c>
      <c r="F24" s="201" t="s">
        <v>176</v>
      </c>
      <c r="G24" s="202" t="s">
        <v>1911</v>
      </c>
      <c r="H24" s="609"/>
      <c r="I24" s="609" t="s">
        <v>3779</v>
      </c>
      <c r="J24" s="107"/>
      <c r="K24" s="107" t="s">
        <v>3780</v>
      </c>
      <c r="L24" s="131" t="s">
        <v>3781</v>
      </c>
      <c r="M24" s="104"/>
      <c r="N24" s="104"/>
      <c r="O24" s="104"/>
      <c r="P24" s="107" t="s">
        <v>3782</v>
      </c>
      <c r="Q24" s="104"/>
      <c r="R24" s="131" t="s">
        <v>3783</v>
      </c>
      <c r="S24" s="104"/>
      <c r="T24" s="104"/>
      <c r="U24" s="107" t="s">
        <v>3142</v>
      </c>
      <c r="V24" s="107"/>
      <c r="W24" s="162" t="s">
        <v>3785</v>
      </c>
      <c r="X24" s="107" t="s">
        <v>3786</v>
      </c>
      <c r="Y24" s="131" t="s">
        <v>3787</v>
      </c>
      <c r="Z24" s="104"/>
      <c r="AA24" s="104"/>
      <c r="AB24" s="104"/>
      <c r="AC24" s="162" t="s">
        <v>3789</v>
      </c>
      <c r="AD24" s="162" t="s">
        <v>3790</v>
      </c>
      <c r="AE24" s="107"/>
      <c r="AF24" s="162" t="s">
        <v>3791</v>
      </c>
      <c r="AG24" s="107"/>
      <c r="AH24" s="162" t="s">
        <v>3792</v>
      </c>
      <c r="AI24" s="104"/>
      <c r="AJ24" s="104"/>
      <c r="AK24" s="209" t="s">
        <v>3793</v>
      </c>
      <c r="AL24" s="766"/>
      <c r="AM24" s="104"/>
      <c r="AN24" s="104"/>
      <c r="AO24" s="104"/>
      <c r="AP24" s="104"/>
      <c r="AQ24" s="104"/>
      <c r="AR24" s="162" t="s">
        <v>3795</v>
      </c>
      <c r="AS24" s="107"/>
      <c r="AT24" s="104"/>
      <c r="AU24" s="104"/>
      <c r="AV24" s="104"/>
      <c r="AW24" s="162" t="s">
        <v>2206</v>
      </c>
      <c r="AX24" s="104"/>
      <c r="AY24" s="104"/>
      <c r="AZ24" s="104"/>
      <c r="BA24" s="104"/>
      <c r="BB24" s="162" t="s">
        <v>1587</v>
      </c>
      <c r="BC24" s="104"/>
      <c r="BD24" s="104"/>
      <c r="BE24" s="104"/>
      <c r="BF24" s="104"/>
      <c r="BG24" s="104"/>
      <c r="BH24" s="104"/>
      <c r="BI24" s="104"/>
      <c r="BJ24" s="104"/>
      <c r="BK24" s="104"/>
      <c r="BL24" s="104"/>
      <c r="BM24" s="104"/>
      <c r="BN24" s="104"/>
      <c r="BO24" s="104"/>
      <c r="BP24" s="104"/>
      <c r="BQ24" s="104"/>
      <c r="BR24" s="104"/>
      <c r="BS24" s="104"/>
      <c r="BT24" s="104"/>
      <c r="BU24" s="104"/>
      <c r="BV24" s="104"/>
      <c r="BW24" s="122"/>
      <c r="BX24" s="104"/>
      <c r="BY24" s="104"/>
      <c r="BZ24" s="104"/>
      <c r="CA24" s="122"/>
      <c r="CB24" s="104"/>
      <c r="CC24" s="104"/>
      <c r="CD24" s="122"/>
      <c r="CE24" s="104"/>
      <c r="CF24" s="104"/>
      <c r="CG24" s="104"/>
      <c r="CH24" s="104"/>
      <c r="CI24" s="104"/>
      <c r="CJ24" s="104"/>
      <c r="CK24" s="104"/>
      <c r="CL24" s="104"/>
      <c r="CM24" s="162" t="s">
        <v>944</v>
      </c>
      <c r="CN24" s="162" t="s">
        <v>713</v>
      </c>
      <c r="CO24" s="162" t="s">
        <v>855</v>
      </c>
      <c r="CP24" s="104"/>
      <c r="CQ24" s="104"/>
      <c r="CR24" s="104"/>
      <c r="CS24" s="104"/>
      <c r="CT24" s="104"/>
      <c r="CU24" s="104"/>
    </row>
    <row r="25">
      <c r="A25" s="768" t="s">
        <v>3505</v>
      </c>
      <c r="B25" s="202" t="s">
        <v>3803</v>
      </c>
      <c r="C25" s="196" t="s">
        <v>271</v>
      </c>
      <c r="D25" s="197" t="s">
        <v>271</v>
      </c>
      <c r="E25" s="199" t="s">
        <v>171</v>
      </c>
      <c r="F25" s="201" t="s">
        <v>399</v>
      </c>
      <c r="G25" s="202" t="s">
        <v>2064</v>
      </c>
      <c r="H25" s="689" t="s">
        <v>3806</v>
      </c>
      <c r="I25" s="689" t="s">
        <v>3809</v>
      </c>
      <c r="J25" s="137"/>
      <c r="K25" s="162" t="s">
        <v>3812</v>
      </c>
      <c r="L25" s="107"/>
      <c r="M25" s="107"/>
      <c r="N25" s="162" t="s">
        <v>3813</v>
      </c>
      <c r="O25" s="162" t="s">
        <v>3814</v>
      </c>
      <c r="P25" s="162" t="s">
        <v>3815</v>
      </c>
      <c r="Q25" s="162" t="s">
        <v>3816</v>
      </c>
      <c r="R25" s="162" t="s">
        <v>3818</v>
      </c>
      <c r="S25" s="162" t="s">
        <v>3819</v>
      </c>
      <c r="T25" s="162" t="s">
        <v>3820</v>
      </c>
      <c r="U25" s="162" t="s">
        <v>3821</v>
      </c>
      <c r="V25" s="107"/>
      <c r="W25" s="162" t="s">
        <v>3103</v>
      </c>
      <c r="X25" s="107"/>
      <c r="Y25" s="104"/>
      <c r="Z25" s="104"/>
      <c r="AA25" s="104"/>
      <c r="AB25" s="104"/>
      <c r="AC25" s="162" t="s">
        <v>3823</v>
      </c>
      <c r="AD25" s="162" t="s">
        <v>3824</v>
      </c>
      <c r="AE25" s="107"/>
      <c r="AF25" s="162" t="s">
        <v>1976</v>
      </c>
      <c r="AG25" s="107"/>
      <c r="AH25" s="162" t="s">
        <v>3825</v>
      </c>
      <c r="AI25" s="107"/>
      <c r="AJ25" s="107"/>
      <c r="AK25" s="104"/>
      <c r="AL25" s="104"/>
      <c r="AM25" s="162" t="s">
        <v>2575</v>
      </c>
      <c r="AN25" s="162" t="s">
        <v>3487</v>
      </c>
      <c r="AO25" s="162" t="s">
        <v>2730</v>
      </c>
      <c r="AP25" s="162" t="s">
        <v>3288</v>
      </c>
      <c r="AQ25" s="107"/>
      <c r="AR25" s="162" t="s">
        <v>3716</v>
      </c>
      <c r="AS25" s="107"/>
      <c r="AT25" s="162" t="s">
        <v>3828</v>
      </c>
      <c r="AU25" s="162" t="s">
        <v>3829</v>
      </c>
      <c r="AV25" s="107"/>
      <c r="AW25" s="162" t="s">
        <v>2932</v>
      </c>
      <c r="AX25" s="107"/>
      <c r="AY25" s="162" t="s">
        <v>3639</v>
      </c>
      <c r="AZ25" s="104"/>
      <c r="BA25" s="104"/>
      <c r="BB25" s="162" t="s">
        <v>3289</v>
      </c>
      <c r="BC25" s="107" t="s">
        <v>3639</v>
      </c>
      <c r="BD25" s="162" t="s">
        <v>3717</v>
      </c>
      <c r="BE25" s="107"/>
      <c r="BF25" s="107"/>
      <c r="BG25" s="770" t="s">
        <v>3832</v>
      </c>
      <c r="BH25" s="770" t="s">
        <v>3834</v>
      </c>
      <c r="BI25" s="322"/>
      <c r="BJ25" s="322"/>
      <c r="BK25" s="322"/>
      <c r="BL25" s="465" t="s">
        <v>3836</v>
      </c>
      <c r="BM25" s="465" t="s">
        <v>3837</v>
      </c>
      <c r="BN25" s="322"/>
      <c r="BO25" s="322"/>
      <c r="BP25" s="322"/>
      <c r="BQ25" s="104"/>
      <c r="BR25" s="107" t="s">
        <v>3839</v>
      </c>
      <c r="BS25" s="104"/>
      <c r="BT25" s="104"/>
      <c r="BU25" s="104"/>
      <c r="BV25" s="772" t="s">
        <v>3840</v>
      </c>
      <c r="BW25" s="162" t="s">
        <v>3841</v>
      </c>
      <c r="BX25" s="162" t="s">
        <v>3842</v>
      </c>
      <c r="BY25" s="116" t="s">
        <v>3843</v>
      </c>
      <c r="BZ25" s="162" t="s">
        <v>3847</v>
      </c>
      <c r="CA25" s="162" t="s">
        <v>3848</v>
      </c>
      <c r="CB25" s="162" t="s">
        <v>2303</v>
      </c>
      <c r="CC25" s="162" t="s">
        <v>3849</v>
      </c>
      <c r="CD25" s="162"/>
      <c r="CE25" s="643" t="s">
        <v>3677</v>
      </c>
      <c r="CF25" s="643" t="s">
        <v>3850</v>
      </c>
      <c r="CG25" s="643" t="s">
        <v>3851</v>
      </c>
      <c r="CH25" s="561"/>
      <c r="CI25" s="556"/>
      <c r="CJ25" s="556"/>
      <c r="CK25" s="556"/>
      <c r="CL25" s="556"/>
      <c r="CM25" s="556"/>
      <c r="CN25" s="556"/>
      <c r="CO25" s="556"/>
      <c r="CP25" s="556"/>
      <c r="CQ25" s="556"/>
      <c r="CR25" s="556"/>
      <c r="CS25" s="556"/>
      <c r="CT25" s="131" t="s">
        <v>3852</v>
      </c>
      <c r="CU25" s="137"/>
    </row>
    <row r="26">
      <c r="A26" s="774" t="s">
        <v>3537</v>
      </c>
      <c r="B26" s="202" t="s">
        <v>3803</v>
      </c>
      <c r="C26" s="196" t="s">
        <v>271</v>
      </c>
      <c r="D26" s="197" t="s">
        <v>271</v>
      </c>
      <c r="E26" s="199" t="s">
        <v>271</v>
      </c>
      <c r="F26" s="201" t="s">
        <v>271</v>
      </c>
      <c r="G26" s="202" t="s">
        <v>169</v>
      </c>
      <c r="H26" s="609"/>
      <c r="I26" s="609" t="s">
        <v>3854</v>
      </c>
      <c r="J26" s="107"/>
      <c r="K26" s="107" t="s">
        <v>3855</v>
      </c>
      <c r="L26" s="107"/>
      <c r="M26" s="104"/>
      <c r="N26" s="122" t="s">
        <v>3856</v>
      </c>
      <c r="O26" s="104"/>
      <c r="P26" s="104"/>
      <c r="Q26" s="104"/>
      <c r="R26" s="162" t="s">
        <v>3857</v>
      </c>
      <c r="S26" s="104"/>
      <c r="T26" s="162" t="s">
        <v>3858</v>
      </c>
      <c r="U26" s="162" t="s">
        <v>3859</v>
      </c>
      <c r="V26" s="107"/>
      <c r="W26" s="162" t="s">
        <v>3860</v>
      </c>
      <c r="X26" s="107"/>
      <c r="Y26" s="162" t="s">
        <v>3861</v>
      </c>
      <c r="Z26" s="122" t="s">
        <v>3862</v>
      </c>
      <c r="AA26" s="104"/>
      <c r="AB26" s="104"/>
      <c r="AC26" s="107"/>
      <c r="AD26" s="162" t="s">
        <v>3863</v>
      </c>
      <c r="AE26" s="107"/>
      <c r="AF26" s="107"/>
      <c r="AG26" s="107"/>
      <c r="AH26" s="107"/>
      <c r="AI26" s="122" t="s">
        <v>3864</v>
      </c>
      <c r="AJ26" s="104"/>
      <c r="AK26" s="104"/>
      <c r="AL26" s="104"/>
      <c r="AM26" s="122" t="s">
        <v>3865</v>
      </c>
      <c r="AN26" s="104"/>
      <c r="AO26" s="104"/>
      <c r="AP26" s="107" t="s">
        <v>3866</v>
      </c>
      <c r="AQ26" s="104"/>
      <c r="AR26" s="122" t="s">
        <v>3867</v>
      </c>
      <c r="AS26" s="104"/>
      <c r="AT26" s="122" t="s">
        <v>3868</v>
      </c>
      <c r="AU26" s="107" t="s">
        <v>3869</v>
      </c>
      <c r="AV26" s="107"/>
      <c r="AW26" s="107" t="s">
        <v>3747</v>
      </c>
      <c r="AX26" s="104"/>
      <c r="AY26" s="122" t="s">
        <v>3870</v>
      </c>
      <c r="AZ26" s="107"/>
      <c r="BA26" s="107"/>
      <c r="BB26" s="122" t="s">
        <v>3871</v>
      </c>
      <c r="BC26" s="107"/>
      <c r="BD26" s="104"/>
      <c r="BE26" s="104"/>
      <c r="BF26" s="104"/>
      <c r="BG26" s="104"/>
      <c r="BH26" s="104"/>
      <c r="BI26" s="104"/>
      <c r="BJ26" s="104"/>
      <c r="BK26" s="104"/>
      <c r="BL26" s="104"/>
      <c r="BM26" s="104"/>
      <c r="BN26" s="104"/>
      <c r="BO26" s="104"/>
      <c r="BP26" s="104"/>
      <c r="BQ26" s="104"/>
      <c r="BR26" s="104"/>
      <c r="BS26" s="104"/>
      <c r="BT26" s="104"/>
      <c r="BU26" s="104"/>
      <c r="BV26" s="104"/>
      <c r="BW26" s="122"/>
      <c r="BX26" s="104"/>
      <c r="BY26" s="104"/>
      <c r="BZ26" s="104"/>
      <c r="CA26" s="122"/>
      <c r="CB26" s="104"/>
      <c r="CC26" s="104"/>
      <c r="CD26" s="122"/>
      <c r="CE26" s="104"/>
      <c r="CF26" s="104"/>
      <c r="CG26" s="104"/>
      <c r="CH26" s="104"/>
      <c r="CI26" s="104"/>
      <c r="CJ26" s="104"/>
      <c r="CK26" s="104"/>
      <c r="CL26" s="104"/>
      <c r="CM26" s="104"/>
      <c r="CN26" s="104"/>
      <c r="CO26" s="104"/>
      <c r="CP26" s="104"/>
      <c r="CQ26" s="104"/>
      <c r="CR26" s="104"/>
      <c r="CS26" s="104"/>
      <c r="CT26" s="104"/>
      <c r="CU26" s="104"/>
    </row>
    <row r="27">
      <c r="A27" s="564" t="s">
        <v>3621</v>
      </c>
      <c r="B27" s="202" t="s">
        <v>3052</v>
      </c>
      <c r="C27" s="196" t="s">
        <v>271</v>
      </c>
      <c r="D27" s="197" t="s">
        <v>271</v>
      </c>
      <c r="E27" s="199" t="s">
        <v>271</v>
      </c>
      <c r="F27" s="201" t="s">
        <v>176</v>
      </c>
      <c r="G27" s="202" t="s">
        <v>567</v>
      </c>
      <c r="H27" s="609"/>
      <c r="I27" s="609" t="s">
        <v>3872</v>
      </c>
      <c r="J27" s="104"/>
      <c r="K27" s="107" t="s">
        <v>3873</v>
      </c>
      <c r="L27" s="104"/>
      <c r="M27" s="104"/>
      <c r="N27" s="104"/>
      <c r="O27" s="104"/>
      <c r="P27" s="107" t="s">
        <v>3874</v>
      </c>
      <c r="Q27" s="104"/>
      <c r="R27" s="107" t="s">
        <v>3875</v>
      </c>
      <c r="S27" s="104"/>
      <c r="T27" s="107" t="s">
        <v>3876</v>
      </c>
      <c r="U27" s="131" t="s">
        <v>3877</v>
      </c>
      <c r="V27" s="104"/>
      <c r="W27" s="104"/>
      <c r="X27" s="107" t="s">
        <v>2891</v>
      </c>
      <c r="Y27" s="131" t="s">
        <v>3879</v>
      </c>
      <c r="Z27" s="104"/>
      <c r="AA27" s="107" t="s">
        <v>3881</v>
      </c>
      <c r="AB27" s="104"/>
      <c r="AC27" s="107" t="s">
        <v>3882</v>
      </c>
      <c r="AD27" s="131" t="s">
        <v>653</v>
      </c>
      <c r="AE27" s="131" t="s">
        <v>3883</v>
      </c>
      <c r="AF27" s="107" t="s">
        <v>3884</v>
      </c>
      <c r="AG27" s="107" t="s">
        <v>1594</v>
      </c>
      <c r="AH27" s="104"/>
      <c r="AI27" s="104"/>
      <c r="AJ27" s="104"/>
      <c r="AK27" s="104"/>
      <c r="AL27" s="104"/>
      <c r="AM27" s="104"/>
      <c r="AN27" s="104"/>
      <c r="AO27" s="104"/>
      <c r="AP27" s="104"/>
      <c r="AQ27" s="104"/>
      <c r="AR27" s="104"/>
      <c r="AS27" s="104"/>
      <c r="AT27" s="104"/>
      <c r="AU27" s="104"/>
      <c r="AV27" s="104"/>
      <c r="AW27" s="104"/>
      <c r="AX27" s="104"/>
      <c r="AY27" s="104"/>
      <c r="AZ27" s="104"/>
      <c r="BA27" s="104"/>
      <c r="BB27" s="104"/>
      <c r="BC27" s="104"/>
      <c r="BD27" s="104"/>
      <c r="BE27" s="104"/>
      <c r="BF27" s="104"/>
      <c r="BG27" s="104"/>
      <c r="BH27" s="104"/>
      <c r="BI27" s="104"/>
      <c r="BJ27" s="104"/>
      <c r="BK27" s="104"/>
      <c r="BL27" s="104"/>
      <c r="BM27" s="104"/>
      <c r="BN27" s="104"/>
      <c r="BO27" s="104"/>
      <c r="BP27" s="104"/>
      <c r="BQ27" s="104"/>
      <c r="BR27" s="104"/>
      <c r="BS27" s="104"/>
      <c r="BT27" s="104"/>
      <c r="BU27" s="104"/>
      <c r="BV27" s="104"/>
      <c r="BW27" s="122"/>
      <c r="BX27" s="104"/>
      <c r="BY27" s="104"/>
      <c r="BZ27" s="104"/>
      <c r="CA27" s="122"/>
      <c r="CB27" s="104"/>
      <c r="CC27" s="104"/>
      <c r="CD27" s="122"/>
      <c r="CE27" s="104"/>
      <c r="CF27" s="104"/>
      <c r="CG27" s="104"/>
      <c r="CH27" s="104"/>
      <c r="CI27" s="104"/>
      <c r="CJ27" s="104"/>
      <c r="CK27" s="104"/>
      <c r="CL27" s="104"/>
      <c r="CM27" s="104"/>
      <c r="CN27" s="104"/>
      <c r="CO27" s="104"/>
      <c r="CP27" s="104"/>
      <c r="CQ27" s="104"/>
      <c r="CR27" s="104"/>
      <c r="CS27" s="104"/>
      <c r="CT27" s="104"/>
      <c r="CU27" s="104"/>
    </row>
    <row r="28">
      <c r="A28" s="743" t="s">
        <v>90</v>
      </c>
      <c r="B28" s="202" t="s">
        <v>3891</v>
      </c>
      <c r="C28" s="196" t="s">
        <v>399</v>
      </c>
      <c r="D28" s="197" t="s">
        <v>271</v>
      </c>
      <c r="E28" s="199" t="s">
        <v>171</v>
      </c>
      <c r="F28" s="201" t="s">
        <v>178</v>
      </c>
      <c r="G28" s="202" t="s">
        <v>178</v>
      </c>
      <c r="H28" s="781"/>
      <c r="I28" s="781"/>
      <c r="J28" s="104"/>
      <c r="K28" s="104"/>
      <c r="L28" s="104"/>
      <c r="M28" s="104"/>
      <c r="N28" s="104"/>
      <c r="O28" s="104"/>
      <c r="P28" s="104"/>
      <c r="Q28" s="104"/>
      <c r="R28" s="104"/>
      <c r="S28" s="104"/>
      <c r="T28" s="104"/>
      <c r="U28" s="104"/>
      <c r="V28" s="104"/>
      <c r="W28" s="104"/>
      <c r="X28" s="126" t="s">
        <v>3892</v>
      </c>
      <c r="Y28" s="126" t="s">
        <v>3475</v>
      </c>
      <c r="Z28" s="104"/>
      <c r="AA28" s="104"/>
      <c r="AB28" s="104"/>
      <c r="AC28" s="126" t="s">
        <v>3893</v>
      </c>
      <c r="AD28" s="104"/>
      <c r="AE28" s="104"/>
      <c r="AF28" s="104"/>
      <c r="AG28" s="104"/>
      <c r="AH28" s="104"/>
      <c r="AI28" s="104"/>
      <c r="AJ28" s="104"/>
      <c r="AK28" s="104"/>
      <c r="AL28" s="104"/>
      <c r="AM28" s="104"/>
      <c r="AN28" s="104"/>
      <c r="AO28" s="104"/>
      <c r="AP28" s="104"/>
      <c r="AQ28" s="104"/>
      <c r="AR28" s="104"/>
      <c r="AS28" s="104"/>
      <c r="AT28" s="104"/>
      <c r="AU28" s="104"/>
      <c r="AV28" s="104"/>
      <c r="AW28" s="104"/>
      <c r="AX28" s="104"/>
      <c r="AY28" s="104"/>
      <c r="AZ28" s="104"/>
      <c r="BA28" s="104"/>
      <c r="BB28" s="104"/>
      <c r="BC28" s="104"/>
      <c r="BD28" s="104"/>
      <c r="BE28" s="104"/>
      <c r="BF28" s="104"/>
      <c r="BG28" s="652"/>
      <c r="BH28" s="652"/>
      <c r="BI28" s="652"/>
      <c r="BJ28" s="652"/>
      <c r="BK28" s="652"/>
      <c r="BL28" s="652"/>
      <c r="BM28" s="652"/>
      <c r="BN28" s="652"/>
      <c r="BO28" s="652"/>
      <c r="BP28" s="652"/>
      <c r="BQ28" s="104"/>
      <c r="BR28" s="104"/>
      <c r="BS28" s="104"/>
      <c r="BT28" s="104"/>
      <c r="BU28" s="104"/>
      <c r="BV28" s="116" t="s">
        <v>1220</v>
      </c>
      <c r="BW28" s="122"/>
      <c r="BX28" s="126" t="s">
        <v>3901</v>
      </c>
      <c r="BY28" s="104"/>
      <c r="BZ28" s="126" t="s">
        <v>3903</v>
      </c>
      <c r="CA28" s="122"/>
      <c r="CB28" s="104"/>
      <c r="CC28" s="104"/>
      <c r="CD28" s="782" t="s">
        <v>3905</v>
      </c>
      <c r="CE28" s="104"/>
      <c r="CF28" s="104"/>
      <c r="CG28" s="104"/>
      <c r="CH28" s="104"/>
      <c r="CI28" s="104"/>
      <c r="CJ28" s="104"/>
      <c r="CK28" s="104"/>
      <c r="CL28" s="104"/>
      <c r="CM28" s="104"/>
      <c r="CN28" s="104"/>
      <c r="CO28" s="104"/>
      <c r="CP28" s="104"/>
      <c r="CQ28" s="104"/>
      <c r="CR28" s="104"/>
      <c r="CS28" s="104"/>
      <c r="CT28" s="104"/>
      <c r="CU28" s="104"/>
    </row>
    <row r="29">
      <c r="A29" s="743" t="s">
        <v>168</v>
      </c>
      <c r="B29" s="202" t="s">
        <v>3910</v>
      </c>
      <c r="C29" s="196" t="s">
        <v>271</v>
      </c>
      <c r="D29" s="197" t="s">
        <v>271</v>
      </c>
      <c r="E29" s="199" t="s">
        <v>271</v>
      </c>
      <c r="F29" s="201" t="s">
        <v>171</v>
      </c>
      <c r="G29" s="202" t="s">
        <v>394</v>
      </c>
      <c r="H29" s="609"/>
      <c r="I29" s="609"/>
      <c r="J29" s="104"/>
      <c r="K29" s="104"/>
      <c r="L29" s="104"/>
      <c r="M29" s="104"/>
      <c r="N29" s="104"/>
      <c r="O29" s="104"/>
      <c r="P29" s="104"/>
      <c r="Q29" s="104"/>
      <c r="R29" s="107" t="s">
        <v>3914</v>
      </c>
      <c r="S29" s="104"/>
      <c r="T29" s="104"/>
      <c r="U29" s="104"/>
      <c r="V29" s="104"/>
      <c r="W29" s="107" t="s">
        <v>3915</v>
      </c>
      <c r="X29" s="107" t="s">
        <v>3915</v>
      </c>
      <c r="Y29" s="107" t="s">
        <v>3917</v>
      </c>
      <c r="Z29" s="104"/>
      <c r="AA29" s="107" t="s">
        <v>3918</v>
      </c>
      <c r="AB29" s="104"/>
      <c r="AC29" s="107" t="s">
        <v>3920</v>
      </c>
      <c r="AD29" s="107" t="s">
        <v>3921</v>
      </c>
      <c r="AE29" s="107" t="s">
        <v>3922</v>
      </c>
      <c r="AF29" s="104"/>
      <c r="AG29" s="104"/>
      <c r="AH29" s="131" t="s">
        <v>3923</v>
      </c>
      <c r="AI29" s="104"/>
      <c r="AJ29" s="104"/>
      <c r="AK29" s="104"/>
      <c r="AL29" s="104"/>
      <c r="AM29" s="104"/>
      <c r="AN29" s="104"/>
      <c r="AO29" s="104"/>
      <c r="AP29" s="104"/>
      <c r="AQ29" s="104"/>
      <c r="AR29" s="104"/>
      <c r="AS29" s="104"/>
      <c r="AT29" s="104"/>
      <c r="AU29" s="104"/>
      <c r="AV29" s="104"/>
      <c r="AW29" s="104"/>
      <c r="AX29" s="104"/>
      <c r="AY29" s="104"/>
      <c r="AZ29" s="104"/>
      <c r="BA29" s="104"/>
      <c r="BB29" s="104"/>
      <c r="BC29" s="104"/>
      <c r="BD29" s="104"/>
      <c r="BE29" s="104"/>
      <c r="BF29" s="104"/>
      <c r="BG29" s="104"/>
      <c r="BH29" s="104"/>
      <c r="BI29" s="104"/>
      <c r="BJ29" s="104"/>
      <c r="BK29" s="104"/>
      <c r="BL29" s="104"/>
      <c r="BM29" s="104"/>
      <c r="BN29" s="104"/>
      <c r="BO29" s="104"/>
      <c r="BP29" s="104"/>
      <c r="BQ29" s="104"/>
      <c r="BR29" s="104"/>
      <c r="BS29" s="104"/>
      <c r="BT29" s="104"/>
      <c r="BU29" s="104"/>
      <c r="BV29" s="104"/>
      <c r="BW29" s="122"/>
      <c r="BX29" s="104"/>
      <c r="BY29" s="104"/>
      <c r="BZ29" s="104"/>
      <c r="CA29" s="122"/>
      <c r="CB29" s="104"/>
      <c r="CC29" s="104"/>
      <c r="CD29" s="122"/>
      <c r="CE29" s="104"/>
      <c r="CF29" s="104"/>
      <c r="CG29" s="104"/>
      <c r="CH29" s="104"/>
      <c r="CI29" s="104"/>
      <c r="CJ29" s="104"/>
      <c r="CK29" s="104"/>
      <c r="CL29" s="104"/>
      <c r="CM29" s="104"/>
      <c r="CN29" s="104"/>
      <c r="CO29" s="104"/>
      <c r="CP29" s="104"/>
      <c r="CQ29" s="104"/>
      <c r="CR29" s="104"/>
      <c r="CS29" s="104"/>
      <c r="CT29" s="104"/>
      <c r="CU29" s="104"/>
    </row>
    <row r="30">
      <c r="A30" s="783" t="s">
        <v>599</v>
      </c>
      <c r="B30" s="202" t="s">
        <v>3933</v>
      </c>
      <c r="C30" s="196" t="s">
        <v>271</v>
      </c>
      <c r="D30" s="197" t="s">
        <v>171</v>
      </c>
      <c r="E30" s="199" t="s">
        <v>171</v>
      </c>
      <c r="F30" s="201" t="s">
        <v>274</v>
      </c>
      <c r="G30" s="202" t="s">
        <v>274</v>
      </c>
      <c r="H30" s="609"/>
      <c r="I30" s="609"/>
      <c r="J30" s="104"/>
      <c r="K30" s="104"/>
      <c r="L30" s="104"/>
      <c r="M30" s="104"/>
      <c r="N30" s="104"/>
      <c r="O30" s="104"/>
      <c r="P30" s="104"/>
      <c r="Q30" s="104"/>
      <c r="R30" s="104"/>
      <c r="S30" s="104"/>
      <c r="T30" s="104"/>
      <c r="U30" s="104"/>
      <c r="V30" s="104"/>
      <c r="W30" s="104"/>
      <c r="X30" s="131" t="s">
        <v>3935</v>
      </c>
      <c r="Y30" s="116" t="s">
        <v>3937</v>
      </c>
      <c r="Z30" s="104"/>
      <c r="AA30" s="104"/>
      <c r="AB30" s="104"/>
      <c r="AC30" s="104"/>
      <c r="AD30" s="104"/>
      <c r="AE30" s="137"/>
      <c r="AF30" s="121" t="s">
        <v>3942</v>
      </c>
      <c r="AG30" s="104"/>
      <c r="AH30" s="104"/>
      <c r="AI30" s="104"/>
      <c r="AJ30" s="104"/>
      <c r="AK30" s="104"/>
      <c r="AL30" s="104"/>
      <c r="AM30" s="104"/>
      <c r="AN30" s="104"/>
      <c r="AO30" s="104"/>
      <c r="AP30" s="104"/>
      <c r="AQ30" s="104"/>
      <c r="AR30" s="104"/>
      <c r="AS30" s="104"/>
      <c r="AT30" s="104"/>
      <c r="AU30" s="104"/>
      <c r="AV30" s="104"/>
      <c r="AW30" s="104"/>
      <c r="AX30" s="107" t="s">
        <v>852</v>
      </c>
      <c r="AY30" s="104"/>
      <c r="AZ30" s="104"/>
      <c r="BA30" s="104"/>
      <c r="BB30" s="104"/>
      <c r="BC30" s="104"/>
      <c r="BD30" s="104"/>
      <c r="BE30" s="104"/>
      <c r="BF30" s="104"/>
      <c r="BG30" s="652"/>
      <c r="BH30" s="652"/>
      <c r="BI30" s="652"/>
      <c r="BJ30" s="652"/>
      <c r="BK30" s="652"/>
      <c r="BL30" s="652"/>
      <c r="BM30" s="652"/>
      <c r="BN30" s="652"/>
      <c r="BO30" s="652"/>
      <c r="BP30" s="652"/>
      <c r="BQ30" s="104"/>
      <c r="BR30" s="104"/>
      <c r="BS30" s="104"/>
      <c r="BT30" s="104"/>
      <c r="BU30" s="104"/>
      <c r="BV30" s="107"/>
      <c r="BW30" s="162"/>
      <c r="BX30" s="107"/>
      <c r="BY30" s="107"/>
      <c r="BZ30" s="107"/>
      <c r="CA30" s="162"/>
      <c r="CB30" s="107"/>
      <c r="CC30" s="107"/>
      <c r="CD30" s="162"/>
      <c r="CE30" s="556"/>
      <c r="CF30" s="556"/>
      <c r="CG30" s="556"/>
      <c r="CH30" s="556"/>
      <c r="CI30" s="556"/>
      <c r="CJ30" s="556"/>
      <c r="CK30" s="556"/>
      <c r="CL30" s="556"/>
      <c r="CM30" s="556"/>
      <c r="CN30" s="556"/>
      <c r="CO30" s="556"/>
      <c r="CP30" s="556"/>
      <c r="CQ30" s="556"/>
      <c r="CR30" s="556"/>
      <c r="CS30" s="556"/>
      <c r="CT30" s="104"/>
      <c r="CU30" s="104"/>
    </row>
    <row r="31">
      <c r="A31" s="768" t="s">
        <v>86</v>
      </c>
      <c r="B31" s="202" t="s">
        <v>3952</v>
      </c>
      <c r="C31" s="196" t="s">
        <v>271</v>
      </c>
      <c r="D31" s="197" t="s">
        <v>271</v>
      </c>
      <c r="E31" s="199" t="s">
        <v>271</v>
      </c>
      <c r="F31" s="201" t="s">
        <v>233</v>
      </c>
      <c r="G31" s="202" t="s">
        <v>274</v>
      </c>
      <c r="H31" s="609"/>
      <c r="I31" s="609"/>
      <c r="J31" s="106"/>
      <c r="K31" s="106"/>
      <c r="L31" s="106"/>
      <c r="M31" s="106"/>
      <c r="N31" s="106"/>
      <c r="O31" s="106"/>
      <c r="P31" s="106"/>
      <c r="Q31" s="106"/>
      <c r="R31" s="394" t="s">
        <v>3955</v>
      </c>
      <c r="S31" s="106"/>
      <c r="T31" s="106"/>
      <c r="U31" s="106"/>
      <c r="V31" s="106"/>
      <c r="W31" s="106"/>
      <c r="X31" s="106"/>
      <c r="Y31" s="209" t="s">
        <v>884</v>
      </c>
      <c r="Z31" s="106"/>
      <c r="AA31" s="106"/>
      <c r="AB31" s="106"/>
      <c r="AC31" s="106"/>
      <c r="AD31" s="106"/>
      <c r="AE31" s="106"/>
      <c r="AF31" s="106"/>
      <c r="AG31" s="106"/>
      <c r="AH31" s="106"/>
      <c r="AI31" s="106"/>
      <c r="AJ31" s="106"/>
      <c r="AK31" s="106"/>
      <c r="AL31" s="106"/>
      <c r="AM31" s="106"/>
      <c r="AN31" s="106"/>
      <c r="AO31" s="106"/>
      <c r="AP31" s="106"/>
      <c r="AQ31" s="106"/>
      <c r="AR31" s="106"/>
      <c r="AS31" s="106"/>
      <c r="AT31" s="106"/>
      <c r="AU31" s="209" t="s">
        <v>3965</v>
      </c>
      <c r="AV31" s="766"/>
      <c r="AW31" s="106"/>
      <c r="AX31" s="106"/>
      <c r="AY31" s="106"/>
      <c r="AZ31" s="106"/>
      <c r="BA31" s="106"/>
      <c r="BB31" s="106"/>
      <c r="BC31" s="106"/>
      <c r="BD31" s="106"/>
      <c r="BE31" s="106"/>
      <c r="BF31" s="106"/>
      <c r="BG31" s="104"/>
      <c r="BH31" s="104"/>
      <c r="BI31" s="104"/>
      <c r="BJ31" s="104"/>
      <c r="BK31" s="104"/>
      <c r="BL31" s="104"/>
      <c r="BM31" s="104"/>
      <c r="BN31" s="104"/>
      <c r="BO31" s="104"/>
      <c r="BP31" s="104"/>
      <c r="BQ31" s="104"/>
      <c r="BR31" s="104"/>
      <c r="BS31" s="104"/>
      <c r="BT31" s="104"/>
      <c r="BU31" s="104"/>
      <c r="BV31" s="106"/>
      <c r="BW31" s="105"/>
      <c r="BX31" s="106"/>
      <c r="BY31" s="106"/>
      <c r="BZ31" s="106"/>
      <c r="CA31" s="105"/>
      <c r="CB31" s="106"/>
      <c r="CC31" s="106"/>
      <c r="CD31" s="105"/>
      <c r="CE31" s="104"/>
      <c r="CF31" s="104"/>
      <c r="CG31" s="104"/>
      <c r="CH31" s="104"/>
      <c r="CI31" s="104"/>
      <c r="CJ31" s="104"/>
      <c r="CK31" s="104"/>
      <c r="CL31" s="104"/>
      <c r="CM31" s="104"/>
      <c r="CN31" s="104"/>
      <c r="CO31" s="104"/>
      <c r="CP31" s="104"/>
      <c r="CQ31" s="104"/>
      <c r="CR31" s="107"/>
      <c r="CS31" s="104"/>
      <c r="CT31" s="104"/>
      <c r="CU31" s="104"/>
    </row>
    <row r="32">
      <c r="A32" s="633" t="s">
        <v>3970</v>
      </c>
      <c r="B32" s="202" t="s">
        <v>1904</v>
      </c>
      <c r="C32" s="196" t="s">
        <v>271</v>
      </c>
      <c r="D32" s="197" t="s">
        <v>271</v>
      </c>
      <c r="E32" s="199" t="s">
        <v>271</v>
      </c>
      <c r="F32" s="201" t="s">
        <v>271</v>
      </c>
      <c r="G32" s="202" t="s">
        <v>204</v>
      </c>
      <c r="H32" s="609"/>
      <c r="I32" s="609" t="s">
        <v>852</v>
      </c>
      <c r="J32" s="104"/>
      <c r="K32" s="107" t="s">
        <v>3971</v>
      </c>
      <c r="L32" s="104"/>
      <c r="M32" s="104"/>
      <c r="N32" s="104"/>
      <c r="O32" s="104"/>
      <c r="P32" s="107" t="s">
        <v>3972</v>
      </c>
      <c r="Q32" s="104"/>
      <c r="R32" s="104"/>
      <c r="S32" s="104"/>
      <c r="T32" s="107" t="s">
        <v>3973</v>
      </c>
      <c r="U32" s="107" t="s">
        <v>3974</v>
      </c>
      <c r="V32" s="104"/>
      <c r="W32" s="107" t="s">
        <v>671</v>
      </c>
      <c r="X32" s="107" t="s">
        <v>3975</v>
      </c>
      <c r="Y32" s="107" t="s">
        <v>392</v>
      </c>
      <c r="Z32" s="104"/>
      <c r="AA32" s="104"/>
      <c r="AB32" s="104"/>
      <c r="AC32" s="104"/>
      <c r="AD32" s="104"/>
      <c r="AE32" s="104"/>
      <c r="AF32" s="104"/>
      <c r="AG32" s="104"/>
      <c r="AH32" s="104"/>
      <c r="AI32" s="104"/>
      <c r="AJ32" s="104"/>
      <c r="AK32" s="104"/>
      <c r="AL32" s="104"/>
      <c r="AM32" s="104"/>
      <c r="AN32" s="104"/>
      <c r="AO32" s="104"/>
      <c r="AP32" s="92" t="s">
        <v>3040</v>
      </c>
      <c r="AQ32" s="92"/>
      <c r="AR32" s="104"/>
      <c r="AS32" s="107" t="s">
        <v>2215</v>
      </c>
      <c r="AT32" s="104"/>
      <c r="AU32" s="107" t="s">
        <v>3795</v>
      </c>
      <c r="AV32" s="104"/>
      <c r="AW32" s="104"/>
      <c r="AX32" s="104"/>
      <c r="AY32" s="104"/>
      <c r="AZ32" s="107" t="s">
        <v>716</v>
      </c>
      <c r="BA32" s="104"/>
      <c r="BB32" s="92" t="s">
        <v>3978</v>
      </c>
      <c r="BC32" s="107" t="s">
        <v>2350</v>
      </c>
      <c r="BD32" s="107"/>
      <c r="BE32" s="104"/>
      <c r="BF32" s="104"/>
      <c r="BG32" s="104"/>
      <c r="BH32" s="104"/>
      <c r="BI32" s="104"/>
      <c r="BJ32" s="104"/>
      <c r="BK32" s="104"/>
      <c r="BL32" s="104"/>
      <c r="BM32" s="104"/>
      <c r="BN32" s="104"/>
      <c r="BO32" s="104"/>
      <c r="BP32" s="104"/>
      <c r="BQ32" s="104"/>
      <c r="BR32" s="104"/>
      <c r="BS32" s="104"/>
      <c r="BT32" s="104"/>
      <c r="BU32" s="104"/>
      <c r="BV32" s="104"/>
      <c r="BW32" s="122"/>
      <c r="BX32" s="104"/>
      <c r="BY32" s="104"/>
      <c r="BZ32" s="104"/>
      <c r="CA32" s="122"/>
      <c r="CB32" s="104"/>
      <c r="CC32" s="104"/>
      <c r="CD32" s="122"/>
      <c r="CE32" s="104"/>
      <c r="CF32" s="104"/>
      <c r="CG32" s="104"/>
      <c r="CH32" s="104"/>
      <c r="CI32" s="104"/>
      <c r="CJ32" s="104"/>
      <c r="CK32" s="104"/>
      <c r="CL32" s="104"/>
      <c r="CM32" s="104"/>
      <c r="CN32" s="104"/>
      <c r="CO32" s="104"/>
      <c r="CP32" s="104"/>
      <c r="CQ32" s="104"/>
      <c r="CR32" s="104"/>
      <c r="CS32" s="104"/>
      <c r="CT32" s="104"/>
      <c r="CU32" s="104"/>
    </row>
    <row r="33">
      <c r="A33" s="787" t="s">
        <v>619</v>
      </c>
      <c r="B33" s="202" t="s">
        <v>1729</v>
      </c>
      <c r="C33" s="196" t="s">
        <v>271</v>
      </c>
      <c r="D33" s="197" t="s">
        <v>271</v>
      </c>
      <c r="E33" s="199" t="s">
        <v>271</v>
      </c>
      <c r="F33" s="201" t="s">
        <v>271</v>
      </c>
      <c r="G33" s="202" t="s">
        <v>394</v>
      </c>
      <c r="H33" s="609"/>
      <c r="I33" s="609"/>
      <c r="J33" s="104"/>
      <c r="K33" s="104"/>
      <c r="L33" s="104"/>
      <c r="M33" s="104"/>
      <c r="N33" s="104"/>
      <c r="O33" s="104"/>
      <c r="P33" s="104"/>
      <c r="Q33" s="104"/>
      <c r="R33" s="104"/>
      <c r="S33" s="104"/>
      <c r="T33" s="104"/>
      <c r="U33" s="104"/>
      <c r="V33" s="104"/>
      <c r="W33" s="162" t="s">
        <v>2618</v>
      </c>
      <c r="X33" s="107"/>
      <c r="Y33" s="162" t="s">
        <v>2378</v>
      </c>
      <c r="Z33" s="104"/>
      <c r="AA33" s="104"/>
      <c r="AB33" s="104"/>
      <c r="AC33" s="162" t="s">
        <v>3982</v>
      </c>
      <c r="AD33" s="107" t="s">
        <v>3983</v>
      </c>
      <c r="AE33" s="107"/>
      <c r="AF33" s="162" t="s">
        <v>2843</v>
      </c>
      <c r="AG33" s="107"/>
      <c r="AH33" s="162" t="s">
        <v>3984</v>
      </c>
      <c r="AI33" s="104"/>
      <c r="AJ33" s="104"/>
      <c r="AK33" s="104"/>
      <c r="AL33" s="104"/>
      <c r="AM33" s="104"/>
      <c r="AN33" s="104"/>
      <c r="AO33" s="104"/>
      <c r="AP33" s="104"/>
      <c r="AQ33" s="104"/>
      <c r="AR33" s="104"/>
      <c r="AS33" s="104"/>
      <c r="AT33" s="104"/>
      <c r="AU33" s="104"/>
      <c r="AV33" s="104"/>
      <c r="AW33" s="104"/>
      <c r="AX33" s="104"/>
      <c r="AY33" s="104"/>
      <c r="AZ33" s="104"/>
      <c r="BA33" s="104"/>
      <c r="BB33" s="162" t="s">
        <v>3487</v>
      </c>
      <c r="BC33" s="104"/>
      <c r="BD33" s="104"/>
      <c r="BE33" s="104"/>
      <c r="BF33" s="104"/>
      <c r="BG33" s="652"/>
      <c r="BH33" s="652"/>
      <c r="BI33" s="652"/>
      <c r="BJ33" s="652"/>
      <c r="BK33" s="652"/>
      <c r="BL33" s="652"/>
      <c r="BM33" s="652"/>
      <c r="BN33" s="652"/>
      <c r="BO33" s="652"/>
      <c r="BP33" s="652"/>
      <c r="BQ33" s="104"/>
      <c r="BR33" s="104"/>
      <c r="BS33" s="104"/>
      <c r="BT33" s="104"/>
      <c r="BU33" s="104"/>
      <c r="BV33" s="104"/>
      <c r="BW33" s="122"/>
      <c r="BX33" s="162" t="s">
        <v>3988</v>
      </c>
      <c r="BY33" s="162" t="s">
        <v>3989</v>
      </c>
      <c r="BZ33" s="104"/>
      <c r="CA33" s="122"/>
      <c r="CB33" s="104"/>
      <c r="CC33" s="104"/>
      <c r="CD33" s="122"/>
      <c r="CE33" s="556"/>
      <c r="CF33" s="556"/>
      <c r="CG33" s="556"/>
      <c r="CH33" s="556"/>
      <c r="CI33" s="556"/>
      <c r="CJ33" s="556"/>
      <c r="CK33" s="556"/>
      <c r="CL33" s="556"/>
      <c r="CM33" s="556"/>
      <c r="CN33" s="556"/>
      <c r="CO33" s="556"/>
      <c r="CP33" s="556"/>
      <c r="CQ33" s="556"/>
      <c r="CR33" s="556"/>
      <c r="CS33" s="556"/>
      <c r="CT33" s="104"/>
      <c r="CU33" s="104"/>
    </row>
    <row r="34">
      <c r="A34" s="790" t="s">
        <v>3992</v>
      </c>
      <c r="B34" s="202" t="s">
        <v>3718</v>
      </c>
      <c r="C34" s="196" t="s">
        <v>271</v>
      </c>
      <c r="D34" s="197" t="s">
        <v>271</v>
      </c>
      <c r="E34" s="199" t="s">
        <v>271</v>
      </c>
      <c r="F34" s="201" t="s">
        <v>274</v>
      </c>
      <c r="G34" s="202" t="s">
        <v>270</v>
      </c>
      <c r="H34" s="609" t="s">
        <v>3994</v>
      </c>
      <c r="I34" s="609"/>
      <c r="J34" s="104"/>
      <c r="K34" s="104"/>
      <c r="L34" s="104"/>
      <c r="M34" s="104"/>
      <c r="N34" s="104"/>
      <c r="O34" s="104"/>
      <c r="P34" s="104"/>
      <c r="Q34" s="104"/>
      <c r="R34" s="104"/>
      <c r="S34" s="104"/>
      <c r="T34" s="131" t="s">
        <v>3995</v>
      </c>
      <c r="U34" s="107" t="s">
        <v>3998</v>
      </c>
      <c r="V34" s="107" t="s">
        <v>4000</v>
      </c>
      <c r="W34" s="104"/>
      <c r="X34" s="107" t="s">
        <v>4001</v>
      </c>
      <c r="Y34" s="107" t="s">
        <v>4002</v>
      </c>
      <c r="Z34" s="104"/>
      <c r="AA34" s="104"/>
      <c r="AB34" s="104"/>
      <c r="AC34" s="131" t="s">
        <v>4003</v>
      </c>
      <c r="AD34" s="107" t="s">
        <v>4005</v>
      </c>
      <c r="AE34" s="104"/>
      <c r="AF34" s="104"/>
      <c r="AG34" s="104"/>
      <c r="AH34" s="104"/>
      <c r="AI34" s="104"/>
      <c r="AJ34" s="104"/>
      <c r="AK34" s="104"/>
      <c r="AL34" s="104"/>
      <c r="AM34" s="107" t="s">
        <v>4006</v>
      </c>
      <c r="AN34" s="104"/>
      <c r="AO34" s="104"/>
      <c r="AP34" s="107" t="s">
        <v>3295</v>
      </c>
      <c r="AQ34" s="104"/>
      <c r="AR34" s="104"/>
      <c r="AS34" s="104"/>
      <c r="AT34" s="104"/>
      <c r="AU34" s="107" t="s">
        <v>1601</v>
      </c>
      <c r="AV34" s="104"/>
      <c r="AW34" s="104"/>
      <c r="AX34" s="104"/>
      <c r="AY34" s="104"/>
      <c r="AZ34" s="104"/>
      <c r="BA34" s="104"/>
      <c r="BB34" s="104"/>
      <c r="BC34" s="104"/>
      <c r="BD34" s="104"/>
      <c r="BE34" s="104"/>
      <c r="BF34" s="104"/>
      <c r="BG34" s="104"/>
      <c r="BH34" s="104"/>
      <c r="BI34" s="104"/>
      <c r="BJ34" s="104"/>
      <c r="BK34" s="104"/>
      <c r="BL34" s="104"/>
      <c r="BM34" s="104"/>
      <c r="BN34" s="104"/>
      <c r="BO34" s="104"/>
      <c r="BP34" s="104"/>
      <c r="BQ34" s="104"/>
      <c r="BR34" s="104"/>
      <c r="BS34" s="104"/>
      <c r="BT34" s="104"/>
      <c r="BU34" s="104"/>
      <c r="BV34" s="104"/>
      <c r="BW34" s="122"/>
      <c r="BX34" s="104"/>
      <c r="BY34" s="104"/>
      <c r="BZ34" s="104"/>
      <c r="CA34" s="122"/>
      <c r="CB34" s="104"/>
      <c r="CC34" s="104"/>
      <c r="CD34" s="122"/>
      <c r="CE34" s="131" t="s">
        <v>4013</v>
      </c>
      <c r="CF34" s="104"/>
      <c r="CG34" s="104"/>
      <c r="CH34" s="104"/>
      <c r="CI34" s="104"/>
      <c r="CJ34" s="104"/>
      <c r="CK34" s="104"/>
      <c r="CL34" s="104"/>
      <c r="CM34" s="104"/>
      <c r="CN34" s="104"/>
      <c r="CO34" s="104"/>
      <c r="CP34" s="104"/>
      <c r="CQ34" s="104"/>
      <c r="CR34" s="104"/>
      <c r="CS34" s="104"/>
      <c r="CT34" s="104"/>
      <c r="CU34" s="104"/>
    </row>
    <row r="35">
      <c r="A35" s="743" t="s">
        <v>80</v>
      </c>
      <c r="B35" s="202" t="s">
        <v>1725</v>
      </c>
      <c r="C35" s="196" t="s">
        <v>171</v>
      </c>
      <c r="D35" s="197" t="s">
        <v>171</v>
      </c>
      <c r="E35" s="199" t="s">
        <v>271</v>
      </c>
      <c r="F35" s="201" t="s">
        <v>233</v>
      </c>
      <c r="G35" s="202" t="s">
        <v>233</v>
      </c>
      <c r="H35" s="609"/>
      <c r="I35" s="609"/>
      <c r="J35" s="104"/>
      <c r="K35" s="104"/>
      <c r="L35" s="104"/>
      <c r="M35" s="104"/>
      <c r="N35" s="104"/>
      <c r="O35" s="126" t="s">
        <v>4015</v>
      </c>
      <c r="P35" s="121" t="s">
        <v>4016</v>
      </c>
      <c r="Q35" s="104"/>
      <c r="R35" s="104"/>
      <c r="S35" s="104"/>
      <c r="T35" s="104"/>
      <c r="U35" s="104"/>
      <c r="V35" s="104"/>
      <c r="W35" s="104"/>
      <c r="X35" s="104"/>
      <c r="Y35" s="104"/>
      <c r="Z35" s="104"/>
      <c r="AA35" s="104"/>
      <c r="AB35" s="104"/>
      <c r="AC35" s="104"/>
      <c r="AD35" s="104"/>
      <c r="AE35" s="104"/>
      <c r="AF35" s="104"/>
      <c r="AG35" s="104"/>
      <c r="AH35" s="104"/>
      <c r="AI35" s="104"/>
      <c r="AJ35" s="104"/>
      <c r="AK35" s="104"/>
      <c r="AL35" s="104"/>
      <c r="AM35" s="104"/>
      <c r="AN35" s="104"/>
      <c r="AO35" s="104"/>
      <c r="AP35" s="104"/>
      <c r="AQ35" s="104"/>
      <c r="AR35" s="104"/>
      <c r="AS35" s="104"/>
      <c r="AT35" s="104"/>
      <c r="AU35" s="104"/>
      <c r="AV35" s="104"/>
      <c r="AW35" s="104"/>
      <c r="AX35" s="104"/>
      <c r="AY35" s="104"/>
      <c r="AZ35" s="104"/>
      <c r="BA35" s="104"/>
      <c r="BB35" s="104"/>
      <c r="BC35" s="104"/>
      <c r="BD35" s="104"/>
      <c r="BE35" s="104"/>
      <c r="BF35" s="104"/>
      <c r="BG35" s="104"/>
      <c r="BH35" s="104"/>
      <c r="BI35" s="104"/>
      <c r="BJ35" s="104"/>
      <c r="BK35" s="104"/>
      <c r="BL35" s="104"/>
      <c r="BM35" s="104"/>
      <c r="BN35" s="104"/>
      <c r="BO35" s="104"/>
      <c r="BP35" s="104"/>
      <c r="BQ35" s="104"/>
      <c r="BR35" s="104"/>
      <c r="BS35" s="104"/>
      <c r="BT35" s="104"/>
      <c r="BU35" s="104"/>
      <c r="BV35" s="104"/>
      <c r="BW35" s="122"/>
      <c r="BX35" s="104"/>
      <c r="BY35" s="104"/>
      <c r="BZ35" s="104"/>
      <c r="CA35" s="122"/>
      <c r="CB35" s="104"/>
      <c r="CC35" s="104"/>
      <c r="CD35" s="122"/>
      <c r="CE35" s="104"/>
      <c r="CF35" s="104"/>
      <c r="CG35" s="104"/>
      <c r="CH35" s="104"/>
      <c r="CI35" s="104"/>
      <c r="CJ35" s="104"/>
      <c r="CK35" s="104"/>
      <c r="CL35" s="104"/>
      <c r="CM35" s="104"/>
      <c r="CN35" s="104"/>
      <c r="CO35" s="104"/>
      <c r="CP35" s="104"/>
      <c r="CQ35" s="104"/>
      <c r="CR35" s="104"/>
      <c r="CS35" s="104"/>
      <c r="CT35" s="104"/>
      <c r="CU35" s="104"/>
    </row>
    <row r="36">
      <c r="A36" s="595" t="s">
        <v>4021</v>
      </c>
      <c r="B36" s="202" t="s">
        <v>2132</v>
      </c>
      <c r="C36" s="196" t="s">
        <v>271</v>
      </c>
      <c r="D36" s="197" t="s">
        <v>271</v>
      </c>
      <c r="E36" s="199" t="s">
        <v>271</v>
      </c>
      <c r="F36" s="201" t="s">
        <v>271</v>
      </c>
      <c r="G36" s="202" t="s">
        <v>203</v>
      </c>
      <c r="H36" s="609"/>
      <c r="I36" s="609"/>
      <c r="J36" s="104"/>
      <c r="K36" s="104"/>
      <c r="L36" s="104"/>
      <c r="M36" s="104"/>
      <c r="N36" s="104"/>
      <c r="O36" s="104"/>
      <c r="P36" s="104"/>
      <c r="Q36" s="104"/>
      <c r="R36" s="107"/>
      <c r="S36" s="104"/>
      <c r="T36" s="104"/>
      <c r="U36" s="104"/>
      <c r="V36" s="104"/>
      <c r="W36" s="104"/>
      <c r="X36" s="104"/>
      <c r="Y36" s="104"/>
      <c r="Z36" s="104"/>
      <c r="AA36" s="104"/>
      <c r="AB36" s="104"/>
      <c r="AC36" s="104"/>
      <c r="AD36" s="104"/>
      <c r="AE36" s="104"/>
      <c r="AF36" s="104"/>
      <c r="AG36" s="104"/>
      <c r="AH36" s="104"/>
      <c r="AI36" s="104"/>
      <c r="AJ36" s="104"/>
      <c r="AK36" s="104"/>
      <c r="AL36" s="104"/>
      <c r="AM36" s="104"/>
      <c r="AN36" s="104"/>
      <c r="AO36" s="104"/>
      <c r="AP36" s="104"/>
      <c r="AQ36" s="104"/>
      <c r="AR36" s="104"/>
      <c r="AS36" s="104"/>
      <c r="AT36" s="104"/>
      <c r="AU36" s="104"/>
      <c r="AV36" s="104"/>
      <c r="AW36" s="104"/>
      <c r="AX36" s="104"/>
      <c r="AY36" s="104"/>
      <c r="AZ36" s="104"/>
      <c r="BA36" s="104"/>
      <c r="BB36" s="104"/>
      <c r="BC36" s="104"/>
      <c r="BD36" s="104"/>
      <c r="BE36" s="104"/>
      <c r="BF36" s="104"/>
      <c r="BG36" s="652"/>
      <c r="BH36" s="652"/>
      <c r="BI36" s="652"/>
      <c r="BJ36" s="652"/>
      <c r="BK36" s="652"/>
      <c r="BL36" s="652"/>
      <c r="BM36" s="652"/>
      <c r="BN36" s="652"/>
      <c r="BO36" s="652"/>
      <c r="BP36" s="652"/>
      <c r="BQ36" s="104"/>
      <c r="BR36" s="104"/>
      <c r="BS36" s="104"/>
      <c r="BT36" s="104"/>
      <c r="BU36" s="104"/>
      <c r="BV36" s="104"/>
      <c r="BW36" s="122"/>
      <c r="BX36" s="796" t="s">
        <v>1190</v>
      </c>
      <c r="BY36" s="635" t="s">
        <v>4028</v>
      </c>
      <c r="BZ36" s="635" t="s">
        <v>4029</v>
      </c>
      <c r="CA36" s="122"/>
      <c r="CB36" s="635" t="s">
        <v>4030</v>
      </c>
      <c r="CC36" s="635" t="s">
        <v>1126</v>
      </c>
      <c r="CD36" s="635"/>
      <c r="CE36" s="556"/>
      <c r="CF36" s="556"/>
      <c r="CG36" s="556"/>
      <c r="CH36" s="556"/>
      <c r="CI36" s="556"/>
      <c r="CJ36" s="556"/>
      <c r="CK36" s="556"/>
      <c r="CL36" s="556"/>
      <c r="CM36" s="556"/>
      <c r="CN36" s="556"/>
      <c r="CO36" s="556"/>
      <c r="CP36" s="556"/>
      <c r="CQ36" s="556"/>
      <c r="CR36" s="556"/>
      <c r="CS36" s="556"/>
      <c r="CT36" s="104"/>
      <c r="CU36" s="104"/>
    </row>
    <row r="37">
      <c r="A37" s="743" t="s">
        <v>39</v>
      </c>
      <c r="B37" s="202" t="s">
        <v>1428</v>
      </c>
      <c r="C37" s="196" t="s">
        <v>171</v>
      </c>
      <c r="D37" s="197" t="s">
        <v>271</v>
      </c>
      <c r="E37" s="199" t="s">
        <v>271</v>
      </c>
      <c r="F37" s="201" t="s">
        <v>171</v>
      </c>
      <c r="G37" s="202" t="s">
        <v>171</v>
      </c>
      <c r="H37" s="609"/>
      <c r="I37" s="609"/>
      <c r="J37" s="104"/>
      <c r="K37" s="104"/>
      <c r="L37" s="104"/>
      <c r="M37" s="104"/>
      <c r="N37" s="104"/>
      <c r="O37" s="104"/>
      <c r="P37" s="104"/>
      <c r="Q37" s="104"/>
      <c r="R37" s="104"/>
      <c r="S37" s="104"/>
      <c r="T37" s="104"/>
      <c r="U37" s="104"/>
      <c r="V37" s="104"/>
      <c r="W37" s="104"/>
      <c r="X37" s="104"/>
      <c r="Y37" s="104"/>
      <c r="Z37" s="104"/>
      <c r="AA37" s="104"/>
      <c r="AB37" s="104"/>
      <c r="AC37" s="104"/>
      <c r="AD37" s="126" t="s">
        <v>4035</v>
      </c>
      <c r="AE37" s="104"/>
      <c r="AF37" s="104"/>
      <c r="AG37" s="104"/>
      <c r="AH37" s="104"/>
      <c r="AI37" s="104"/>
      <c r="AJ37" s="104"/>
      <c r="AK37" s="104"/>
      <c r="AL37" s="104"/>
      <c r="AM37" s="104"/>
      <c r="AN37" s="104"/>
      <c r="AO37" s="104"/>
      <c r="AP37" s="104"/>
      <c r="AQ37" s="104"/>
      <c r="AR37" s="104"/>
      <c r="AS37" s="104"/>
      <c r="AT37" s="104"/>
      <c r="AU37" s="104"/>
      <c r="AV37" s="104"/>
      <c r="AW37" s="104"/>
      <c r="AX37" s="104"/>
      <c r="AY37" s="104"/>
      <c r="AZ37" s="104"/>
      <c r="BA37" s="104"/>
      <c r="BB37" s="104"/>
      <c r="BC37" s="104"/>
      <c r="BD37" s="104"/>
      <c r="BE37" s="104"/>
      <c r="BF37" s="104"/>
      <c r="BG37" s="104"/>
      <c r="BH37" s="104"/>
      <c r="BI37" s="104"/>
      <c r="BJ37" s="104"/>
      <c r="BK37" s="104"/>
      <c r="BL37" s="104"/>
      <c r="BM37" s="104"/>
      <c r="BN37" s="104"/>
      <c r="BO37" s="104"/>
      <c r="BP37" s="104"/>
      <c r="BQ37" s="104"/>
      <c r="BR37" s="104"/>
      <c r="BS37" s="104"/>
      <c r="BT37" s="104"/>
      <c r="BU37" s="104"/>
      <c r="BV37" s="104"/>
      <c r="BW37" s="122"/>
      <c r="BX37" s="104"/>
      <c r="BY37" s="104"/>
      <c r="BZ37" s="104"/>
      <c r="CA37" s="122"/>
      <c r="CB37" s="104"/>
      <c r="CC37" s="104"/>
      <c r="CD37" s="122"/>
      <c r="CE37" s="104"/>
      <c r="CF37" s="104"/>
      <c r="CG37" s="104"/>
      <c r="CH37" s="104"/>
      <c r="CI37" s="104"/>
      <c r="CJ37" s="104"/>
      <c r="CK37" s="104"/>
      <c r="CL37" s="104"/>
      <c r="CM37" s="104"/>
      <c r="CN37" s="104"/>
      <c r="CO37" s="104"/>
      <c r="CP37" s="104"/>
      <c r="CQ37" s="104"/>
      <c r="CR37" s="104"/>
      <c r="CS37" s="104"/>
      <c r="CT37" s="104"/>
      <c r="CU37" s="104"/>
    </row>
    <row r="38">
      <c r="A38" s="595" t="s">
        <v>4046</v>
      </c>
      <c r="B38" s="202" t="s">
        <v>2038</v>
      </c>
      <c r="C38" s="196" t="s">
        <v>271</v>
      </c>
      <c r="D38" s="197" t="s">
        <v>271</v>
      </c>
      <c r="E38" s="199" t="s">
        <v>171</v>
      </c>
      <c r="F38" s="201" t="s">
        <v>171</v>
      </c>
      <c r="G38" s="202" t="s">
        <v>171</v>
      </c>
      <c r="H38" s="609"/>
      <c r="I38" s="609"/>
      <c r="J38" s="104"/>
      <c r="K38" s="104"/>
      <c r="L38" s="104"/>
      <c r="M38" s="104"/>
      <c r="N38" s="104"/>
      <c r="O38" s="104"/>
      <c r="P38" s="104"/>
      <c r="Q38" s="104"/>
      <c r="R38" s="104"/>
      <c r="S38" s="104"/>
      <c r="T38" s="104"/>
      <c r="U38" s="104"/>
      <c r="V38" s="104"/>
      <c r="W38" s="104"/>
      <c r="X38" s="104"/>
      <c r="Y38" s="104"/>
      <c r="Z38" s="104"/>
      <c r="AA38" s="104"/>
      <c r="AB38" s="104"/>
      <c r="AC38" s="107"/>
      <c r="AD38" s="116" t="s">
        <v>1434</v>
      </c>
      <c r="AE38" s="137"/>
      <c r="AF38" s="137"/>
      <c r="AG38" s="137"/>
      <c r="AH38" s="104"/>
      <c r="AI38" s="104"/>
      <c r="AJ38" s="104"/>
      <c r="AK38" s="104"/>
      <c r="AL38" s="104"/>
      <c r="AM38" s="104"/>
      <c r="AN38" s="104"/>
      <c r="AO38" s="104"/>
      <c r="AP38" s="104"/>
      <c r="AQ38" s="104"/>
      <c r="AR38" s="104"/>
      <c r="AS38" s="104"/>
      <c r="AT38" s="104"/>
      <c r="AU38" s="104"/>
      <c r="AV38" s="104"/>
      <c r="AW38" s="104"/>
      <c r="AX38" s="104"/>
      <c r="AY38" s="104"/>
      <c r="AZ38" s="104"/>
      <c r="BA38" s="104"/>
      <c r="BB38" s="104"/>
      <c r="BC38" s="104"/>
      <c r="BD38" s="104"/>
      <c r="BE38" s="104"/>
      <c r="BF38" s="104"/>
      <c r="BG38" s="322"/>
      <c r="BH38" s="322"/>
      <c r="BI38" s="322"/>
      <c r="BJ38" s="322"/>
      <c r="BK38" s="322"/>
      <c r="BL38" s="322"/>
      <c r="BM38" s="322"/>
      <c r="BN38" s="322"/>
      <c r="BO38" s="322"/>
      <c r="BP38" s="322"/>
      <c r="BQ38" s="104"/>
      <c r="BR38" s="104"/>
      <c r="BS38" s="104"/>
      <c r="BT38" s="104"/>
      <c r="BU38" s="104"/>
      <c r="BV38" s="104"/>
      <c r="BW38" s="122"/>
      <c r="BX38" s="104"/>
      <c r="BY38" s="104"/>
      <c r="BZ38" s="104"/>
      <c r="CA38" s="122"/>
      <c r="CB38" s="104"/>
      <c r="CC38" s="104"/>
      <c r="CD38" s="122"/>
      <c r="CE38" s="719"/>
      <c r="CF38" s="719"/>
      <c r="CG38" s="719"/>
      <c r="CH38" s="719"/>
      <c r="CI38" s="719"/>
      <c r="CJ38" s="719"/>
      <c r="CK38" s="719"/>
      <c r="CL38" s="719"/>
      <c r="CM38" s="556"/>
      <c r="CN38" s="556"/>
      <c r="CO38" s="556"/>
      <c r="CP38" s="556"/>
      <c r="CQ38" s="556"/>
      <c r="CR38" s="556"/>
      <c r="CS38" s="556"/>
      <c r="CT38" s="137"/>
      <c r="CU38" s="137"/>
    </row>
    <row r="39">
      <c r="A39" s="810" t="s">
        <v>3730</v>
      </c>
      <c r="B39" s="202" t="s">
        <v>398</v>
      </c>
      <c r="C39" s="196" t="s">
        <v>271</v>
      </c>
      <c r="D39" s="197" t="s">
        <v>271</v>
      </c>
      <c r="E39" s="199" t="s">
        <v>271</v>
      </c>
      <c r="F39" s="201" t="s">
        <v>271</v>
      </c>
      <c r="G39" s="202" t="s">
        <v>270</v>
      </c>
      <c r="H39" s="609"/>
      <c r="I39" s="609"/>
      <c r="J39" s="104"/>
      <c r="K39" s="104"/>
      <c r="L39" s="104"/>
      <c r="M39" s="104"/>
      <c r="N39" s="104"/>
      <c r="O39" s="104"/>
      <c r="P39" s="104"/>
      <c r="Q39" s="104"/>
      <c r="R39" s="104"/>
      <c r="S39" s="107" t="s">
        <v>4056</v>
      </c>
      <c r="T39" s="104"/>
      <c r="U39" s="107" t="s">
        <v>4057</v>
      </c>
      <c r="V39" s="104"/>
      <c r="W39" s="104"/>
      <c r="X39" s="107" t="s">
        <v>666</v>
      </c>
      <c r="Y39" s="107" t="s">
        <v>4058</v>
      </c>
      <c r="Z39" s="104"/>
      <c r="AA39" s="107" t="s">
        <v>4059</v>
      </c>
      <c r="AB39" s="104"/>
      <c r="AC39" s="107" t="s">
        <v>4060</v>
      </c>
      <c r="AD39" s="107" t="s">
        <v>2134</v>
      </c>
      <c r="AE39" s="107" t="s">
        <v>4061</v>
      </c>
      <c r="AF39" s="107" t="s">
        <v>4062</v>
      </c>
      <c r="AG39" s="104"/>
      <c r="AH39" s="104"/>
      <c r="AI39" s="104"/>
      <c r="AJ39" s="104"/>
      <c r="AK39" s="162" t="s">
        <v>805</v>
      </c>
      <c r="AL39" s="104"/>
      <c r="AM39" s="104"/>
      <c r="AN39" s="104"/>
      <c r="AO39" s="104"/>
      <c r="AP39" s="104"/>
      <c r="AQ39" s="104"/>
      <c r="AR39" s="104"/>
      <c r="AS39" s="104"/>
      <c r="AT39" s="104"/>
      <c r="AU39" s="104"/>
      <c r="AV39" s="104"/>
      <c r="AW39" s="104"/>
      <c r="AX39" s="104"/>
      <c r="AY39" s="104"/>
      <c r="AZ39" s="104"/>
      <c r="BA39" s="104"/>
      <c r="BB39" s="104"/>
      <c r="BC39" s="104"/>
      <c r="BD39" s="104"/>
      <c r="BE39" s="104"/>
      <c r="BF39" s="104"/>
      <c r="BG39" s="104"/>
      <c r="BH39" s="104"/>
      <c r="BI39" s="104"/>
      <c r="BJ39" s="104"/>
      <c r="BK39" s="104"/>
      <c r="BL39" s="104"/>
      <c r="BM39" s="104"/>
      <c r="BN39" s="104"/>
      <c r="BO39" s="104"/>
      <c r="BP39" s="104"/>
      <c r="BQ39" s="104"/>
      <c r="BR39" s="104"/>
      <c r="BS39" s="104"/>
      <c r="BT39" s="104"/>
      <c r="BU39" s="104"/>
      <c r="BV39" s="104"/>
      <c r="BW39" s="122"/>
      <c r="BX39" s="104"/>
      <c r="BY39" s="104"/>
      <c r="BZ39" s="104"/>
      <c r="CA39" s="122"/>
      <c r="CB39" s="104"/>
      <c r="CC39" s="104"/>
      <c r="CD39" s="122"/>
      <c r="CE39" s="107" t="s">
        <v>4068</v>
      </c>
      <c r="CF39" s="104"/>
      <c r="CG39" s="104"/>
      <c r="CH39" s="104"/>
      <c r="CI39" s="104"/>
      <c r="CJ39" s="107" t="s">
        <v>4069</v>
      </c>
      <c r="CK39" s="104"/>
      <c r="CL39" s="104"/>
      <c r="CM39" s="104"/>
      <c r="CN39" s="104"/>
      <c r="CO39" s="104"/>
      <c r="CP39" s="104"/>
      <c r="CQ39" s="104"/>
      <c r="CR39" s="104"/>
      <c r="CS39" s="104"/>
      <c r="CT39" s="104"/>
      <c r="CU39" s="104"/>
    </row>
    <row r="40">
      <c r="A40" s="815" t="s">
        <v>3714</v>
      </c>
      <c r="B40" s="202" t="s">
        <v>398</v>
      </c>
      <c r="C40" s="196" t="s">
        <v>271</v>
      </c>
      <c r="D40" s="197" t="s">
        <v>271</v>
      </c>
      <c r="E40" s="199" t="s">
        <v>271</v>
      </c>
      <c r="F40" s="201" t="s">
        <v>271</v>
      </c>
      <c r="G40" s="202" t="s">
        <v>1010</v>
      </c>
      <c r="H40" s="609"/>
      <c r="I40" s="609"/>
      <c r="J40" s="104"/>
      <c r="K40" s="104"/>
      <c r="L40" s="104"/>
      <c r="M40" s="104"/>
      <c r="N40" s="104"/>
      <c r="O40" s="104"/>
      <c r="P40" s="107" t="s">
        <v>4072</v>
      </c>
      <c r="Q40" s="104"/>
      <c r="R40" s="107" t="s">
        <v>4073</v>
      </c>
      <c r="S40" s="104"/>
      <c r="T40" s="104"/>
      <c r="U40" s="104"/>
      <c r="V40" s="104"/>
      <c r="W40" s="104"/>
      <c r="X40" s="107" t="s">
        <v>3707</v>
      </c>
      <c r="Y40" s="107" t="s">
        <v>4075</v>
      </c>
      <c r="Z40" s="104"/>
      <c r="AA40" s="107" t="s">
        <v>4076</v>
      </c>
      <c r="AB40" s="104"/>
      <c r="AC40" s="104"/>
      <c r="AD40" s="104"/>
      <c r="AE40" s="107" t="s">
        <v>4077</v>
      </c>
      <c r="AF40" s="107" t="s">
        <v>4078</v>
      </c>
      <c r="AG40" s="107" t="s">
        <v>1908</v>
      </c>
      <c r="AH40" s="162" t="s">
        <v>4080</v>
      </c>
      <c r="AI40" s="104"/>
      <c r="AJ40" s="104"/>
      <c r="AK40" s="104"/>
      <c r="AL40" s="104"/>
      <c r="AM40" s="104"/>
      <c r="AN40" s="104"/>
      <c r="AO40" s="104"/>
      <c r="AP40" s="107" t="s">
        <v>2212</v>
      </c>
      <c r="AQ40" s="104"/>
      <c r="AR40" s="104"/>
      <c r="AS40" s="104"/>
      <c r="AT40" s="104"/>
      <c r="AU40" s="104"/>
      <c r="AV40" s="104"/>
      <c r="AW40" s="104"/>
      <c r="AX40" s="104"/>
      <c r="AY40" s="104"/>
      <c r="AZ40" s="104"/>
      <c r="BA40" s="104"/>
      <c r="BB40" s="107" t="s">
        <v>3869</v>
      </c>
      <c r="BC40" s="104"/>
      <c r="BD40" s="104"/>
      <c r="BE40" s="104"/>
      <c r="BF40" s="104"/>
      <c r="BG40" s="104"/>
      <c r="BH40" s="104"/>
      <c r="BI40" s="104"/>
      <c r="BJ40" s="104"/>
      <c r="BK40" s="104"/>
      <c r="BL40" s="104"/>
      <c r="BM40" s="104"/>
      <c r="BN40" s="104"/>
      <c r="BO40" s="104"/>
      <c r="BP40" s="104"/>
      <c r="BQ40" s="104"/>
      <c r="BR40" s="104"/>
      <c r="BS40" s="104"/>
      <c r="BT40" s="104"/>
      <c r="BU40" s="104"/>
      <c r="BV40" s="104"/>
      <c r="BW40" s="122"/>
      <c r="BX40" s="104"/>
      <c r="BY40" s="104"/>
      <c r="BZ40" s="104"/>
      <c r="CA40" s="122"/>
      <c r="CB40" s="104"/>
      <c r="CC40" s="104"/>
      <c r="CD40" s="122"/>
      <c r="CE40" s="104"/>
      <c r="CF40" s="104"/>
      <c r="CG40" s="104"/>
      <c r="CH40" s="104"/>
      <c r="CI40" s="104"/>
      <c r="CJ40" s="104"/>
      <c r="CK40" s="104"/>
      <c r="CL40" s="104"/>
      <c r="CM40" s="104"/>
      <c r="CN40" s="104"/>
      <c r="CO40" s="104"/>
      <c r="CP40" s="104"/>
      <c r="CQ40" s="104"/>
      <c r="CR40" s="104"/>
      <c r="CS40" s="104"/>
      <c r="CT40" s="104"/>
      <c r="CU40" s="104"/>
    </row>
    <row r="41">
      <c r="A41" s="752" t="s">
        <v>687</v>
      </c>
      <c r="B41" s="202" t="s">
        <v>944</v>
      </c>
      <c r="C41" s="196" t="s">
        <v>271</v>
      </c>
      <c r="D41" s="197" t="s">
        <v>171</v>
      </c>
      <c r="E41" s="199" t="s">
        <v>271</v>
      </c>
      <c r="F41" s="201" t="s">
        <v>171</v>
      </c>
      <c r="G41" s="202" t="s">
        <v>171</v>
      </c>
      <c r="H41" s="609"/>
      <c r="I41" s="609"/>
      <c r="J41" s="104"/>
      <c r="K41" s="104"/>
      <c r="L41" s="104"/>
      <c r="M41" s="104"/>
      <c r="N41" s="104"/>
      <c r="O41" s="104"/>
      <c r="P41" s="104"/>
      <c r="Q41" s="104"/>
      <c r="R41" s="104"/>
      <c r="S41" s="104"/>
      <c r="T41" s="104"/>
      <c r="U41" s="104"/>
      <c r="V41" s="104"/>
      <c r="W41" s="121" t="s">
        <v>4085</v>
      </c>
      <c r="X41" s="137"/>
      <c r="Y41" s="104"/>
      <c r="Z41" s="104"/>
      <c r="AA41" s="104"/>
      <c r="AB41" s="104"/>
      <c r="AC41" s="104"/>
      <c r="AD41" s="104"/>
      <c r="AE41" s="104"/>
      <c r="AF41" s="104"/>
      <c r="AG41" s="104"/>
      <c r="AH41" s="104"/>
      <c r="AI41" s="104"/>
      <c r="AJ41" s="104"/>
      <c r="AK41" s="104"/>
      <c r="AL41" s="104"/>
      <c r="AM41" s="104"/>
      <c r="AN41" s="104"/>
      <c r="AO41" s="104"/>
      <c r="AP41" s="104"/>
      <c r="AQ41" s="104"/>
      <c r="AR41" s="104"/>
      <c r="AS41" s="104"/>
      <c r="AT41" s="104"/>
      <c r="AU41" s="104"/>
      <c r="AV41" s="104"/>
      <c r="AW41" s="104"/>
      <c r="AX41" s="104"/>
      <c r="AY41" s="104"/>
      <c r="AZ41" s="104"/>
      <c r="BA41" s="104"/>
      <c r="BB41" s="104"/>
      <c r="BC41" s="104"/>
      <c r="BD41" s="104"/>
      <c r="BE41" s="104"/>
      <c r="BF41" s="104"/>
      <c r="BG41" s="322"/>
      <c r="BH41" s="322"/>
      <c r="BI41" s="322"/>
      <c r="BJ41" s="322"/>
      <c r="BK41" s="322"/>
      <c r="BL41" s="322"/>
      <c r="BM41" s="322"/>
      <c r="BN41" s="322"/>
      <c r="BO41" s="322"/>
      <c r="BP41" s="322"/>
      <c r="BQ41" s="104"/>
      <c r="BR41" s="104"/>
      <c r="BS41" s="104"/>
      <c r="BT41" s="104"/>
      <c r="BU41" s="104"/>
      <c r="BV41" s="104"/>
      <c r="BW41" s="122"/>
      <c r="BX41" s="104"/>
      <c r="BY41" s="104"/>
      <c r="BZ41" s="104"/>
      <c r="CA41" s="122"/>
      <c r="CB41" s="104"/>
      <c r="CC41" s="104"/>
      <c r="CD41" s="122"/>
      <c r="CE41" s="719"/>
      <c r="CF41" s="719"/>
      <c r="CG41" s="719"/>
      <c r="CH41" s="719"/>
      <c r="CI41" s="719"/>
      <c r="CJ41" s="719"/>
      <c r="CK41" s="719"/>
      <c r="CL41" s="719"/>
      <c r="CM41" s="556"/>
      <c r="CN41" s="556"/>
      <c r="CO41" s="556"/>
      <c r="CP41" s="556"/>
      <c r="CQ41" s="556"/>
      <c r="CR41" s="556"/>
      <c r="CS41" s="556"/>
      <c r="CT41" s="104"/>
      <c r="CU41" s="104"/>
    </row>
    <row r="42">
      <c r="A42" s="595" t="s">
        <v>4093</v>
      </c>
      <c r="B42" s="202" t="s">
        <v>713</v>
      </c>
      <c r="C42" s="196" t="s">
        <v>271</v>
      </c>
      <c r="D42" s="197" t="s">
        <v>271</v>
      </c>
      <c r="E42" s="199" t="s">
        <v>271</v>
      </c>
      <c r="F42" s="201" t="s">
        <v>271</v>
      </c>
      <c r="G42" s="202" t="s">
        <v>171</v>
      </c>
      <c r="H42" s="609"/>
      <c r="I42" s="609"/>
      <c r="J42" s="104"/>
      <c r="K42" s="104"/>
      <c r="L42" s="104"/>
      <c r="M42" s="104"/>
      <c r="N42" s="104"/>
      <c r="O42" s="104"/>
      <c r="P42" s="104"/>
      <c r="Q42" s="104"/>
      <c r="R42" s="104"/>
      <c r="S42" s="104"/>
      <c r="T42" s="104"/>
      <c r="U42" s="104"/>
      <c r="V42" s="104"/>
      <c r="W42" s="106"/>
      <c r="X42" s="106"/>
      <c r="Y42" s="162" t="s">
        <v>3796</v>
      </c>
      <c r="Z42" s="104"/>
      <c r="AA42" s="104"/>
      <c r="AB42" s="104"/>
      <c r="AC42" s="104"/>
      <c r="AD42" s="104"/>
      <c r="AE42" s="104"/>
      <c r="AF42" s="104"/>
      <c r="AG42" s="104"/>
      <c r="AH42" s="104"/>
      <c r="AI42" s="104"/>
      <c r="AJ42" s="104"/>
      <c r="AK42" s="104"/>
      <c r="AL42" s="104"/>
      <c r="AM42" s="104"/>
      <c r="AN42" s="104"/>
      <c r="AO42" s="104"/>
      <c r="AP42" s="104"/>
      <c r="AQ42" s="104"/>
      <c r="AR42" s="104"/>
      <c r="AS42" s="104"/>
      <c r="AT42" s="104"/>
      <c r="AU42" s="104"/>
      <c r="AV42" s="104"/>
      <c r="AW42" s="104"/>
      <c r="AX42" s="104"/>
      <c r="AY42" s="104"/>
      <c r="AZ42" s="104"/>
      <c r="BA42" s="104"/>
      <c r="BB42" s="104"/>
      <c r="BC42" s="104"/>
      <c r="BD42" s="104"/>
      <c r="BE42" s="104"/>
      <c r="BF42" s="104"/>
      <c r="BG42" s="104"/>
      <c r="BH42" s="104"/>
      <c r="BI42" s="104"/>
      <c r="BJ42" s="104"/>
      <c r="BK42" s="104"/>
      <c r="BL42" s="104"/>
      <c r="BM42" s="104"/>
      <c r="BN42" s="104"/>
      <c r="BO42" s="104"/>
      <c r="BP42" s="104"/>
      <c r="BQ42" s="104"/>
      <c r="BR42" s="104"/>
      <c r="BS42" s="104"/>
      <c r="BT42" s="104"/>
      <c r="BU42" s="104"/>
      <c r="BV42" s="104"/>
      <c r="BW42" s="122"/>
      <c r="BX42" s="104"/>
      <c r="BY42" s="104"/>
      <c r="BZ42" s="104"/>
      <c r="CA42" s="122"/>
      <c r="CB42" s="104"/>
      <c r="CC42" s="104"/>
      <c r="CD42" s="122"/>
      <c r="CE42" s="104"/>
      <c r="CF42" s="104"/>
      <c r="CG42" s="104"/>
      <c r="CH42" s="104"/>
      <c r="CI42" s="104"/>
      <c r="CJ42" s="104"/>
      <c r="CK42" s="104"/>
      <c r="CL42" s="104"/>
      <c r="CM42" s="104"/>
      <c r="CN42" s="104"/>
      <c r="CO42" s="104"/>
      <c r="CP42" s="104"/>
      <c r="CQ42" s="104"/>
      <c r="CR42" s="104"/>
      <c r="CS42" s="104"/>
      <c r="CT42" s="104"/>
      <c r="CU42" s="104"/>
    </row>
    <row r="43">
      <c r="A43" s="743" t="s">
        <v>63</v>
      </c>
      <c r="B43" s="202" t="s">
        <v>565</v>
      </c>
      <c r="C43" s="196" t="s">
        <v>271</v>
      </c>
      <c r="D43" s="197" t="s">
        <v>271</v>
      </c>
      <c r="E43" s="199" t="s">
        <v>271</v>
      </c>
      <c r="F43" s="201" t="s">
        <v>271</v>
      </c>
      <c r="G43" s="202" t="s">
        <v>233</v>
      </c>
      <c r="H43" s="781"/>
      <c r="I43" s="781"/>
      <c r="J43" s="104"/>
      <c r="K43" s="104"/>
      <c r="L43" s="104"/>
      <c r="M43" s="104"/>
      <c r="N43" s="104"/>
      <c r="O43" s="104"/>
      <c r="P43" s="104"/>
      <c r="Q43" s="104"/>
      <c r="R43" s="107" t="s">
        <v>4098</v>
      </c>
      <c r="S43" s="104"/>
      <c r="T43" s="104"/>
      <c r="U43" s="107" t="s">
        <v>4099</v>
      </c>
      <c r="V43" s="104"/>
      <c r="W43" s="104"/>
      <c r="X43" s="104"/>
      <c r="Y43" s="104"/>
      <c r="Z43" s="104"/>
      <c r="AA43" s="104"/>
      <c r="AB43" s="104"/>
      <c r="AC43" s="104"/>
      <c r="AD43" s="104"/>
      <c r="AE43" s="104"/>
      <c r="AF43" s="104"/>
      <c r="AG43" s="104"/>
      <c r="AH43" s="104"/>
      <c r="AI43" s="104"/>
      <c r="AJ43" s="104"/>
      <c r="AK43" s="104"/>
      <c r="AL43" s="104"/>
      <c r="AM43" s="104"/>
      <c r="AN43" s="104"/>
      <c r="AO43" s="104"/>
      <c r="AP43" s="104"/>
      <c r="AQ43" s="104"/>
      <c r="AR43" s="104"/>
      <c r="AS43" s="104"/>
      <c r="AT43" s="104"/>
      <c r="AU43" s="104"/>
      <c r="AV43" s="104"/>
      <c r="AW43" s="104"/>
      <c r="AX43" s="104"/>
      <c r="AY43" s="104"/>
      <c r="AZ43" s="104"/>
      <c r="BA43" s="104"/>
      <c r="BB43" s="104"/>
      <c r="BC43" s="104"/>
      <c r="BD43" s="104"/>
      <c r="BE43" s="104"/>
      <c r="BF43" s="104"/>
      <c r="BG43" s="652"/>
      <c r="BH43" s="652"/>
      <c r="BI43" s="652"/>
      <c r="BJ43" s="652"/>
      <c r="BK43" s="652"/>
      <c r="BL43" s="652"/>
      <c r="BM43" s="652"/>
      <c r="BN43" s="652"/>
      <c r="BO43" s="652"/>
      <c r="BP43" s="652"/>
      <c r="BQ43" s="104"/>
      <c r="BR43" s="104"/>
      <c r="BS43" s="104"/>
      <c r="BT43" s="104"/>
      <c r="BU43" s="104"/>
      <c r="BV43" s="104"/>
      <c r="BW43" s="122"/>
      <c r="BX43" s="104"/>
      <c r="BY43" s="104"/>
      <c r="BZ43" s="104"/>
      <c r="CA43" s="122"/>
      <c r="CB43" s="104"/>
      <c r="CC43" s="104"/>
      <c r="CD43" s="122"/>
      <c r="CE43" s="556"/>
      <c r="CF43" s="556"/>
      <c r="CG43" s="556"/>
      <c r="CH43" s="556"/>
      <c r="CI43" s="556"/>
      <c r="CJ43" s="556"/>
      <c r="CK43" s="556"/>
      <c r="CL43" s="556"/>
      <c r="CM43" s="104"/>
      <c r="CN43" s="104"/>
      <c r="CO43" s="104"/>
      <c r="CP43" s="104"/>
      <c r="CQ43" s="104"/>
      <c r="CR43" s="104"/>
      <c r="CS43" s="104"/>
      <c r="CT43" s="104"/>
      <c r="CU43" s="104"/>
    </row>
    <row r="44">
      <c r="A44" s="743" t="s">
        <v>4103</v>
      </c>
      <c r="B44" s="202" t="s">
        <v>1911</v>
      </c>
      <c r="C44" s="196" t="s">
        <v>271</v>
      </c>
      <c r="D44" s="197" t="s">
        <v>271</v>
      </c>
      <c r="E44" s="199" t="s">
        <v>271</v>
      </c>
      <c r="F44" s="201" t="s">
        <v>171</v>
      </c>
      <c r="G44" s="202" t="s">
        <v>171</v>
      </c>
      <c r="H44" s="609"/>
      <c r="I44" s="609"/>
      <c r="J44" s="104"/>
      <c r="K44" s="104"/>
      <c r="L44" s="104"/>
      <c r="M44" s="104"/>
      <c r="N44" s="104"/>
      <c r="O44" s="104"/>
      <c r="P44" s="104"/>
      <c r="Q44" s="104"/>
      <c r="R44" s="104"/>
      <c r="S44" s="104"/>
      <c r="T44" s="104"/>
      <c r="U44" s="104"/>
      <c r="V44" s="104"/>
      <c r="W44" s="104"/>
      <c r="X44" s="104"/>
      <c r="Y44" s="104"/>
      <c r="Z44" s="104"/>
      <c r="AA44" s="104"/>
      <c r="AB44" s="104"/>
      <c r="AC44" s="104"/>
      <c r="AD44" s="104"/>
      <c r="AE44" s="104"/>
      <c r="AF44" s="104"/>
      <c r="AG44" s="104"/>
      <c r="AH44" s="104"/>
      <c r="AI44" s="104"/>
      <c r="AJ44" s="104"/>
      <c r="AK44" s="104"/>
      <c r="AL44" s="104"/>
      <c r="AM44" s="104"/>
      <c r="AN44" s="104"/>
      <c r="AO44" s="104"/>
      <c r="AP44" s="131" t="s">
        <v>2558</v>
      </c>
      <c r="AQ44" s="104"/>
      <c r="AR44" s="104"/>
      <c r="AS44" s="104"/>
      <c r="AT44" s="104"/>
      <c r="AU44" s="104"/>
      <c r="AV44" s="104"/>
      <c r="AW44" s="104"/>
      <c r="AX44" s="104"/>
      <c r="AY44" s="104"/>
      <c r="AZ44" s="104"/>
      <c r="BA44" s="104"/>
      <c r="BB44" s="104"/>
      <c r="BC44" s="104"/>
      <c r="BD44" s="104"/>
      <c r="BE44" s="104"/>
      <c r="BF44" s="104"/>
      <c r="BG44" s="652"/>
      <c r="BH44" s="652"/>
      <c r="BI44" s="652"/>
      <c r="BJ44" s="652"/>
      <c r="BK44" s="652"/>
      <c r="BL44" s="652"/>
      <c r="BM44" s="652"/>
      <c r="BN44" s="652"/>
      <c r="BO44" s="652"/>
      <c r="BP44" s="652"/>
      <c r="BQ44" s="104"/>
      <c r="BR44" s="104"/>
      <c r="BS44" s="104"/>
      <c r="BT44" s="104"/>
      <c r="BU44" s="104"/>
      <c r="BV44" s="104"/>
      <c r="BW44" s="122"/>
      <c r="BX44" s="104"/>
      <c r="BY44" s="104"/>
      <c r="BZ44" s="104"/>
      <c r="CA44" s="122"/>
      <c r="CB44" s="104"/>
      <c r="CC44" s="104"/>
      <c r="CD44" s="122"/>
      <c r="CE44" s="556"/>
      <c r="CF44" s="556"/>
      <c r="CG44" s="556"/>
      <c r="CH44" s="556"/>
      <c r="CI44" s="556"/>
      <c r="CJ44" s="556"/>
      <c r="CK44" s="556"/>
      <c r="CL44" s="556"/>
      <c r="CM44" s="556"/>
      <c r="CN44" s="556"/>
      <c r="CO44" s="556"/>
      <c r="CP44" s="556"/>
      <c r="CQ44" s="556"/>
      <c r="CR44" s="556"/>
      <c r="CS44" s="556"/>
      <c r="CT44" s="104"/>
      <c r="CU44" s="104"/>
    </row>
    <row r="45">
      <c r="A45" s="752" t="s">
        <v>536</v>
      </c>
      <c r="B45" s="202" t="s">
        <v>169</v>
      </c>
      <c r="C45" s="196" t="s">
        <v>271</v>
      </c>
      <c r="D45" s="197" t="s">
        <v>271</v>
      </c>
      <c r="E45" s="199" t="s">
        <v>271</v>
      </c>
      <c r="F45" s="201" t="s">
        <v>171</v>
      </c>
      <c r="G45" s="202" t="s">
        <v>171</v>
      </c>
      <c r="H45" s="609"/>
      <c r="I45" s="609"/>
      <c r="J45" s="104"/>
      <c r="K45" s="104"/>
      <c r="L45" s="104"/>
      <c r="M45" s="104"/>
      <c r="N45" s="104"/>
      <c r="O45" s="104"/>
      <c r="P45" s="104"/>
      <c r="Q45" s="104"/>
      <c r="R45" s="131" t="s">
        <v>4111</v>
      </c>
      <c r="S45" s="104"/>
      <c r="T45" s="104"/>
      <c r="U45" s="104"/>
      <c r="V45" s="104"/>
      <c r="W45" s="104"/>
      <c r="X45" s="104"/>
      <c r="Y45" s="104"/>
      <c r="Z45" s="104"/>
      <c r="AA45" s="104"/>
      <c r="AB45" s="104"/>
      <c r="AC45" s="104"/>
      <c r="AD45" s="104"/>
      <c r="AE45" s="104"/>
      <c r="AF45" s="104"/>
      <c r="AG45" s="104"/>
      <c r="AH45" s="104"/>
      <c r="AI45" s="104"/>
      <c r="AJ45" s="104"/>
      <c r="AK45" s="107"/>
      <c r="AL45" s="107"/>
      <c r="AM45" s="104"/>
      <c r="AN45" s="104"/>
      <c r="AO45" s="104"/>
      <c r="AP45" s="104"/>
      <c r="AQ45" s="104"/>
      <c r="AR45" s="104"/>
      <c r="AS45" s="104"/>
      <c r="AT45" s="104"/>
      <c r="AU45" s="104"/>
      <c r="AV45" s="104"/>
      <c r="AW45" s="104"/>
      <c r="AX45" s="104"/>
      <c r="AY45" s="104"/>
      <c r="AZ45" s="104"/>
      <c r="BA45" s="104"/>
      <c r="BB45" s="104"/>
      <c r="BC45" s="104"/>
      <c r="BD45" s="104"/>
      <c r="BE45" s="104"/>
      <c r="BF45" s="104"/>
      <c r="BG45" s="825"/>
      <c r="BH45" s="825"/>
      <c r="BI45" s="825"/>
      <c r="BJ45" s="825"/>
      <c r="BK45" s="825"/>
      <c r="BL45" s="825"/>
      <c r="BM45" s="825"/>
      <c r="BN45" s="825"/>
      <c r="BO45" s="825"/>
      <c r="BP45" s="825"/>
      <c r="BQ45" s="104"/>
      <c r="BR45" s="104"/>
      <c r="BS45" s="104"/>
      <c r="BT45" s="104"/>
      <c r="BU45" s="104"/>
      <c r="BV45" s="104"/>
      <c r="BW45" s="122"/>
      <c r="BX45" s="104"/>
      <c r="BY45" s="104"/>
      <c r="BZ45" s="104"/>
      <c r="CA45" s="122"/>
      <c r="CB45" s="104"/>
      <c r="CC45" s="104"/>
      <c r="CD45" s="122"/>
      <c r="CE45" s="826"/>
      <c r="CF45" s="826"/>
      <c r="CG45" s="826"/>
      <c r="CH45" s="826"/>
      <c r="CI45" s="826"/>
      <c r="CJ45" s="826"/>
      <c r="CK45" s="826"/>
      <c r="CL45" s="826"/>
      <c r="CM45" s="137"/>
      <c r="CN45" s="137"/>
      <c r="CO45" s="137"/>
      <c r="CP45" s="137"/>
      <c r="CQ45" s="137"/>
      <c r="CR45" s="137"/>
      <c r="CS45" s="137"/>
      <c r="CT45" s="104"/>
      <c r="CU45" s="104"/>
    </row>
    <row r="46">
      <c r="A46" s="827" t="s">
        <v>3632</v>
      </c>
      <c r="B46" s="202" t="s">
        <v>1926</v>
      </c>
      <c r="C46" s="196" t="s">
        <v>271</v>
      </c>
      <c r="D46" s="197" t="s">
        <v>271</v>
      </c>
      <c r="E46" s="199" t="s">
        <v>271</v>
      </c>
      <c r="F46" s="201" t="s">
        <v>271</v>
      </c>
      <c r="G46" s="202" t="s">
        <v>203</v>
      </c>
      <c r="H46" s="609"/>
      <c r="I46" s="609"/>
      <c r="J46" s="104"/>
      <c r="K46" s="107" t="s">
        <v>4119</v>
      </c>
      <c r="L46" s="104"/>
      <c r="M46" s="104"/>
      <c r="N46" s="104"/>
      <c r="O46" s="104"/>
      <c r="P46" s="104"/>
      <c r="Q46" s="104"/>
      <c r="R46" s="104"/>
      <c r="S46" s="104"/>
      <c r="T46" s="104"/>
      <c r="U46" s="104"/>
      <c r="V46" s="104"/>
      <c r="W46" s="162" t="s">
        <v>4120</v>
      </c>
      <c r="X46" s="107"/>
      <c r="Y46" s="104"/>
      <c r="Z46" s="104"/>
      <c r="AA46" s="104"/>
      <c r="AB46" s="104"/>
      <c r="AC46" s="104"/>
      <c r="AD46" s="162" t="s">
        <v>4121</v>
      </c>
      <c r="AE46" s="106"/>
      <c r="AF46" s="106"/>
      <c r="AG46" s="106"/>
      <c r="AH46" s="104"/>
      <c r="AI46" s="104"/>
      <c r="AJ46" s="104"/>
      <c r="AK46" s="104"/>
      <c r="AL46" s="104"/>
      <c r="AM46" s="104"/>
      <c r="AN46" s="104"/>
      <c r="AO46" s="104"/>
      <c r="AP46" s="104"/>
      <c r="AQ46" s="104"/>
      <c r="AR46" s="104"/>
      <c r="AS46" s="104"/>
      <c r="AT46" s="104"/>
      <c r="AU46" s="107" t="s">
        <v>2192</v>
      </c>
      <c r="AV46" s="107"/>
      <c r="AW46" s="104"/>
      <c r="AX46" s="104"/>
      <c r="AY46" s="104"/>
      <c r="AZ46" s="104"/>
      <c r="BA46" s="104"/>
      <c r="BB46" s="104"/>
      <c r="BC46" s="107" t="s">
        <v>2904</v>
      </c>
      <c r="BD46" s="104"/>
      <c r="BE46" s="104"/>
      <c r="BF46" s="104"/>
      <c r="BG46" s="104"/>
      <c r="BH46" s="104"/>
      <c r="BI46" s="104"/>
      <c r="BJ46" s="104"/>
      <c r="BK46" s="104"/>
      <c r="BL46" s="104"/>
      <c r="BM46" s="104"/>
      <c r="BN46" s="104"/>
      <c r="BO46" s="104"/>
      <c r="BP46" s="104"/>
      <c r="BQ46" s="104"/>
      <c r="BR46" s="104"/>
      <c r="BS46" s="104"/>
      <c r="BT46" s="104"/>
      <c r="BU46" s="104"/>
      <c r="BV46" s="104"/>
      <c r="BW46" s="122"/>
      <c r="BX46" s="104"/>
      <c r="BY46" s="104"/>
      <c r="BZ46" s="104"/>
      <c r="CA46" s="122"/>
      <c r="CB46" s="104"/>
      <c r="CC46" s="104"/>
      <c r="CD46" s="122"/>
      <c r="CE46" s="104"/>
      <c r="CF46" s="104"/>
      <c r="CG46" s="104"/>
      <c r="CH46" s="104"/>
      <c r="CI46" s="104"/>
      <c r="CJ46" s="104"/>
      <c r="CK46" s="104"/>
      <c r="CL46" s="104"/>
      <c r="CM46" s="104"/>
      <c r="CN46" s="104"/>
      <c r="CO46" s="104"/>
      <c r="CP46" s="104"/>
      <c r="CQ46" s="104"/>
      <c r="CR46" s="104"/>
      <c r="CS46" s="104"/>
      <c r="CT46" s="104"/>
      <c r="CU46" s="104"/>
    </row>
    <row r="47">
      <c r="A47" s="828" t="s">
        <v>4127</v>
      </c>
      <c r="B47" s="202" t="s">
        <v>1926</v>
      </c>
      <c r="C47" s="196" t="s">
        <v>271</v>
      </c>
      <c r="D47" s="197" t="s">
        <v>271</v>
      </c>
      <c r="E47" s="199" t="s">
        <v>271</v>
      </c>
      <c r="F47" s="201" t="s">
        <v>271</v>
      </c>
      <c r="G47" s="202" t="s">
        <v>394</v>
      </c>
      <c r="H47" s="609"/>
      <c r="I47" s="609" t="s">
        <v>4128</v>
      </c>
      <c r="J47" s="104"/>
      <c r="K47" s="104"/>
      <c r="L47" s="104"/>
      <c r="M47" s="104"/>
      <c r="N47" s="104"/>
      <c r="O47" s="104"/>
      <c r="P47" s="104"/>
      <c r="Q47" s="104"/>
      <c r="R47" s="104"/>
      <c r="S47" s="104"/>
      <c r="T47" s="104"/>
      <c r="U47" s="107" t="s">
        <v>4132</v>
      </c>
      <c r="V47" s="104"/>
      <c r="W47" s="104"/>
      <c r="X47" s="104"/>
      <c r="Y47" s="104"/>
      <c r="Z47" s="104"/>
      <c r="AA47" s="104"/>
      <c r="AB47" s="104"/>
      <c r="AC47" s="107" t="s">
        <v>4133</v>
      </c>
      <c r="AD47" s="104"/>
      <c r="AE47" s="104"/>
      <c r="AF47" s="104"/>
      <c r="AG47" s="104"/>
      <c r="AH47" s="104"/>
      <c r="AI47" s="104"/>
      <c r="AJ47" s="104"/>
      <c r="AK47" s="104"/>
      <c r="AL47" s="104"/>
      <c r="AM47" s="104"/>
      <c r="AN47" s="104"/>
      <c r="AO47" s="104"/>
      <c r="AP47" s="107" t="s">
        <v>4135</v>
      </c>
      <c r="AQ47" s="104"/>
      <c r="AR47" s="104"/>
      <c r="AS47" s="104"/>
      <c r="AT47" s="104"/>
      <c r="AU47" s="104"/>
      <c r="AV47" s="104"/>
      <c r="AW47" s="104"/>
      <c r="AX47" s="104"/>
      <c r="AY47" s="104"/>
      <c r="AZ47" s="104"/>
      <c r="BA47" s="104"/>
      <c r="BB47" s="104"/>
      <c r="BC47" s="104"/>
      <c r="BD47" s="104"/>
      <c r="BE47" s="104"/>
      <c r="BF47" s="104"/>
      <c r="BG47" s="104"/>
      <c r="BH47" s="104"/>
      <c r="BI47" s="104"/>
      <c r="BJ47" s="104"/>
      <c r="BK47" s="104"/>
      <c r="BL47" s="104"/>
      <c r="BM47" s="104"/>
      <c r="BN47" s="104"/>
      <c r="BO47" s="104"/>
      <c r="BP47" s="104"/>
      <c r="BQ47" s="104"/>
      <c r="BR47" s="104"/>
      <c r="BS47" s="104"/>
      <c r="BT47" s="104"/>
      <c r="BU47" s="104"/>
      <c r="BV47" s="104"/>
      <c r="BW47" s="122"/>
      <c r="BX47" s="104"/>
      <c r="BY47" s="104"/>
      <c r="BZ47" s="104"/>
      <c r="CA47" s="122"/>
      <c r="CB47" s="104"/>
      <c r="CC47" s="104"/>
      <c r="CD47" s="122"/>
      <c r="CE47" s="107" t="s">
        <v>4138</v>
      </c>
      <c r="CF47" s="104"/>
      <c r="CG47" s="104"/>
      <c r="CH47" s="104"/>
      <c r="CI47" s="104"/>
      <c r="CJ47" s="829" t="s">
        <v>4139</v>
      </c>
      <c r="CK47" s="104"/>
      <c r="CL47" s="162" t="s">
        <v>4140</v>
      </c>
      <c r="CM47" s="107" t="s">
        <v>3747</v>
      </c>
      <c r="CN47" s="107" t="s">
        <v>2441</v>
      </c>
      <c r="CO47" s="104"/>
      <c r="CP47" s="104"/>
      <c r="CQ47" s="104"/>
      <c r="CR47" s="104"/>
      <c r="CS47" s="104"/>
      <c r="CT47" s="104"/>
      <c r="CU47" s="104"/>
    </row>
    <row r="48">
      <c r="A48" s="749" t="s">
        <v>3549</v>
      </c>
      <c r="B48" s="202" t="s">
        <v>568</v>
      </c>
      <c r="C48" s="196" t="s">
        <v>271</v>
      </c>
      <c r="D48" s="197" t="s">
        <v>271</v>
      </c>
      <c r="E48" s="199" t="s">
        <v>271</v>
      </c>
      <c r="F48" s="201" t="s">
        <v>233</v>
      </c>
      <c r="G48" s="202" t="s">
        <v>233</v>
      </c>
      <c r="H48" s="609"/>
      <c r="I48" s="609"/>
      <c r="J48" s="104"/>
      <c r="K48" s="104"/>
      <c r="L48" s="104"/>
      <c r="M48" s="104"/>
      <c r="N48" s="104"/>
      <c r="O48" s="104"/>
      <c r="P48" s="104"/>
      <c r="Q48" s="104"/>
      <c r="R48" s="104"/>
      <c r="S48" s="104"/>
      <c r="T48" s="104"/>
      <c r="U48" s="636"/>
      <c r="V48" s="636"/>
      <c r="W48" s="104"/>
      <c r="X48" s="104"/>
      <c r="Y48" s="131" t="s">
        <v>748</v>
      </c>
      <c r="Z48" s="104"/>
      <c r="AA48" s="104"/>
      <c r="AB48" s="104"/>
      <c r="AC48" s="104"/>
      <c r="AD48" s="131" t="s">
        <v>4146</v>
      </c>
      <c r="AE48" s="104"/>
      <c r="AF48" s="104"/>
      <c r="AG48" s="104"/>
      <c r="AH48" s="104"/>
      <c r="AI48" s="104"/>
      <c r="AJ48" s="104"/>
      <c r="AK48" s="104"/>
      <c r="AL48" s="104"/>
      <c r="AM48" s="104"/>
      <c r="AN48" s="104"/>
      <c r="AO48" s="104"/>
      <c r="AP48" s="104"/>
      <c r="AQ48" s="104"/>
      <c r="AR48" s="104"/>
      <c r="AS48" s="104"/>
      <c r="AT48" s="104"/>
      <c r="AU48" s="104"/>
      <c r="AV48" s="104"/>
      <c r="AW48" s="104"/>
      <c r="AX48" s="104"/>
      <c r="AY48" s="104"/>
      <c r="AZ48" s="104"/>
      <c r="BA48" s="104"/>
      <c r="BB48" s="107"/>
      <c r="BC48" s="104"/>
      <c r="BD48" s="104"/>
      <c r="BE48" s="104"/>
      <c r="BF48" s="104"/>
      <c r="BG48" s="652"/>
      <c r="BH48" s="652"/>
      <c r="BI48" s="652"/>
      <c r="BJ48" s="652"/>
      <c r="BK48" s="652"/>
      <c r="BL48" s="652"/>
      <c r="BM48" s="652"/>
      <c r="BN48" s="652"/>
      <c r="BO48" s="652"/>
      <c r="BP48" s="652"/>
      <c r="BQ48" s="104"/>
      <c r="BR48" s="104"/>
      <c r="BS48" s="104"/>
      <c r="BT48" s="104"/>
      <c r="BU48" s="104"/>
      <c r="BV48" s="104"/>
      <c r="BW48" s="122"/>
      <c r="BX48" s="104"/>
      <c r="BY48" s="104"/>
      <c r="BZ48" s="104"/>
      <c r="CA48" s="122"/>
      <c r="CB48" s="104"/>
      <c r="CC48" s="104"/>
      <c r="CD48" s="122"/>
      <c r="CE48" s="759"/>
      <c r="CF48" s="759"/>
      <c r="CG48" s="759"/>
      <c r="CH48" s="759"/>
      <c r="CI48" s="759"/>
      <c r="CJ48" s="759"/>
      <c r="CK48" s="759"/>
      <c r="CL48" s="759"/>
      <c r="CM48" s="104"/>
      <c r="CN48" s="104"/>
      <c r="CO48" s="104"/>
      <c r="CP48" s="104"/>
      <c r="CQ48" s="104"/>
      <c r="CR48" s="104"/>
      <c r="CS48" s="104"/>
      <c r="CT48" s="104"/>
      <c r="CU48" s="104"/>
    </row>
    <row r="49">
      <c r="A49" s="830" t="s">
        <v>4153</v>
      </c>
      <c r="B49" s="202" t="s">
        <v>567</v>
      </c>
      <c r="C49" s="196" t="s">
        <v>271</v>
      </c>
      <c r="D49" s="197" t="s">
        <v>271</v>
      </c>
      <c r="E49" s="199" t="s">
        <v>271</v>
      </c>
      <c r="F49" s="201" t="s">
        <v>271</v>
      </c>
      <c r="G49" s="202" t="s">
        <v>274</v>
      </c>
      <c r="H49" s="609"/>
      <c r="I49" s="609"/>
      <c r="J49" s="104"/>
      <c r="K49" s="104"/>
      <c r="L49" s="104"/>
      <c r="M49" s="104"/>
      <c r="N49" s="104"/>
      <c r="O49" s="104"/>
      <c r="P49" s="104"/>
      <c r="Q49" s="104"/>
      <c r="R49" s="104"/>
      <c r="S49" s="104"/>
      <c r="T49" s="104"/>
      <c r="U49" s="107" t="s">
        <v>4155</v>
      </c>
      <c r="V49" s="104"/>
      <c r="W49" s="104"/>
      <c r="X49" s="107" t="s">
        <v>2293</v>
      </c>
      <c r="Y49" s="104"/>
      <c r="Z49" s="104"/>
      <c r="AA49" s="104"/>
      <c r="AB49" s="104"/>
      <c r="AC49" s="104"/>
      <c r="AD49" s="107" t="s">
        <v>1835</v>
      </c>
      <c r="AE49" s="104"/>
      <c r="AF49" s="104"/>
      <c r="AG49" s="104"/>
      <c r="AH49" s="104"/>
      <c r="AI49" s="104"/>
      <c r="AJ49" s="104"/>
      <c r="AK49" s="104"/>
      <c r="AL49" s="104"/>
      <c r="AM49" s="104"/>
      <c r="AN49" s="104"/>
      <c r="AO49" s="104"/>
      <c r="AP49" s="104"/>
      <c r="AQ49" s="104"/>
      <c r="AR49" s="104"/>
      <c r="AS49" s="104"/>
      <c r="AT49" s="104"/>
      <c r="AU49" s="104"/>
      <c r="AV49" s="104"/>
      <c r="AW49" s="104"/>
      <c r="AX49" s="104"/>
      <c r="AY49" s="104"/>
      <c r="AZ49" s="104"/>
      <c r="BA49" s="104"/>
      <c r="BB49" s="104"/>
      <c r="BC49" s="104"/>
      <c r="BD49" s="104"/>
      <c r="BE49" s="104"/>
      <c r="BF49" s="104"/>
      <c r="BG49" s="104"/>
      <c r="BH49" s="104"/>
      <c r="BI49" s="104"/>
      <c r="BJ49" s="104"/>
      <c r="BK49" s="104"/>
      <c r="BL49" s="104"/>
      <c r="BM49" s="104"/>
      <c r="BN49" s="104"/>
      <c r="BO49" s="104"/>
      <c r="BP49" s="104"/>
      <c r="BQ49" s="104"/>
      <c r="BR49" s="104"/>
      <c r="BS49" s="104"/>
      <c r="BT49" s="104"/>
      <c r="BU49" s="104"/>
      <c r="BV49" s="104"/>
      <c r="BW49" s="122"/>
      <c r="BX49" s="104"/>
      <c r="BY49" s="104"/>
      <c r="BZ49" s="104"/>
      <c r="CA49" s="122"/>
      <c r="CB49" s="104"/>
      <c r="CC49" s="104"/>
      <c r="CD49" s="122"/>
      <c r="CE49" s="104"/>
      <c r="CF49" s="104"/>
      <c r="CG49" s="104"/>
      <c r="CH49" s="104"/>
      <c r="CI49" s="104"/>
      <c r="CJ49" s="104"/>
      <c r="CK49" s="104"/>
      <c r="CL49" s="104"/>
      <c r="CM49" s="104"/>
      <c r="CN49" s="104"/>
      <c r="CO49" s="104"/>
      <c r="CP49" s="104"/>
      <c r="CQ49" s="104"/>
      <c r="CR49" s="104"/>
      <c r="CS49" s="104"/>
      <c r="CT49" s="104"/>
      <c r="CU49" s="104"/>
    </row>
    <row r="50">
      <c r="A50" s="743" t="s">
        <v>4159</v>
      </c>
      <c r="B50" s="202" t="s">
        <v>567</v>
      </c>
      <c r="C50" s="196" t="s">
        <v>271</v>
      </c>
      <c r="D50" s="197" t="s">
        <v>271</v>
      </c>
      <c r="E50" s="199" t="s">
        <v>271</v>
      </c>
      <c r="F50" s="201" t="s">
        <v>271</v>
      </c>
      <c r="G50" s="202" t="s">
        <v>171</v>
      </c>
      <c r="H50" s="609"/>
      <c r="I50" s="609"/>
      <c r="J50" s="104"/>
      <c r="K50" s="104"/>
      <c r="L50" s="104"/>
      <c r="M50" s="104"/>
      <c r="N50" s="104"/>
      <c r="O50" s="104"/>
      <c r="P50" s="104"/>
      <c r="Q50" s="104"/>
      <c r="R50" s="104"/>
      <c r="S50" s="104"/>
      <c r="T50" s="104"/>
      <c r="U50" s="104"/>
      <c r="V50" s="104"/>
      <c r="W50" s="104"/>
      <c r="X50" s="107" t="s">
        <v>4161</v>
      </c>
      <c r="Y50" s="104"/>
      <c r="Z50" s="104"/>
      <c r="AA50" s="104"/>
      <c r="AB50" s="104"/>
      <c r="AC50" s="104"/>
      <c r="AD50" s="104"/>
      <c r="AE50" s="104"/>
      <c r="AF50" s="104"/>
      <c r="AG50" s="104"/>
      <c r="AH50" s="104"/>
      <c r="AI50" s="104"/>
      <c r="AJ50" s="104"/>
      <c r="AK50" s="104"/>
      <c r="AL50" s="104"/>
      <c r="AM50" s="104"/>
      <c r="AN50" s="104"/>
      <c r="AO50" s="104"/>
      <c r="AP50" s="104"/>
      <c r="AQ50" s="104"/>
      <c r="AR50" s="104"/>
      <c r="AS50" s="104"/>
      <c r="AT50" s="104"/>
      <c r="AU50" s="104"/>
      <c r="AV50" s="104"/>
      <c r="AW50" s="104"/>
      <c r="AX50" s="104"/>
      <c r="AY50" s="104"/>
      <c r="AZ50" s="104"/>
      <c r="BA50" s="104"/>
      <c r="BB50" s="104"/>
      <c r="BC50" s="104"/>
      <c r="BD50" s="104"/>
      <c r="BE50" s="104"/>
      <c r="BF50" s="104"/>
      <c r="BG50" s="104"/>
      <c r="BH50" s="104"/>
      <c r="BI50" s="104"/>
      <c r="BJ50" s="104"/>
      <c r="BK50" s="104"/>
      <c r="BL50" s="104"/>
      <c r="BM50" s="104"/>
      <c r="BN50" s="104"/>
      <c r="BO50" s="104"/>
      <c r="BP50" s="104"/>
      <c r="BQ50" s="104"/>
      <c r="BR50" s="104"/>
      <c r="BS50" s="104"/>
      <c r="BT50" s="104"/>
      <c r="BU50" s="104"/>
      <c r="BV50" s="104"/>
      <c r="BW50" s="122"/>
      <c r="BX50" s="104"/>
      <c r="BY50" s="104"/>
      <c r="BZ50" s="104"/>
      <c r="CA50" s="122"/>
      <c r="CB50" s="104"/>
      <c r="CC50" s="104"/>
      <c r="CD50" s="122"/>
      <c r="CE50" s="104"/>
      <c r="CF50" s="104"/>
      <c r="CG50" s="104"/>
      <c r="CH50" s="104"/>
      <c r="CI50" s="104"/>
      <c r="CJ50" s="104"/>
      <c r="CK50" s="104"/>
      <c r="CL50" s="104"/>
      <c r="CM50" s="104"/>
      <c r="CN50" s="104"/>
      <c r="CO50" s="104"/>
      <c r="CP50" s="104"/>
      <c r="CQ50" s="104"/>
      <c r="CR50" s="104"/>
      <c r="CS50" s="104"/>
      <c r="CT50" s="104"/>
      <c r="CU50" s="104"/>
    </row>
    <row r="51">
      <c r="A51" s="743" t="s">
        <v>4165</v>
      </c>
      <c r="B51" s="202" t="s">
        <v>204</v>
      </c>
      <c r="C51" s="196" t="s">
        <v>171</v>
      </c>
      <c r="D51" s="197" t="s">
        <v>271</v>
      </c>
      <c r="E51" s="199" t="s">
        <v>271</v>
      </c>
      <c r="F51" s="201" t="s">
        <v>171</v>
      </c>
      <c r="G51" s="202" t="s">
        <v>171</v>
      </c>
      <c r="H51" s="781"/>
      <c r="I51" s="781"/>
      <c r="J51" s="104"/>
      <c r="K51" s="104"/>
      <c r="L51" s="104"/>
      <c r="M51" s="104"/>
      <c r="N51" s="104"/>
      <c r="O51" s="104"/>
      <c r="P51" s="104"/>
      <c r="Q51" s="104"/>
      <c r="R51" s="104"/>
      <c r="S51" s="104"/>
      <c r="T51" s="104"/>
      <c r="U51" s="104"/>
      <c r="V51" s="104"/>
      <c r="W51" s="104"/>
      <c r="X51" s="104"/>
      <c r="Y51" s="104"/>
      <c r="Z51" s="104"/>
      <c r="AA51" s="104"/>
      <c r="AB51" s="104"/>
      <c r="AC51" s="104"/>
      <c r="AD51" s="104"/>
      <c r="AE51" s="126" t="s">
        <v>4170</v>
      </c>
      <c r="AF51" s="104"/>
      <c r="AG51" s="104"/>
      <c r="AH51" s="104"/>
      <c r="AI51" s="104"/>
      <c r="AJ51" s="104"/>
      <c r="AK51" s="104"/>
      <c r="AL51" s="104"/>
      <c r="AM51" s="104"/>
      <c r="AN51" s="104"/>
      <c r="AO51" s="104"/>
      <c r="AP51" s="104"/>
      <c r="AQ51" s="104"/>
      <c r="AR51" s="104"/>
      <c r="AS51" s="104"/>
      <c r="AT51" s="104"/>
      <c r="AU51" s="104"/>
      <c r="AV51" s="104"/>
      <c r="AW51" s="104"/>
      <c r="AX51" s="104"/>
      <c r="AY51" s="104"/>
      <c r="AZ51" s="104"/>
      <c r="BA51" s="104"/>
      <c r="BB51" s="104"/>
      <c r="BC51" s="104"/>
      <c r="BD51" s="104"/>
      <c r="BE51" s="104"/>
      <c r="BF51" s="104"/>
      <c r="BG51" s="104"/>
      <c r="BH51" s="104"/>
      <c r="BI51" s="104"/>
      <c r="BJ51" s="104"/>
      <c r="BK51" s="104"/>
      <c r="BL51" s="104"/>
      <c r="BM51" s="104"/>
      <c r="BN51" s="104"/>
      <c r="BO51" s="104"/>
      <c r="BP51" s="104"/>
      <c r="BQ51" s="104"/>
      <c r="BR51" s="104"/>
      <c r="BS51" s="104"/>
      <c r="BT51" s="104"/>
      <c r="BU51" s="104"/>
      <c r="BV51" s="104"/>
      <c r="BW51" s="122"/>
      <c r="BX51" s="104"/>
      <c r="BY51" s="104"/>
      <c r="BZ51" s="104"/>
      <c r="CA51" s="122"/>
      <c r="CB51" s="104"/>
      <c r="CC51" s="104"/>
      <c r="CD51" s="122"/>
      <c r="CE51" s="104"/>
      <c r="CF51" s="104"/>
      <c r="CG51" s="104"/>
      <c r="CH51" s="104"/>
      <c r="CI51" s="104"/>
      <c r="CJ51" s="104"/>
      <c r="CK51" s="104"/>
      <c r="CL51" s="104"/>
      <c r="CM51" s="104"/>
      <c r="CN51" s="104"/>
      <c r="CO51" s="104"/>
      <c r="CP51" s="104"/>
      <c r="CQ51" s="104"/>
      <c r="CR51" s="104"/>
      <c r="CS51" s="104"/>
      <c r="CT51" s="104"/>
      <c r="CU51" s="104"/>
    </row>
    <row r="52">
      <c r="A52" s="743" t="s">
        <v>60</v>
      </c>
      <c r="B52" s="202" t="s">
        <v>270</v>
      </c>
      <c r="C52" s="196" t="s">
        <v>171</v>
      </c>
      <c r="D52" s="197" t="s">
        <v>271</v>
      </c>
      <c r="E52" s="199" t="s">
        <v>271</v>
      </c>
      <c r="F52" s="201" t="s">
        <v>171</v>
      </c>
      <c r="G52" s="202" t="s">
        <v>171</v>
      </c>
      <c r="H52" s="609"/>
      <c r="I52" s="609"/>
      <c r="J52" s="104"/>
      <c r="K52" s="104"/>
      <c r="L52" s="104"/>
      <c r="M52" s="104"/>
      <c r="N52" s="104"/>
      <c r="O52" s="104"/>
      <c r="P52" s="104"/>
      <c r="Q52" s="104"/>
      <c r="R52" s="104"/>
      <c r="S52" s="104"/>
      <c r="T52" s="104"/>
      <c r="U52" s="104"/>
      <c r="V52" s="104"/>
      <c r="W52" s="104"/>
      <c r="X52" s="104"/>
      <c r="Y52" s="104"/>
      <c r="Z52" s="104"/>
      <c r="AA52" s="104"/>
      <c r="AB52" s="104"/>
      <c r="AC52" s="104"/>
      <c r="AD52" s="104"/>
      <c r="AE52" s="104"/>
      <c r="AF52" s="104"/>
      <c r="AG52" s="104"/>
      <c r="AH52" s="104"/>
      <c r="AI52" s="104"/>
      <c r="AJ52" s="104"/>
      <c r="AK52" s="126" t="s">
        <v>3571</v>
      </c>
      <c r="AL52" s="104"/>
      <c r="AM52" s="104"/>
      <c r="AN52" s="104"/>
      <c r="AO52" s="104"/>
      <c r="AP52" s="104"/>
      <c r="AQ52" s="104"/>
      <c r="AR52" s="104"/>
      <c r="AS52" s="104"/>
      <c r="AT52" s="104"/>
      <c r="AU52" s="104"/>
      <c r="AV52" s="104"/>
      <c r="AW52" s="104"/>
      <c r="AX52" s="104"/>
      <c r="AY52" s="104"/>
      <c r="AZ52" s="104"/>
      <c r="BA52" s="104"/>
      <c r="BB52" s="104"/>
      <c r="BC52" s="104"/>
      <c r="BD52" s="104"/>
      <c r="BE52" s="104"/>
      <c r="BF52" s="104"/>
      <c r="BG52" s="104"/>
      <c r="BH52" s="104"/>
      <c r="BI52" s="104"/>
      <c r="BJ52" s="104"/>
      <c r="BK52" s="104"/>
      <c r="BL52" s="104"/>
      <c r="BM52" s="104"/>
      <c r="BN52" s="104"/>
      <c r="BO52" s="104"/>
      <c r="BP52" s="104"/>
      <c r="BQ52" s="104"/>
      <c r="BR52" s="104"/>
      <c r="BS52" s="104"/>
      <c r="BT52" s="104"/>
      <c r="BU52" s="104"/>
      <c r="BV52" s="104"/>
      <c r="BW52" s="122"/>
      <c r="BX52" s="104"/>
      <c r="BY52" s="104"/>
      <c r="BZ52" s="104"/>
      <c r="CA52" s="122"/>
      <c r="CB52" s="104"/>
      <c r="CC52" s="104"/>
      <c r="CD52" s="122"/>
      <c r="CE52" s="104"/>
      <c r="CF52" s="104"/>
      <c r="CG52" s="104"/>
      <c r="CH52" s="104"/>
      <c r="CI52" s="104"/>
      <c r="CJ52" s="104"/>
      <c r="CK52" s="104"/>
      <c r="CL52" s="104"/>
      <c r="CM52" s="104"/>
      <c r="CN52" s="104"/>
      <c r="CO52" s="104"/>
      <c r="CP52" s="104"/>
      <c r="CQ52" s="104"/>
      <c r="CR52" s="104"/>
      <c r="CS52" s="104"/>
      <c r="CT52" s="104"/>
      <c r="CU52" s="104"/>
    </row>
    <row r="53">
      <c r="A53" s="595" t="s">
        <v>4188</v>
      </c>
      <c r="B53" s="202" t="s">
        <v>1010</v>
      </c>
      <c r="C53" s="196" t="s">
        <v>271</v>
      </c>
      <c r="D53" s="197" t="s">
        <v>271</v>
      </c>
      <c r="E53" s="199" t="s">
        <v>271</v>
      </c>
      <c r="F53" s="201" t="s">
        <v>171</v>
      </c>
      <c r="G53" s="202" t="s">
        <v>171</v>
      </c>
      <c r="H53" s="609"/>
      <c r="I53" s="609"/>
      <c r="J53" s="104"/>
      <c r="K53" s="104"/>
      <c r="L53" s="104"/>
      <c r="M53" s="104"/>
      <c r="N53" s="104"/>
      <c r="O53" s="104"/>
      <c r="P53" s="104"/>
      <c r="Q53" s="104"/>
      <c r="R53" s="104"/>
      <c r="S53" s="104"/>
      <c r="T53" s="104"/>
      <c r="U53" s="104"/>
      <c r="V53" s="104"/>
      <c r="W53" s="104"/>
      <c r="X53" s="104"/>
      <c r="Y53" s="104"/>
      <c r="Z53" s="104"/>
      <c r="AA53" s="104"/>
      <c r="AB53" s="104"/>
      <c r="AC53" s="104"/>
      <c r="AD53" s="104"/>
      <c r="AE53" s="137"/>
      <c r="AF53" s="131" t="s">
        <v>4190</v>
      </c>
      <c r="AG53" s="137"/>
      <c r="AH53" s="104"/>
      <c r="AI53" s="104"/>
      <c r="AJ53" s="104"/>
      <c r="AK53" s="104"/>
      <c r="AL53" s="104"/>
      <c r="AM53" s="104"/>
      <c r="AN53" s="104"/>
      <c r="AO53" s="104"/>
      <c r="AP53" s="104"/>
      <c r="AQ53" s="104"/>
      <c r="AR53" s="104"/>
      <c r="AS53" s="104"/>
      <c r="AT53" s="104"/>
      <c r="AU53" s="104"/>
      <c r="AV53" s="104"/>
      <c r="AW53" s="104"/>
      <c r="AX53" s="104"/>
      <c r="AY53" s="104"/>
      <c r="AZ53" s="104"/>
      <c r="BA53" s="104"/>
      <c r="BB53" s="104"/>
      <c r="BC53" s="104"/>
      <c r="BD53" s="104"/>
      <c r="BE53" s="104"/>
      <c r="BF53" s="104"/>
      <c r="BG53" s="652"/>
      <c r="BH53" s="652"/>
      <c r="BI53" s="652"/>
      <c r="BJ53" s="652"/>
      <c r="BK53" s="652"/>
      <c r="BL53" s="652"/>
      <c r="BM53" s="652"/>
      <c r="BN53" s="652"/>
      <c r="BO53" s="652"/>
      <c r="BP53" s="652"/>
      <c r="BQ53" s="104"/>
      <c r="BR53" s="104"/>
      <c r="BS53" s="104"/>
      <c r="BT53" s="104"/>
      <c r="BU53" s="104"/>
      <c r="BV53" s="104"/>
      <c r="BW53" s="122"/>
      <c r="BX53" s="104"/>
      <c r="BY53" s="104"/>
      <c r="BZ53" s="104"/>
      <c r="CA53" s="122"/>
      <c r="CB53" s="104"/>
      <c r="CC53" s="104"/>
      <c r="CD53" s="122"/>
      <c r="CE53" s="556"/>
      <c r="CF53" s="556"/>
      <c r="CG53" s="556"/>
      <c r="CH53" s="556"/>
      <c r="CI53" s="556"/>
      <c r="CJ53" s="556"/>
      <c r="CK53" s="556"/>
      <c r="CL53" s="556"/>
      <c r="CM53" s="556"/>
      <c r="CN53" s="556"/>
      <c r="CO53" s="556"/>
      <c r="CP53" s="556"/>
      <c r="CQ53" s="556"/>
      <c r="CR53" s="556"/>
      <c r="CS53" s="556"/>
      <c r="CT53" s="104"/>
      <c r="CU53" s="104"/>
    </row>
    <row r="54">
      <c r="A54" s="737" t="s">
        <v>4198</v>
      </c>
      <c r="B54" s="202" t="s">
        <v>394</v>
      </c>
      <c r="C54" s="196" t="s">
        <v>271</v>
      </c>
      <c r="D54" s="197" t="s">
        <v>271</v>
      </c>
      <c r="E54" s="199" t="s">
        <v>271</v>
      </c>
      <c r="F54" s="201" t="s">
        <v>271</v>
      </c>
      <c r="G54" s="202" t="s">
        <v>233</v>
      </c>
      <c r="H54" s="609"/>
      <c r="I54" s="609"/>
      <c r="J54" s="104"/>
      <c r="K54" s="104"/>
      <c r="L54" s="104"/>
      <c r="M54" s="104"/>
      <c r="N54" s="104"/>
      <c r="O54" s="104"/>
      <c r="P54" s="104"/>
      <c r="Q54" s="104"/>
      <c r="R54" s="107" t="s">
        <v>4201</v>
      </c>
      <c r="S54" s="104"/>
      <c r="T54" s="104"/>
      <c r="U54" s="104"/>
      <c r="V54" s="104"/>
      <c r="W54" s="104"/>
      <c r="X54" s="104"/>
      <c r="Y54" s="104"/>
      <c r="Z54" s="104"/>
      <c r="AA54" s="104"/>
      <c r="AB54" s="104"/>
      <c r="AC54" s="104"/>
      <c r="AD54" s="104"/>
      <c r="AE54" s="104"/>
      <c r="AF54" s="104"/>
      <c r="AG54" s="104"/>
      <c r="AH54" s="104"/>
      <c r="AI54" s="104"/>
      <c r="AJ54" s="104"/>
      <c r="AK54" s="104"/>
      <c r="AL54" s="104"/>
      <c r="AM54" s="104"/>
      <c r="AN54" s="104"/>
      <c r="AO54" s="104"/>
      <c r="AP54" s="104"/>
      <c r="AQ54" s="104"/>
      <c r="AR54" s="104"/>
      <c r="AS54" s="104"/>
      <c r="AT54" s="107" t="s">
        <v>4203</v>
      </c>
      <c r="AU54" s="104"/>
      <c r="AV54" s="104"/>
      <c r="AW54" s="104"/>
      <c r="AX54" s="104"/>
      <c r="AY54" s="104"/>
      <c r="AZ54" s="104"/>
      <c r="BA54" s="104"/>
      <c r="BB54" s="104"/>
      <c r="BC54" s="104"/>
      <c r="BD54" s="104"/>
      <c r="BE54" s="104"/>
      <c r="BF54" s="104"/>
      <c r="BG54" s="652"/>
      <c r="BH54" s="652"/>
      <c r="BI54" s="652"/>
      <c r="BJ54" s="652"/>
      <c r="BK54" s="652"/>
      <c r="BL54" s="652"/>
      <c r="BM54" s="652"/>
      <c r="BN54" s="652"/>
      <c r="BO54" s="652"/>
      <c r="BP54" s="652"/>
      <c r="BQ54" s="104"/>
      <c r="BR54" s="104"/>
      <c r="BS54" s="104"/>
      <c r="BT54" s="104"/>
      <c r="BU54" s="104"/>
      <c r="BV54" s="104"/>
      <c r="BW54" s="122"/>
      <c r="BX54" s="104"/>
      <c r="BY54" s="104"/>
      <c r="BZ54" s="104"/>
      <c r="CA54" s="122"/>
      <c r="CB54" s="104"/>
      <c r="CC54" s="104"/>
      <c r="CD54" s="122"/>
      <c r="CE54" s="556"/>
      <c r="CF54" s="556"/>
      <c r="CG54" s="556"/>
      <c r="CH54" s="556"/>
      <c r="CI54" s="556"/>
      <c r="CJ54" s="556"/>
      <c r="CK54" s="556"/>
      <c r="CL54" s="556"/>
      <c r="CM54" s="556"/>
      <c r="CN54" s="556"/>
      <c r="CO54" s="556"/>
      <c r="CP54" s="556"/>
      <c r="CQ54" s="556"/>
      <c r="CR54" s="556"/>
      <c r="CS54" s="556"/>
      <c r="CT54" s="104"/>
      <c r="CU54" s="104"/>
    </row>
    <row r="55">
      <c r="A55" s="743" t="s">
        <v>4208</v>
      </c>
      <c r="B55" s="202" t="s">
        <v>394</v>
      </c>
      <c r="C55" s="196" t="s">
        <v>271</v>
      </c>
      <c r="D55" s="197" t="s">
        <v>271</v>
      </c>
      <c r="E55" s="199" t="s">
        <v>271</v>
      </c>
      <c r="F55" s="201" t="s">
        <v>171</v>
      </c>
      <c r="G55" s="202" t="s">
        <v>171</v>
      </c>
      <c r="H55" s="609"/>
      <c r="I55" s="609"/>
      <c r="J55" s="104"/>
      <c r="K55" s="104"/>
      <c r="L55" s="104"/>
      <c r="M55" s="104"/>
      <c r="N55" s="104"/>
      <c r="O55" s="104"/>
      <c r="P55" s="104"/>
      <c r="Q55" s="104"/>
      <c r="R55" s="104"/>
      <c r="S55" s="104"/>
      <c r="T55" s="104"/>
      <c r="U55" s="104"/>
      <c r="V55" s="104"/>
      <c r="W55" s="104"/>
      <c r="X55" s="104"/>
      <c r="Y55" s="104"/>
      <c r="Z55" s="104"/>
      <c r="AA55" s="104"/>
      <c r="AB55" s="104"/>
      <c r="AC55" s="104"/>
      <c r="AD55" s="104"/>
      <c r="AE55" s="104"/>
      <c r="AF55" s="104"/>
      <c r="AG55" s="104"/>
      <c r="AH55" s="104"/>
      <c r="AI55" s="104"/>
      <c r="AJ55" s="104"/>
      <c r="AK55" s="104"/>
      <c r="AL55" s="104"/>
      <c r="AM55" s="104"/>
      <c r="AN55" s="104"/>
      <c r="AO55" s="104"/>
      <c r="AP55" s="104"/>
      <c r="AQ55" s="104"/>
      <c r="AR55" s="104"/>
      <c r="AS55" s="104"/>
      <c r="AT55" s="104"/>
      <c r="AU55" s="104"/>
      <c r="AV55" s="104"/>
      <c r="AW55" s="104"/>
      <c r="AX55" s="104"/>
      <c r="AY55" s="104"/>
      <c r="AZ55" s="104"/>
      <c r="BA55" s="104"/>
      <c r="BB55" s="104"/>
      <c r="BC55" s="131" t="s">
        <v>4214</v>
      </c>
      <c r="BD55" s="104"/>
      <c r="BE55" s="104"/>
      <c r="BF55" s="104"/>
      <c r="BG55" s="104"/>
      <c r="BH55" s="104"/>
      <c r="BI55" s="104"/>
      <c r="BJ55" s="104"/>
      <c r="BK55" s="104"/>
      <c r="BL55" s="104"/>
      <c r="BM55" s="104"/>
      <c r="BN55" s="104"/>
      <c r="BO55" s="104"/>
      <c r="BP55" s="104"/>
      <c r="BQ55" s="104"/>
      <c r="BR55" s="104"/>
      <c r="BS55" s="104"/>
      <c r="BT55" s="104"/>
      <c r="BU55" s="104"/>
      <c r="BV55" s="104"/>
      <c r="BW55" s="122"/>
      <c r="BX55" s="104"/>
      <c r="BY55" s="104"/>
      <c r="BZ55" s="104"/>
      <c r="CA55" s="122"/>
      <c r="CB55" s="104"/>
      <c r="CC55" s="104"/>
      <c r="CD55" s="122"/>
      <c r="CE55" s="104"/>
      <c r="CF55" s="104"/>
      <c r="CG55" s="104"/>
      <c r="CH55" s="104"/>
      <c r="CI55" s="104"/>
      <c r="CJ55" s="104"/>
      <c r="CK55" s="104"/>
      <c r="CL55" s="104"/>
      <c r="CM55" s="104"/>
      <c r="CN55" s="104"/>
      <c r="CO55" s="104"/>
      <c r="CP55" s="104"/>
      <c r="CQ55" s="104"/>
      <c r="CR55" s="104"/>
      <c r="CS55" s="104"/>
      <c r="CT55" s="104"/>
      <c r="CU55" s="104"/>
    </row>
    <row r="56">
      <c r="A56" s="838" t="s">
        <v>4220</v>
      </c>
      <c r="B56" s="202" t="s">
        <v>394</v>
      </c>
      <c r="C56" s="196" t="s">
        <v>271</v>
      </c>
      <c r="D56" s="197" t="s">
        <v>271</v>
      </c>
      <c r="E56" s="199" t="s">
        <v>271</v>
      </c>
      <c r="F56" s="201" t="s">
        <v>271</v>
      </c>
      <c r="G56" s="202" t="s">
        <v>233</v>
      </c>
      <c r="H56" s="609"/>
      <c r="I56" s="609"/>
      <c r="J56" s="104"/>
      <c r="K56" s="104"/>
      <c r="L56" s="104"/>
      <c r="M56" s="104"/>
      <c r="N56" s="104"/>
      <c r="O56" s="104"/>
      <c r="P56" s="104"/>
      <c r="Q56" s="104"/>
      <c r="R56" s="104"/>
      <c r="S56" s="104"/>
      <c r="T56" s="104"/>
      <c r="U56" s="104"/>
      <c r="V56" s="104"/>
      <c r="W56" s="107" t="s">
        <v>3785</v>
      </c>
      <c r="X56" s="107"/>
      <c r="Y56" s="107" t="s">
        <v>4223</v>
      </c>
      <c r="Z56" s="104"/>
      <c r="AA56" s="104"/>
      <c r="AB56" s="104"/>
      <c r="AC56" s="104"/>
      <c r="AD56" s="104"/>
      <c r="AE56" s="104"/>
      <c r="AF56" s="104"/>
      <c r="AG56" s="104"/>
      <c r="AH56" s="104"/>
      <c r="AI56" s="104"/>
      <c r="AJ56" s="104"/>
      <c r="AK56" s="104"/>
      <c r="AL56" s="104"/>
      <c r="AM56" s="104"/>
      <c r="AN56" s="104"/>
      <c r="AO56" s="104"/>
      <c r="AP56" s="104"/>
      <c r="AQ56" s="104"/>
      <c r="AR56" s="104"/>
      <c r="AS56" s="104"/>
      <c r="AT56" s="104"/>
      <c r="AU56" s="104"/>
      <c r="AV56" s="104"/>
      <c r="AW56" s="104"/>
      <c r="AX56" s="104"/>
      <c r="AY56" s="104"/>
      <c r="AZ56" s="104"/>
      <c r="BA56" s="104"/>
      <c r="BB56" s="104"/>
      <c r="BC56" s="104"/>
      <c r="BD56" s="104"/>
      <c r="BE56" s="104"/>
      <c r="BF56" s="104"/>
      <c r="BG56" s="104"/>
      <c r="BH56" s="104"/>
      <c r="BI56" s="104"/>
      <c r="BJ56" s="104"/>
      <c r="BK56" s="104"/>
      <c r="BL56" s="104"/>
      <c r="BM56" s="104"/>
      <c r="BN56" s="104"/>
      <c r="BO56" s="104"/>
      <c r="BP56" s="104"/>
      <c r="BQ56" s="104"/>
      <c r="BR56" s="104"/>
      <c r="BS56" s="104"/>
      <c r="BT56" s="104"/>
      <c r="BU56" s="104"/>
      <c r="BV56" s="104"/>
      <c r="BW56" s="122"/>
      <c r="BX56" s="104"/>
      <c r="BY56" s="104"/>
      <c r="BZ56" s="104"/>
      <c r="CA56" s="122"/>
      <c r="CB56" s="104"/>
      <c r="CC56" s="104"/>
      <c r="CD56" s="122"/>
      <c r="CE56" s="104"/>
      <c r="CF56" s="104"/>
      <c r="CG56" s="104"/>
      <c r="CH56" s="104"/>
      <c r="CI56" s="104"/>
      <c r="CJ56" s="104"/>
      <c r="CK56" s="104"/>
      <c r="CL56" s="104"/>
      <c r="CM56" s="104"/>
      <c r="CN56" s="104"/>
      <c r="CO56" s="104"/>
      <c r="CP56" s="104"/>
      <c r="CQ56" s="104"/>
      <c r="CR56" s="104"/>
      <c r="CS56" s="104"/>
      <c r="CT56" s="104"/>
      <c r="CU56" s="104"/>
    </row>
    <row r="57">
      <c r="A57" s="841" t="s">
        <v>4228</v>
      </c>
      <c r="B57" s="202" t="s">
        <v>205</v>
      </c>
      <c r="C57" s="196" t="s">
        <v>271</v>
      </c>
      <c r="D57" s="197" t="s">
        <v>271</v>
      </c>
      <c r="E57" s="199" t="s">
        <v>271</v>
      </c>
      <c r="F57" s="201" t="s">
        <v>176</v>
      </c>
      <c r="G57" s="202" t="s">
        <v>178</v>
      </c>
      <c r="H57" s="609"/>
      <c r="I57" s="609"/>
      <c r="J57" s="104"/>
      <c r="K57" s="104"/>
      <c r="L57" s="104"/>
      <c r="M57" s="104"/>
      <c r="N57" s="104"/>
      <c r="O57" s="104"/>
      <c r="P57" s="104"/>
      <c r="Q57" s="104"/>
      <c r="R57" s="131" t="s">
        <v>4230</v>
      </c>
      <c r="S57" s="104"/>
      <c r="T57" s="104"/>
      <c r="U57" s="131" t="s">
        <v>4233</v>
      </c>
      <c r="V57" s="104"/>
      <c r="W57" s="107" t="s">
        <v>4235</v>
      </c>
      <c r="X57" s="107" t="s">
        <v>4235</v>
      </c>
      <c r="Y57" s="104"/>
      <c r="Z57" s="104"/>
      <c r="AA57" s="104"/>
      <c r="AB57" s="104"/>
      <c r="AC57" s="104"/>
      <c r="AD57" s="104"/>
      <c r="AE57" s="104"/>
      <c r="AF57" s="104"/>
      <c r="AG57" s="104"/>
      <c r="AH57" s="104"/>
      <c r="AI57" s="104"/>
      <c r="AJ57" s="104"/>
      <c r="AK57" s="104"/>
      <c r="AL57" s="104"/>
      <c r="AM57" s="104"/>
      <c r="AN57" s="104"/>
      <c r="AO57" s="104"/>
      <c r="AP57" s="107" t="s">
        <v>4237</v>
      </c>
      <c r="AQ57" s="131" t="s">
        <v>4238</v>
      </c>
      <c r="AR57" s="131" t="s">
        <v>4240</v>
      </c>
      <c r="AS57" s="104"/>
      <c r="AT57" s="104"/>
      <c r="AU57" s="104"/>
      <c r="AV57" s="104"/>
      <c r="AW57" s="104"/>
      <c r="AX57" s="104"/>
      <c r="AY57" s="104"/>
      <c r="AZ57" s="104"/>
      <c r="BA57" s="104"/>
      <c r="BB57" s="104"/>
      <c r="BC57" s="104"/>
      <c r="BD57" s="104"/>
      <c r="BE57" s="104"/>
      <c r="BF57" s="104"/>
      <c r="BG57" s="104"/>
      <c r="BH57" s="104"/>
      <c r="BI57" s="104"/>
      <c r="BJ57" s="104"/>
      <c r="BK57" s="104"/>
      <c r="BL57" s="104"/>
      <c r="BM57" s="104"/>
      <c r="BN57" s="104"/>
      <c r="BO57" s="104"/>
      <c r="BP57" s="104"/>
      <c r="BQ57" s="104"/>
      <c r="BR57" s="104"/>
      <c r="BS57" s="104"/>
      <c r="BT57" s="104"/>
      <c r="BU57" s="104"/>
      <c r="BV57" s="104"/>
      <c r="BW57" s="122"/>
      <c r="BX57" s="104"/>
      <c r="BY57" s="104"/>
      <c r="BZ57" s="104"/>
      <c r="CA57" s="122"/>
      <c r="CB57" s="104"/>
      <c r="CC57" s="104"/>
      <c r="CD57" s="122"/>
      <c r="CE57" s="104"/>
      <c r="CF57" s="104"/>
      <c r="CG57" s="104"/>
      <c r="CH57" s="104"/>
      <c r="CI57" s="104"/>
      <c r="CJ57" s="104"/>
      <c r="CK57" s="104"/>
      <c r="CL57" s="104"/>
      <c r="CM57" s="104"/>
      <c r="CN57" s="104"/>
      <c r="CO57" s="104"/>
      <c r="CP57" s="104"/>
      <c r="CQ57" s="104"/>
      <c r="CR57" s="104"/>
      <c r="CS57" s="104"/>
      <c r="CT57" s="104"/>
      <c r="CU57" s="104"/>
    </row>
    <row r="58">
      <c r="A58" s="595" t="s">
        <v>4242</v>
      </c>
      <c r="B58" s="202" t="s">
        <v>178</v>
      </c>
      <c r="C58" s="196" t="s">
        <v>271</v>
      </c>
      <c r="D58" s="197" t="s">
        <v>171</v>
      </c>
      <c r="E58" s="199" t="s">
        <v>271</v>
      </c>
      <c r="F58" s="201" t="s">
        <v>171</v>
      </c>
      <c r="G58" s="202" t="s">
        <v>171</v>
      </c>
      <c r="H58" s="609"/>
      <c r="I58" s="609"/>
      <c r="J58" s="104"/>
      <c r="K58" s="104"/>
      <c r="L58" s="104"/>
      <c r="M58" s="104"/>
      <c r="N58" s="104"/>
      <c r="O58" s="104"/>
      <c r="P58" s="104"/>
      <c r="Q58" s="104"/>
      <c r="R58" s="104"/>
      <c r="S58" s="104"/>
      <c r="T58" s="104"/>
      <c r="U58" s="104"/>
      <c r="V58" s="104"/>
      <c r="W58" s="104"/>
      <c r="X58" s="104"/>
      <c r="Y58" s="104"/>
      <c r="Z58" s="104"/>
      <c r="AA58" s="104"/>
      <c r="AB58" s="104"/>
      <c r="AC58" s="104"/>
      <c r="AD58" s="104"/>
      <c r="AE58" s="104"/>
      <c r="AF58" s="104"/>
      <c r="AG58" s="104"/>
      <c r="AH58" s="104"/>
      <c r="AI58" s="104"/>
      <c r="AJ58" s="104"/>
      <c r="AK58" s="104"/>
      <c r="AL58" s="104"/>
      <c r="AM58" s="104"/>
      <c r="AN58" s="104"/>
      <c r="AO58" s="104"/>
      <c r="AP58" s="104"/>
      <c r="AQ58" s="104"/>
      <c r="AR58" s="104"/>
      <c r="AS58" s="104"/>
      <c r="AT58" s="104"/>
      <c r="AU58" s="104"/>
      <c r="AV58" s="104"/>
      <c r="AW58" s="104"/>
      <c r="AX58" s="104"/>
      <c r="AY58" s="104"/>
      <c r="AZ58" s="104"/>
      <c r="BA58" s="104"/>
      <c r="BB58" s="104"/>
      <c r="BC58" s="104"/>
      <c r="BD58" s="104"/>
      <c r="BE58" s="104"/>
      <c r="BF58" s="104"/>
      <c r="BG58" s="652"/>
      <c r="BH58" s="652"/>
      <c r="BI58" s="652"/>
      <c r="BJ58" s="652"/>
      <c r="BK58" s="652"/>
      <c r="BL58" s="652"/>
      <c r="BM58" s="652"/>
      <c r="BN58" s="652"/>
      <c r="BO58" s="652"/>
      <c r="BP58" s="652"/>
      <c r="BQ58" s="104"/>
      <c r="BR58" s="104"/>
      <c r="BS58" s="104"/>
      <c r="BT58" s="104"/>
      <c r="BU58" s="104"/>
      <c r="BV58" s="104"/>
      <c r="BW58" s="122"/>
      <c r="BX58" s="104"/>
      <c r="BY58" s="104"/>
      <c r="BZ58" s="104"/>
      <c r="CA58" s="122"/>
      <c r="CB58" s="104"/>
      <c r="CC58" s="104"/>
      <c r="CD58" s="122"/>
      <c r="CE58" s="556"/>
      <c r="CF58" s="556"/>
      <c r="CG58" s="556"/>
      <c r="CH58" s="556"/>
      <c r="CI58" s="556"/>
      <c r="CJ58" s="556"/>
      <c r="CK58" s="556"/>
      <c r="CL58" s="556"/>
      <c r="CM58" s="556"/>
      <c r="CN58" s="556"/>
      <c r="CO58" s="556"/>
      <c r="CP58" s="556"/>
      <c r="CQ58" s="556"/>
      <c r="CR58" s="556"/>
      <c r="CS58" s="556"/>
      <c r="CT58" s="121" t="s">
        <v>4250</v>
      </c>
      <c r="CU58" s="137"/>
    </row>
    <row r="59">
      <c r="A59" s="844" t="s">
        <v>4252</v>
      </c>
      <c r="B59" s="202" t="s">
        <v>178</v>
      </c>
      <c r="C59" s="196" t="s">
        <v>271</v>
      </c>
      <c r="D59" s="197" t="s">
        <v>271</v>
      </c>
      <c r="E59" s="199" t="s">
        <v>271</v>
      </c>
      <c r="F59" s="201" t="s">
        <v>271</v>
      </c>
      <c r="G59" s="202" t="s">
        <v>171</v>
      </c>
      <c r="H59" s="781"/>
      <c r="I59" s="781"/>
      <c r="J59" s="104"/>
      <c r="K59" s="104"/>
      <c r="L59" s="104"/>
      <c r="M59" s="104"/>
      <c r="N59" s="104"/>
      <c r="O59" s="104"/>
      <c r="P59" s="104"/>
      <c r="Q59" s="104"/>
      <c r="R59" s="104"/>
      <c r="S59" s="104"/>
      <c r="T59" s="104"/>
      <c r="U59" s="107" t="s">
        <v>3781</v>
      </c>
      <c r="V59" s="104"/>
      <c r="W59" s="104"/>
      <c r="X59" s="104"/>
      <c r="Y59" s="104"/>
      <c r="Z59" s="104"/>
      <c r="AA59" s="104"/>
      <c r="AB59" s="104"/>
      <c r="AC59" s="104"/>
      <c r="AD59" s="104"/>
      <c r="AE59" s="104"/>
      <c r="AF59" s="104"/>
      <c r="AG59" s="104"/>
      <c r="AH59" s="104"/>
      <c r="AI59" s="104"/>
      <c r="AJ59" s="104"/>
      <c r="AK59" s="104"/>
      <c r="AL59" s="104"/>
      <c r="AM59" s="104"/>
      <c r="AN59" s="104"/>
      <c r="AO59" s="104"/>
      <c r="AP59" s="104"/>
      <c r="AQ59" s="104"/>
      <c r="AR59" s="104"/>
      <c r="AS59" s="104"/>
      <c r="AT59" s="104"/>
      <c r="AU59" s="104"/>
      <c r="AV59" s="104"/>
      <c r="AW59" s="104"/>
      <c r="AX59" s="104"/>
      <c r="AY59" s="104"/>
      <c r="AZ59" s="104"/>
      <c r="BA59" s="104"/>
      <c r="BB59" s="104"/>
      <c r="BC59" s="104"/>
      <c r="BD59" s="104"/>
      <c r="BE59" s="104"/>
      <c r="BF59" s="104"/>
      <c r="BG59" s="652"/>
      <c r="BH59" s="652"/>
      <c r="BI59" s="652"/>
      <c r="BJ59" s="652"/>
      <c r="BK59" s="652"/>
      <c r="BL59" s="652"/>
      <c r="BM59" s="652"/>
      <c r="BN59" s="652"/>
      <c r="BO59" s="652"/>
      <c r="BP59" s="652"/>
      <c r="BQ59" s="104"/>
      <c r="BR59" s="104"/>
      <c r="BS59" s="104"/>
      <c r="BT59" s="104"/>
      <c r="BU59" s="104"/>
      <c r="BV59" s="104"/>
      <c r="BW59" s="122"/>
      <c r="BX59" s="104"/>
      <c r="BY59" s="104"/>
      <c r="BZ59" s="104"/>
      <c r="CA59" s="122"/>
      <c r="CB59" s="104"/>
      <c r="CC59" s="104"/>
      <c r="CD59" s="122"/>
      <c r="CE59" s="556"/>
      <c r="CF59" s="556"/>
      <c r="CG59" s="556"/>
      <c r="CH59" s="556"/>
      <c r="CI59" s="556"/>
      <c r="CJ59" s="556"/>
      <c r="CK59" s="556"/>
      <c r="CL59" s="556"/>
      <c r="CM59" s="104"/>
      <c r="CN59" s="104"/>
      <c r="CO59" s="104"/>
      <c r="CP59" s="104"/>
      <c r="CQ59" s="104"/>
      <c r="CR59" s="104"/>
      <c r="CS59" s="104"/>
      <c r="CT59" s="104"/>
      <c r="CU59" s="104"/>
    </row>
    <row r="60">
      <c r="A60" s="846" t="s">
        <v>4261</v>
      </c>
      <c r="B60" s="202" t="s">
        <v>203</v>
      </c>
      <c r="C60" s="196" t="s">
        <v>271</v>
      </c>
      <c r="D60" s="197" t="s">
        <v>271</v>
      </c>
      <c r="E60" s="199" t="s">
        <v>271</v>
      </c>
      <c r="F60" s="201" t="s">
        <v>271</v>
      </c>
      <c r="G60" s="202" t="s">
        <v>233</v>
      </c>
      <c r="H60" s="609"/>
      <c r="I60" s="609"/>
      <c r="J60" s="104"/>
      <c r="K60" s="104"/>
      <c r="L60" s="104"/>
      <c r="M60" s="104"/>
      <c r="N60" s="104"/>
      <c r="O60" s="104"/>
      <c r="P60" s="104"/>
      <c r="Q60" s="104"/>
      <c r="R60" s="104"/>
      <c r="S60" s="104"/>
      <c r="T60" s="104"/>
      <c r="U60" s="104"/>
      <c r="V60" s="104"/>
      <c r="W60" s="104"/>
      <c r="X60" s="104"/>
      <c r="Y60" s="104"/>
      <c r="Z60" s="104"/>
      <c r="AA60" s="104"/>
      <c r="AB60" s="104"/>
      <c r="AC60" s="104"/>
      <c r="AD60" s="104"/>
      <c r="AE60" s="104"/>
      <c r="AF60" s="104"/>
      <c r="AG60" s="104"/>
      <c r="AH60" s="104"/>
      <c r="AI60" s="104"/>
      <c r="AJ60" s="104"/>
      <c r="AK60" s="104"/>
      <c r="AL60" s="104"/>
      <c r="AM60" s="104"/>
      <c r="AN60" s="104"/>
      <c r="AO60" s="104"/>
      <c r="AP60" s="104"/>
      <c r="AQ60" s="104"/>
      <c r="AR60" s="104"/>
      <c r="AS60" s="104"/>
      <c r="AT60" s="104"/>
      <c r="AU60" s="104"/>
      <c r="AV60" s="104"/>
      <c r="AW60" s="104"/>
      <c r="AX60" s="104"/>
      <c r="AY60" s="104"/>
      <c r="AZ60" s="104"/>
      <c r="BA60" s="104"/>
      <c r="BB60" s="104"/>
      <c r="BC60" s="162" t="s">
        <v>2357</v>
      </c>
      <c r="BD60" s="162" t="s">
        <v>3795</v>
      </c>
      <c r="BE60" s="107"/>
      <c r="BF60" s="107"/>
      <c r="BG60" s="104"/>
      <c r="BH60" s="104"/>
      <c r="BI60" s="104"/>
      <c r="BJ60" s="104"/>
      <c r="BK60" s="104"/>
      <c r="BL60" s="104"/>
      <c r="BM60" s="104"/>
      <c r="BN60" s="104"/>
      <c r="BO60" s="104"/>
      <c r="BP60" s="104"/>
      <c r="BQ60" s="104"/>
      <c r="BR60" s="104"/>
      <c r="BS60" s="104"/>
      <c r="BT60" s="104"/>
      <c r="BU60" s="104"/>
      <c r="BV60" s="104"/>
      <c r="BW60" s="122"/>
      <c r="BX60" s="104"/>
      <c r="BY60" s="104"/>
      <c r="BZ60" s="104"/>
      <c r="CA60" s="122"/>
      <c r="CB60" s="104"/>
      <c r="CC60" s="104"/>
      <c r="CD60" s="122"/>
      <c r="CE60" s="104"/>
      <c r="CF60" s="104"/>
      <c r="CG60" s="104"/>
      <c r="CH60" s="104"/>
      <c r="CI60" s="104"/>
      <c r="CJ60" s="104"/>
      <c r="CK60" s="104"/>
      <c r="CL60" s="104"/>
      <c r="CM60" s="104"/>
      <c r="CN60" s="104"/>
      <c r="CO60" s="104"/>
      <c r="CP60" s="104"/>
      <c r="CQ60" s="104"/>
      <c r="CR60" s="104"/>
      <c r="CS60" s="104"/>
      <c r="CT60" s="104"/>
      <c r="CU60" s="104"/>
    </row>
    <row r="61">
      <c r="A61" s="848" t="s">
        <v>4268</v>
      </c>
      <c r="B61" s="202" t="s">
        <v>233</v>
      </c>
      <c r="C61" s="196" t="s">
        <v>271</v>
      </c>
      <c r="D61" s="197" t="s">
        <v>271</v>
      </c>
      <c r="E61" s="199" t="s">
        <v>271</v>
      </c>
      <c r="F61" s="201" t="s">
        <v>271</v>
      </c>
      <c r="G61" s="202" t="s">
        <v>171</v>
      </c>
      <c r="H61" s="609"/>
      <c r="I61" s="609"/>
      <c r="J61" s="104"/>
      <c r="K61" s="104"/>
      <c r="L61" s="104"/>
      <c r="M61" s="104"/>
      <c r="N61" s="104"/>
      <c r="O61" s="104"/>
      <c r="P61" s="104"/>
      <c r="Q61" s="104"/>
      <c r="R61" s="107"/>
      <c r="S61" s="104"/>
      <c r="T61" s="104"/>
      <c r="U61" s="104"/>
      <c r="V61" s="104"/>
      <c r="W61" s="104"/>
      <c r="X61" s="104"/>
      <c r="Y61" s="104"/>
      <c r="Z61" s="104"/>
      <c r="AA61" s="104"/>
      <c r="AB61" s="104"/>
      <c r="AC61" s="104"/>
      <c r="AD61" s="104"/>
      <c r="AE61" s="104"/>
      <c r="AF61" s="104"/>
      <c r="AG61" s="104"/>
      <c r="AH61" s="104"/>
      <c r="AI61" s="104"/>
      <c r="AJ61" s="104"/>
      <c r="AK61" s="104"/>
      <c r="AL61" s="104"/>
      <c r="AM61" s="104"/>
      <c r="AN61" s="104"/>
      <c r="AO61" s="104"/>
      <c r="AP61" s="104"/>
      <c r="AQ61" s="104"/>
      <c r="AR61" s="104"/>
      <c r="AS61" s="104"/>
      <c r="AT61" s="104"/>
      <c r="AU61" s="104"/>
      <c r="AV61" s="104"/>
      <c r="AW61" s="104"/>
      <c r="AX61" s="104"/>
      <c r="AY61" s="104"/>
      <c r="AZ61" s="104"/>
      <c r="BA61" s="104"/>
      <c r="BB61" s="104"/>
      <c r="BC61" s="107"/>
      <c r="BD61" s="104"/>
      <c r="BE61" s="104"/>
      <c r="BF61" s="104"/>
      <c r="BG61" s="104"/>
      <c r="BH61" s="104"/>
      <c r="BI61" s="104"/>
      <c r="BJ61" s="104"/>
      <c r="BK61" s="104"/>
      <c r="BL61" s="104"/>
      <c r="BM61" s="104"/>
      <c r="BN61" s="104"/>
      <c r="BO61" s="104"/>
      <c r="BP61" s="104"/>
      <c r="BQ61" s="104"/>
      <c r="BR61" s="104"/>
      <c r="BS61" s="104"/>
      <c r="BT61" s="104"/>
      <c r="BU61" s="104"/>
      <c r="BV61" s="107"/>
      <c r="BW61" s="107" t="s">
        <v>4274</v>
      </c>
      <c r="BX61" s="104"/>
      <c r="BY61" s="104"/>
      <c r="BZ61" s="104"/>
      <c r="CA61" s="122"/>
      <c r="CB61" s="104"/>
      <c r="CC61" s="104"/>
      <c r="CD61" s="122"/>
      <c r="CE61" s="104"/>
      <c r="CF61" s="104"/>
      <c r="CG61" s="104"/>
      <c r="CH61" s="104"/>
      <c r="CI61" s="104"/>
      <c r="CJ61" s="104"/>
      <c r="CK61" s="104"/>
      <c r="CL61" s="104"/>
      <c r="CM61" s="104"/>
      <c r="CN61" s="104"/>
      <c r="CO61" s="104"/>
      <c r="CP61" s="104"/>
      <c r="CQ61" s="104"/>
      <c r="CR61" s="104"/>
      <c r="CS61" s="104"/>
      <c r="CT61" s="104"/>
      <c r="CU61" s="104"/>
    </row>
    <row r="62">
      <c r="A62" s="595" t="s">
        <v>4276</v>
      </c>
      <c r="B62" s="202" t="s">
        <v>233</v>
      </c>
      <c r="C62" s="196" t="s">
        <v>271</v>
      </c>
      <c r="D62" s="197" t="s">
        <v>271</v>
      </c>
      <c r="E62" s="199" t="s">
        <v>271</v>
      </c>
      <c r="F62" s="201" t="s">
        <v>271</v>
      </c>
      <c r="G62" s="202" t="s">
        <v>171</v>
      </c>
      <c r="H62" s="609"/>
      <c r="I62" s="609"/>
      <c r="J62" s="104"/>
      <c r="K62" s="104"/>
      <c r="L62" s="104"/>
      <c r="M62" s="104"/>
      <c r="N62" s="104"/>
      <c r="O62" s="104"/>
      <c r="P62" s="104"/>
      <c r="Q62" s="104"/>
      <c r="R62" s="104"/>
      <c r="S62" s="104"/>
      <c r="T62" s="104"/>
      <c r="U62" s="104"/>
      <c r="V62" s="162" t="s">
        <v>2448</v>
      </c>
      <c r="W62" s="104"/>
      <c r="X62" s="104"/>
      <c r="Y62" s="104"/>
      <c r="Z62" s="104"/>
      <c r="AA62" s="104"/>
      <c r="AB62" s="104"/>
      <c r="AC62" s="104"/>
      <c r="AD62" s="104"/>
      <c r="AE62" s="104"/>
      <c r="AF62" s="104"/>
      <c r="AG62" s="104"/>
      <c r="AH62" s="104"/>
      <c r="AI62" s="104"/>
      <c r="AJ62" s="104"/>
      <c r="AK62" s="104"/>
      <c r="AL62" s="104"/>
      <c r="AM62" s="104"/>
      <c r="AN62" s="104"/>
      <c r="AO62" s="104"/>
      <c r="AP62" s="104"/>
      <c r="AQ62" s="104"/>
      <c r="AR62" s="104"/>
      <c r="AS62" s="104"/>
      <c r="AT62" s="104"/>
      <c r="AU62" s="104"/>
      <c r="AV62" s="104"/>
      <c r="AW62" s="104"/>
      <c r="AX62" s="104"/>
      <c r="AY62" s="104"/>
      <c r="AZ62" s="104"/>
      <c r="BA62" s="104"/>
      <c r="BB62" s="104"/>
      <c r="BC62" s="104"/>
      <c r="BD62" s="104"/>
      <c r="BE62" s="104"/>
      <c r="BF62" s="104"/>
      <c r="BG62" s="652"/>
      <c r="BH62" s="652"/>
      <c r="BI62" s="652"/>
      <c r="BJ62" s="652"/>
      <c r="BK62" s="652"/>
      <c r="BL62" s="652"/>
      <c r="BM62" s="652"/>
      <c r="BN62" s="652"/>
      <c r="BO62" s="652"/>
      <c r="BP62" s="652"/>
      <c r="BQ62" s="104"/>
      <c r="BR62" s="104"/>
      <c r="BS62" s="104"/>
      <c r="BT62" s="104"/>
      <c r="BU62" s="104"/>
      <c r="BV62" s="104"/>
      <c r="BW62" s="122"/>
      <c r="BX62" s="104"/>
      <c r="BY62" s="107"/>
      <c r="BZ62" s="104"/>
      <c r="CA62" s="122"/>
      <c r="CB62" s="104"/>
      <c r="CC62" s="104"/>
      <c r="CD62" s="122"/>
      <c r="CE62" s="556"/>
      <c r="CF62" s="556"/>
      <c r="CG62" s="556"/>
      <c r="CH62" s="556"/>
      <c r="CI62" s="556"/>
      <c r="CJ62" s="556"/>
      <c r="CK62" s="556"/>
      <c r="CL62" s="556"/>
      <c r="CM62" s="556"/>
      <c r="CN62" s="556"/>
      <c r="CO62" s="556"/>
      <c r="CP62" s="556"/>
      <c r="CQ62" s="556"/>
      <c r="CR62" s="556"/>
      <c r="CS62" s="556"/>
      <c r="CT62" s="104"/>
      <c r="CU62" s="104"/>
    </row>
    <row r="63">
      <c r="A63" s="743" t="s">
        <v>4282</v>
      </c>
      <c r="B63" s="202" t="s">
        <v>171</v>
      </c>
      <c r="C63" s="196" t="s">
        <v>271</v>
      </c>
      <c r="D63" s="197" t="s">
        <v>271</v>
      </c>
      <c r="E63" s="199" t="s">
        <v>271</v>
      </c>
      <c r="F63" s="201" t="s">
        <v>271</v>
      </c>
      <c r="G63" s="202" t="s">
        <v>171</v>
      </c>
      <c r="H63" s="781"/>
      <c r="I63" s="781"/>
      <c r="J63" s="104"/>
      <c r="K63" s="104"/>
      <c r="L63" s="104"/>
      <c r="M63" s="104"/>
      <c r="N63" s="104"/>
      <c r="O63" s="104"/>
      <c r="P63" s="104"/>
      <c r="Q63" s="104"/>
      <c r="R63" s="104"/>
      <c r="S63" s="104"/>
      <c r="T63" s="104"/>
      <c r="U63" s="104"/>
      <c r="V63" s="104"/>
      <c r="W63" s="104"/>
      <c r="X63" s="104"/>
      <c r="Y63" s="104"/>
      <c r="Z63" s="104"/>
      <c r="AA63" s="107" t="s">
        <v>4284</v>
      </c>
      <c r="AB63" s="104"/>
      <c r="AC63" s="104"/>
      <c r="AD63" s="104"/>
      <c r="AE63" s="236"/>
      <c r="AF63" s="104"/>
      <c r="AG63" s="104"/>
      <c r="AH63" s="104"/>
      <c r="AI63" s="104"/>
      <c r="AJ63" s="104"/>
      <c r="AK63" s="104"/>
      <c r="AL63" s="104"/>
      <c r="AM63" s="104"/>
      <c r="AN63" s="104"/>
      <c r="AO63" s="104"/>
      <c r="AP63" s="104"/>
      <c r="AQ63" s="104"/>
      <c r="AR63" s="104"/>
      <c r="AS63" s="104"/>
      <c r="AT63" s="104"/>
      <c r="AU63" s="104"/>
      <c r="AV63" s="104"/>
      <c r="AW63" s="104"/>
      <c r="AX63" s="104"/>
      <c r="AY63" s="104"/>
      <c r="AZ63" s="104"/>
      <c r="BA63" s="104"/>
      <c r="BB63" s="104"/>
      <c r="BC63" s="104"/>
      <c r="BD63" s="104"/>
      <c r="BE63" s="104"/>
      <c r="BF63" s="104"/>
      <c r="BG63" s="104"/>
      <c r="BH63" s="104"/>
      <c r="BI63" s="104"/>
      <c r="BJ63" s="104"/>
      <c r="BK63" s="104"/>
      <c r="BL63" s="104"/>
      <c r="BM63" s="104"/>
      <c r="BN63" s="104"/>
      <c r="BO63" s="104"/>
      <c r="BP63" s="104"/>
      <c r="BQ63" s="104"/>
      <c r="BR63" s="104"/>
      <c r="BS63" s="104"/>
      <c r="BT63" s="104"/>
      <c r="BU63" s="104"/>
      <c r="BV63" s="104"/>
      <c r="BW63" s="122"/>
      <c r="BX63" s="104"/>
      <c r="BY63" s="104"/>
      <c r="BZ63" s="104"/>
      <c r="CA63" s="122"/>
      <c r="CB63" s="104"/>
      <c r="CC63" s="104"/>
      <c r="CD63" s="122"/>
      <c r="CE63" s="104"/>
      <c r="CF63" s="104"/>
      <c r="CG63" s="104"/>
      <c r="CH63" s="104"/>
      <c r="CI63" s="104"/>
      <c r="CJ63" s="104"/>
      <c r="CK63" s="104"/>
      <c r="CL63" s="104"/>
      <c r="CM63" s="104"/>
      <c r="CN63" s="104"/>
      <c r="CO63" s="104"/>
      <c r="CP63" s="104"/>
      <c r="CQ63" s="104"/>
      <c r="CR63" s="104"/>
      <c r="CS63" s="104"/>
      <c r="CT63" s="104"/>
      <c r="CU63" s="104"/>
    </row>
    <row r="64">
      <c r="A64" s="743" t="s">
        <v>4290</v>
      </c>
      <c r="B64" s="202" t="s">
        <v>271</v>
      </c>
      <c r="C64" s="196" t="s">
        <v>271</v>
      </c>
      <c r="D64" s="197" t="s">
        <v>271</v>
      </c>
      <c r="E64" s="199" t="s">
        <v>271</v>
      </c>
      <c r="F64" s="201" t="s">
        <v>271</v>
      </c>
      <c r="G64" s="202" t="s">
        <v>271</v>
      </c>
      <c r="H64" s="609"/>
      <c r="I64" s="609"/>
      <c r="J64" s="104"/>
      <c r="K64" s="104"/>
      <c r="L64" s="104"/>
      <c r="M64" s="104"/>
      <c r="N64" s="104"/>
      <c r="O64" s="104"/>
      <c r="P64" s="104"/>
      <c r="Q64" s="104"/>
      <c r="R64" s="104"/>
      <c r="S64" s="104"/>
      <c r="T64" s="104"/>
      <c r="U64" s="104"/>
      <c r="V64" s="104"/>
      <c r="W64" s="104"/>
      <c r="X64" s="104"/>
      <c r="Y64" s="104"/>
      <c r="Z64" s="104"/>
      <c r="AA64" s="104"/>
      <c r="AB64" s="104"/>
      <c r="AC64" s="104"/>
      <c r="AD64" s="104"/>
      <c r="AE64" s="104"/>
      <c r="AF64" s="104"/>
      <c r="AG64" s="104"/>
      <c r="AH64" s="104"/>
      <c r="AI64" s="104"/>
      <c r="AJ64" s="104"/>
      <c r="AK64" s="104"/>
      <c r="AL64" s="104"/>
      <c r="AM64" s="104"/>
      <c r="AN64" s="104"/>
      <c r="AO64" s="104"/>
      <c r="AP64" s="104"/>
      <c r="AQ64" s="104"/>
      <c r="AR64" s="104"/>
      <c r="AS64" s="104"/>
      <c r="AT64" s="104"/>
      <c r="AU64" s="104"/>
      <c r="AV64" s="104"/>
      <c r="AW64" s="104"/>
      <c r="AX64" s="104"/>
      <c r="AY64" s="104"/>
      <c r="AZ64" s="104"/>
      <c r="BA64" s="104"/>
      <c r="BB64" s="104"/>
      <c r="BC64" s="104"/>
      <c r="BD64" s="104"/>
      <c r="BE64" s="104"/>
      <c r="BF64" s="104"/>
      <c r="BG64" s="104"/>
      <c r="BH64" s="104"/>
      <c r="BI64" s="104"/>
      <c r="BJ64" s="104"/>
      <c r="BK64" s="104"/>
      <c r="BL64" s="104"/>
      <c r="BM64" s="104"/>
      <c r="BN64" s="104"/>
      <c r="BO64" s="104"/>
      <c r="BP64" s="104"/>
      <c r="BQ64" s="104"/>
      <c r="BR64" s="104"/>
      <c r="BS64" s="104"/>
      <c r="BT64" s="104"/>
      <c r="BU64" s="104"/>
      <c r="BV64" s="104"/>
      <c r="BW64" s="122"/>
      <c r="BX64" s="104"/>
      <c r="BY64" s="104"/>
      <c r="BZ64" s="104"/>
      <c r="CA64" s="122"/>
      <c r="CB64" s="104"/>
      <c r="CC64" s="104"/>
      <c r="CD64" s="122"/>
      <c r="CE64" s="104"/>
      <c r="CF64" s="104"/>
      <c r="CG64" s="104"/>
      <c r="CH64" s="104"/>
      <c r="CI64" s="104"/>
      <c r="CJ64" s="104"/>
      <c r="CK64" s="104"/>
      <c r="CL64" s="104"/>
      <c r="CM64" s="104"/>
      <c r="CN64" s="104"/>
      <c r="CO64" s="104"/>
      <c r="CP64" s="104"/>
      <c r="CQ64" s="104"/>
      <c r="CR64" s="104"/>
      <c r="CS64" s="104"/>
      <c r="CT64" s="104"/>
      <c r="CU64" s="104"/>
    </row>
    <row r="65">
      <c r="A65" s="743" t="s">
        <v>4295</v>
      </c>
      <c r="B65" s="202" t="s">
        <v>271</v>
      </c>
      <c r="C65" s="196" t="s">
        <v>271</v>
      </c>
      <c r="D65" s="197" t="s">
        <v>271</v>
      </c>
      <c r="E65" s="199" t="s">
        <v>271</v>
      </c>
      <c r="F65" s="201" t="s">
        <v>271</v>
      </c>
      <c r="G65" s="202" t="s">
        <v>271</v>
      </c>
      <c r="H65" s="609"/>
      <c r="I65" s="609"/>
      <c r="J65" s="104"/>
      <c r="K65" s="104"/>
      <c r="L65" s="104"/>
      <c r="M65" s="104"/>
      <c r="N65" s="104"/>
      <c r="O65" s="104"/>
      <c r="P65" s="104"/>
      <c r="Q65" s="104"/>
      <c r="R65" s="104"/>
      <c r="S65" s="104"/>
      <c r="T65" s="104"/>
      <c r="U65" s="104"/>
      <c r="V65" s="104"/>
      <c r="W65" s="104"/>
      <c r="X65" s="104"/>
      <c r="Y65" s="104"/>
      <c r="Z65" s="104"/>
      <c r="AA65" s="104"/>
      <c r="AB65" s="104"/>
      <c r="AC65" s="104"/>
      <c r="AD65" s="104"/>
      <c r="AE65" s="104"/>
      <c r="AF65" s="104"/>
      <c r="AG65" s="104"/>
      <c r="AH65" s="104"/>
      <c r="AI65" s="104"/>
      <c r="AJ65" s="104"/>
      <c r="AK65" s="104"/>
      <c r="AL65" s="104"/>
      <c r="AM65" s="104"/>
      <c r="AN65" s="104"/>
      <c r="AO65" s="104"/>
      <c r="AP65" s="104"/>
      <c r="AQ65" s="104"/>
      <c r="AR65" s="104"/>
      <c r="AS65" s="104"/>
      <c r="AT65" s="104"/>
      <c r="AU65" s="104"/>
      <c r="AV65" s="104"/>
      <c r="AW65" s="104"/>
      <c r="AX65" s="104"/>
      <c r="AY65" s="104"/>
      <c r="AZ65" s="104"/>
      <c r="BA65" s="104"/>
      <c r="BB65" s="104"/>
      <c r="BC65" s="104"/>
      <c r="BD65" s="104"/>
      <c r="BE65" s="104"/>
      <c r="BF65" s="104"/>
      <c r="BG65" s="104"/>
      <c r="BH65" s="104"/>
      <c r="BI65" s="104"/>
      <c r="BJ65" s="104"/>
      <c r="BK65" s="104"/>
      <c r="BL65" s="104"/>
      <c r="BM65" s="104"/>
      <c r="BN65" s="104"/>
      <c r="BO65" s="104"/>
      <c r="BP65" s="104"/>
      <c r="BQ65" s="104"/>
      <c r="BR65" s="104"/>
      <c r="BS65" s="104"/>
      <c r="BT65" s="104"/>
      <c r="BU65" s="104"/>
      <c r="BV65" s="104"/>
      <c r="BW65" s="122"/>
      <c r="BX65" s="104"/>
      <c r="BY65" s="104"/>
      <c r="BZ65" s="104"/>
      <c r="CA65" s="122"/>
      <c r="CB65" s="104"/>
      <c r="CC65" s="104"/>
      <c r="CD65" s="122"/>
      <c r="CE65" s="104"/>
      <c r="CF65" s="104"/>
      <c r="CG65" s="104"/>
      <c r="CH65" s="104"/>
      <c r="CI65" s="104"/>
      <c r="CJ65" s="104"/>
      <c r="CK65" s="104"/>
      <c r="CL65" s="104"/>
      <c r="CM65" s="104"/>
      <c r="CN65" s="104"/>
      <c r="CO65" s="104"/>
      <c r="CP65" s="104"/>
      <c r="CQ65" s="104"/>
      <c r="CR65" s="104"/>
      <c r="CS65" s="104"/>
      <c r="CT65" s="104"/>
      <c r="CU65" s="104"/>
    </row>
    <row r="66">
      <c r="A66" s="595"/>
      <c r="B66" s="202" t="s">
        <v>271</v>
      </c>
      <c r="C66" s="196" t="s">
        <v>271</v>
      </c>
      <c r="D66" s="197" t="s">
        <v>271</v>
      </c>
      <c r="E66" s="199" t="s">
        <v>271</v>
      </c>
      <c r="F66" s="201" t="s">
        <v>271</v>
      </c>
      <c r="G66" s="202" t="s">
        <v>271</v>
      </c>
      <c r="H66" s="609"/>
      <c r="I66" s="609"/>
      <c r="J66" s="104"/>
      <c r="K66" s="104"/>
      <c r="L66" s="104"/>
      <c r="M66" s="104"/>
      <c r="N66" s="104"/>
      <c r="O66" s="104"/>
      <c r="P66" s="104"/>
      <c r="Q66" s="104"/>
      <c r="R66" s="104"/>
      <c r="S66" s="104"/>
      <c r="T66" s="104"/>
      <c r="U66" s="104"/>
      <c r="V66" s="104"/>
      <c r="W66" s="104"/>
      <c r="X66" s="104"/>
      <c r="Y66" s="104"/>
      <c r="Z66" s="104"/>
      <c r="AA66" s="104"/>
      <c r="AB66" s="104"/>
      <c r="AC66" s="104"/>
      <c r="AD66" s="104"/>
      <c r="AE66" s="104"/>
      <c r="AF66" s="104"/>
      <c r="AG66" s="104"/>
      <c r="AH66" s="104"/>
      <c r="AI66" s="104"/>
      <c r="AJ66" s="104"/>
      <c r="AK66" s="104"/>
      <c r="AL66" s="104"/>
      <c r="AM66" s="104"/>
      <c r="AN66" s="104"/>
      <c r="AO66" s="104"/>
      <c r="AP66" s="104"/>
      <c r="AQ66" s="104"/>
      <c r="AR66" s="104"/>
      <c r="AS66" s="104"/>
      <c r="AT66" s="104"/>
      <c r="AU66" s="104"/>
      <c r="AV66" s="104"/>
      <c r="AW66" s="104"/>
      <c r="AX66" s="104"/>
      <c r="AY66" s="104"/>
      <c r="AZ66" s="104"/>
      <c r="BA66" s="104"/>
      <c r="BB66" s="104"/>
      <c r="BC66" s="104"/>
      <c r="BD66" s="104"/>
      <c r="BE66" s="104"/>
      <c r="BF66" s="104"/>
      <c r="BG66" s="104"/>
      <c r="BH66" s="104"/>
      <c r="BI66" s="104"/>
      <c r="BJ66" s="104"/>
      <c r="BK66" s="104"/>
      <c r="BL66" s="104"/>
      <c r="BM66" s="104"/>
      <c r="BN66" s="104"/>
      <c r="BO66" s="104"/>
      <c r="BP66" s="104"/>
      <c r="BQ66" s="104"/>
      <c r="BR66" s="104"/>
      <c r="BS66" s="104"/>
      <c r="BT66" s="104"/>
      <c r="BU66" s="104"/>
      <c r="BV66" s="104"/>
      <c r="BW66" s="122"/>
      <c r="BX66" s="104"/>
      <c r="BY66" s="104"/>
      <c r="BZ66" s="104"/>
      <c r="CA66" s="122"/>
      <c r="CB66" s="104"/>
      <c r="CC66" s="104"/>
      <c r="CD66" s="122"/>
      <c r="CE66" s="104"/>
      <c r="CF66" s="104"/>
      <c r="CG66" s="104"/>
      <c r="CH66" s="104"/>
      <c r="CI66" s="104"/>
      <c r="CJ66" s="104"/>
      <c r="CK66" s="104"/>
      <c r="CL66" s="104"/>
      <c r="CM66" s="104"/>
      <c r="CN66" s="104"/>
      <c r="CO66" s="104"/>
      <c r="CP66" s="104"/>
      <c r="CQ66" s="104"/>
      <c r="CR66" s="104"/>
      <c r="CS66" s="104"/>
      <c r="CT66" s="104"/>
      <c r="CU66" s="104"/>
    </row>
    <row r="67">
      <c r="A67" s="595"/>
      <c r="B67" s="202" t="s">
        <v>271</v>
      </c>
      <c r="C67" s="196" t="s">
        <v>271</v>
      </c>
      <c r="D67" s="197" t="s">
        <v>271</v>
      </c>
      <c r="E67" s="199" t="s">
        <v>271</v>
      </c>
      <c r="F67" s="201" t="s">
        <v>271</v>
      </c>
      <c r="G67" s="202" t="s">
        <v>271</v>
      </c>
      <c r="H67" s="609"/>
      <c r="I67" s="609"/>
      <c r="J67" s="104"/>
      <c r="K67" s="104"/>
      <c r="L67" s="104"/>
      <c r="M67" s="104"/>
      <c r="N67" s="104"/>
      <c r="O67" s="104"/>
      <c r="P67" s="104"/>
      <c r="Q67" s="104"/>
      <c r="R67" s="104"/>
      <c r="S67" s="104"/>
      <c r="T67" s="104"/>
      <c r="U67" s="104"/>
      <c r="V67" s="104"/>
      <c r="W67" s="104"/>
      <c r="X67" s="104"/>
      <c r="Y67" s="104"/>
      <c r="Z67" s="104"/>
      <c r="AA67" s="104"/>
      <c r="AB67" s="104"/>
      <c r="AC67" s="104"/>
      <c r="AD67" s="104"/>
      <c r="AE67" s="104"/>
      <c r="AF67" s="104"/>
      <c r="AG67" s="104"/>
      <c r="AH67" s="104"/>
      <c r="AI67" s="104"/>
      <c r="AJ67" s="104"/>
      <c r="AK67" s="104"/>
      <c r="AL67" s="104"/>
      <c r="AM67" s="104"/>
      <c r="AN67" s="104"/>
      <c r="AO67" s="104"/>
      <c r="AP67" s="104"/>
      <c r="AQ67" s="104"/>
      <c r="AR67" s="104"/>
      <c r="AS67" s="104"/>
      <c r="AT67" s="104"/>
      <c r="AU67" s="104"/>
      <c r="AV67" s="104"/>
      <c r="AW67" s="104"/>
      <c r="AX67" s="104"/>
      <c r="AY67" s="104"/>
      <c r="AZ67" s="104"/>
      <c r="BA67" s="104"/>
      <c r="BB67" s="104"/>
      <c r="BC67" s="104"/>
      <c r="BD67" s="104"/>
      <c r="BE67" s="104"/>
      <c r="BF67" s="104"/>
      <c r="BG67" s="104"/>
      <c r="BH67" s="104"/>
      <c r="BI67" s="104"/>
      <c r="BJ67" s="104"/>
      <c r="BK67" s="104"/>
      <c r="BL67" s="104"/>
      <c r="BM67" s="104"/>
      <c r="BN67" s="104"/>
      <c r="BO67" s="104"/>
      <c r="BP67" s="104"/>
      <c r="BQ67" s="104"/>
      <c r="BR67" s="104"/>
      <c r="BS67" s="104"/>
      <c r="BT67" s="104"/>
      <c r="BU67" s="104"/>
      <c r="BV67" s="104"/>
      <c r="BW67" s="122"/>
      <c r="BX67" s="104"/>
      <c r="BY67" s="104"/>
      <c r="BZ67" s="104"/>
      <c r="CA67" s="122"/>
      <c r="CB67" s="104"/>
      <c r="CC67" s="104"/>
      <c r="CD67" s="122"/>
      <c r="CE67" s="104"/>
      <c r="CF67" s="104"/>
      <c r="CG67" s="104"/>
      <c r="CH67" s="104"/>
      <c r="CI67" s="104"/>
      <c r="CJ67" s="104"/>
      <c r="CK67" s="104"/>
      <c r="CL67" s="104"/>
      <c r="CM67" s="104"/>
      <c r="CN67" s="104"/>
      <c r="CO67" s="104"/>
      <c r="CP67" s="104"/>
      <c r="CQ67" s="104"/>
      <c r="CR67" s="104"/>
      <c r="CS67" s="104"/>
      <c r="CT67" s="104"/>
      <c r="CU67" s="104"/>
    </row>
    <row r="68">
      <c r="A68" s="595"/>
      <c r="B68" s="202" t="s">
        <v>271</v>
      </c>
      <c r="C68" s="196" t="s">
        <v>271</v>
      </c>
      <c r="D68" s="197" t="s">
        <v>271</v>
      </c>
      <c r="E68" s="199" t="s">
        <v>271</v>
      </c>
      <c r="F68" s="201" t="s">
        <v>271</v>
      </c>
      <c r="G68" s="202" t="s">
        <v>271</v>
      </c>
      <c r="H68" s="609"/>
      <c r="I68" s="609"/>
      <c r="J68" s="104"/>
      <c r="K68" s="104"/>
      <c r="L68" s="104"/>
      <c r="M68" s="104"/>
      <c r="N68" s="104"/>
      <c r="O68" s="104"/>
      <c r="P68" s="104"/>
      <c r="Q68" s="104"/>
      <c r="R68" s="104"/>
      <c r="S68" s="104"/>
      <c r="T68" s="104"/>
      <c r="U68" s="104"/>
      <c r="V68" s="104"/>
      <c r="W68" s="104"/>
      <c r="X68" s="104"/>
      <c r="Y68" s="104"/>
      <c r="Z68" s="104"/>
      <c r="AA68" s="104"/>
      <c r="AB68" s="104"/>
      <c r="AC68" s="104"/>
      <c r="AD68" s="104"/>
      <c r="AE68" s="104"/>
      <c r="AF68" s="104"/>
      <c r="AG68" s="104"/>
      <c r="AH68" s="104"/>
      <c r="AI68" s="104"/>
      <c r="AJ68" s="104"/>
      <c r="AK68" s="104"/>
      <c r="AL68" s="104"/>
      <c r="AM68" s="104"/>
      <c r="AN68" s="104"/>
      <c r="AO68" s="104"/>
      <c r="AP68" s="104"/>
      <c r="AQ68" s="104"/>
      <c r="AR68" s="104"/>
      <c r="AS68" s="104"/>
      <c r="AT68" s="104"/>
      <c r="AU68" s="104"/>
      <c r="AV68" s="104"/>
      <c r="AW68" s="104"/>
      <c r="AX68" s="104"/>
      <c r="AY68" s="104"/>
      <c r="AZ68" s="104"/>
      <c r="BA68" s="104"/>
      <c r="BB68" s="104"/>
      <c r="BC68" s="104"/>
      <c r="BD68" s="104"/>
      <c r="BE68" s="104"/>
      <c r="BF68" s="104"/>
      <c r="BG68" s="104"/>
      <c r="BH68" s="104"/>
      <c r="BI68" s="104"/>
      <c r="BJ68" s="104"/>
      <c r="BK68" s="104"/>
      <c r="BL68" s="104"/>
      <c r="BM68" s="104"/>
      <c r="BN68" s="104"/>
      <c r="BO68" s="104"/>
      <c r="BP68" s="104"/>
      <c r="BQ68" s="104"/>
      <c r="BR68" s="104"/>
      <c r="BS68" s="104"/>
      <c r="BT68" s="104"/>
      <c r="BU68" s="104"/>
      <c r="BV68" s="104"/>
      <c r="BW68" s="122"/>
      <c r="BX68" s="104"/>
      <c r="BY68" s="104"/>
      <c r="BZ68" s="104"/>
      <c r="CA68" s="122"/>
      <c r="CB68" s="104"/>
      <c r="CC68" s="104"/>
      <c r="CD68" s="122"/>
      <c r="CE68" s="104"/>
      <c r="CF68" s="104"/>
      <c r="CG68" s="104"/>
      <c r="CH68" s="104"/>
      <c r="CI68" s="104"/>
      <c r="CJ68" s="104"/>
      <c r="CK68" s="104"/>
      <c r="CL68" s="104"/>
      <c r="CM68" s="104"/>
      <c r="CN68" s="104"/>
      <c r="CO68" s="104"/>
      <c r="CP68" s="104"/>
      <c r="CQ68" s="104"/>
      <c r="CR68" s="104"/>
      <c r="CS68" s="104"/>
      <c r="CT68" s="104"/>
      <c r="CU68" s="104"/>
    </row>
    <row r="69">
      <c r="A69" s="595"/>
      <c r="B69" s="202" t="s">
        <v>271</v>
      </c>
      <c r="C69" s="196" t="s">
        <v>271</v>
      </c>
      <c r="D69" s="197" t="s">
        <v>271</v>
      </c>
      <c r="E69" s="199" t="s">
        <v>271</v>
      </c>
      <c r="F69" s="201" t="s">
        <v>271</v>
      </c>
      <c r="G69" s="202" t="s">
        <v>271</v>
      </c>
      <c r="H69" s="609"/>
      <c r="I69" s="609"/>
      <c r="J69" s="104"/>
      <c r="K69" s="104"/>
      <c r="L69" s="104"/>
      <c r="M69" s="104"/>
      <c r="N69" s="104"/>
      <c r="O69" s="104"/>
      <c r="P69" s="104"/>
      <c r="Q69" s="104"/>
      <c r="R69" s="104"/>
      <c r="S69" s="104"/>
      <c r="T69" s="104"/>
      <c r="U69" s="104"/>
      <c r="V69" s="104"/>
      <c r="W69" s="104"/>
      <c r="X69" s="104"/>
      <c r="Y69" s="104"/>
      <c r="Z69" s="104"/>
      <c r="AA69" s="104"/>
      <c r="AB69" s="104"/>
      <c r="AC69" s="104"/>
      <c r="AD69" s="104"/>
      <c r="AE69" s="104"/>
      <c r="AF69" s="104"/>
      <c r="AG69" s="104"/>
      <c r="AH69" s="104"/>
      <c r="AI69" s="104"/>
      <c r="AJ69" s="104"/>
      <c r="AK69" s="104"/>
      <c r="AL69" s="104"/>
      <c r="AM69" s="104"/>
      <c r="AN69" s="104"/>
      <c r="AO69" s="104"/>
      <c r="AP69" s="104"/>
      <c r="AQ69" s="104"/>
      <c r="AR69" s="104"/>
      <c r="AS69" s="104"/>
      <c r="AT69" s="104"/>
      <c r="AU69" s="104"/>
      <c r="AV69" s="104"/>
      <c r="AW69" s="104"/>
      <c r="AX69" s="104"/>
      <c r="AY69" s="104"/>
      <c r="AZ69" s="104"/>
      <c r="BA69" s="104"/>
      <c r="BB69" s="104"/>
      <c r="BC69" s="104"/>
      <c r="BD69" s="104"/>
      <c r="BE69" s="104"/>
      <c r="BF69" s="104"/>
      <c r="BG69" s="104"/>
      <c r="BH69" s="104"/>
      <c r="BI69" s="104"/>
      <c r="BJ69" s="104"/>
      <c r="BK69" s="104"/>
      <c r="BL69" s="104"/>
      <c r="BM69" s="104"/>
      <c r="BN69" s="104"/>
      <c r="BO69" s="104"/>
      <c r="BP69" s="104"/>
      <c r="BQ69" s="104"/>
      <c r="BR69" s="104"/>
      <c r="BS69" s="104"/>
      <c r="BT69" s="104"/>
      <c r="BU69" s="104"/>
      <c r="BV69" s="104"/>
      <c r="BW69" s="122"/>
      <c r="BX69" s="104"/>
      <c r="BY69" s="104"/>
      <c r="BZ69" s="104"/>
      <c r="CA69" s="122"/>
      <c r="CB69" s="104"/>
      <c r="CC69" s="104"/>
      <c r="CD69" s="122"/>
      <c r="CE69" s="104"/>
      <c r="CF69" s="104"/>
      <c r="CG69" s="104"/>
      <c r="CH69" s="104"/>
      <c r="CI69" s="104"/>
      <c r="CJ69" s="104"/>
      <c r="CK69" s="104"/>
      <c r="CL69" s="104"/>
      <c r="CM69" s="104"/>
      <c r="CN69" s="104"/>
      <c r="CO69" s="104"/>
      <c r="CP69" s="104"/>
      <c r="CQ69" s="104"/>
      <c r="CR69" s="104"/>
      <c r="CS69" s="104"/>
      <c r="CT69" s="104"/>
      <c r="CU69" s="104"/>
    </row>
    <row r="70">
      <c r="A70" s="595"/>
      <c r="B70" s="202" t="s">
        <v>271</v>
      </c>
      <c r="C70" s="196" t="s">
        <v>271</v>
      </c>
      <c r="D70" s="197" t="s">
        <v>271</v>
      </c>
      <c r="E70" s="199" t="s">
        <v>271</v>
      </c>
      <c r="F70" s="201" t="s">
        <v>271</v>
      </c>
      <c r="G70" s="202" t="s">
        <v>271</v>
      </c>
      <c r="H70" s="609"/>
      <c r="I70" s="609"/>
      <c r="J70" s="104"/>
      <c r="K70" s="104"/>
      <c r="L70" s="104"/>
      <c r="M70" s="104"/>
      <c r="N70" s="104"/>
      <c r="O70" s="104"/>
      <c r="P70" s="104"/>
      <c r="Q70" s="104"/>
      <c r="R70" s="104"/>
      <c r="S70" s="104"/>
      <c r="T70" s="104"/>
      <c r="U70" s="104"/>
      <c r="V70" s="104"/>
      <c r="W70" s="104"/>
      <c r="X70" s="104"/>
      <c r="Y70" s="104"/>
      <c r="Z70" s="104"/>
      <c r="AA70" s="104"/>
      <c r="AB70" s="104"/>
      <c r="AC70" s="104"/>
      <c r="AD70" s="104"/>
      <c r="AE70" s="104"/>
      <c r="AF70" s="104"/>
      <c r="AG70" s="104"/>
      <c r="AH70" s="104"/>
      <c r="AI70" s="104"/>
      <c r="AJ70" s="104"/>
      <c r="AK70" s="104"/>
      <c r="AL70" s="104"/>
      <c r="AM70" s="104"/>
      <c r="AN70" s="104"/>
      <c r="AO70" s="104"/>
      <c r="AP70" s="104"/>
      <c r="AQ70" s="104"/>
      <c r="AR70" s="104"/>
      <c r="AS70" s="104"/>
      <c r="AT70" s="104"/>
      <c r="AU70" s="104"/>
      <c r="AV70" s="104"/>
      <c r="AW70" s="104"/>
      <c r="AX70" s="104"/>
      <c r="AY70" s="104"/>
      <c r="AZ70" s="104"/>
      <c r="BA70" s="104"/>
      <c r="BB70" s="104"/>
      <c r="BC70" s="104"/>
      <c r="BD70" s="104"/>
      <c r="BE70" s="104"/>
      <c r="BF70" s="104"/>
      <c r="BG70" s="104"/>
      <c r="BH70" s="104"/>
      <c r="BI70" s="104"/>
      <c r="BJ70" s="104"/>
      <c r="BK70" s="104"/>
      <c r="BL70" s="104"/>
      <c r="BM70" s="104"/>
      <c r="BN70" s="104"/>
      <c r="BO70" s="104"/>
      <c r="BP70" s="104"/>
      <c r="BQ70" s="104"/>
      <c r="BR70" s="104"/>
      <c r="BS70" s="104"/>
      <c r="BT70" s="104"/>
      <c r="BU70" s="104"/>
      <c r="BV70" s="104"/>
      <c r="BW70" s="122"/>
      <c r="BX70" s="104"/>
      <c r="BY70" s="104"/>
      <c r="BZ70" s="104"/>
      <c r="CA70" s="122"/>
      <c r="CB70" s="104"/>
      <c r="CC70" s="104"/>
      <c r="CD70" s="122"/>
      <c r="CE70" s="104"/>
      <c r="CF70" s="104"/>
      <c r="CG70" s="104"/>
      <c r="CH70" s="104"/>
      <c r="CI70" s="104"/>
      <c r="CJ70" s="104"/>
      <c r="CK70" s="104"/>
      <c r="CL70" s="104"/>
      <c r="CM70" s="104"/>
      <c r="CN70" s="104"/>
      <c r="CO70" s="104"/>
      <c r="CP70" s="104"/>
      <c r="CQ70" s="104"/>
      <c r="CR70" s="104"/>
      <c r="CS70" s="104"/>
      <c r="CT70" s="104"/>
      <c r="CU70" s="104"/>
    </row>
    <row r="71">
      <c r="A71" s="595"/>
      <c r="B71" s="202" t="s">
        <v>271</v>
      </c>
      <c r="C71" s="196" t="s">
        <v>271</v>
      </c>
      <c r="D71" s="197" t="s">
        <v>271</v>
      </c>
      <c r="E71" s="199" t="s">
        <v>271</v>
      </c>
      <c r="F71" s="201" t="s">
        <v>271</v>
      </c>
      <c r="G71" s="202" t="s">
        <v>271</v>
      </c>
      <c r="H71" s="609"/>
      <c r="I71" s="609"/>
      <c r="J71" s="104"/>
      <c r="K71" s="104"/>
      <c r="L71" s="104"/>
      <c r="M71" s="104"/>
      <c r="N71" s="104"/>
      <c r="O71" s="104"/>
      <c r="P71" s="104"/>
      <c r="Q71" s="104"/>
      <c r="R71" s="104"/>
      <c r="S71" s="104"/>
      <c r="T71" s="104"/>
      <c r="U71" s="104"/>
      <c r="V71" s="104"/>
      <c r="W71" s="104"/>
      <c r="X71" s="104"/>
      <c r="Y71" s="104"/>
      <c r="Z71" s="104"/>
      <c r="AA71" s="104"/>
      <c r="AB71" s="104"/>
      <c r="AC71" s="104"/>
      <c r="AD71" s="104"/>
      <c r="AE71" s="104"/>
      <c r="AF71" s="104"/>
      <c r="AG71" s="104"/>
      <c r="AH71" s="104"/>
      <c r="AI71" s="104"/>
      <c r="AJ71" s="104"/>
      <c r="AK71" s="104"/>
      <c r="AL71" s="104"/>
      <c r="AM71" s="104"/>
      <c r="AN71" s="104"/>
      <c r="AO71" s="104"/>
      <c r="AP71" s="104"/>
      <c r="AQ71" s="104"/>
      <c r="AR71" s="104"/>
      <c r="AS71" s="104"/>
      <c r="AT71" s="104"/>
      <c r="AU71" s="104"/>
      <c r="AV71" s="104"/>
      <c r="AW71" s="104"/>
      <c r="AX71" s="104"/>
      <c r="AY71" s="104"/>
      <c r="AZ71" s="104"/>
      <c r="BA71" s="104"/>
      <c r="BB71" s="104"/>
      <c r="BC71" s="104"/>
      <c r="BD71" s="104"/>
      <c r="BE71" s="104"/>
      <c r="BF71" s="104"/>
      <c r="BG71" s="104"/>
      <c r="BH71" s="104"/>
      <c r="BI71" s="104"/>
      <c r="BJ71" s="104"/>
      <c r="BK71" s="104"/>
      <c r="BL71" s="104"/>
      <c r="BM71" s="104"/>
      <c r="BN71" s="104"/>
      <c r="BO71" s="104"/>
      <c r="BP71" s="104"/>
      <c r="BQ71" s="104"/>
      <c r="BR71" s="104"/>
      <c r="BS71" s="104"/>
      <c r="BT71" s="104"/>
      <c r="BU71" s="104"/>
      <c r="BV71" s="104"/>
      <c r="BW71" s="122"/>
      <c r="BX71" s="104"/>
      <c r="BY71" s="104"/>
      <c r="BZ71" s="104"/>
      <c r="CA71" s="122"/>
      <c r="CB71" s="104"/>
      <c r="CC71" s="104"/>
      <c r="CD71" s="122"/>
      <c r="CE71" s="104"/>
      <c r="CF71" s="104"/>
      <c r="CG71" s="104"/>
      <c r="CH71" s="104"/>
      <c r="CI71" s="104"/>
      <c r="CJ71" s="104"/>
      <c r="CK71" s="104"/>
      <c r="CL71" s="104"/>
      <c r="CM71" s="104"/>
      <c r="CN71" s="104"/>
      <c r="CO71" s="104"/>
      <c r="CP71" s="104"/>
      <c r="CQ71" s="104"/>
      <c r="CR71" s="104"/>
      <c r="CS71" s="104"/>
      <c r="CT71" s="104"/>
      <c r="CU71" s="104"/>
    </row>
    <row r="72">
      <c r="A72" s="595"/>
      <c r="B72" s="202" t="s">
        <v>271</v>
      </c>
      <c r="C72" s="196" t="s">
        <v>271</v>
      </c>
      <c r="D72" s="197" t="s">
        <v>271</v>
      </c>
      <c r="E72" s="199" t="s">
        <v>271</v>
      </c>
      <c r="F72" s="201" t="s">
        <v>271</v>
      </c>
      <c r="G72" s="202" t="s">
        <v>271</v>
      </c>
      <c r="H72" s="609"/>
      <c r="I72" s="609"/>
      <c r="J72" s="104"/>
      <c r="K72" s="104"/>
      <c r="L72" s="104"/>
      <c r="M72" s="104"/>
      <c r="N72" s="104"/>
      <c r="O72" s="104"/>
      <c r="P72" s="104"/>
      <c r="Q72" s="104"/>
      <c r="R72" s="104"/>
      <c r="S72" s="104"/>
      <c r="T72" s="104"/>
      <c r="U72" s="104"/>
      <c r="V72" s="104"/>
      <c r="W72" s="104"/>
      <c r="X72" s="104"/>
      <c r="Y72" s="104"/>
      <c r="Z72" s="104"/>
      <c r="AA72" s="104"/>
      <c r="AB72" s="104"/>
      <c r="AC72" s="104"/>
      <c r="AD72" s="104"/>
      <c r="AE72" s="104"/>
      <c r="AF72" s="104"/>
      <c r="AG72" s="104"/>
      <c r="AH72" s="104"/>
      <c r="AI72" s="104"/>
      <c r="AJ72" s="104"/>
      <c r="AK72" s="104"/>
      <c r="AL72" s="104"/>
      <c r="AM72" s="104"/>
      <c r="AN72" s="104"/>
      <c r="AO72" s="104"/>
      <c r="AP72" s="104"/>
      <c r="AQ72" s="104"/>
      <c r="AR72" s="104"/>
      <c r="AS72" s="104"/>
      <c r="AT72" s="104"/>
      <c r="AU72" s="104"/>
      <c r="AV72" s="104"/>
      <c r="AW72" s="104"/>
      <c r="AX72" s="104"/>
      <c r="AY72" s="104"/>
      <c r="AZ72" s="104"/>
      <c r="BA72" s="104"/>
      <c r="BB72" s="104"/>
      <c r="BC72" s="104"/>
      <c r="BD72" s="104"/>
      <c r="BE72" s="104"/>
      <c r="BF72" s="104"/>
      <c r="BG72" s="104"/>
      <c r="BH72" s="104"/>
      <c r="BI72" s="104"/>
      <c r="BJ72" s="104"/>
      <c r="BK72" s="104"/>
      <c r="BL72" s="104"/>
      <c r="BM72" s="104"/>
      <c r="BN72" s="104"/>
      <c r="BO72" s="104"/>
      <c r="BP72" s="104"/>
      <c r="BQ72" s="104"/>
      <c r="BR72" s="104"/>
      <c r="BS72" s="104"/>
      <c r="BT72" s="104"/>
      <c r="BU72" s="104"/>
      <c r="BV72" s="104"/>
      <c r="BW72" s="122"/>
      <c r="BX72" s="104"/>
      <c r="BY72" s="104"/>
      <c r="BZ72" s="104"/>
      <c r="CA72" s="122"/>
      <c r="CB72" s="104"/>
      <c r="CC72" s="104"/>
      <c r="CD72" s="122"/>
      <c r="CE72" s="104"/>
      <c r="CF72" s="104"/>
      <c r="CG72" s="104"/>
      <c r="CH72" s="104"/>
      <c r="CI72" s="104"/>
      <c r="CJ72" s="104"/>
      <c r="CK72" s="104"/>
      <c r="CL72" s="104"/>
      <c r="CM72" s="104"/>
      <c r="CN72" s="104"/>
      <c r="CO72" s="104"/>
      <c r="CP72" s="104"/>
      <c r="CQ72" s="104"/>
      <c r="CR72" s="104"/>
      <c r="CS72" s="104"/>
      <c r="CT72" s="104"/>
      <c r="CU72" s="104"/>
    </row>
    <row r="73">
      <c r="A73" s="595"/>
      <c r="B73" s="202" t="s">
        <v>271</v>
      </c>
      <c r="C73" s="196" t="s">
        <v>271</v>
      </c>
      <c r="D73" s="197" t="s">
        <v>271</v>
      </c>
      <c r="E73" s="199" t="s">
        <v>271</v>
      </c>
      <c r="F73" s="201" t="s">
        <v>271</v>
      </c>
      <c r="G73" s="202" t="s">
        <v>271</v>
      </c>
      <c r="H73" s="609"/>
      <c r="I73" s="609"/>
      <c r="J73" s="104"/>
      <c r="K73" s="104"/>
      <c r="L73" s="104"/>
      <c r="M73" s="104"/>
      <c r="N73" s="104"/>
      <c r="O73" s="104"/>
      <c r="P73" s="104"/>
      <c r="Q73" s="104"/>
      <c r="R73" s="104"/>
      <c r="S73" s="104"/>
      <c r="T73" s="104"/>
      <c r="U73" s="104"/>
      <c r="V73" s="104"/>
      <c r="W73" s="104"/>
      <c r="X73" s="104"/>
      <c r="Y73" s="104"/>
      <c r="Z73" s="104"/>
      <c r="AA73" s="104"/>
      <c r="AB73" s="104"/>
      <c r="AC73" s="104"/>
      <c r="AD73" s="104"/>
      <c r="AE73" s="104"/>
      <c r="AF73" s="104"/>
      <c r="AG73" s="104"/>
      <c r="AH73" s="104"/>
      <c r="AI73" s="104"/>
      <c r="AJ73" s="104"/>
      <c r="AK73" s="104"/>
      <c r="AL73" s="104"/>
      <c r="AM73" s="104"/>
      <c r="AN73" s="104"/>
      <c r="AO73" s="104"/>
      <c r="AP73" s="104"/>
      <c r="AQ73" s="104"/>
      <c r="AR73" s="104"/>
      <c r="AS73" s="104"/>
      <c r="AT73" s="104"/>
      <c r="AU73" s="104"/>
      <c r="AV73" s="104"/>
      <c r="AW73" s="104"/>
      <c r="AX73" s="104"/>
      <c r="AY73" s="104"/>
      <c r="AZ73" s="104"/>
      <c r="BA73" s="104"/>
      <c r="BB73" s="104"/>
      <c r="BC73" s="104"/>
      <c r="BD73" s="104"/>
      <c r="BE73" s="104"/>
      <c r="BF73" s="104"/>
      <c r="BG73" s="104"/>
      <c r="BH73" s="104"/>
      <c r="BI73" s="104"/>
      <c r="BJ73" s="104"/>
      <c r="BK73" s="104"/>
      <c r="BL73" s="104"/>
      <c r="BM73" s="104"/>
      <c r="BN73" s="104"/>
      <c r="BO73" s="104"/>
      <c r="BP73" s="104"/>
      <c r="BQ73" s="104"/>
      <c r="BR73" s="104"/>
      <c r="BS73" s="104"/>
      <c r="BT73" s="104"/>
      <c r="BU73" s="104"/>
      <c r="BV73" s="104"/>
      <c r="BW73" s="122"/>
      <c r="BX73" s="104"/>
      <c r="BY73" s="104"/>
      <c r="BZ73" s="104"/>
      <c r="CA73" s="122"/>
      <c r="CB73" s="104"/>
      <c r="CC73" s="104"/>
      <c r="CD73" s="122"/>
      <c r="CE73" s="104"/>
      <c r="CF73" s="104"/>
      <c r="CG73" s="104"/>
      <c r="CH73" s="104"/>
      <c r="CI73" s="104"/>
      <c r="CJ73" s="104"/>
      <c r="CK73" s="104"/>
      <c r="CL73" s="104"/>
      <c r="CM73" s="104"/>
      <c r="CN73" s="104"/>
      <c r="CO73" s="104"/>
      <c r="CP73" s="104"/>
      <c r="CQ73" s="104"/>
      <c r="CR73" s="104"/>
      <c r="CS73" s="104"/>
      <c r="CT73" s="104"/>
      <c r="CU73" s="104"/>
    </row>
    <row r="74">
      <c r="A74" s="595"/>
      <c r="B74" s="202" t="s">
        <v>271</v>
      </c>
      <c r="C74" s="196" t="s">
        <v>271</v>
      </c>
      <c r="D74" s="197" t="s">
        <v>271</v>
      </c>
      <c r="E74" s="199" t="s">
        <v>271</v>
      </c>
      <c r="F74" s="201" t="s">
        <v>271</v>
      </c>
      <c r="G74" s="202" t="s">
        <v>271</v>
      </c>
      <c r="H74" s="609"/>
      <c r="I74" s="609"/>
      <c r="J74" s="104"/>
      <c r="K74" s="104"/>
      <c r="L74" s="104"/>
      <c r="M74" s="104"/>
      <c r="N74" s="104"/>
      <c r="O74" s="104"/>
      <c r="P74" s="104"/>
      <c r="Q74" s="104"/>
      <c r="R74" s="104"/>
      <c r="S74" s="104"/>
      <c r="T74" s="104"/>
      <c r="U74" s="104"/>
      <c r="V74" s="104"/>
      <c r="W74" s="104"/>
      <c r="X74" s="104"/>
      <c r="Y74" s="104"/>
      <c r="Z74" s="104"/>
      <c r="AA74" s="104"/>
      <c r="AB74" s="104"/>
      <c r="AC74" s="104"/>
      <c r="AD74" s="104"/>
      <c r="AE74" s="104"/>
      <c r="AF74" s="104"/>
      <c r="AG74" s="104"/>
      <c r="AH74" s="104"/>
      <c r="AI74" s="104"/>
      <c r="AJ74" s="104"/>
      <c r="AK74" s="104"/>
      <c r="AL74" s="104"/>
      <c r="AM74" s="104"/>
      <c r="AN74" s="104"/>
      <c r="AO74" s="104"/>
      <c r="AP74" s="104"/>
      <c r="AQ74" s="104"/>
      <c r="AR74" s="104"/>
      <c r="AS74" s="104"/>
      <c r="AT74" s="104"/>
      <c r="AU74" s="104"/>
      <c r="AV74" s="104"/>
      <c r="AW74" s="104"/>
      <c r="AX74" s="104"/>
      <c r="AY74" s="104"/>
      <c r="AZ74" s="104"/>
      <c r="BA74" s="104"/>
      <c r="BB74" s="104"/>
      <c r="BC74" s="104"/>
      <c r="BD74" s="104"/>
      <c r="BE74" s="104"/>
      <c r="BF74" s="104"/>
      <c r="BG74" s="104"/>
      <c r="BH74" s="104"/>
      <c r="BI74" s="104"/>
      <c r="BJ74" s="104"/>
      <c r="BK74" s="104"/>
      <c r="BL74" s="104"/>
      <c r="BM74" s="104"/>
      <c r="BN74" s="104"/>
      <c r="BO74" s="104"/>
      <c r="BP74" s="104"/>
      <c r="BQ74" s="104"/>
      <c r="BR74" s="104"/>
      <c r="BS74" s="104"/>
      <c r="BT74" s="104"/>
      <c r="BU74" s="104"/>
      <c r="BV74" s="104"/>
      <c r="BW74" s="122"/>
      <c r="BX74" s="104"/>
      <c r="BY74" s="104"/>
      <c r="BZ74" s="104"/>
      <c r="CA74" s="122"/>
      <c r="CB74" s="104"/>
      <c r="CC74" s="104"/>
      <c r="CD74" s="122"/>
      <c r="CE74" s="104"/>
      <c r="CF74" s="104"/>
      <c r="CG74" s="104"/>
      <c r="CH74" s="104"/>
      <c r="CI74" s="104"/>
      <c r="CJ74" s="104"/>
      <c r="CK74" s="104"/>
      <c r="CL74" s="104"/>
      <c r="CM74" s="104"/>
      <c r="CN74" s="104"/>
      <c r="CO74" s="104"/>
      <c r="CP74" s="104"/>
      <c r="CQ74" s="104"/>
      <c r="CR74" s="104"/>
      <c r="CS74" s="104"/>
      <c r="CT74" s="104"/>
      <c r="CU74" s="104"/>
    </row>
    <row r="75">
      <c r="A75" s="595"/>
      <c r="B75" s="202" t="s">
        <v>271</v>
      </c>
      <c r="C75" s="196" t="s">
        <v>271</v>
      </c>
      <c r="D75" s="197" t="s">
        <v>271</v>
      </c>
      <c r="E75" s="199" t="s">
        <v>271</v>
      </c>
      <c r="F75" s="201" t="s">
        <v>271</v>
      </c>
      <c r="G75" s="202" t="s">
        <v>271</v>
      </c>
      <c r="H75" s="609"/>
      <c r="I75" s="609"/>
      <c r="J75" s="104"/>
      <c r="K75" s="104"/>
      <c r="L75" s="104"/>
      <c r="M75" s="104"/>
      <c r="N75" s="104"/>
      <c r="O75" s="104"/>
      <c r="P75" s="104"/>
      <c r="Q75" s="104"/>
      <c r="R75" s="104"/>
      <c r="S75" s="104"/>
      <c r="T75" s="104"/>
      <c r="U75" s="104"/>
      <c r="V75" s="104"/>
      <c r="W75" s="104"/>
      <c r="X75" s="104"/>
      <c r="Y75" s="104"/>
      <c r="Z75" s="104"/>
      <c r="AA75" s="104"/>
      <c r="AB75" s="104"/>
      <c r="AC75" s="104"/>
      <c r="AD75" s="104"/>
      <c r="AE75" s="104"/>
      <c r="AF75" s="104"/>
      <c r="AG75" s="104"/>
      <c r="AH75" s="104"/>
      <c r="AI75" s="104"/>
      <c r="AJ75" s="104"/>
      <c r="AK75" s="104"/>
      <c r="AL75" s="104"/>
      <c r="AM75" s="104"/>
      <c r="AN75" s="104"/>
      <c r="AO75" s="104"/>
      <c r="AP75" s="104"/>
      <c r="AQ75" s="104"/>
      <c r="AR75" s="104"/>
      <c r="AS75" s="104"/>
      <c r="AT75" s="104"/>
      <c r="AU75" s="104"/>
      <c r="AV75" s="104"/>
      <c r="AW75" s="104"/>
      <c r="AX75" s="104"/>
      <c r="AY75" s="104"/>
      <c r="AZ75" s="104"/>
      <c r="BA75" s="104"/>
      <c r="BB75" s="104"/>
      <c r="BC75" s="104"/>
      <c r="BD75" s="104"/>
      <c r="BE75" s="104"/>
      <c r="BF75" s="104"/>
      <c r="BG75" s="104"/>
      <c r="BH75" s="104"/>
      <c r="BI75" s="104"/>
      <c r="BJ75" s="104"/>
      <c r="BK75" s="104"/>
      <c r="BL75" s="104"/>
      <c r="BM75" s="104"/>
      <c r="BN75" s="104"/>
      <c r="BO75" s="104"/>
      <c r="BP75" s="104"/>
      <c r="BQ75" s="104"/>
      <c r="BR75" s="104"/>
      <c r="BS75" s="104"/>
      <c r="BT75" s="104"/>
      <c r="BU75" s="104"/>
      <c r="BV75" s="104"/>
      <c r="BW75" s="122"/>
      <c r="BX75" s="104"/>
      <c r="BY75" s="104"/>
      <c r="BZ75" s="104"/>
      <c r="CA75" s="122"/>
      <c r="CB75" s="104"/>
      <c r="CC75" s="104"/>
      <c r="CD75" s="122"/>
      <c r="CE75" s="104"/>
      <c r="CF75" s="104"/>
      <c r="CG75" s="104"/>
      <c r="CH75" s="104"/>
      <c r="CI75" s="104"/>
      <c r="CJ75" s="104"/>
      <c r="CK75" s="104"/>
      <c r="CL75" s="104"/>
      <c r="CM75" s="104"/>
      <c r="CN75" s="104"/>
      <c r="CO75" s="104"/>
      <c r="CP75" s="104"/>
      <c r="CQ75" s="104"/>
      <c r="CR75" s="104"/>
      <c r="CS75" s="104"/>
      <c r="CT75" s="104"/>
      <c r="CU75" s="104"/>
    </row>
    <row r="76">
      <c r="A76" s="595"/>
      <c r="B76" s="202" t="s">
        <v>271</v>
      </c>
      <c r="C76" s="196" t="s">
        <v>271</v>
      </c>
      <c r="D76" s="197" t="s">
        <v>271</v>
      </c>
      <c r="E76" s="199" t="s">
        <v>271</v>
      </c>
      <c r="F76" s="201" t="s">
        <v>271</v>
      </c>
      <c r="G76" s="202" t="s">
        <v>271</v>
      </c>
      <c r="H76" s="609"/>
      <c r="I76" s="609"/>
      <c r="J76" s="104"/>
      <c r="K76" s="104"/>
      <c r="L76" s="104"/>
      <c r="M76" s="104"/>
      <c r="N76" s="104"/>
      <c r="O76" s="104"/>
      <c r="P76" s="104"/>
      <c r="Q76" s="104"/>
      <c r="R76" s="104"/>
      <c r="S76" s="104"/>
      <c r="T76" s="104"/>
      <c r="U76" s="104"/>
      <c r="V76" s="104"/>
      <c r="W76" s="104"/>
      <c r="X76" s="104"/>
      <c r="Y76" s="104"/>
      <c r="Z76" s="104"/>
      <c r="AA76" s="104"/>
      <c r="AB76" s="104"/>
      <c r="AC76" s="104"/>
      <c r="AD76" s="104"/>
      <c r="AE76" s="104"/>
      <c r="AF76" s="104"/>
      <c r="AG76" s="104"/>
      <c r="AH76" s="104"/>
      <c r="AI76" s="104"/>
      <c r="AJ76" s="104"/>
      <c r="AK76" s="104"/>
      <c r="AL76" s="104"/>
      <c r="AM76" s="104"/>
      <c r="AN76" s="104"/>
      <c r="AO76" s="104"/>
      <c r="AP76" s="104"/>
      <c r="AQ76" s="104"/>
      <c r="AR76" s="104"/>
      <c r="AS76" s="104"/>
      <c r="AT76" s="104"/>
      <c r="AU76" s="104"/>
      <c r="AV76" s="104"/>
      <c r="AW76" s="104"/>
      <c r="AX76" s="104"/>
      <c r="AY76" s="104"/>
      <c r="AZ76" s="104"/>
      <c r="BA76" s="104"/>
      <c r="BB76" s="104"/>
      <c r="BC76" s="104"/>
      <c r="BD76" s="104"/>
      <c r="BE76" s="104"/>
      <c r="BF76" s="104"/>
      <c r="BG76" s="104"/>
      <c r="BH76" s="104"/>
      <c r="BI76" s="104"/>
      <c r="BJ76" s="104"/>
      <c r="BK76" s="104"/>
      <c r="BL76" s="104"/>
      <c r="BM76" s="104"/>
      <c r="BN76" s="104"/>
      <c r="BO76" s="104"/>
      <c r="BP76" s="104"/>
      <c r="BQ76" s="104"/>
      <c r="BR76" s="104"/>
      <c r="BS76" s="104"/>
      <c r="BT76" s="104"/>
      <c r="BU76" s="104"/>
      <c r="BV76" s="104"/>
      <c r="BW76" s="122"/>
      <c r="BX76" s="104"/>
      <c r="BY76" s="104"/>
      <c r="BZ76" s="104"/>
      <c r="CA76" s="122"/>
      <c r="CB76" s="104"/>
      <c r="CC76" s="104"/>
      <c r="CD76" s="122"/>
      <c r="CE76" s="104"/>
      <c r="CF76" s="104"/>
      <c r="CG76" s="104"/>
      <c r="CH76" s="104"/>
      <c r="CI76" s="104"/>
      <c r="CJ76" s="104"/>
      <c r="CK76" s="104"/>
      <c r="CL76" s="104"/>
      <c r="CM76" s="104"/>
      <c r="CN76" s="104"/>
      <c r="CO76" s="104"/>
      <c r="CP76" s="104"/>
      <c r="CQ76" s="104"/>
      <c r="CR76" s="104"/>
      <c r="CS76" s="104"/>
      <c r="CT76" s="104"/>
      <c r="CU76" s="104"/>
    </row>
    <row r="77">
      <c r="A77" s="595"/>
      <c r="B77" s="202" t="s">
        <v>271</v>
      </c>
      <c r="C77" s="196" t="s">
        <v>271</v>
      </c>
      <c r="D77" s="197" t="s">
        <v>271</v>
      </c>
      <c r="E77" s="199" t="s">
        <v>271</v>
      </c>
      <c r="F77" s="201" t="s">
        <v>271</v>
      </c>
      <c r="G77" s="202" t="s">
        <v>271</v>
      </c>
      <c r="H77" s="609"/>
      <c r="I77" s="609"/>
      <c r="J77" s="104"/>
      <c r="K77" s="104"/>
      <c r="L77" s="104"/>
      <c r="M77" s="104"/>
      <c r="N77" s="104"/>
      <c r="O77" s="104"/>
      <c r="P77" s="104"/>
      <c r="Q77" s="104"/>
      <c r="R77" s="104"/>
      <c r="S77" s="104"/>
      <c r="T77" s="104"/>
      <c r="U77" s="104"/>
      <c r="V77" s="104"/>
      <c r="W77" s="104"/>
      <c r="X77" s="104"/>
      <c r="Y77" s="104"/>
      <c r="Z77" s="104"/>
      <c r="AA77" s="104"/>
      <c r="AB77" s="104"/>
      <c r="AC77" s="104"/>
      <c r="AD77" s="104"/>
      <c r="AE77" s="104"/>
      <c r="AF77" s="104"/>
      <c r="AG77" s="104"/>
      <c r="AH77" s="104"/>
      <c r="AI77" s="104"/>
      <c r="AJ77" s="104"/>
      <c r="AK77" s="104"/>
      <c r="AL77" s="104"/>
      <c r="AM77" s="104"/>
      <c r="AN77" s="104"/>
      <c r="AO77" s="104"/>
      <c r="AP77" s="104"/>
      <c r="AQ77" s="104"/>
      <c r="AR77" s="104"/>
      <c r="AS77" s="104"/>
      <c r="AT77" s="104"/>
      <c r="AU77" s="104"/>
      <c r="AV77" s="104"/>
      <c r="AW77" s="104"/>
      <c r="AX77" s="104"/>
      <c r="AY77" s="104"/>
      <c r="AZ77" s="104"/>
      <c r="BA77" s="104"/>
      <c r="BB77" s="104"/>
      <c r="BC77" s="104"/>
      <c r="BD77" s="104"/>
      <c r="BE77" s="104"/>
      <c r="BF77" s="104"/>
      <c r="BG77" s="104"/>
      <c r="BH77" s="104"/>
      <c r="BI77" s="104"/>
      <c r="BJ77" s="104"/>
      <c r="BK77" s="104"/>
      <c r="BL77" s="104"/>
      <c r="BM77" s="104"/>
      <c r="BN77" s="104"/>
      <c r="BO77" s="104"/>
      <c r="BP77" s="104"/>
      <c r="BQ77" s="104"/>
      <c r="BR77" s="104"/>
      <c r="BS77" s="104"/>
      <c r="BT77" s="104"/>
      <c r="BU77" s="104"/>
      <c r="BV77" s="104"/>
      <c r="BW77" s="122"/>
      <c r="BX77" s="104"/>
      <c r="BY77" s="104"/>
      <c r="BZ77" s="104"/>
      <c r="CA77" s="122"/>
      <c r="CB77" s="104"/>
      <c r="CC77" s="104"/>
      <c r="CD77" s="122"/>
      <c r="CE77" s="104"/>
      <c r="CF77" s="104"/>
      <c r="CG77" s="104"/>
      <c r="CH77" s="104"/>
      <c r="CI77" s="104"/>
      <c r="CJ77" s="104"/>
      <c r="CK77" s="104"/>
      <c r="CL77" s="104"/>
      <c r="CM77" s="104"/>
      <c r="CN77" s="104"/>
      <c r="CO77" s="104"/>
      <c r="CP77" s="104"/>
      <c r="CQ77" s="104"/>
      <c r="CR77" s="104"/>
      <c r="CS77" s="104"/>
      <c r="CT77" s="104"/>
      <c r="CU77" s="104"/>
    </row>
    <row r="78">
      <c r="A78" s="595"/>
      <c r="B78" s="202" t="s">
        <v>271</v>
      </c>
      <c r="C78" s="196" t="s">
        <v>271</v>
      </c>
      <c r="D78" s="197" t="s">
        <v>271</v>
      </c>
      <c r="E78" s="199" t="s">
        <v>271</v>
      </c>
      <c r="F78" s="201" t="s">
        <v>271</v>
      </c>
      <c r="G78" s="202" t="s">
        <v>271</v>
      </c>
      <c r="H78" s="609"/>
      <c r="I78" s="609"/>
      <c r="J78" s="104"/>
      <c r="K78" s="104"/>
      <c r="L78" s="104"/>
      <c r="M78" s="104"/>
      <c r="N78" s="104"/>
      <c r="O78" s="104"/>
      <c r="P78" s="104"/>
      <c r="Q78" s="104"/>
      <c r="R78" s="104"/>
      <c r="S78" s="104"/>
      <c r="T78" s="104"/>
      <c r="U78" s="104"/>
      <c r="V78" s="104"/>
      <c r="W78" s="104"/>
      <c r="X78" s="104"/>
      <c r="Y78" s="104"/>
      <c r="Z78" s="104"/>
      <c r="AA78" s="104"/>
      <c r="AB78" s="104"/>
      <c r="AC78" s="104"/>
      <c r="AD78" s="104"/>
      <c r="AE78" s="104"/>
      <c r="AF78" s="104"/>
      <c r="AG78" s="104"/>
      <c r="AH78" s="104"/>
      <c r="AI78" s="104"/>
      <c r="AJ78" s="104"/>
      <c r="AK78" s="104"/>
      <c r="AL78" s="104"/>
      <c r="AM78" s="104"/>
      <c r="AN78" s="104"/>
      <c r="AO78" s="104"/>
      <c r="AP78" s="104"/>
      <c r="AQ78" s="104"/>
      <c r="AR78" s="104"/>
      <c r="AS78" s="104"/>
      <c r="AT78" s="104"/>
      <c r="AU78" s="104"/>
      <c r="AV78" s="104"/>
      <c r="AW78" s="104"/>
      <c r="AX78" s="104"/>
      <c r="AY78" s="104"/>
      <c r="AZ78" s="104"/>
      <c r="BA78" s="104"/>
      <c r="BB78" s="104"/>
      <c r="BC78" s="104"/>
      <c r="BD78" s="104"/>
      <c r="BE78" s="104"/>
      <c r="BF78" s="104"/>
      <c r="BG78" s="104"/>
      <c r="BH78" s="104"/>
      <c r="BI78" s="104"/>
      <c r="BJ78" s="104"/>
      <c r="BK78" s="104"/>
      <c r="BL78" s="104"/>
      <c r="BM78" s="104"/>
      <c r="BN78" s="104"/>
      <c r="BO78" s="104"/>
      <c r="BP78" s="104"/>
      <c r="BQ78" s="104"/>
      <c r="BR78" s="104"/>
      <c r="BS78" s="104"/>
      <c r="BT78" s="104"/>
      <c r="BU78" s="104"/>
      <c r="BV78" s="104"/>
      <c r="BW78" s="122"/>
      <c r="BX78" s="104"/>
      <c r="BY78" s="104"/>
      <c r="BZ78" s="104"/>
      <c r="CA78" s="122"/>
      <c r="CB78" s="104"/>
      <c r="CC78" s="104"/>
      <c r="CD78" s="122"/>
      <c r="CE78" s="104"/>
      <c r="CF78" s="104"/>
      <c r="CG78" s="104"/>
      <c r="CH78" s="104"/>
      <c r="CI78" s="104"/>
      <c r="CJ78" s="104"/>
      <c r="CK78" s="104"/>
      <c r="CL78" s="104"/>
      <c r="CM78" s="104"/>
      <c r="CN78" s="104"/>
      <c r="CO78" s="104"/>
      <c r="CP78" s="104"/>
      <c r="CQ78" s="104"/>
      <c r="CR78" s="104"/>
      <c r="CS78" s="104"/>
      <c r="CT78" s="104"/>
      <c r="CU78" s="104"/>
    </row>
    <row r="79">
      <c r="A79" s="595"/>
      <c r="B79" s="202" t="s">
        <v>271</v>
      </c>
      <c r="C79" s="196" t="s">
        <v>271</v>
      </c>
      <c r="D79" s="197" t="s">
        <v>271</v>
      </c>
      <c r="E79" s="199" t="s">
        <v>271</v>
      </c>
      <c r="F79" s="201" t="s">
        <v>271</v>
      </c>
      <c r="G79" s="202" t="s">
        <v>271</v>
      </c>
      <c r="H79" s="609"/>
      <c r="I79" s="609"/>
      <c r="J79" s="104"/>
      <c r="K79" s="104"/>
      <c r="L79" s="104"/>
      <c r="M79" s="104"/>
      <c r="N79" s="104"/>
      <c r="O79" s="104"/>
      <c r="P79" s="104"/>
      <c r="Q79" s="104"/>
      <c r="R79" s="104"/>
      <c r="S79" s="104"/>
      <c r="T79" s="104"/>
      <c r="U79" s="104"/>
      <c r="V79" s="104"/>
      <c r="W79" s="104"/>
      <c r="X79" s="104"/>
      <c r="Y79" s="104"/>
      <c r="Z79" s="104"/>
      <c r="AA79" s="104"/>
      <c r="AB79" s="104"/>
      <c r="AC79" s="104"/>
      <c r="AD79" s="104"/>
      <c r="AE79" s="104"/>
      <c r="AF79" s="104"/>
      <c r="AG79" s="104"/>
      <c r="AH79" s="104"/>
      <c r="AI79" s="104"/>
      <c r="AJ79" s="104"/>
      <c r="AK79" s="104"/>
      <c r="AL79" s="104"/>
      <c r="AM79" s="104"/>
      <c r="AN79" s="104"/>
      <c r="AO79" s="104"/>
      <c r="AP79" s="104"/>
      <c r="AQ79" s="104"/>
      <c r="AR79" s="104"/>
      <c r="AS79" s="104"/>
      <c r="AT79" s="104"/>
      <c r="AU79" s="104"/>
      <c r="AV79" s="104"/>
      <c r="AW79" s="104"/>
      <c r="AX79" s="104"/>
      <c r="AY79" s="104"/>
      <c r="AZ79" s="104"/>
      <c r="BA79" s="104"/>
      <c r="BB79" s="104"/>
      <c r="BC79" s="104"/>
      <c r="BD79" s="104"/>
      <c r="BE79" s="104"/>
      <c r="BF79" s="104"/>
      <c r="BG79" s="104"/>
      <c r="BH79" s="104"/>
      <c r="BI79" s="104"/>
      <c r="BJ79" s="104"/>
      <c r="BK79" s="104"/>
      <c r="BL79" s="104"/>
      <c r="BM79" s="104"/>
      <c r="BN79" s="104"/>
      <c r="BO79" s="104"/>
      <c r="BP79" s="104"/>
      <c r="BQ79" s="104"/>
      <c r="BR79" s="104"/>
      <c r="BS79" s="104"/>
      <c r="BT79" s="104"/>
      <c r="BU79" s="104"/>
      <c r="BV79" s="104"/>
      <c r="BW79" s="122"/>
      <c r="BX79" s="104"/>
      <c r="BY79" s="104"/>
      <c r="BZ79" s="104"/>
      <c r="CA79" s="122"/>
      <c r="CB79" s="104"/>
      <c r="CC79" s="104"/>
      <c r="CD79" s="122"/>
      <c r="CE79" s="104"/>
      <c r="CF79" s="104"/>
      <c r="CG79" s="104"/>
      <c r="CH79" s="104"/>
      <c r="CI79" s="104"/>
      <c r="CJ79" s="104"/>
      <c r="CK79" s="104"/>
      <c r="CL79" s="104"/>
      <c r="CM79" s="104"/>
      <c r="CN79" s="104"/>
      <c r="CO79" s="104"/>
      <c r="CP79" s="104"/>
      <c r="CQ79" s="104"/>
      <c r="CR79" s="104"/>
      <c r="CS79" s="104"/>
      <c r="CT79" s="104"/>
      <c r="CU79" s="104"/>
    </row>
    <row r="80">
      <c r="A80" s="595"/>
      <c r="B80" s="202" t="s">
        <v>271</v>
      </c>
      <c r="C80" s="196" t="s">
        <v>271</v>
      </c>
      <c r="D80" s="197" t="s">
        <v>271</v>
      </c>
      <c r="E80" s="199" t="s">
        <v>271</v>
      </c>
      <c r="F80" s="201" t="s">
        <v>271</v>
      </c>
      <c r="G80" s="202" t="s">
        <v>271</v>
      </c>
      <c r="H80" s="609"/>
      <c r="I80" s="609"/>
      <c r="J80" s="104"/>
      <c r="K80" s="104"/>
      <c r="L80" s="104"/>
      <c r="M80" s="104"/>
      <c r="N80" s="104"/>
      <c r="O80" s="104"/>
      <c r="P80" s="104"/>
      <c r="Q80" s="104"/>
      <c r="R80" s="104"/>
      <c r="S80" s="104"/>
      <c r="T80" s="104"/>
      <c r="U80" s="104"/>
      <c r="V80" s="104"/>
      <c r="W80" s="104"/>
      <c r="X80" s="104"/>
      <c r="Y80" s="104"/>
      <c r="Z80" s="104"/>
      <c r="AA80" s="104"/>
      <c r="AB80" s="104"/>
      <c r="AC80" s="104"/>
      <c r="AD80" s="104"/>
      <c r="AE80" s="104"/>
      <c r="AF80" s="104"/>
      <c r="AG80" s="104"/>
      <c r="AH80" s="104"/>
      <c r="AI80" s="104"/>
      <c r="AJ80" s="104"/>
      <c r="AK80" s="104"/>
      <c r="AL80" s="104"/>
      <c r="AM80" s="104"/>
      <c r="AN80" s="104"/>
      <c r="AO80" s="104"/>
      <c r="AP80" s="104"/>
      <c r="AQ80" s="104"/>
      <c r="AR80" s="104"/>
      <c r="AS80" s="104"/>
      <c r="AT80" s="104"/>
      <c r="AU80" s="104"/>
      <c r="AV80" s="104"/>
      <c r="AW80" s="104"/>
      <c r="AX80" s="104"/>
      <c r="AY80" s="104"/>
      <c r="AZ80" s="104"/>
      <c r="BA80" s="104"/>
      <c r="BB80" s="104"/>
      <c r="BC80" s="104"/>
      <c r="BD80" s="104"/>
      <c r="BE80" s="104"/>
      <c r="BF80" s="104"/>
      <c r="BG80" s="104"/>
      <c r="BH80" s="104"/>
      <c r="BI80" s="104"/>
      <c r="BJ80" s="104"/>
      <c r="BK80" s="104"/>
      <c r="BL80" s="104"/>
      <c r="BM80" s="104"/>
      <c r="BN80" s="104"/>
      <c r="BO80" s="104"/>
      <c r="BP80" s="104"/>
      <c r="BQ80" s="104"/>
      <c r="BR80" s="104"/>
      <c r="BS80" s="104"/>
      <c r="BT80" s="104"/>
      <c r="BU80" s="104"/>
      <c r="BV80" s="104"/>
      <c r="BW80" s="122"/>
      <c r="BX80" s="104"/>
      <c r="BY80" s="104"/>
      <c r="BZ80" s="104"/>
      <c r="CA80" s="122"/>
      <c r="CB80" s="104"/>
      <c r="CC80" s="104"/>
      <c r="CD80" s="122"/>
      <c r="CE80" s="104"/>
      <c r="CF80" s="104"/>
      <c r="CG80" s="104"/>
      <c r="CH80" s="104"/>
      <c r="CI80" s="104"/>
      <c r="CJ80" s="104"/>
      <c r="CK80" s="104"/>
      <c r="CL80" s="104"/>
      <c r="CM80" s="104"/>
      <c r="CN80" s="104"/>
      <c r="CO80" s="104"/>
      <c r="CP80" s="104"/>
      <c r="CQ80" s="104"/>
      <c r="CR80" s="104"/>
      <c r="CS80" s="104"/>
      <c r="CT80" s="104"/>
      <c r="CU80" s="104"/>
    </row>
    <row r="81">
      <c r="A81" s="595"/>
      <c r="B81" s="202" t="s">
        <v>271</v>
      </c>
      <c r="C81" s="196" t="s">
        <v>271</v>
      </c>
      <c r="D81" s="197" t="s">
        <v>271</v>
      </c>
      <c r="E81" s="199" t="s">
        <v>271</v>
      </c>
      <c r="F81" s="201" t="s">
        <v>271</v>
      </c>
      <c r="G81" s="202" t="s">
        <v>271</v>
      </c>
      <c r="H81" s="609"/>
      <c r="I81" s="609"/>
      <c r="J81" s="104"/>
      <c r="K81" s="104"/>
      <c r="L81" s="104"/>
      <c r="M81" s="104"/>
      <c r="N81" s="104"/>
      <c r="O81" s="104"/>
      <c r="P81" s="104"/>
      <c r="Q81" s="104"/>
      <c r="R81" s="104"/>
      <c r="S81" s="104"/>
      <c r="T81" s="104"/>
      <c r="U81" s="104"/>
      <c r="V81" s="104"/>
      <c r="W81" s="104"/>
      <c r="X81" s="104"/>
      <c r="Y81" s="104"/>
      <c r="Z81" s="104"/>
      <c r="AA81" s="104"/>
      <c r="AB81" s="104"/>
      <c r="AC81" s="104"/>
      <c r="AD81" s="104"/>
      <c r="AE81" s="104"/>
      <c r="AF81" s="104"/>
      <c r="AG81" s="104"/>
      <c r="AH81" s="104"/>
      <c r="AI81" s="104"/>
      <c r="AJ81" s="104"/>
      <c r="AK81" s="104"/>
      <c r="AL81" s="104"/>
      <c r="AM81" s="104"/>
      <c r="AN81" s="104"/>
      <c r="AO81" s="104"/>
      <c r="AP81" s="104"/>
      <c r="AQ81" s="104"/>
      <c r="AR81" s="104"/>
      <c r="AS81" s="104"/>
      <c r="AT81" s="104"/>
      <c r="AU81" s="104"/>
      <c r="AV81" s="104"/>
      <c r="AW81" s="104"/>
      <c r="AX81" s="104"/>
      <c r="AY81" s="104"/>
      <c r="AZ81" s="104"/>
      <c r="BA81" s="104"/>
      <c r="BB81" s="104"/>
      <c r="BC81" s="104"/>
      <c r="BD81" s="104"/>
      <c r="BE81" s="104"/>
      <c r="BF81" s="104"/>
      <c r="BG81" s="104"/>
      <c r="BH81" s="104"/>
      <c r="BI81" s="104"/>
      <c r="BJ81" s="104"/>
      <c r="BK81" s="104"/>
      <c r="BL81" s="104"/>
      <c r="BM81" s="104"/>
      <c r="BN81" s="104"/>
      <c r="BO81" s="104"/>
      <c r="BP81" s="104"/>
      <c r="BQ81" s="104"/>
      <c r="BR81" s="104"/>
      <c r="BS81" s="104"/>
      <c r="BT81" s="104"/>
      <c r="BU81" s="104"/>
      <c r="BV81" s="104"/>
      <c r="BW81" s="122"/>
      <c r="BX81" s="104"/>
      <c r="BY81" s="104"/>
      <c r="BZ81" s="104"/>
      <c r="CA81" s="122"/>
      <c r="CB81" s="104"/>
      <c r="CC81" s="104"/>
      <c r="CD81" s="122"/>
      <c r="CE81" s="104"/>
      <c r="CF81" s="104"/>
      <c r="CG81" s="104"/>
      <c r="CH81" s="104"/>
      <c r="CI81" s="104"/>
      <c r="CJ81" s="104"/>
      <c r="CK81" s="104"/>
      <c r="CL81" s="104"/>
      <c r="CM81" s="104"/>
      <c r="CN81" s="104"/>
      <c r="CO81" s="104"/>
      <c r="CP81" s="104"/>
      <c r="CQ81" s="104"/>
      <c r="CR81" s="104"/>
      <c r="CS81" s="104"/>
      <c r="CT81" s="104"/>
      <c r="CU81" s="104"/>
    </row>
    <row r="82">
      <c r="A82" s="595"/>
      <c r="B82" s="202" t="s">
        <v>271</v>
      </c>
      <c r="C82" s="196" t="s">
        <v>271</v>
      </c>
      <c r="D82" s="197" t="s">
        <v>271</v>
      </c>
      <c r="E82" s="199" t="s">
        <v>271</v>
      </c>
      <c r="F82" s="201" t="s">
        <v>271</v>
      </c>
      <c r="G82" s="202" t="s">
        <v>271</v>
      </c>
      <c r="H82" s="609"/>
      <c r="I82" s="609"/>
      <c r="J82" s="104"/>
      <c r="K82" s="104"/>
      <c r="L82" s="104"/>
      <c r="M82" s="104"/>
      <c r="N82" s="104"/>
      <c r="O82" s="104"/>
      <c r="P82" s="104"/>
      <c r="Q82" s="104"/>
      <c r="R82" s="104"/>
      <c r="S82" s="104"/>
      <c r="T82" s="104"/>
      <c r="U82" s="104"/>
      <c r="V82" s="104"/>
      <c r="W82" s="104"/>
      <c r="X82" s="104"/>
      <c r="Y82" s="104"/>
      <c r="Z82" s="104"/>
      <c r="AA82" s="104"/>
      <c r="AB82" s="104"/>
      <c r="AC82" s="104"/>
      <c r="AD82" s="104"/>
      <c r="AE82" s="104"/>
      <c r="AF82" s="104"/>
      <c r="AG82" s="104"/>
      <c r="AH82" s="104"/>
      <c r="AI82" s="104"/>
      <c r="AJ82" s="104"/>
      <c r="AK82" s="104"/>
      <c r="AL82" s="104"/>
      <c r="AM82" s="104"/>
      <c r="AN82" s="104"/>
      <c r="AO82" s="104"/>
      <c r="AP82" s="104"/>
      <c r="AQ82" s="104"/>
      <c r="AR82" s="104"/>
      <c r="AS82" s="104"/>
      <c r="AT82" s="104"/>
      <c r="AU82" s="104"/>
      <c r="AV82" s="104"/>
      <c r="AW82" s="104"/>
      <c r="AX82" s="104"/>
      <c r="AY82" s="104"/>
      <c r="AZ82" s="104"/>
      <c r="BA82" s="104"/>
      <c r="BB82" s="104"/>
      <c r="BC82" s="104"/>
      <c r="BD82" s="104"/>
      <c r="BE82" s="104"/>
      <c r="BF82" s="104"/>
      <c r="BG82" s="104"/>
      <c r="BH82" s="104"/>
      <c r="BI82" s="104"/>
      <c r="BJ82" s="104"/>
      <c r="BK82" s="104"/>
      <c r="BL82" s="104"/>
      <c r="BM82" s="104"/>
      <c r="BN82" s="104"/>
      <c r="BO82" s="104"/>
      <c r="BP82" s="104"/>
      <c r="BQ82" s="104"/>
      <c r="BR82" s="104"/>
      <c r="BS82" s="104"/>
      <c r="BT82" s="104"/>
      <c r="BU82" s="104"/>
      <c r="BV82" s="104"/>
      <c r="BW82" s="122"/>
      <c r="BX82" s="104"/>
      <c r="BY82" s="104"/>
      <c r="BZ82" s="104"/>
      <c r="CA82" s="122"/>
      <c r="CB82" s="104"/>
      <c r="CC82" s="104"/>
      <c r="CD82" s="122"/>
      <c r="CE82" s="104"/>
      <c r="CF82" s="104"/>
      <c r="CG82" s="104"/>
      <c r="CH82" s="104"/>
      <c r="CI82" s="104"/>
      <c r="CJ82" s="104"/>
      <c r="CK82" s="104"/>
      <c r="CL82" s="104"/>
      <c r="CM82" s="104"/>
      <c r="CN82" s="104"/>
      <c r="CO82" s="104"/>
      <c r="CP82" s="104"/>
      <c r="CQ82" s="104"/>
      <c r="CR82" s="104"/>
      <c r="CS82" s="104"/>
      <c r="CT82" s="104"/>
      <c r="CU82" s="104"/>
    </row>
    <row r="83">
      <c r="A83" s="595"/>
      <c r="B83" s="202" t="s">
        <v>271</v>
      </c>
      <c r="C83" s="196" t="s">
        <v>271</v>
      </c>
      <c r="D83" s="197" t="s">
        <v>271</v>
      </c>
      <c r="E83" s="199" t="s">
        <v>271</v>
      </c>
      <c r="F83" s="201" t="s">
        <v>271</v>
      </c>
      <c r="G83" s="202" t="s">
        <v>271</v>
      </c>
      <c r="H83" s="609"/>
      <c r="I83" s="609"/>
      <c r="J83" s="104"/>
      <c r="K83" s="104"/>
      <c r="L83" s="104"/>
      <c r="M83" s="104"/>
      <c r="N83" s="104"/>
      <c r="O83" s="104"/>
      <c r="P83" s="104"/>
      <c r="Q83" s="104"/>
      <c r="R83" s="104"/>
      <c r="S83" s="104"/>
      <c r="T83" s="104"/>
      <c r="U83" s="104"/>
      <c r="V83" s="104"/>
      <c r="W83" s="104"/>
      <c r="X83" s="104"/>
      <c r="Y83" s="104"/>
      <c r="Z83" s="104"/>
      <c r="AA83" s="104"/>
      <c r="AB83" s="104"/>
      <c r="AC83" s="104"/>
      <c r="AD83" s="104"/>
      <c r="AE83" s="104"/>
      <c r="AF83" s="104"/>
      <c r="AG83" s="104"/>
      <c r="AH83" s="104"/>
      <c r="AI83" s="104"/>
      <c r="AJ83" s="104"/>
      <c r="AK83" s="104"/>
      <c r="AL83" s="104"/>
      <c r="AM83" s="104"/>
      <c r="AN83" s="104"/>
      <c r="AO83" s="104"/>
      <c r="AP83" s="104"/>
      <c r="AQ83" s="104"/>
      <c r="AR83" s="104"/>
      <c r="AS83" s="104"/>
      <c r="AT83" s="104"/>
      <c r="AU83" s="104"/>
      <c r="AV83" s="104"/>
      <c r="AW83" s="104"/>
      <c r="AX83" s="104"/>
      <c r="AY83" s="104"/>
      <c r="AZ83" s="104"/>
      <c r="BA83" s="104"/>
      <c r="BB83" s="104"/>
      <c r="BC83" s="104"/>
      <c r="BD83" s="104"/>
      <c r="BE83" s="104"/>
      <c r="BF83" s="104"/>
      <c r="BG83" s="104"/>
      <c r="BH83" s="104"/>
      <c r="BI83" s="104"/>
      <c r="BJ83" s="104"/>
      <c r="BK83" s="104"/>
      <c r="BL83" s="104"/>
      <c r="BM83" s="104"/>
      <c r="BN83" s="104"/>
      <c r="BO83" s="104"/>
      <c r="BP83" s="104"/>
      <c r="BQ83" s="104"/>
      <c r="BR83" s="104"/>
      <c r="BS83" s="104"/>
      <c r="BT83" s="104"/>
      <c r="BU83" s="104"/>
      <c r="BV83" s="104"/>
      <c r="BW83" s="122"/>
      <c r="BX83" s="104"/>
      <c r="BY83" s="104"/>
      <c r="BZ83" s="104"/>
      <c r="CA83" s="122"/>
      <c r="CB83" s="104"/>
      <c r="CC83" s="104"/>
      <c r="CD83" s="122"/>
      <c r="CE83" s="104"/>
      <c r="CF83" s="104"/>
      <c r="CG83" s="104"/>
      <c r="CH83" s="104"/>
      <c r="CI83" s="104"/>
      <c r="CJ83" s="104"/>
      <c r="CK83" s="104"/>
      <c r="CL83" s="104"/>
      <c r="CM83" s="104"/>
      <c r="CN83" s="104"/>
      <c r="CO83" s="104"/>
      <c r="CP83" s="104"/>
      <c r="CQ83" s="104"/>
      <c r="CR83" s="104"/>
      <c r="CS83" s="104"/>
      <c r="CT83" s="104"/>
      <c r="CU83" s="104"/>
    </row>
    <row r="84">
      <c r="A84" s="595"/>
      <c r="B84" s="202" t="s">
        <v>271</v>
      </c>
      <c r="C84" s="196" t="s">
        <v>271</v>
      </c>
      <c r="D84" s="197" t="s">
        <v>271</v>
      </c>
      <c r="E84" s="199" t="s">
        <v>271</v>
      </c>
      <c r="F84" s="201" t="s">
        <v>271</v>
      </c>
      <c r="G84" s="202" t="s">
        <v>271</v>
      </c>
      <c r="H84" s="609"/>
      <c r="I84" s="609"/>
      <c r="J84" s="104"/>
      <c r="K84" s="104"/>
      <c r="L84" s="104"/>
      <c r="M84" s="104"/>
      <c r="N84" s="104"/>
      <c r="O84" s="104"/>
      <c r="P84" s="104"/>
      <c r="Q84" s="104"/>
      <c r="R84" s="104"/>
      <c r="S84" s="104"/>
      <c r="T84" s="104"/>
      <c r="U84" s="104"/>
      <c r="V84" s="104"/>
      <c r="W84" s="104"/>
      <c r="X84" s="104"/>
      <c r="Y84" s="104"/>
      <c r="Z84" s="104"/>
      <c r="AA84" s="104"/>
      <c r="AB84" s="104"/>
      <c r="AC84" s="104"/>
      <c r="AD84" s="104"/>
      <c r="AE84" s="104"/>
      <c r="AF84" s="104"/>
      <c r="AG84" s="104"/>
      <c r="AH84" s="104"/>
      <c r="AI84" s="104"/>
      <c r="AJ84" s="104"/>
      <c r="AK84" s="104"/>
      <c r="AL84" s="104"/>
      <c r="AM84" s="104"/>
      <c r="AN84" s="104"/>
      <c r="AO84" s="104"/>
      <c r="AP84" s="104"/>
      <c r="AQ84" s="104"/>
      <c r="AR84" s="104"/>
      <c r="AS84" s="104"/>
      <c r="AT84" s="104"/>
      <c r="AU84" s="104"/>
      <c r="AV84" s="104"/>
      <c r="AW84" s="104"/>
      <c r="AX84" s="104"/>
      <c r="AY84" s="104"/>
      <c r="AZ84" s="104"/>
      <c r="BA84" s="104"/>
      <c r="BB84" s="104"/>
      <c r="BC84" s="104"/>
      <c r="BD84" s="104"/>
      <c r="BE84" s="104"/>
      <c r="BF84" s="104"/>
      <c r="BG84" s="104"/>
      <c r="BH84" s="104"/>
      <c r="BI84" s="104"/>
      <c r="BJ84" s="104"/>
      <c r="BK84" s="104"/>
      <c r="BL84" s="104"/>
      <c r="BM84" s="104"/>
      <c r="BN84" s="104"/>
      <c r="BO84" s="104"/>
      <c r="BP84" s="104"/>
      <c r="BQ84" s="104"/>
      <c r="BR84" s="104"/>
      <c r="BS84" s="104"/>
      <c r="BT84" s="104"/>
      <c r="BU84" s="104"/>
      <c r="BV84" s="104"/>
      <c r="BW84" s="122"/>
      <c r="BX84" s="104"/>
      <c r="BY84" s="104"/>
      <c r="BZ84" s="104"/>
      <c r="CA84" s="122"/>
      <c r="CB84" s="104"/>
      <c r="CC84" s="104"/>
      <c r="CD84" s="122"/>
      <c r="CE84" s="104"/>
      <c r="CF84" s="104"/>
      <c r="CG84" s="104"/>
      <c r="CH84" s="104"/>
      <c r="CI84" s="104"/>
      <c r="CJ84" s="104"/>
      <c r="CK84" s="104"/>
      <c r="CL84" s="104"/>
      <c r="CM84" s="104"/>
      <c r="CN84" s="104"/>
      <c r="CO84" s="104"/>
      <c r="CP84" s="104"/>
      <c r="CQ84" s="104"/>
      <c r="CR84" s="104"/>
      <c r="CS84" s="104"/>
      <c r="CT84" s="104"/>
      <c r="CU84" s="104"/>
    </row>
    <row r="85">
      <c r="A85" s="595"/>
      <c r="B85" s="202" t="s">
        <v>271</v>
      </c>
      <c r="C85" s="196" t="s">
        <v>271</v>
      </c>
      <c r="D85" s="197" t="s">
        <v>271</v>
      </c>
      <c r="E85" s="199" t="s">
        <v>271</v>
      </c>
      <c r="F85" s="201" t="s">
        <v>271</v>
      </c>
      <c r="G85" s="202" t="s">
        <v>271</v>
      </c>
      <c r="H85" s="609"/>
      <c r="I85" s="609"/>
      <c r="J85" s="104"/>
      <c r="K85" s="104"/>
      <c r="L85" s="104"/>
      <c r="M85" s="104"/>
      <c r="N85" s="104"/>
      <c r="O85" s="104"/>
      <c r="P85" s="104"/>
      <c r="Q85" s="104"/>
      <c r="R85" s="104"/>
      <c r="S85" s="104"/>
      <c r="T85" s="104"/>
      <c r="U85" s="104"/>
      <c r="V85" s="104"/>
      <c r="W85" s="104"/>
      <c r="X85" s="104"/>
      <c r="Y85" s="104"/>
      <c r="Z85" s="104"/>
      <c r="AA85" s="104"/>
      <c r="AB85" s="104"/>
      <c r="AC85" s="104"/>
      <c r="AD85" s="104"/>
      <c r="AE85" s="104"/>
      <c r="AF85" s="104"/>
      <c r="AG85" s="104"/>
      <c r="AH85" s="104"/>
      <c r="AI85" s="104"/>
      <c r="AJ85" s="104"/>
      <c r="AK85" s="104"/>
      <c r="AL85" s="104"/>
      <c r="AM85" s="104"/>
      <c r="AN85" s="104"/>
      <c r="AO85" s="104"/>
      <c r="AP85" s="104"/>
      <c r="AQ85" s="104"/>
      <c r="AR85" s="104"/>
      <c r="AS85" s="104"/>
      <c r="AT85" s="104"/>
      <c r="AU85" s="104"/>
      <c r="AV85" s="104"/>
      <c r="AW85" s="104"/>
      <c r="AX85" s="104"/>
      <c r="AY85" s="104"/>
      <c r="AZ85" s="104"/>
      <c r="BA85" s="104"/>
      <c r="BB85" s="104"/>
      <c r="BC85" s="104"/>
      <c r="BD85" s="104"/>
      <c r="BE85" s="104"/>
      <c r="BF85" s="104"/>
      <c r="BG85" s="104"/>
      <c r="BH85" s="104"/>
      <c r="BI85" s="104"/>
      <c r="BJ85" s="104"/>
      <c r="BK85" s="104"/>
      <c r="BL85" s="104"/>
      <c r="BM85" s="104"/>
      <c r="BN85" s="104"/>
      <c r="BO85" s="104"/>
      <c r="BP85" s="104"/>
      <c r="BQ85" s="104"/>
      <c r="BR85" s="104"/>
      <c r="BS85" s="104"/>
      <c r="BT85" s="104"/>
      <c r="BU85" s="104"/>
      <c r="BV85" s="104"/>
      <c r="BW85" s="122"/>
      <c r="BX85" s="104"/>
      <c r="BY85" s="104"/>
      <c r="BZ85" s="104"/>
      <c r="CA85" s="122"/>
      <c r="CB85" s="104"/>
      <c r="CC85" s="104"/>
      <c r="CD85" s="122"/>
      <c r="CE85" s="104"/>
      <c r="CF85" s="104"/>
      <c r="CG85" s="104"/>
      <c r="CH85" s="104"/>
      <c r="CI85" s="104"/>
      <c r="CJ85" s="104"/>
      <c r="CK85" s="104"/>
      <c r="CL85" s="104"/>
      <c r="CM85" s="104"/>
      <c r="CN85" s="104"/>
      <c r="CO85" s="104"/>
      <c r="CP85" s="104"/>
      <c r="CQ85" s="104"/>
      <c r="CR85" s="104"/>
      <c r="CS85" s="104"/>
      <c r="CT85" s="104"/>
      <c r="CU85" s="104"/>
    </row>
    <row r="86">
      <c r="A86" s="595"/>
      <c r="B86" s="202" t="s">
        <v>271</v>
      </c>
      <c r="C86" s="196" t="s">
        <v>271</v>
      </c>
      <c r="D86" s="197" t="s">
        <v>271</v>
      </c>
      <c r="E86" s="199" t="s">
        <v>271</v>
      </c>
      <c r="F86" s="201" t="s">
        <v>271</v>
      </c>
      <c r="G86" s="202" t="s">
        <v>271</v>
      </c>
      <c r="H86" s="609"/>
      <c r="I86" s="609"/>
      <c r="J86" s="104"/>
      <c r="K86" s="104"/>
      <c r="L86" s="104"/>
      <c r="M86" s="104"/>
      <c r="N86" s="104"/>
      <c r="O86" s="104"/>
      <c r="P86" s="104"/>
      <c r="Q86" s="104"/>
      <c r="R86" s="104"/>
      <c r="S86" s="104"/>
      <c r="T86" s="104"/>
      <c r="U86" s="104"/>
      <c r="V86" s="104"/>
      <c r="W86" s="104"/>
      <c r="X86" s="104"/>
      <c r="Y86" s="104"/>
      <c r="Z86" s="104"/>
      <c r="AA86" s="104"/>
      <c r="AB86" s="104"/>
      <c r="AC86" s="104"/>
      <c r="AD86" s="104"/>
      <c r="AE86" s="104"/>
      <c r="AF86" s="104"/>
      <c r="AG86" s="104"/>
      <c r="AH86" s="104"/>
      <c r="AI86" s="104"/>
      <c r="AJ86" s="104"/>
      <c r="AK86" s="104"/>
      <c r="AL86" s="104"/>
      <c r="AM86" s="104"/>
      <c r="AN86" s="104"/>
      <c r="AO86" s="104"/>
      <c r="AP86" s="104"/>
      <c r="AQ86" s="104"/>
      <c r="AR86" s="104"/>
      <c r="AS86" s="104"/>
      <c r="AT86" s="104"/>
      <c r="AU86" s="104"/>
      <c r="AV86" s="104"/>
      <c r="AW86" s="104"/>
      <c r="AX86" s="104"/>
      <c r="AY86" s="104"/>
      <c r="AZ86" s="104"/>
      <c r="BA86" s="104"/>
      <c r="BB86" s="104"/>
      <c r="BC86" s="104"/>
      <c r="BD86" s="104"/>
      <c r="BE86" s="104"/>
      <c r="BF86" s="104"/>
      <c r="BG86" s="104"/>
      <c r="BH86" s="104"/>
      <c r="BI86" s="104"/>
      <c r="BJ86" s="104"/>
      <c r="BK86" s="104"/>
      <c r="BL86" s="104"/>
      <c r="BM86" s="104"/>
      <c r="BN86" s="104"/>
      <c r="BO86" s="104"/>
      <c r="BP86" s="104"/>
      <c r="BQ86" s="104"/>
      <c r="BR86" s="104"/>
      <c r="BS86" s="104"/>
      <c r="BT86" s="104"/>
      <c r="BU86" s="104"/>
      <c r="BV86" s="104"/>
      <c r="BW86" s="122"/>
      <c r="BX86" s="104"/>
      <c r="BY86" s="104"/>
      <c r="BZ86" s="104"/>
      <c r="CA86" s="122"/>
      <c r="CB86" s="104"/>
      <c r="CC86" s="104"/>
      <c r="CD86" s="122"/>
      <c r="CE86" s="104"/>
      <c r="CF86" s="104"/>
      <c r="CG86" s="104"/>
      <c r="CH86" s="104"/>
      <c r="CI86" s="104"/>
      <c r="CJ86" s="104"/>
      <c r="CK86" s="104"/>
      <c r="CL86" s="104"/>
      <c r="CM86" s="104"/>
      <c r="CN86" s="104"/>
      <c r="CO86" s="104"/>
      <c r="CP86" s="104"/>
      <c r="CQ86" s="104"/>
      <c r="CR86" s="104"/>
      <c r="CS86" s="104"/>
      <c r="CT86" s="104"/>
      <c r="CU86" s="104"/>
    </row>
    <row r="87">
      <c r="A87" s="595"/>
      <c r="B87" s="202" t="s">
        <v>271</v>
      </c>
      <c r="C87" s="196" t="s">
        <v>271</v>
      </c>
      <c r="D87" s="197" t="s">
        <v>271</v>
      </c>
      <c r="E87" s="199" t="s">
        <v>271</v>
      </c>
      <c r="F87" s="201" t="s">
        <v>271</v>
      </c>
      <c r="G87" s="202" t="s">
        <v>271</v>
      </c>
      <c r="H87" s="609"/>
      <c r="I87" s="609"/>
      <c r="J87" s="104"/>
      <c r="K87" s="104"/>
      <c r="L87" s="104"/>
      <c r="M87" s="104"/>
      <c r="N87" s="104"/>
      <c r="O87" s="104"/>
      <c r="P87" s="104"/>
      <c r="Q87" s="104"/>
      <c r="R87" s="104"/>
      <c r="S87" s="104"/>
      <c r="T87" s="104"/>
      <c r="U87" s="104"/>
      <c r="V87" s="104"/>
      <c r="W87" s="104"/>
      <c r="X87" s="104"/>
      <c r="Y87" s="104"/>
      <c r="Z87" s="104"/>
      <c r="AA87" s="104"/>
      <c r="AB87" s="104"/>
      <c r="AC87" s="104"/>
      <c r="AD87" s="104"/>
      <c r="AE87" s="104"/>
      <c r="AF87" s="104"/>
      <c r="AG87" s="104"/>
      <c r="AH87" s="104"/>
      <c r="AI87" s="104"/>
      <c r="AJ87" s="104"/>
      <c r="AK87" s="104"/>
      <c r="AL87" s="104"/>
      <c r="AM87" s="104"/>
      <c r="AN87" s="104"/>
      <c r="AO87" s="104"/>
      <c r="AP87" s="104"/>
      <c r="AQ87" s="104"/>
      <c r="AR87" s="104"/>
      <c r="AS87" s="104"/>
      <c r="AT87" s="104"/>
      <c r="AU87" s="104"/>
      <c r="AV87" s="104"/>
      <c r="AW87" s="104"/>
      <c r="AX87" s="104"/>
      <c r="AY87" s="104"/>
      <c r="AZ87" s="104"/>
      <c r="BA87" s="104"/>
      <c r="BB87" s="104"/>
      <c r="BC87" s="104"/>
      <c r="BD87" s="104"/>
      <c r="BE87" s="104"/>
      <c r="BF87" s="104"/>
      <c r="BG87" s="104"/>
      <c r="BH87" s="104"/>
      <c r="BI87" s="104"/>
      <c r="BJ87" s="104"/>
      <c r="BK87" s="104"/>
      <c r="BL87" s="104"/>
      <c r="BM87" s="104"/>
      <c r="BN87" s="104"/>
      <c r="BO87" s="104"/>
      <c r="BP87" s="104"/>
      <c r="BQ87" s="104"/>
      <c r="BR87" s="104"/>
      <c r="BS87" s="104"/>
      <c r="BT87" s="104"/>
      <c r="BU87" s="104"/>
      <c r="BV87" s="104"/>
      <c r="BW87" s="122"/>
      <c r="BX87" s="104"/>
      <c r="BY87" s="104"/>
      <c r="BZ87" s="104"/>
      <c r="CA87" s="122"/>
      <c r="CB87" s="104"/>
      <c r="CC87" s="104"/>
      <c r="CD87" s="122"/>
      <c r="CE87" s="104"/>
      <c r="CF87" s="104"/>
      <c r="CG87" s="104"/>
      <c r="CH87" s="104"/>
      <c r="CI87" s="104"/>
      <c r="CJ87" s="104"/>
      <c r="CK87" s="104"/>
      <c r="CL87" s="104"/>
      <c r="CM87" s="104"/>
      <c r="CN87" s="104"/>
      <c r="CO87" s="104"/>
      <c r="CP87" s="104"/>
      <c r="CQ87" s="104"/>
      <c r="CR87" s="104"/>
      <c r="CS87" s="104"/>
      <c r="CT87" s="104"/>
      <c r="CU87" s="104"/>
    </row>
    <row r="88">
      <c r="A88" s="595"/>
      <c r="B88" s="202" t="s">
        <v>271</v>
      </c>
      <c r="C88" s="196" t="s">
        <v>271</v>
      </c>
      <c r="D88" s="197" t="s">
        <v>271</v>
      </c>
      <c r="E88" s="199" t="s">
        <v>271</v>
      </c>
      <c r="F88" s="201" t="s">
        <v>271</v>
      </c>
      <c r="G88" s="202" t="s">
        <v>271</v>
      </c>
      <c r="H88" s="609"/>
      <c r="I88" s="609"/>
      <c r="J88" s="104"/>
      <c r="K88" s="104"/>
      <c r="L88" s="104"/>
      <c r="M88" s="104"/>
      <c r="N88" s="104"/>
      <c r="O88" s="104"/>
      <c r="P88" s="104"/>
      <c r="Q88" s="104"/>
      <c r="R88" s="104"/>
      <c r="S88" s="104"/>
      <c r="T88" s="104"/>
      <c r="U88" s="104"/>
      <c r="V88" s="104"/>
      <c r="W88" s="104"/>
      <c r="X88" s="104"/>
      <c r="Y88" s="104"/>
      <c r="Z88" s="104"/>
      <c r="AA88" s="104"/>
      <c r="AB88" s="104"/>
      <c r="AC88" s="104"/>
      <c r="AD88" s="104"/>
      <c r="AE88" s="104"/>
      <c r="AF88" s="104"/>
      <c r="AG88" s="104"/>
      <c r="AH88" s="104"/>
      <c r="AI88" s="104"/>
      <c r="AJ88" s="104"/>
      <c r="AK88" s="104"/>
      <c r="AL88" s="104"/>
      <c r="AM88" s="104"/>
      <c r="AN88" s="104"/>
      <c r="AO88" s="104"/>
      <c r="AP88" s="104"/>
      <c r="AQ88" s="104"/>
      <c r="AR88" s="104"/>
      <c r="AS88" s="104"/>
      <c r="AT88" s="104"/>
      <c r="AU88" s="104"/>
      <c r="AV88" s="104"/>
      <c r="AW88" s="104"/>
      <c r="AX88" s="104"/>
      <c r="AY88" s="104"/>
      <c r="AZ88" s="104"/>
      <c r="BA88" s="104"/>
      <c r="BB88" s="104"/>
      <c r="BC88" s="104"/>
      <c r="BD88" s="104"/>
      <c r="BE88" s="104"/>
      <c r="BF88" s="104"/>
      <c r="BG88" s="104"/>
      <c r="BH88" s="104"/>
      <c r="BI88" s="104"/>
      <c r="BJ88" s="104"/>
      <c r="BK88" s="104"/>
      <c r="BL88" s="104"/>
      <c r="BM88" s="104"/>
      <c r="BN88" s="104"/>
      <c r="BO88" s="104"/>
      <c r="BP88" s="104"/>
      <c r="BQ88" s="104"/>
      <c r="BR88" s="104"/>
      <c r="BS88" s="104"/>
      <c r="BT88" s="104"/>
      <c r="BU88" s="104"/>
      <c r="BV88" s="104"/>
      <c r="BW88" s="122"/>
      <c r="BX88" s="104"/>
      <c r="BY88" s="104"/>
      <c r="BZ88" s="104"/>
      <c r="CA88" s="122"/>
      <c r="CB88" s="104"/>
      <c r="CC88" s="104"/>
      <c r="CD88" s="122"/>
      <c r="CE88" s="104"/>
      <c r="CF88" s="104"/>
      <c r="CG88" s="104"/>
      <c r="CH88" s="104"/>
      <c r="CI88" s="104"/>
      <c r="CJ88" s="104"/>
      <c r="CK88" s="104"/>
      <c r="CL88" s="104"/>
      <c r="CM88" s="104"/>
      <c r="CN88" s="104"/>
      <c r="CO88" s="104"/>
      <c r="CP88" s="104"/>
      <c r="CQ88" s="104"/>
      <c r="CR88" s="104"/>
      <c r="CS88" s="104"/>
      <c r="CT88" s="104"/>
      <c r="CU88" s="104"/>
    </row>
    <row r="89">
      <c r="A89" s="595"/>
      <c r="B89" s="202" t="s">
        <v>271</v>
      </c>
      <c r="C89" s="196" t="s">
        <v>271</v>
      </c>
      <c r="D89" s="197" t="s">
        <v>271</v>
      </c>
      <c r="E89" s="199" t="s">
        <v>271</v>
      </c>
      <c r="F89" s="201" t="s">
        <v>271</v>
      </c>
      <c r="G89" s="202" t="s">
        <v>271</v>
      </c>
      <c r="H89" s="609"/>
      <c r="I89" s="609"/>
      <c r="J89" s="104"/>
      <c r="K89" s="104"/>
      <c r="L89" s="104"/>
      <c r="M89" s="104"/>
      <c r="N89" s="104"/>
      <c r="O89" s="104"/>
      <c r="P89" s="104"/>
      <c r="Q89" s="104"/>
      <c r="R89" s="104"/>
      <c r="S89" s="104"/>
      <c r="T89" s="104"/>
      <c r="U89" s="104"/>
      <c r="V89" s="104"/>
      <c r="W89" s="104"/>
      <c r="X89" s="104"/>
      <c r="Y89" s="104"/>
      <c r="Z89" s="104"/>
      <c r="AA89" s="104"/>
      <c r="AB89" s="104"/>
      <c r="AC89" s="104"/>
      <c r="AD89" s="104"/>
      <c r="AE89" s="104"/>
      <c r="AF89" s="104"/>
      <c r="AG89" s="104"/>
      <c r="AH89" s="104"/>
      <c r="AI89" s="104"/>
      <c r="AJ89" s="104"/>
      <c r="AK89" s="104"/>
      <c r="AL89" s="104"/>
      <c r="AM89" s="104"/>
      <c r="AN89" s="104"/>
      <c r="AO89" s="104"/>
      <c r="AP89" s="104"/>
      <c r="AQ89" s="104"/>
      <c r="AR89" s="104"/>
      <c r="AS89" s="104"/>
      <c r="AT89" s="104"/>
      <c r="AU89" s="104"/>
      <c r="AV89" s="104"/>
      <c r="AW89" s="104"/>
      <c r="AX89" s="104"/>
      <c r="AY89" s="104"/>
      <c r="AZ89" s="104"/>
      <c r="BA89" s="104"/>
      <c r="BB89" s="104"/>
      <c r="BC89" s="104"/>
      <c r="BD89" s="104"/>
      <c r="BE89" s="104"/>
      <c r="BF89" s="104"/>
      <c r="BG89" s="104"/>
      <c r="BH89" s="104"/>
      <c r="BI89" s="104"/>
      <c r="BJ89" s="104"/>
      <c r="BK89" s="104"/>
      <c r="BL89" s="104"/>
      <c r="BM89" s="104"/>
      <c r="BN89" s="104"/>
      <c r="BO89" s="104"/>
      <c r="BP89" s="104"/>
      <c r="BQ89" s="104"/>
      <c r="BR89" s="104"/>
      <c r="BS89" s="104"/>
      <c r="BT89" s="104"/>
      <c r="BU89" s="104"/>
      <c r="BV89" s="104"/>
      <c r="BW89" s="122"/>
      <c r="BX89" s="104"/>
      <c r="BY89" s="104"/>
      <c r="BZ89" s="104"/>
      <c r="CA89" s="122"/>
      <c r="CB89" s="104"/>
      <c r="CC89" s="104"/>
      <c r="CD89" s="122"/>
      <c r="CE89" s="104"/>
      <c r="CF89" s="104"/>
      <c r="CG89" s="104"/>
      <c r="CH89" s="104"/>
      <c r="CI89" s="104"/>
      <c r="CJ89" s="104"/>
      <c r="CK89" s="104"/>
      <c r="CL89" s="104"/>
      <c r="CM89" s="104"/>
      <c r="CN89" s="104"/>
      <c r="CO89" s="104"/>
      <c r="CP89" s="104"/>
      <c r="CQ89" s="104"/>
      <c r="CR89" s="104"/>
      <c r="CS89" s="104"/>
      <c r="CT89" s="104"/>
      <c r="CU89" s="104"/>
    </row>
    <row r="90">
      <c r="A90" s="595"/>
      <c r="B90" s="202" t="s">
        <v>271</v>
      </c>
      <c r="C90" s="196" t="s">
        <v>271</v>
      </c>
      <c r="D90" s="197" t="s">
        <v>271</v>
      </c>
      <c r="E90" s="199" t="s">
        <v>271</v>
      </c>
      <c r="F90" s="201" t="s">
        <v>271</v>
      </c>
      <c r="G90" s="202" t="s">
        <v>271</v>
      </c>
      <c r="H90" s="609"/>
      <c r="I90" s="609"/>
      <c r="J90" s="104"/>
      <c r="K90" s="104"/>
      <c r="L90" s="104"/>
      <c r="M90" s="104"/>
      <c r="N90" s="104"/>
      <c r="O90" s="104"/>
      <c r="P90" s="104"/>
      <c r="Q90" s="104"/>
      <c r="R90" s="104"/>
      <c r="S90" s="104"/>
      <c r="T90" s="104"/>
      <c r="U90" s="104"/>
      <c r="V90" s="104"/>
      <c r="W90" s="104"/>
      <c r="X90" s="104"/>
      <c r="Y90" s="104"/>
      <c r="Z90" s="104"/>
      <c r="AA90" s="104"/>
      <c r="AB90" s="104"/>
      <c r="AC90" s="104"/>
      <c r="AD90" s="104"/>
      <c r="AE90" s="104"/>
      <c r="AF90" s="104"/>
      <c r="AG90" s="104"/>
      <c r="AH90" s="104"/>
      <c r="AI90" s="104"/>
      <c r="AJ90" s="104"/>
      <c r="AK90" s="104"/>
      <c r="AL90" s="104"/>
      <c r="AM90" s="104"/>
      <c r="AN90" s="104"/>
      <c r="AO90" s="104"/>
      <c r="AP90" s="104"/>
      <c r="AQ90" s="104"/>
      <c r="AR90" s="104"/>
      <c r="AS90" s="104"/>
      <c r="AT90" s="104"/>
      <c r="AU90" s="104"/>
      <c r="AV90" s="104"/>
      <c r="AW90" s="104"/>
      <c r="AX90" s="104"/>
      <c r="AY90" s="104"/>
      <c r="AZ90" s="104"/>
      <c r="BA90" s="104"/>
      <c r="BB90" s="104"/>
      <c r="BC90" s="104"/>
      <c r="BD90" s="104"/>
      <c r="BE90" s="104"/>
      <c r="BF90" s="104"/>
      <c r="BG90" s="104"/>
      <c r="BH90" s="104"/>
      <c r="BI90" s="104"/>
      <c r="BJ90" s="104"/>
      <c r="BK90" s="104"/>
      <c r="BL90" s="104"/>
      <c r="BM90" s="104"/>
      <c r="BN90" s="104"/>
      <c r="BO90" s="104"/>
      <c r="BP90" s="104"/>
      <c r="BQ90" s="104"/>
      <c r="BR90" s="104"/>
      <c r="BS90" s="104"/>
      <c r="BT90" s="104"/>
      <c r="BU90" s="104"/>
      <c r="BV90" s="104"/>
      <c r="BW90" s="122"/>
      <c r="BX90" s="104"/>
      <c r="BY90" s="104"/>
      <c r="BZ90" s="104"/>
      <c r="CA90" s="122"/>
      <c r="CB90" s="104"/>
      <c r="CC90" s="104"/>
      <c r="CD90" s="122"/>
      <c r="CE90" s="104"/>
      <c r="CF90" s="104"/>
      <c r="CG90" s="104"/>
      <c r="CH90" s="104"/>
      <c r="CI90" s="104"/>
      <c r="CJ90" s="104"/>
      <c r="CK90" s="104"/>
      <c r="CL90" s="104"/>
      <c r="CM90" s="104"/>
      <c r="CN90" s="104"/>
      <c r="CO90" s="104"/>
      <c r="CP90" s="104"/>
      <c r="CQ90" s="104"/>
      <c r="CR90" s="104"/>
      <c r="CS90" s="104"/>
      <c r="CT90" s="104"/>
      <c r="CU90" s="104"/>
    </row>
    <row r="91">
      <c r="A91" s="595"/>
      <c r="B91" s="202" t="s">
        <v>271</v>
      </c>
      <c r="C91" s="196" t="s">
        <v>271</v>
      </c>
      <c r="D91" s="197" t="s">
        <v>271</v>
      </c>
      <c r="E91" s="199" t="s">
        <v>271</v>
      </c>
      <c r="F91" s="201" t="s">
        <v>271</v>
      </c>
      <c r="G91" s="202" t="s">
        <v>271</v>
      </c>
      <c r="H91" s="609"/>
      <c r="I91" s="609"/>
      <c r="J91" s="104"/>
      <c r="K91" s="104"/>
      <c r="L91" s="104"/>
      <c r="M91" s="104"/>
      <c r="N91" s="104"/>
      <c r="O91" s="104"/>
      <c r="P91" s="104"/>
      <c r="Q91" s="104"/>
      <c r="R91" s="104"/>
      <c r="S91" s="104"/>
      <c r="T91" s="104"/>
      <c r="U91" s="104"/>
      <c r="V91" s="104"/>
      <c r="W91" s="104"/>
      <c r="X91" s="104"/>
      <c r="Y91" s="104"/>
      <c r="Z91" s="104"/>
      <c r="AA91" s="104"/>
      <c r="AB91" s="104"/>
      <c r="AC91" s="104"/>
      <c r="AD91" s="104"/>
      <c r="AE91" s="104"/>
      <c r="AF91" s="104"/>
      <c r="AG91" s="104"/>
      <c r="AH91" s="104"/>
      <c r="AI91" s="104"/>
      <c r="AJ91" s="104"/>
      <c r="AK91" s="104"/>
      <c r="AL91" s="104"/>
      <c r="AM91" s="104"/>
      <c r="AN91" s="104"/>
      <c r="AO91" s="104"/>
      <c r="AP91" s="104"/>
      <c r="AQ91" s="104"/>
      <c r="AR91" s="104"/>
      <c r="AS91" s="104"/>
      <c r="AT91" s="104"/>
      <c r="AU91" s="104"/>
      <c r="AV91" s="104"/>
      <c r="AW91" s="104"/>
      <c r="AX91" s="104"/>
      <c r="AY91" s="104"/>
      <c r="AZ91" s="104"/>
      <c r="BA91" s="104"/>
      <c r="BB91" s="104"/>
      <c r="BC91" s="104"/>
      <c r="BD91" s="104"/>
      <c r="BE91" s="104"/>
      <c r="BF91" s="104"/>
      <c r="BG91" s="104"/>
      <c r="BH91" s="104"/>
      <c r="BI91" s="104"/>
      <c r="BJ91" s="104"/>
      <c r="BK91" s="104"/>
      <c r="BL91" s="104"/>
      <c r="BM91" s="104"/>
      <c r="BN91" s="104"/>
      <c r="BO91" s="104"/>
      <c r="BP91" s="104"/>
      <c r="BQ91" s="104"/>
      <c r="BR91" s="104"/>
      <c r="BS91" s="104"/>
      <c r="BT91" s="104"/>
      <c r="BU91" s="104"/>
      <c r="BV91" s="104"/>
      <c r="BW91" s="122"/>
      <c r="BX91" s="104"/>
      <c r="BY91" s="104"/>
      <c r="BZ91" s="104"/>
      <c r="CA91" s="122"/>
      <c r="CB91" s="104"/>
      <c r="CC91" s="104"/>
      <c r="CD91" s="122"/>
      <c r="CE91" s="104"/>
      <c r="CF91" s="104"/>
      <c r="CG91" s="104"/>
      <c r="CH91" s="104"/>
      <c r="CI91" s="104"/>
      <c r="CJ91" s="104"/>
      <c r="CK91" s="104"/>
      <c r="CL91" s="104"/>
      <c r="CM91" s="104"/>
      <c r="CN91" s="104"/>
      <c r="CO91" s="104"/>
      <c r="CP91" s="104"/>
      <c r="CQ91" s="104"/>
      <c r="CR91" s="104"/>
      <c r="CS91" s="104"/>
      <c r="CT91" s="104"/>
      <c r="CU91" s="104"/>
    </row>
    <row r="92">
      <c r="A92" s="595"/>
      <c r="B92" s="202" t="s">
        <v>271</v>
      </c>
      <c r="C92" s="196" t="s">
        <v>271</v>
      </c>
      <c r="D92" s="197" t="s">
        <v>271</v>
      </c>
      <c r="E92" s="199" t="s">
        <v>271</v>
      </c>
      <c r="F92" s="201" t="s">
        <v>271</v>
      </c>
      <c r="G92" s="202" t="s">
        <v>271</v>
      </c>
      <c r="H92" s="609"/>
      <c r="I92" s="609"/>
      <c r="J92" s="104"/>
      <c r="K92" s="104"/>
      <c r="L92" s="104"/>
      <c r="M92" s="104"/>
      <c r="N92" s="104"/>
      <c r="O92" s="104"/>
      <c r="P92" s="104"/>
      <c r="Q92" s="104"/>
      <c r="R92" s="104"/>
      <c r="S92" s="104"/>
      <c r="T92" s="104"/>
      <c r="U92" s="104"/>
      <c r="V92" s="104"/>
      <c r="W92" s="104"/>
      <c r="X92" s="104"/>
      <c r="Y92" s="104"/>
      <c r="Z92" s="104"/>
      <c r="AA92" s="104"/>
      <c r="AB92" s="104"/>
      <c r="AC92" s="104"/>
      <c r="AD92" s="104"/>
      <c r="AE92" s="104"/>
      <c r="AF92" s="104"/>
      <c r="AG92" s="104"/>
      <c r="AH92" s="104"/>
      <c r="AI92" s="104"/>
      <c r="AJ92" s="104"/>
      <c r="AK92" s="104"/>
      <c r="AL92" s="104"/>
      <c r="AM92" s="104"/>
      <c r="AN92" s="104"/>
      <c r="AO92" s="104"/>
      <c r="AP92" s="104"/>
      <c r="AQ92" s="104"/>
      <c r="AR92" s="104"/>
      <c r="AS92" s="104"/>
      <c r="AT92" s="104"/>
      <c r="AU92" s="104"/>
      <c r="AV92" s="104"/>
      <c r="AW92" s="104"/>
      <c r="AX92" s="104"/>
      <c r="AY92" s="104"/>
      <c r="AZ92" s="104"/>
      <c r="BA92" s="104"/>
      <c r="BB92" s="104"/>
      <c r="BC92" s="104"/>
      <c r="BD92" s="104"/>
      <c r="BE92" s="104"/>
      <c r="BF92" s="104"/>
      <c r="BG92" s="104"/>
      <c r="BH92" s="104"/>
      <c r="BI92" s="104"/>
      <c r="BJ92" s="104"/>
      <c r="BK92" s="104"/>
      <c r="BL92" s="104"/>
      <c r="BM92" s="104"/>
      <c r="BN92" s="104"/>
      <c r="BO92" s="104"/>
      <c r="BP92" s="104"/>
      <c r="BQ92" s="104"/>
      <c r="BR92" s="104"/>
      <c r="BS92" s="104"/>
      <c r="BT92" s="104"/>
      <c r="BU92" s="104"/>
      <c r="BV92" s="104"/>
      <c r="BW92" s="122"/>
      <c r="BX92" s="104"/>
      <c r="BY92" s="104"/>
      <c r="BZ92" s="104"/>
      <c r="CA92" s="122"/>
      <c r="CB92" s="104"/>
      <c r="CC92" s="104"/>
      <c r="CD92" s="122"/>
      <c r="CE92" s="104"/>
      <c r="CF92" s="104"/>
      <c r="CG92" s="104"/>
      <c r="CH92" s="104"/>
      <c r="CI92" s="104"/>
      <c r="CJ92" s="104"/>
      <c r="CK92" s="104"/>
      <c r="CL92" s="104"/>
      <c r="CM92" s="104"/>
      <c r="CN92" s="104"/>
      <c r="CO92" s="104"/>
      <c r="CP92" s="104"/>
      <c r="CQ92" s="104"/>
      <c r="CR92" s="104"/>
      <c r="CS92" s="104"/>
      <c r="CT92" s="104"/>
      <c r="CU92" s="104"/>
    </row>
    <row r="93">
      <c r="A93" s="595"/>
      <c r="B93" s="202" t="s">
        <v>271</v>
      </c>
      <c r="C93" s="196" t="s">
        <v>271</v>
      </c>
      <c r="D93" s="197" t="s">
        <v>271</v>
      </c>
      <c r="E93" s="199" t="s">
        <v>271</v>
      </c>
      <c r="F93" s="201" t="s">
        <v>271</v>
      </c>
      <c r="G93" s="202" t="s">
        <v>271</v>
      </c>
      <c r="H93" s="609"/>
      <c r="I93" s="609"/>
      <c r="J93" s="104"/>
      <c r="K93" s="104"/>
      <c r="L93" s="104"/>
      <c r="M93" s="104"/>
      <c r="N93" s="104"/>
      <c r="O93" s="104"/>
      <c r="P93" s="104"/>
      <c r="Q93" s="104"/>
      <c r="R93" s="104"/>
      <c r="S93" s="104"/>
      <c r="T93" s="104"/>
      <c r="U93" s="104"/>
      <c r="V93" s="104"/>
      <c r="W93" s="104"/>
      <c r="X93" s="104"/>
      <c r="Y93" s="104"/>
      <c r="Z93" s="104"/>
      <c r="AA93" s="104"/>
      <c r="AB93" s="104"/>
      <c r="AC93" s="104"/>
      <c r="AD93" s="104"/>
      <c r="AE93" s="104"/>
      <c r="AF93" s="104"/>
      <c r="AG93" s="104"/>
      <c r="AH93" s="104"/>
      <c r="AI93" s="104"/>
      <c r="AJ93" s="104"/>
      <c r="AK93" s="104"/>
      <c r="AL93" s="104"/>
      <c r="AM93" s="104"/>
      <c r="AN93" s="104"/>
      <c r="AO93" s="104"/>
      <c r="AP93" s="104"/>
      <c r="AQ93" s="104"/>
      <c r="AR93" s="104"/>
      <c r="AS93" s="104"/>
      <c r="AT93" s="104"/>
      <c r="AU93" s="104"/>
      <c r="AV93" s="104"/>
      <c r="AW93" s="104"/>
      <c r="AX93" s="104"/>
      <c r="AY93" s="104"/>
      <c r="AZ93" s="104"/>
      <c r="BA93" s="104"/>
      <c r="BB93" s="104"/>
      <c r="BC93" s="104"/>
      <c r="BD93" s="104"/>
      <c r="BE93" s="104"/>
      <c r="BF93" s="104"/>
      <c r="BG93" s="104"/>
      <c r="BH93" s="104"/>
      <c r="BI93" s="104"/>
      <c r="BJ93" s="104"/>
      <c r="BK93" s="104"/>
      <c r="BL93" s="104"/>
      <c r="BM93" s="104"/>
      <c r="BN93" s="104"/>
      <c r="BO93" s="104"/>
      <c r="BP93" s="104"/>
      <c r="BQ93" s="104"/>
      <c r="BR93" s="104"/>
      <c r="BS93" s="104"/>
      <c r="BT93" s="104"/>
      <c r="BU93" s="104"/>
      <c r="BV93" s="104"/>
      <c r="BW93" s="122"/>
      <c r="BX93" s="104"/>
      <c r="BY93" s="104"/>
      <c r="BZ93" s="104"/>
      <c r="CA93" s="122"/>
      <c r="CB93" s="104"/>
      <c r="CC93" s="104"/>
      <c r="CD93" s="122"/>
      <c r="CE93" s="104"/>
      <c r="CF93" s="104"/>
      <c r="CG93" s="104"/>
      <c r="CH93" s="104"/>
      <c r="CI93" s="104"/>
      <c r="CJ93" s="104"/>
      <c r="CK93" s="104"/>
      <c r="CL93" s="104"/>
      <c r="CM93" s="104"/>
      <c r="CN93" s="104"/>
      <c r="CO93" s="104"/>
      <c r="CP93" s="104"/>
      <c r="CQ93" s="104"/>
      <c r="CR93" s="104"/>
      <c r="CS93" s="104"/>
      <c r="CT93" s="104"/>
      <c r="CU93" s="104"/>
    </row>
    <row r="94">
      <c r="A94" s="595"/>
      <c r="B94" s="202" t="s">
        <v>271</v>
      </c>
      <c r="C94" s="196" t="s">
        <v>271</v>
      </c>
      <c r="D94" s="197" t="s">
        <v>271</v>
      </c>
      <c r="E94" s="199" t="s">
        <v>271</v>
      </c>
      <c r="F94" s="201" t="s">
        <v>271</v>
      </c>
      <c r="G94" s="202" t="s">
        <v>271</v>
      </c>
      <c r="H94" s="609"/>
      <c r="I94" s="609"/>
      <c r="J94" s="104"/>
      <c r="K94" s="104"/>
      <c r="L94" s="104"/>
      <c r="M94" s="104"/>
      <c r="N94" s="104"/>
      <c r="O94" s="104"/>
      <c r="P94" s="104"/>
      <c r="Q94" s="104"/>
      <c r="R94" s="104"/>
      <c r="S94" s="104"/>
      <c r="T94" s="104"/>
      <c r="U94" s="104"/>
      <c r="V94" s="104"/>
      <c r="W94" s="104"/>
      <c r="X94" s="104"/>
      <c r="Y94" s="104"/>
      <c r="Z94" s="104"/>
      <c r="AA94" s="104"/>
      <c r="AB94" s="104"/>
      <c r="AC94" s="104"/>
      <c r="AD94" s="104"/>
      <c r="AE94" s="104"/>
      <c r="AF94" s="104"/>
      <c r="AG94" s="104"/>
      <c r="AH94" s="104"/>
      <c r="AI94" s="104"/>
      <c r="AJ94" s="104"/>
      <c r="AK94" s="104"/>
      <c r="AL94" s="104"/>
      <c r="AM94" s="104"/>
      <c r="AN94" s="104"/>
      <c r="AO94" s="104"/>
      <c r="AP94" s="104"/>
      <c r="AQ94" s="104"/>
      <c r="AR94" s="104"/>
      <c r="AS94" s="104"/>
      <c r="AT94" s="104"/>
      <c r="AU94" s="104"/>
      <c r="AV94" s="104"/>
      <c r="AW94" s="104"/>
      <c r="AX94" s="104"/>
      <c r="AY94" s="104"/>
      <c r="AZ94" s="104"/>
      <c r="BA94" s="104"/>
      <c r="BB94" s="104"/>
      <c r="BC94" s="104"/>
      <c r="BD94" s="104"/>
      <c r="BE94" s="104"/>
      <c r="BF94" s="104"/>
      <c r="BG94" s="104"/>
      <c r="BH94" s="104"/>
      <c r="BI94" s="104"/>
      <c r="BJ94" s="104"/>
      <c r="BK94" s="104"/>
      <c r="BL94" s="104"/>
      <c r="BM94" s="104"/>
      <c r="BN94" s="104"/>
      <c r="BO94" s="104"/>
      <c r="BP94" s="104"/>
      <c r="BQ94" s="104"/>
      <c r="BR94" s="104"/>
      <c r="BS94" s="104"/>
      <c r="BT94" s="104"/>
      <c r="BU94" s="104"/>
      <c r="BV94" s="104"/>
      <c r="BW94" s="122"/>
      <c r="BX94" s="104"/>
      <c r="BY94" s="104"/>
      <c r="BZ94" s="104"/>
      <c r="CA94" s="122"/>
      <c r="CB94" s="104"/>
      <c r="CC94" s="104"/>
      <c r="CD94" s="122"/>
      <c r="CE94" s="104"/>
      <c r="CF94" s="104"/>
      <c r="CG94" s="104"/>
      <c r="CH94" s="104"/>
      <c r="CI94" s="104"/>
      <c r="CJ94" s="104"/>
      <c r="CK94" s="104"/>
      <c r="CL94" s="104"/>
      <c r="CM94" s="104"/>
      <c r="CN94" s="104"/>
      <c r="CO94" s="104"/>
      <c r="CP94" s="104"/>
      <c r="CQ94" s="104"/>
      <c r="CR94" s="104"/>
      <c r="CS94" s="104"/>
      <c r="CT94" s="104"/>
      <c r="CU94" s="104"/>
    </row>
    <row r="95">
      <c r="A95" s="595"/>
      <c r="B95" s="202" t="s">
        <v>271</v>
      </c>
      <c r="C95" s="196" t="s">
        <v>271</v>
      </c>
      <c r="D95" s="197" t="s">
        <v>271</v>
      </c>
      <c r="E95" s="199" t="s">
        <v>271</v>
      </c>
      <c r="F95" s="201" t="s">
        <v>271</v>
      </c>
      <c r="G95" s="202" t="s">
        <v>271</v>
      </c>
      <c r="H95" s="609"/>
      <c r="I95" s="609"/>
      <c r="J95" s="104"/>
      <c r="K95" s="104"/>
      <c r="L95" s="104"/>
      <c r="M95" s="104"/>
      <c r="N95" s="104"/>
      <c r="O95" s="104"/>
      <c r="P95" s="104"/>
      <c r="Q95" s="104"/>
      <c r="R95" s="104"/>
      <c r="S95" s="104"/>
      <c r="T95" s="104"/>
      <c r="U95" s="104"/>
      <c r="V95" s="104"/>
      <c r="W95" s="104"/>
      <c r="X95" s="104"/>
      <c r="Y95" s="104"/>
      <c r="Z95" s="104"/>
      <c r="AA95" s="104"/>
      <c r="AB95" s="104"/>
      <c r="AC95" s="104"/>
      <c r="AD95" s="104"/>
      <c r="AE95" s="104"/>
      <c r="AF95" s="104"/>
      <c r="AG95" s="104"/>
      <c r="AH95" s="104"/>
      <c r="AI95" s="104"/>
      <c r="AJ95" s="104"/>
      <c r="AK95" s="104"/>
      <c r="AL95" s="104"/>
      <c r="AM95" s="104"/>
      <c r="AN95" s="104"/>
      <c r="AO95" s="104"/>
      <c r="AP95" s="104"/>
      <c r="AQ95" s="104"/>
      <c r="AR95" s="104"/>
      <c r="AS95" s="104"/>
      <c r="AT95" s="104"/>
      <c r="AU95" s="104"/>
      <c r="AV95" s="104"/>
      <c r="AW95" s="104"/>
      <c r="AX95" s="104"/>
      <c r="AY95" s="104"/>
      <c r="AZ95" s="104"/>
      <c r="BA95" s="104"/>
      <c r="BB95" s="104"/>
      <c r="BC95" s="104"/>
      <c r="BD95" s="104"/>
      <c r="BE95" s="104"/>
      <c r="BF95" s="104"/>
      <c r="BG95" s="104"/>
      <c r="BH95" s="104"/>
      <c r="BI95" s="104"/>
      <c r="BJ95" s="104"/>
      <c r="BK95" s="104"/>
      <c r="BL95" s="104"/>
      <c r="BM95" s="104"/>
      <c r="BN95" s="104"/>
      <c r="BO95" s="104"/>
      <c r="BP95" s="104"/>
      <c r="BQ95" s="104"/>
      <c r="BR95" s="104"/>
      <c r="BS95" s="104"/>
      <c r="BT95" s="104"/>
      <c r="BU95" s="104"/>
      <c r="BV95" s="104"/>
      <c r="BW95" s="122"/>
      <c r="BX95" s="104"/>
      <c r="BY95" s="104"/>
      <c r="BZ95" s="104"/>
      <c r="CA95" s="122"/>
      <c r="CB95" s="104"/>
      <c r="CC95" s="104"/>
      <c r="CD95" s="122"/>
      <c r="CE95" s="104"/>
      <c r="CF95" s="104"/>
      <c r="CG95" s="104"/>
      <c r="CH95" s="104"/>
      <c r="CI95" s="104"/>
      <c r="CJ95" s="104"/>
      <c r="CK95" s="104"/>
      <c r="CL95" s="104"/>
      <c r="CM95" s="104"/>
      <c r="CN95" s="104"/>
      <c r="CO95" s="104"/>
      <c r="CP95" s="104"/>
      <c r="CQ95" s="104"/>
      <c r="CR95" s="104"/>
      <c r="CS95" s="104"/>
      <c r="CT95" s="104"/>
      <c r="CU95" s="104"/>
    </row>
    <row r="96">
      <c r="A96" s="595"/>
      <c r="B96" s="202" t="s">
        <v>271</v>
      </c>
      <c r="C96" s="196" t="s">
        <v>271</v>
      </c>
      <c r="D96" s="197" t="s">
        <v>271</v>
      </c>
      <c r="E96" s="199" t="s">
        <v>271</v>
      </c>
      <c r="F96" s="201" t="s">
        <v>271</v>
      </c>
      <c r="G96" s="202" t="s">
        <v>271</v>
      </c>
      <c r="H96" s="609"/>
      <c r="I96" s="609"/>
      <c r="J96" s="104"/>
      <c r="K96" s="104"/>
      <c r="L96" s="104"/>
      <c r="M96" s="104"/>
      <c r="N96" s="104"/>
      <c r="O96" s="104"/>
      <c r="P96" s="104"/>
      <c r="Q96" s="104"/>
      <c r="R96" s="104"/>
      <c r="S96" s="104"/>
      <c r="T96" s="104"/>
      <c r="U96" s="104"/>
      <c r="V96" s="104"/>
      <c r="W96" s="104"/>
      <c r="X96" s="104"/>
      <c r="Y96" s="104"/>
      <c r="Z96" s="104"/>
      <c r="AA96" s="104"/>
      <c r="AB96" s="104"/>
      <c r="AC96" s="104"/>
      <c r="AD96" s="104"/>
      <c r="AE96" s="104"/>
      <c r="AF96" s="104"/>
      <c r="AG96" s="104"/>
      <c r="AH96" s="104"/>
      <c r="AI96" s="104"/>
      <c r="AJ96" s="104"/>
      <c r="AK96" s="104"/>
      <c r="AL96" s="104"/>
      <c r="AM96" s="104"/>
      <c r="AN96" s="104"/>
      <c r="AO96" s="104"/>
      <c r="AP96" s="104"/>
      <c r="AQ96" s="104"/>
      <c r="AR96" s="104"/>
      <c r="AS96" s="104"/>
      <c r="AT96" s="104"/>
      <c r="AU96" s="104"/>
      <c r="AV96" s="104"/>
      <c r="AW96" s="104"/>
      <c r="AX96" s="104"/>
      <c r="AY96" s="104"/>
      <c r="AZ96" s="104"/>
      <c r="BA96" s="104"/>
      <c r="BB96" s="104"/>
      <c r="BC96" s="104"/>
      <c r="BD96" s="104"/>
      <c r="BE96" s="104"/>
      <c r="BF96" s="104"/>
      <c r="BG96" s="104"/>
      <c r="BH96" s="104"/>
      <c r="BI96" s="104"/>
      <c r="BJ96" s="104"/>
      <c r="BK96" s="104"/>
      <c r="BL96" s="104"/>
      <c r="BM96" s="104"/>
      <c r="BN96" s="104"/>
      <c r="BO96" s="104"/>
      <c r="BP96" s="104"/>
      <c r="BQ96" s="104"/>
      <c r="BR96" s="104"/>
      <c r="BS96" s="104"/>
      <c r="BT96" s="104"/>
      <c r="BU96" s="104"/>
      <c r="BV96" s="104"/>
      <c r="BW96" s="122"/>
      <c r="BX96" s="104"/>
      <c r="BY96" s="104"/>
      <c r="BZ96" s="104"/>
      <c r="CA96" s="122"/>
      <c r="CB96" s="104"/>
      <c r="CC96" s="104"/>
      <c r="CD96" s="122"/>
      <c r="CE96" s="104"/>
      <c r="CF96" s="104"/>
      <c r="CG96" s="104"/>
      <c r="CH96" s="104"/>
      <c r="CI96" s="104"/>
      <c r="CJ96" s="104"/>
      <c r="CK96" s="104"/>
      <c r="CL96" s="104"/>
      <c r="CM96" s="104"/>
      <c r="CN96" s="104"/>
      <c r="CO96" s="104"/>
      <c r="CP96" s="104"/>
      <c r="CQ96" s="104"/>
      <c r="CR96" s="104"/>
      <c r="CS96" s="104"/>
      <c r="CT96" s="104"/>
      <c r="CU96" s="104"/>
    </row>
    <row r="97">
      <c r="A97" s="595"/>
      <c r="B97" s="202" t="s">
        <v>271</v>
      </c>
      <c r="C97" s="196" t="s">
        <v>271</v>
      </c>
      <c r="D97" s="197" t="s">
        <v>271</v>
      </c>
      <c r="E97" s="199" t="s">
        <v>271</v>
      </c>
      <c r="F97" s="201" t="s">
        <v>271</v>
      </c>
      <c r="G97" s="202" t="s">
        <v>271</v>
      </c>
      <c r="H97" s="609"/>
      <c r="I97" s="609"/>
      <c r="J97" s="104"/>
      <c r="K97" s="104"/>
      <c r="L97" s="104"/>
      <c r="M97" s="104"/>
      <c r="N97" s="104"/>
      <c r="O97" s="104"/>
      <c r="P97" s="104"/>
      <c r="Q97" s="104"/>
      <c r="R97" s="104"/>
      <c r="S97" s="104"/>
      <c r="T97" s="104"/>
      <c r="U97" s="104"/>
      <c r="V97" s="104"/>
      <c r="W97" s="104"/>
      <c r="X97" s="104"/>
      <c r="Y97" s="104"/>
      <c r="Z97" s="104"/>
      <c r="AA97" s="104"/>
      <c r="AB97" s="104"/>
      <c r="AC97" s="104"/>
      <c r="AD97" s="104"/>
      <c r="AE97" s="104"/>
      <c r="AF97" s="104"/>
      <c r="AG97" s="104"/>
      <c r="AH97" s="104"/>
      <c r="AI97" s="104"/>
      <c r="AJ97" s="104"/>
      <c r="AK97" s="104"/>
      <c r="AL97" s="104"/>
      <c r="AM97" s="104"/>
      <c r="AN97" s="104"/>
      <c r="AO97" s="104"/>
      <c r="AP97" s="104"/>
      <c r="AQ97" s="104"/>
      <c r="AR97" s="104"/>
      <c r="AS97" s="104"/>
      <c r="AT97" s="104"/>
      <c r="AU97" s="104"/>
      <c r="AV97" s="104"/>
      <c r="AW97" s="104"/>
      <c r="AX97" s="104"/>
      <c r="AY97" s="104"/>
      <c r="AZ97" s="104"/>
      <c r="BA97" s="104"/>
      <c r="BB97" s="104"/>
      <c r="BC97" s="104"/>
      <c r="BD97" s="104"/>
      <c r="BE97" s="104"/>
      <c r="BF97" s="104"/>
      <c r="BG97" s="104"/>
      <c r="BH97" s="104"/>
      <c r="BI97" s="104"/>
      <c r="BJ97" s="104"/>
      <c r="BK97" s="104"/>
      <c r="BL97" s="104"/>
      <c r="BM97" s="104"/>
      <c r="BN97" s="104"/>
      <c r="BO97" s="104"/>
      <c r="BP97" s="104"/>
      <c r="BQ97" s="104"/>
      <c r="BR97" s="104"/>
      <c r="BS97" s="104"/>
      <c r="BT97" s="104"/>
      <c r="BU97" s="104"/>
      <c r="BV97" s="104"/>
      <c r="BW97" s="122"/>
      <c r="BX97" s="104"/>
      <c r="BY97" s="104"/>
      <c r="BZ97" s="104"/>
      <c r="CA97" s="122"/>
      <c r="CB97" s="104"/>
      <c r="CC97" s="104"/>
      <c r="CD97" s="122"/>
      <c r="CE97" s="104"/>
      <c r="CF97" s="104"/>
      <c r="CG97" s="104"/>
      <c r="CH97" s="104"/>
      <c r="CI97" s="104"/>
      <c r="CJ97" s="104"/>
      <c r="CK97" s="104"/>
      <c r="CL97" s="104"/>
      <c r="CM97" s="104"/>
      <c r="CN97" s="104"/>
      <c r="CO97" s="104"/>
      <c r="CP97" s="104"/>
      <c r="CQ97" s="104"/>
      <c r="CR97" s="104"/>
      <c r="CS97" s="104"/>
      <c r="CT97" s="104"/>
      <c r="CU97" s="104"/>
    </row>
    <row r="98">
      <c r="A98" s="595"/>
      <c r="B98" s="202" t="s">
        <v>271</v>
      </c>
      <c r="C98" s="196" t="s">
        <v>271</v>
      </c>
      <c r="D98" s="197" t="s">
        <v>271</v>
      </c>
      <c r="E98" s="199" t="s">
        <v>271</v>
      </c>
      <c r="F98" s="201" t="s">
        <v>271</v>
      </c>
      <c r="G98" s="202" t="s">
        <v>271</v>
      </c>
      <c r="H98" s="609"/>
      <c r="I98" s="609"/>
      <c r="J98" s="104"/>
      <c r="K98" s="104"/>
      <c r="L98" s="104"/>
      <c r="M98" s="104"/>
      <c r="N98" s="104"/>
      <c r="O98" s="104"/>
      <c r="P98" s="104"/>
      <c r="Q98" s="104"/>
      <c r="R98" s="104"/>
      <c r="S98" s="104"/>
      <c r="T98" s="104"/>
      <c r="U98" s="104"/>
      <c r="V98" s="104"/>
      <c r="W98" s="104"/>
      <c r="X98" s="104"/>
      <c r="Y98" s="104"/>
      <c r="Z98" s="104"/>
      <c r="AA98" s="104"/>
      <c r="AB98" s="104"/>
      <c r="AC98" s="104"/>
      <c r="AD98" s="104"/>
      <c r="AE98" s="104"/>
      <c r="AF98" s="104"/>
      <c r="AG98" s="104"/>
      <c r="AH98" s="104"/>
      <c r="AI98" s="104"/>
      <c r="AJ98" s="104"/>
      <c r="AK98" s="104"/>
      <c r="AL98" s="104"/>
      <c r="AM98" s="104"/>
      <c r="AN98" s="104"/>
      <c r="AO98" s="104"/>
      <c r="AP98" s="104"/>
      <c r="AQ98" s="104"/>
      <c r="AR98" s="104"/>
      <c r="AS98" s="104"/>
      <c r="AT98" s="104"/>
      <c r="AU98" s="104"/>
      <c r="AV98" s="104"/>
      <c r="AW98" s="104"/>
      <c r="AX98" s="104"/>
      <c r="AY98" s="104"/>
      <c r="AZ98" s="104"/>
      <c r="BA98" s="104"/>
      <c r="BB98" s="104"/>
      <c r="BC98" s="104"/>
      <c r="BD98" s="104"/>
      <c r="BE98" s="104"/>
      <c r="BF98" s="104"/>
      <c r="BG98" s="104"/>
      <c r="BH98" s="104"/>
      <c r="BI98" s="104"/>
      <c r="BJ98" s="104"/>
      <c r="BK98" s="104"/>
      <c r="BL98" s="104"/>
      <c r="BM98" s="104"/>
      <c r="BN98" s="104"/>
      <c r="BO98" s="104"/>
      <c r="BP98" s="104"/>
      <c r="BQ98" s="104"/>
      <c r="BR98" s="104"/>
      <c r="BS98" s="104"/>
      <c r="BT98" s="104"/>
      <c r="BU98" s="104"/>
      <c r="BV98" s="104"/>
      <c r="BW98" s="122"/>
      <c r="BX98" s="104"/>
      <c r="BY98" s="104"/>
      <c r="BZ98" s="104"/>
      <c r="CA98" s="122"/>
      <c r="CB98" s="104"/>
      <c r="CC98" s="104"/>
      <c r="CD98" s="122"/>
      <c r="CE98" s="104"/>
      <c r="CF98" s="104"/>
      <c r="CG98" s="104"/>
      <c r="CH98" s="104"/>
      <c r="CI98" s="104"/>
      <c r="CJ98" s="104"/>
      <c r="CK98" s="104"/>
      <c r="CL98" s="104"/>
      <c r="CM98" s="104"/>
      <c r="CN98" s="104"/>
      <c r="CO98" s="104"/>
      <c r="CP98" s="104"/>
      <c r="CQ98" s="104"/>
      <c r="CR98" s="104"/>
      <c r="CS98" s="104"/>
      <c r="CT98" s="104"/>
      <c r="CU98" s="104"/>
    </row>
    <row r="99">
      <c r="A99" s="595"/>
      <c r="B99" s="202" t="s">
        <v>271</v>
      </c>
      <c r="C99" s="196" t="s">
        <v>271</v>
      </c>
      <c r="D99" s="197" t="s">
        <v>271</v>
      </c>
      <c r="E99" s="199" t="s">
        <v>271</v>
      </c>
      <c r="F99" s="201" t="s">
        <v>271</v>
      </c>
      <c r="G99" s="202" t="s">
        <v>271</v>
      </c>
      <c r="H99" s="609"/>
      <c r="I99" s="609"/>
      <c r="J99" s="104"/>
      <c r="K99" s="104"/>
      <c r="L99" s="104"/>
      <c r="M99" s="104"/>
      <c r="N99" s="104"/>
      <c r="O99" s="104"/>
      <c r="P99" s="104"/>
      <c r="Q99" s="104"/>
      <c r="R99" s="104"/>
      <c r="S99" s="104"/>
      <c r="T99" s="104"/>
      <c r="U99" s="104"/>
      <c r="V99" s="104"/>
      <c r="W99" s="104"/>
      <c r="X99" s="104"/>
      <c r="Y99" s="104"/>
      <c r="Z99" s="104"/>
      <c r="AA99" s="104"/>
      <c r="AB99" s="104"/>
      <c r="AC99" s="104"/>
      <c r="AD99" s="104"/>
      <c r="AE99" s="104"/>
      <c r="AF99" s="104"/>
      <c r="AG99" s="104"/>
      <c r="AH99" s="104"/>
      <c r="AI99" s="104"/>
      <c r="AJ99" s="104"/>
      <c r="AK99" s="104"/>
      <c r="AL99" s="104"/>
      <c r="AM99" s="104"/>
      <c r="AN99" s="104"/>
      <c r="AO99" s="104"/>
      <c r="AP99" s="104"/>
      <c r="AQ99" s="104"/>
      <c r="AR99" s="104"/>
      <c r="AS99" s="104"/>
      <c r="AT99" s="104"/>
      <c r="AU99" s="104"/>
      <c r="AV99" s="104"/>
      <c r="AW99" s="104"/>
      <c r="AX99" s="104"/>
      <c r="AY99" s="104"/>
      <c r="AZ99" s="104"/>
      <c r="BA99" s="104"/>
      <c r="BB99" s="104"/>
      <c r="BC99" s="104"/>
      <c r="BD99" s="104"/>
      <c r="BE99" s="104"/>
      <c r="BF99" s="104"/>
      <c r="BG99" s="104"/>
      <c r="BH99" s="104"/>
      <c r="BI99" s="104"/>
      <c r="BJ99" s="104"/>
      <c r="BK99" s="104"/>
      <c r="BL99" s="104"/>
      <c r="BM99" s="104"/>
      <c r="BN99" s="104"/>
      <c r="BO99" s="104"/>
      <c r="BP99" s="104"/>
      <c r="BQ99" s="104"/>
      <c r="BR99" s="104"/>
      <c r="BS99" s="104"/>
      <c r="BT99" s="104"/>
      <c r="BU99" s="104"/>
      <c r="BV99" s="104"/>
      <c r="BW99" s="122"/>
      <c r="BX99" s="104"/>
      <c r="BY99" s="104"/>
      <c r="BZ99" s="104"/>
      <c r="CA99" s="122"/>
      <c r="CB99" s="104"/>
      <c r="CC99" s="104"/>
      <c r="CD99" s="122"/>
      <c r="CE99" s="104"/>
      <c r="CF99" s="104"/>
      <c r="CG99" s="104"/>
      <c r="CH99" s="104"/>
      <c r="CI99" s="104"/>
      <c r="CJ99" s="104"/>
      <c r="CK99" s="104"/>
      <c r="CL99" s="104"/>
      <c r="CM99" s="104"/>
      <c r="CN99" s="104"/>
      <c r="CO99" s="104"/>
      <c r="CP99" s="104"/>
      <c r="CQ99" s="104"/>
      <c r="CR99" s="104"/>
      <c r="CS99" s="104"/>
      <c r="CT99" s="104"/>
      <c r="CU99" s="104"/>
    </row>
    <row r="100">
      <c r="A100" s="595"/>
      <c r="B100" s="202" t="s">
        <v>271</v>
      </c>
      <c r="C100" s="196" t="s">
        <v>271</v>
      </c>
      <c r="D100" s="197" t="s">
        <v>271</v>
      </c>
      <c r="E100" s="199" t="s">
        <v>271</v>
      </c>
      <c r="F100" s="201" t="s">
        <v>271</v>
      </c>
      <c r="G100" s="202" t="s">
        <v>271</v>
      </c>
      <c r="H100" s="609"/>
      <c r="I100" s="609"/>
      <c r="J100" s="104"/>
      <c r="K100" s="104"/>
      <c r="L100" s="104"/>
      <c r="M100" s="104"/>
      <c r="N100" s="104"/>
      <c r="O100" s="104"/>
      <c r="P100" s="104"/>
      <c r="Q100" s="104"/>
      <c r="R100" s="104"/>
      <c r="S100" s="104"/>
      <c r="T100" s="104"/>
      <c r="U100" s="104"/>
      <c r="V100" s="104"/>
      <c r="W100" s="104"/>
      <c r="X100" s="104"/>
      <c r="Y100" s="104"/>
      <c r="Z100" s="104"/>
      <c r="AA100" s="104"/>
      <c r="AB100" s="104"/>
      <c r="AC100" s="104"/>
      <c r="AD100" s="104"/>
      <c r="AE100" s="104"/>
      <c r="AF100" s="104"/>
      <c r="AG100" s="104"/>
      <c r="AH100" s="104"/>
      <c r="AI100" s="104"/>
      <c r="AJ100" s="104"/>
      <c r="AK100" s="104"/>
      <c r="AL100" s="104"/>
      <c r="AM100" s="104"/>
      <c r="AN100" s="104"/>
      <c r="AO100" s="104"/>
      <c r="AP100" s="104"/>
      <c r="AQ100" s="104"/>
      <c r="AR100" s="104"/>
      <c r="AS100" s="104"/>
      <c r="AT100" s="104"/>
      <c r="AU100" s="104"/>
      <c r="AV100" s="104"/>
      <c r="AW100" s="104"/>
      <c r="AX100" s="104"/>
      <c r="AY100" s="104"/>
      <c r="AZ100" s="104"/>
      <c r="BA100" s="104"/>
      <c r="BB100" s="104"/>
      <c r="BC100" s="104"/>
      <c r="BD100" s="104"/>
      <c r="BE100" s="104"/>
      <c r="BF100" s="104"/>
      <c r="BG100" s="104"/>
      <c r="BH100" s="104"/>
      <c r="BI100" s="104"/>
      <c r="BJ100" s="104"/>
      <c r="BK100" s="104"/>
      <c r="BL100" s="104"/>
      <c r="BM100" s="104"/>
      <c r="BN100" s="104"/>
      <c r="BO100" s="104"/>
      <c r="BP100" s="104"/>
      <c r="BQ100" s="104"/>
      <c r="BR100" s="104"/>
      <c r="BS100" s="104"/>
      <c r="BT100" s="104"/>
      <c r="BU100" s="104"/>
      <c r="BV100" s="104"/>
      <c r="BW100" s="122"/>
      <c r="BX100" s="104"/>
      <c r="BY100" s="104"/>
      <c r="BZ100" s="104"/>
      <c r="CA100" s="122"/>
      <c r="CB100" s="104"/>
      <c r="CC100" s="104"/>
      <c r="CD100" s="122"/>
      <c r="CE100" s="104"/>
      <c r="CF100" s="104"/>
      <c r="CG100" s="104"/>
      <c r="CH100" s="104"/>
      <c r="CI100" s="104"/>
      <c r="CJ100" s="104"/>
      <c r="CK100" s="104"/>
      <c r="CL100" s="104"/>
      <c r="CM100" s="104"/>
      <c r="CN100" s="104"/>
      <c r="CO100" s="104"/>
      <c r="CP100" s="104"/>
      <c r="CQ100" s="104"/>
      <c r="CR100" s="104"/>
      <c r="CS100" s="104"/>
      <c r="CT100" s="104"/>
      <c r="CU100" s="104"/>
    </row>
    <row r="101">
      <c r="A101" s="595"/>
      <c r="B101" s="202" t="s">
        <v>271</v>
      </c>
      <c r="C101" s="196" t="s">
        <v>271</v>
      </c>
      <c r="D101" s="197" t="s">
        <v>271</v>
      </c>
      <c r="E101" s="199" t="s">
        <v>271</v>
      </c>
      <c r="F101" s="201" t="s">
        <v>271</v>
      </c>
      <c r="G101" s="202" t="s">
        <v>271</v>
      </c>
      <c r="H101" s="609"/>
      <c r="I101" s="609"/>
      <c r="J101" s="104"/>
      <c r="K101" s="104"/>
      <c r="L101" s="104"/>
      <c r="M101" s="104"/>
      <c r="N101" s="104"/>
      <c r="O101" s="104"/>
      <c r="P101" s="104"/>
      <c r="Q101" s="104"/>
      <c r="R101" s="104"/>
      <c r="S101" s="104"/>
      <c r="T101" s="104"/>
      <c r="U101" s="104"/>
      <c r="V101" s="104"/>
      <c r="W101" s="104"/>
      <c r="X101" s="104"/>
      <c r="Y101" s="104"/>
      <c r="Z101" s="104"/>
      <c r="AA101" s="104"/>
      <c r="AB101" s="104"/>
      <c r="AC101" s="104"/>
      <c r="AD101" s="104"/>
      <c r="AE101" s="104"/>
      <c r="AF101" s="104"/>
      <c r="AG101" s="104"/>
      <c r="AH101" s="104"/>
      <c r="AI101" s="104"/>
      <c r="AJ101" s="104"/>
      <c r="AK101" s="104"/>
      <c r="AL101" s="104"/>
      <c r="AM101" s="104"/>
      <c r="AN101" s="104"/>
      <c r="AO101" s="104"/>
      <c r="AP101" s="104"/>
      <c r="AQ101" s="104"/>
      <c r="AR101" s="104"/>
      <c r="AS101" s="104"/>
      <c r="AT101" s="104"/>
      <c r="AU101" s="104"/>
      <c r="AV101" s="104"/>
      <c r="AW101" s="104"/>
      <c r="AX101" s="104"/>
      <c r="AY101" s="104"/>
      <c r="AZ101" s="104"/>
      <c r="BA101" s="104"/>
      <c r="BB101" s="104"/>
      <c r="BC101" s="104"/>
      <c r="BD101" s="104"/>
      <c r="BE101" s="104"/>
      <c r="BF101" s="104"/>
      <c r="BG101" s="104"/>
      <c r="BH101" s="104"/>
      <c r="BI101" s="104"/>
      <c r="BJ101" s="104"/>
      <c r="BK101" s="104"/>
      <c r="BL101" s="104"/>
      <c r="BM101" s="104"/>
      <c r="BN101" s="104"/>
      <c r="BO101" s="104"/>
      <c r="BP101" s="104"/>
      <c r="BQ101" s="104"/>
      <c r="BR101" s="104"/>
      <c r="BS101" s="104"/>
      <c r="BT101" s="104"/>
      <c r="BU101" s="104"/>
      <c r="BV101" s="104"/>
      <c r="BW101" s="122"/>
      <c r="BX101" s="104"/>
      <c r="BY101" s="104"/>
      <c r="BZ101" s="104"/>
      <c r="CA101" s="122"/>
      <c r="CB101" s="104"/>
      <c r="CC101" s="104"/>
      <c r="CD101" s="122"/>
      <c r="CE101" s="104"/>
      <c r="CF101" s="104"/>
      <c r="CG101" s="104"/>
      <c r="CH101" s="104"/>
      <c r="CI101" s="104"/>
      <c r="CJ101" s="104"/>
      <c r="CK101" s="104"/>
      <c r="CL101" s="104"/>
      <c r="CM101" s="104"/>
      <c r="CN101" s="104"/>
      <c r="CO101" s="104"/>
      <c r="CP101" s="104"/>
      <c r="CQ101" s="104"/>
      <c r="CR101" s="104"/>
      <c r="CS101" s="104"/>
      <c r="CT101" s="104"/>
      <c r="CU101" s="104"/>
    </row>
    <row r="102">
      <c r="A102" s="595"/>
      <c r="B102" s="202" t="s">
        <v>271</v>
      </c>
      <c r="C102" s="196" t="s">
        <v>271</v>
      </c>
      <c r="D102" s="197" t="s">
        <v>271</v>
      </c>
      <c r="E102" s="199" t="s">
        <v>271</v>
      </c>
      <c r="F102" s="201" t="s">
        <v>271</v>
      </c>
      <c r="G102" s="202" t="s">
        <v>271</v>
      </c>
      <c r="H102" s="609"/>
      <c r="I102" s="609"/>
      <c r="J102" s="104"/>
      <c r="K102" s="104"/>
      <c r="L102" s="104"/>
      <c r="M102" s="104"/>
      <c r="N102" s="104"/>
      <c r="O102" s="104"/>
      <c r="P102" s="104"/>
      <c r="Q102" s="104"/>
      <c r="R102" s="104"/>
      <c r="S102" s="104"/>
      <c r="T102" s="104"/>
      <c r="U102" s="104"/>
      <c r="V102" s="104"/>
      <c r="W102" s="104"/>
      <c r="X102" s="104"/>
      <c r="Y102" s="104"/>
      <c r="Z102" s="104"/>
      <c r="AA102" s="104"/>
      <c r="AB102" s="104"/>
      <c r="AC102" s="104"/>
      <c r="AD102" s="104"/>
      <c r="AE102" s="104"/>
      <c r="AF102" s="104"/>
      <c r="AG102" s="104"/>
      <c r="AH102" s="104"/>
      <c r="AI102" s="104"/>
      <c r="AJ102" s="104"/>
      <c r="AK102" s="104"/>
      <c r="AL102" s="104"/>
      <c r="AM102" s="104"/>
      <c r="AN102" s="104"/>
      <c r="AO102" s="104"/>
      <c r="AP102" s="104"/>
      <c r="AQ102" s="104"/>
      <c r="AR102" s="104"/>
      <c r="AS102" s="104"/>
      <c r="AT102" s="104"/>
      <c r="AU102" s="104"/>
      <c r="AV102" s="104"/>
      <c r="AW102" s="104"/>
      <c r="AX102" s="104"/>
      <c r="AY102" s="104"/>
      <c r="AZ102" s="104"/>
      <c r="BA102" s="104"/>
      <c r="BB102" s="104"/>
      <c r="BC102" s="104"/>
      <c r="BD102" s="104"/>
      <c r="BE102" s="104"/>
      <c r="BF102" s="104"/>
      <c r="BG102" s="104"/>
      <c r="BH102" s="104"/>
      <c r="BI102" s="104"/>
      <c r="BJ102" s="104"/>
      <c r="BK102" s="104"/>
      <c r="BL102" s="104"/>
      <c r="BM102" s="104"/>
      <c r="BN102" s="104"/>
      <c r="BO102" s="104"/>
      <c r="BP102" s="104"/>
      <c r="BQ102" s="104"/>
      <c r="BR102" s="104"/>
      <c r="BS102" s="104"/>
      <c r="BT102" s="104"/>
      <c r="BU102" s="104"/>
      <c r="BV102" s="104"/>
      <c r="BW102" s="122"/>
      <c r="BX102" s="104"/>
      <c r="BY102" s="104"/>
      <c r="BZ102" s="104"/>
      <c r="CA102" s="122"/>
      <c r="CB102" s="104"/>
      <c r="CC102" s="104"/>
      <c r="CD102" s="122"/>
      <c r="CE102" s="104"/>
      <c r="CF102" s="104"/>
      <c r="CG102" s="104"/>
      <c r="CH102" s="104"/>
      <c r="CI102" s="104"/>
      <c r="CJ102" s="104"/>
      <c r="CK102" s="104"/>
      <c r="CL102" s="104"/>
      <c r="CM102" s="104"/>
      <c r="CN102" s="104"/>
      <c r="CO102" s="104"/>
      <c r="CP102" s="104"/>
      <c r="CQ102" s="104"/>
      <c r="CR102" s="104"/>
      <c r="CS102" s="104"/>
      <c r="CT102" s="104"/>
      <c r="CU102" s="104"/>
    </row>
    <row r="103">
      <c r="A103" s="595"/>
      <c r="B103" s="202" t="s">
        <v>271</v>
      </c>
      <c r="C103" s="196" t="s">
        <v>271</v>
      </c>
      <c r="D103" s="197" t="s">
        <v>271</v>
      </c>
      <c r="E103" s="199" t="s">
        <v>271</v>
      </c>
      <c r="F103" s="201" t="s">
        <v>271</v>
      </c>
      <c r="G103" s="202" t="s">
        <v>271</v>
      </c>
      <c r="H103" s="609"/>
      <c r="I103" s="609"/>
      <c r="J103" s="104"/>
      <c r="K103" s="104"/>
      <c r="L103" s="104"/>
      <c r="M103" s="104"/>
      <c r="N103" s="104"/>
      <c r="O103" s="104"/>
      <c r="P103" s="104"/>
      <c r="Q103" s="104"/>
      <c r="R103" s="104"/>
      <c r="S103" s="104"/>
      <c r="T103" s="104"/>
      <c r="U103" s="104"/>
      <c r="V103" s="104"/>
      <c r="W103" s="104"/>
      <c r="X103" s="104"/>
      <c r="Y103" s="104"/>
      <c r="Z103" s="104"/>
      <c r="AA103" s="104"/>
      <c r="AB103" s="104"/>
      <c r="AC103" s="104"/>
      <c r="AD103" s="104"/>
      <c r="AE103" s="104"/>
      <c r="AF103" s="104"/>
      <c r="AG103" s="104"/>
      <c r="AH103" s="104"/>
      <c r="AI103" s="104"/>
      <c r="AJ103" s="104"/>
      <c r="AK103" s="104"/>
      <c r="AL103" s="104"/>
      <c r="AM103" s="104"/>
      <c r="AN103" s="104"/>
      <c r="AO103" s="104"/>
      <c r="AP103" s="104"/>
      <c r="AQ103" s="104"/>
      <c r="AR103" s="104"/>
      <c r="AS103" s="104"/>
      <c r="AT103" s="104"/>
      <c r="AU103" s="104"/>
      <c r="AV103" s="104"/>
      <c r="AW103" s="104"/>
      <c r="AX103" s="104"/>
      <c r="AY103" s="104"/>
      <c r="AZ103" s="104"/>
      <c r="BA103" s="104"/>
      <c r="BB103" s="104"/>
      <c r="BC103" s="104"/>
      <c r="BD103" s="104"/>
      <c r="BE103" s="104"/>
      <c r="BF103" s="104"/>
      <c r="BG103" s="104"/>
      <c r="BH103" s="104"/>
      <c r="BI103" s="104"/>
      <c r="BJ103" s="104"/>
      <c r="BK103" s="104"/>
      <c r="BL103" s="104"/>
      <c r="BM103" s="104"/>
      <c r="BN103" s="104"/>
      <c r="BO103" s="104"/>
      <c r="BP103" s="104"/>
      <c r="BQ103" s="104"/>
      <c r="BR103" s="104"/>
      <c r="BS103" s="104"/>
      <c r="BT103" s="104"/>
      <c r="BU103" s="104"/>
      <c r="BV103" s="104"/>
      <c r="BW103" s="122"/>
      <c r="BX103" s="104"/>
      <c r="BY103" s="104"/>
      <c r="BZ103" s="104"/>
      <c r="CA103" s="122"/>
      <c r="CB103" s="104"/>
      <c r="CC103" s="104"/>
      <c r="CD103" s="122"/>
      <c r="CE103" s="104"/>
      <c r="CF103" s="104"/>
      <c r="CG103" s="104"/>
      <c r="CH103" s="104"/>
      <c r="CI103" s="104"/>
      <c r="CJ103" s="104"/>
      <c r="CK103" s="104"/>
      <c r="CL103" s="104"/>
      <c r="CM103" s="104"/>
      <c r="CN103" s="104"/>
      <c r="CO103" s="104"/>
      <c r="CP103" s="104"/>
      <c r="CQ103" s="104"/>
      <c r="CR103" s="104"/>
      <c r="CS103" s="104"/>
      <c r="CT103" s="104"/>
      <c r="CU103" s="104"/>
    </row>
    <row r="104">
      <c r="A104" s="595"/>
      <c r="B104" s="202" t="s">
        <v>271</v>
      </c>
      <c r="C104" s="196" t="s">
        <v>271</v>
      </c>
      <c r="D104" s="197" t="s">
        <v>271</v>
      </c>
      <c r="E104" s="199" t="s">
        <v>271</v>
      </c>
      <c r="F104" s="201" t="s">
        <v>271</v>
      </c>
      <c r="G104" s="202" t="s">
        <v>271</v>
      </c>
      <c r="H104" s="609"/>
      <c r="I104" s="609"/>
      <c r="J104" s="104"/>
      <c r="K104" s="104"/>
      <c r="L104" s="104"/>
      <c r="M104" s="104"/>
      <c r="N104" s="104"/>
      <c r="O104" s="104"/>
      <c r="P104" s="104"/>
      <c r="Q104" s="104"/>
      <c r="R104" s="104"/>
      <c r="S104" s="104"/>
      <c r="T104" s="104"/>
      <c r="U104" s="104"/>
      <c r="V104" s="104"/>
      <c r="W104" s="104"/>
      <c r="X104" s="104"/>
      <c r="Y104" s="104"/>
      <c r="Z104" s="104"/>
      <c r="AA104" s="104"/>
      <c r="AB104" s="104"/>
      <c r="AC104" s="104"/>
      <c r="AD104" s="104"/>
      <c r="AE104" s="104"/>
      <c r="AF104" s="104"/>
      <c r="AG104" s="104"/>
      <c r="AH104" s="104"/>
      <c r="AI104" s="104"/>
      <c r="AJ104" s="104"/>
      <c r="AK104" s="104"/>
      <c r="AL104" s="104"/>
      <c r="AM104" s="104"/>
      <c r="AN104" s="104"/>
      <c r="AO104" s="104"/>
      <c r="AP104" s="104"/>
      <c r="AQ104" s="104"/>
      <c r="AR104" s="104"/>
      <c r="AS104" s="104"/>
      <c r="AT104" s="104"/>
      <c r="AU104" s="104"/>
      <c r="AV104" s="104"/>
      <c r="AW104" s="104"/>
      <c r="AX104" s="104"/>
      <c r="AY104" s="104"/>
      <c r="AZ104" s="104"/>
      <c r="BA104" s="104"/>
      <c r="BB104" s="104"/>
      <c r="BC104" s="104"/>
      <c r="BD104" s="104"/>
      <c r="BE104" s="104"/>
      <c r="BF104" s="104"/>
      <c r="BG104" s="104"/>
      <c r="BH104" s="104"/>
      <c r="BI104" s="104"/>
      <c r="BJ104" s="104"/>
      <c r="BK104" s="104"/>
      <c r="BL104" s="104"/>
      <c r="BM104" s="104"/>
      <c r="BN104" s="104"/>
      <c r="BO104" s="104"/>
      <c r="BP104" s="104"/>
      <c r="BQ104" s="104"/>
      <c r="BR104" s="104"/>
      <c r="BS104" s="104"/>
      <c r="BT104" s="104"/>
      <c r="BU104" s="104"/>
      <c r="BV104" s="104"/>
      <c r="BW104" s="122"/>
      <c r="BX104" s="104"/>
      <c r="BY104" s="104"/>
      <c r="BZ104" s="104"/>
      <c r="CA104" s="122"/>
      <c r="CB104" s="104"/>
      <c r="CC104" s="104"/>
      <c r="CD104" s="122"/>
      <c r="CE104" s="104"/>
      <c r="CF104" s="104"/>
      <c r="CG104" s="104"/>
      <c r="CH104" s="104"/>
      <c r="CI104" s="104"/>
      <c r="CJ104" s="104"/>
      <c r="CK104" s="104"/>
      <c r="CL104" s="104"/>
      <c r="CM104" s="104"/>
      <c r="CN104" s="104"/>
      <c r="CO104" s="104"/>
      <c r="CP104" s="104"/>
      <c r="CQ104" s="104"/>
      <c r="CR104" s="104"/>
      <c r="CS104" s="104"/>
      <c r="CT104" s="104"/>
      <c r="CU104" s="104"/>
    </row>
    <row r="105">
      <c r="A105" s="595"/>
      <c r="B105" s="202" t="s">
        <v>271</v>
      </c>
      <c r="C105" s="196" t="s">
        <v>271</v>
      </c>
      <c r="D105" s="197" t="s">
        <v>271</v>
      </c>
      <c r="E105" s="199" t="s">
        <v>271</v>
      </c>
      <c r="F105" s="201" t="s">
        <v>271</v>
      </c>
      <c r="G105" s="202" t="s">
        <v>271</v>
      </c>
      <c r="H105" s="609"/>
      <c r="I105" s="609"/>
      <c r="J105" s="104"/>
      <c r="K105" s="104"/>
      <c r="L105" s="104"/>
      <c r="M105" s="104"/>
      <c r="N105" s="104"/>
      <c r="O105" s="104"/>
      <c r="P105" s="104"/>
      <c r="Q105" s="104"/>
      <c r="R105" s="104"/>
      <c r="S105" s="104"/>
      <c r="T105" s="104"/>
      <c r="U105" s="104"/>
      <c r="V105" s="104"/>
      <c r="W105" s="104"/>
      <c r="X105" s="104"/>
      <c r="Y105" s="104"/>
      <c r="Z105" s="104"/>
      <c r="AA105" s="104"/>
      <c r="AB105" s="104"/>
      <c r="AC105" s="104"/>
      <c r="AD105" s="104"/>
      <c r="AE105" s="104"/>
      <c r="AF105" s="104"/>
      <c r="AG105" s="104"/>
      <c r="AH105" s="104"/>
      <c r="AI105" s="104"/>
      <c r="AJ105" s="104"/>
      <c r="AK105" s="104"/>
      <c r="AL105" s="104"/>
      <c r="AM105" s="104"/>
      <c r="AN105" s="104"/>
      <c r="AO105" s="104"/>
      <c r="AP105" s="104"/>
      <c r="AQ105" s="104"/>
      <c r="AR105" s="104"/>
      <c r="AS105" s="104"/>
      <c r="AT105" s="104"/>
      <c r="AU105" s="104"/>
      <c r="AV105" s="104"/>
      <c r="AW105" s="104"/>
      <c r="AX105" s="104"/>
      <c r="AY105" s="104"/>
      <c r="AZ105" s="104"/>
      <c r="BA105" s="104"/>
      <c r="BB105" s="104"/>
      <c r="BC105" s="104"/>
      <c r="BD105" s="104"/>
      <c r="BE105" s="104"/>
      <c r="BF105" s="104"/>
      <c r="BG105" s="104"/>
      <c r="BH105" s="104"/>
      <c r="BI105" s="104"/>
      <c r="BJ105" s="104"/>
      <c r="BK105" s="104"/>
      <c r="BL105" s="104"/>
      <c r="BM105" s="104"/>
      <c r="BN105" s="104"/>
      <c r="BO105" s="104"/>
      <c r="BP105" s="104"/>
      <c r="BQ105" s="104"/>
      <c r="BR105" s="104"/>
      <c r="BS105" s="104"/>
      <c r="BT105" s="104"/>
      <c r="BU105" s="104"/>
      <c r="BV105" s="104"/>
      <c r="BW105" s="122"/>
      <c r="BX105" s="104"/>
      <c r="BY105" s="104"/>
      <c r="BZ105" s="104"/>
      <c r="CA105" s="122"/>
      <c r="CB105" s="104"/>
      <c r="CC105" s="104"/>
      <c r="CD105" s="122"/>
      <c r="CE105" s="104"/>
      <c r="CF105" s="104"/>
      <c r="CG105" s="104"/>
      <c r="CH105" s="104"/>
      <c r="CI105" s="104"/>
      <c r="CJ105" s="104"/>
      <c r="CK105" s="104"/>
      <c r="CL105" s="104"/>
      <c r="CM105" s="104"/>
      <c r="CN105" s="104"/>
      <c r="CO105" s="104"/>
      <c r="CP105" s="104"/>
      <c r="CQ105" s="104"/>
      <c r="CR105" s="104"/>
      <c r="CS105" s="104"/>
      <c r="CT105" s="104"/>
      <c r="CU105" s="104"/>
    </row>
    <row r="106">
      <c r="A106" s="595"/>
      <c r="B106" s="202" t="s">
        <v>271</v>
      </c>
      <c r="C106" s="196" t="s">
        <v>271</v>
      </c>
      <c r="D106" s="197" t="s">
        <v>271</v>
      </c>
      <c r="E106" s="199" t="s">
        <v>271</v>
      </c>
      <c r="F106" s="201" t="s">
        <v>271</v>
      </c>
      <c r="G106" s="202" t="s">
        <v>271</v>
      </c>
      <c r="H106" s="609"/>
      <c r="I106" s="609"/>
      <c r="J106" s="104"/>
      <c r="K106" s="104"/>
      <c r="L106" s="104"/>
      <c r="M106" s="104"/>
      <c r="N106" s="104"/>
      <c r="O106" s="104"/>
      <c r="P106" s="104"/>
      <c r="Q106" s="104"/>
      <c r="R106" s="104"/>
      <c r="S106" s="104"/>
      <c r="T106" s="104"/>
      <c r="U106" s="104"/>
      <c r="V106" s="104"/>
      <c r="W106" s="104"/>
      <c r="X106" s="104"/>
      <c r="Y106" s="104"/>
      <c r="Z106" s="104"/>
      <c r="AA106" s="104"/>
      <c r="AB106" s="104"/>
      <c r="AC106" s="104"/>
      <c r="AD106" s="104"/>
      <c r="AE106" s="104"/>
      <c r="AF106" s="104"/>
      <c r="AG106" s="104"/>
      <c r="AH106" s="104"/>
      <c r="AI106" s="104"/>
      <c r="AJ106" s="104"/>
      <c r="AK106" s="104"/>
      <c r="AL106" s="104"/>
      <c r="AM106" s="104"/>
      <c r="AN106" s="104"/>
      <c r="AO106" s="104"/>
      <c r="AP106" s="104"/>
      <c r="AQ106" s="104"/>
      <c r="AR106" s="104"/>
      <c r="AS106" s="104"/>
      <c r="AT106" s="104"/>
      <c r="AU106" s="104"/>
      <c r="AV106" s="104"/>
      <c r="AW106" s="104"/>
      <c r="AX106" s="104"/>
      <c r="AY106" s="104"/>
      <c r="AZ106" s="104"/>
      <c r="BA106" s="104"/>
      <c r="BB106" s="104"/>
      <c r="BC106" s="104"/>
      <c r="BD106" s="104"/>
      <c r="BE106" s="104"/>
      <c r="BF106" s="104"/>
      <c r="BG106" s="104"/>
      <c r="BH106" s="104"/>
      <c r="BI106" s="104"/>
      <c r="BJ106" s="104"/>
      <c r="BK106" s="104"/>
      <c r="BL106" s="104"/>
      <c r="BM106" s="104"/>
      <c r="BN106" s="104"/>
      <c r="BO106" s="104"/>
      <c r="BP106" s="104"/>
      <c r="BQ106" s="104"/>
      <c r="BR106" s="104"/>
      <c r="BS106" s="104"/>
      <c r="BT106" s="104"/>
      <c r="BU106" s="104"/>
      <c r="BV106" s="104"/>
      <c r="BW106" s="122"/>
      <c r="BX106" s="104"/>
      <c r="BY106" s="104"/>
      <c r="BZ106" s="104"/>
      <c r="CA106" s="122"/>
      <c r="CB106" s="104"/>
      <c r="CC106" s="104"/>
      <c r="CD106" s="122"/>
      <c r="CE106" s="104"/>
      <c r="CF106" s="104"/>
      <c r="CG106" s="104"/>
      <c r="CH106" s="104"/>
      <c r="CI106" s="104"/>
      <c r="CJ106" s="104"/>
      <c r="CK106" s="104"/>
      <c r="CL106" s="104"/>
      <c r="CM106" s="104"/>
      <c r="CN106" s="104"/>
      <c r="CO106" s="104"/>
      <c r="CP106" s="104"/>
      <c r="CQ106" s="104"/>
      <c r="CR106" s="104"/>
      <c r="CS106" s="104"/>
      <c r="CT106" s="104"/>
      <c r="CU106" s="104"/>
    </row>
    <row r="107">
      <c r="A107" s="595"/>
      <c r="B107" s="202" t="s">
        <v>271</v>
      </c>
      <c r="C107" s="196" t="s">
        <v>271</v>
      </c>
      <c r="D107" s="197" t="s">
        <v>271</v>
      </c>
      <c r="E107" s="199" t="s">
        <v>271</v>
      </c>
      <c r="F107" s="201" t="s">
        <v>271</v>
      </c>
      <c r="G107" s="202" t="s">
        <v>271</v>
      </c>
      <c r="H107" s="609"/>
      <c r="I107" s="609"/>
      <c r="J107" s="104"/>
      <c r="K107" s="104"/>
      <c r="L107" s="104"/>
      <c r="M107" s="104"/>
      <c r="N107" s="104"/>
      <c r="O107" s="104"/>
      <c r="P107" s="104"/>
      <c r="Q107" s="104"/>
      <c r="R107" s="104"/>
      <c r="S107" s="104"/>
      <c r="T107" s="104"/>
      <c r="U107" s="104"/>
      <c r="V107" s="104"/>
      <c r="W107" s="104"/>
      <c r="X107" s="104"/>
      <c r="Y107" s="104"/>
      <c r="Z107" s="104"/>
      <c r="AA107" s="104"/>
      <c r="AB107" s="104"/>
      <c r="AC107" s="104"/>
      <c r="AD107" s="104"/>
      <c r="AE107" s="104"/>
      <c r="AF107" s="104"/>
      <c r="AG107" s="104"/>
      <c r="AH107" s="104"/>
      <c r="AI107" s="104"/>
      <c r="AJ107" s="104"/>
      <c r="AK107" s="104"/>
      <c r="AL107" s="104"/>
      <c r="AM107" s="104"/>
      <c r="AN107" s="104"/>
      <c r="AO107" s="104"/>
      <c r="AP107" s="104"/>
      <c r="AQ107" s="104"/>
      <c r="AR107" s="104"/>
      <c r="AS107" s="104"/>
      <c r="AT107" s="104"/>
      <c r="AU107" s="104"/>
      <c r="AV107" s="104"/>
      <c r="AW107" s="104"/>
      <c r="AX107" s="104"/>
      <c r="AY107" s="104"/>
      <c r="AZ107" s="104"/>
      <c r="BA107" s="104"/>
      <c r="BB107" s="104"/>
      <c r="BC107" s="104"/>
      <c r="BD107" s="104"/>
      <c r="BE107" s="104"/>
      <c r="BF107" s="104"/>
      <c r="BG107" s="104"/>
      <c r="BH107" s="104"/>
      <c r="BI107" s="104"/>
      <c r="BJ107" s="104"/>
      <c r="BK107" s="104"/>
      <c r="BL107" s="104"/>
      <c r="BM107" s="104"/>
      <c r="BN107" s="104"/>
      <c r="BO107" s="104"/>
      <c r="BP107" s="104"/>
      <c r="BQ107" s="104"/>
      <c r="BR107" s="104"/>
      <c r="BS107" s="104"/>
      <c r="BT107" s="104"/>
      <c r="BU107" s="104"/>
      <c r="BV107" s="104"/>
      <c r="BW107" s="122"/>
      <c r="BX107" s="104"/>
      <c r="BY107" s="104"/>
      <c r="BZ107" s="104"/>
      <c r="CA107" s="122"/>
      <c r="CB107" s="104"/>
      <c r="CC107" s="104"/>
      <c r="CD107" s="122"/>
      <c r="CE107" s="104"/>
      <c r="CF107" s="104"/>
      <c r="CG107" s="104"/>
      <c r="CH107" s="104"/>
      <c r="CI107" s="104"/>
      <c r="CJ107" s="104"/>
      <c r="CK107" s="104"/>
      <c r="CL107" s="104"/>
      <c r="CM107" s="104"/>
      <c r="CN107" s="104"/>
      <c r="CO107" s="104"/>
      <c r="CP107" s="104"/>
      <c r="CQ107" s="104"/>
      <c r="CR107" s="104"/>
      <c r="CS107" s="104"/>
      <c r="CT107" s="104"/>
      <c r="CU107" s="104"/>
    </row>
    <row r="108">
      <c r="A108" s="595"/>
      <c r="B108" s="202" t="s">
        <v>271</v>
      </c>
      <c r="C108" s="196" t="s">
        <v>271</v>
      </c>
      <c r="D108" s="197" t="s">
        <v>271</v>
      </c>
      <c r="E108" s="199" t="s">
        <v>271</v>
      </c>
      <c r="F108" s="201" t="s">
        <v>271</v>
      </c>
      <c r="G108" s="202" t="s">
        <v>271</v>
      </c>
      <c r="H108" s="609"/>
      <c r="I108" s="609"/>
      <c r="J108" s="104"/>
      <c r="K108" s="104"/>
      <c r="L108" s="104"/>
      <c r="M108" s="104"/>
      <c r="N108" s="104"/>
      <c r="O108" s="104"/>
      <c r="P108" s="104"/>
      <c r="Q108" s="104"/>
      <c r="R108" s="104"/>
      <c r="S108" s="104"/>
      <c r="T108" s="104"/>
      <c r="U108" s="104"/>
      <c r="V108" s="104"/>
      <c r="W108" s="104"/>
      <c r="X108" s="104"/>
      <c r="Y108" s="104"/>
      <c r="Z108" s="104"/>
      <c r="AA108" s="104"/>
      <c r="AB108" s="104"/>
      <c r="AC108" s="104"/>
      <c r="AD108" s="104"/>
      <c r="AE108" s="104"/>
      <c r="AF108" s="104"/>
      <c r="AG108" s="104"/>
      <c r="AH108" s="104"/>
      <c r="AI108" s="104"/>
      <c r="AJ108" s="104"/>
      <c r="AK108" s="104"/>
      <c r="AL108" s="104"/>
      <c r="AM108" s="104"/>
      <c r="AN108" s="104"/>
      <c r="AO108" s="104"/>
      <c r="AP108" s="104"/>
      <c r="AQ108" s="104"/>
      <c r="AR108" s="104"/>
      <c r="AS108" s="104"/>
      <c r="AT108" s="104"/>
      <c r="AU108" s="104"/>
      <c r="AV108" s="104"/>
      <c r="AW108" s="104"/>
      <c r="AX108" s="104"/>
      <c r="AY108" s="104"/>
      <c r="AZ108" s="104"/>
      <c r="BA108" s="104"/>
      <c r="BB108" s="104"/>
      <c r="BC108" s="104"/>
      <c r="BD108" s="104"/>
      <c r="BE108" s="104"/>
      <c r="BF108" s="104"/>
      <c r="BG108" s="104"/>
      <c r="BH108" s="104"/>
      <c r="BI108" s="104"/>
      <c r="BJ108" s="104"/>
      <c r="BK108" s="104"/>
      <c r="BL108" s="104"/>
      <c r="BM108" s="104"/>
      <c r="BN108" s="104"/>
      <c r="BO108" s="104"/>
      <c r="BP108" s="104"/>
      <c r="BQ108" s="104"/>
      <c r="BR108" s="104"/>
      <c r="BS108" s="104"/>
      <c r="BT108" s="104"/>
      <c r="BU108" s="104"/>
      <c r="BV108" s="104"/>
      <c r="BW108" s="122"/>
      <c r="BX108" s="104"/>
      <c r="BY108" s="104"/>
      <c r="BZ108" s="104"/>
      <c r="CA108" s="122"/>
      <c r="CB108" s="104"/>
      <c r="CC108" s="104"/>
      <c r="CD108" s="122"/>
      <c r="CE108" s="104"/>
      <c r="CF108" s="104"/>
      <c r="CG108" s="104"/>
      <c r="CH108" s="104"/>
      <c r="CI108" s="104"/>
      <c r="CJ108" s="104"/>
      <c r="CK108" s="104"/>
      <c r="CL108" s="104"/>
      <c r="CM108" s="104"/>
      <c r="CN108" s="104"/>
      <c r="CO108" s="104"/>
      <c r="CP108" s="104"/>
      <c r="CQ108" s="104"/>
      <c r="CR108" s="104"/>
      <c r="CS108" s="104"/>
      <c r="CT108" s="104"/>
      <c r="CU108" s="104"/>
    </row>
    <row r="109">
      <c r="A109" s="595"/>
      <c r="B109" s="202" t="s">
        <v>271</v>
      </c>
      <c r="C109" s="196" t="s">
        <v>271</v>
      </c>
      <c r="D109" s="197" t="s">
        <v>271</v>
      </c>
      <c r="E109" s="199" t="s">
        <v>271</v>
      </c>
      <c r="F109" s="201" t="s">
        <v>271</v>
      </c>
      <c r="G109" s="202" t="s">
        <v>271</v>
      </c>
      <c r="H109" s="609"/>
      <c r="I109" s="609"/>
      <c r="J109" s="104"/>
      <c r="K109" s="104"/>
      <c r="L109" s="104"/>
      <c r="M109" s="104"/>
      <c r="N109" s="104"/>
      <c r="O109" s="104"/>
      <c r="P109" s="104"/>
      <c r="Q109" s="104"/>
      <c r="R109" s="104"/>
      <c r="S109" s="104"/>
      <c r="T109" s="104"/>
      <c r="U109" s="104"/>
      <c r="V109" s="104"/>
      <c r="W109" s="104"/>
      <c r="X109" s="104"/>
      <c r="Y109" s="104"/>
      <c r="Z109" s="104"/>
      <c r="AA109" s="104"/>
      <c r="AB109" s="104"/>
      <c r="AC109" s="104"/>
      <c r="AD109" s="104"/>
      <c r="AE109" s="104"/>
      <c r="AF109" s="104"/>
      <c r="AG109" s="104"/>
      <c r="AH109" s="104"/>
      <c r="AI109" s="104"/>
      <c r="AJ109" s="104"/>
      <c r="AK109" s="104"/>
      <c r="AL109" s="104"/>
      <c r="AM109" s="104"/>
      <c r="AN109" s="104"/>
      <c r="AO109" s="104"/>
      <c r="AP109" s="104"/>
      <c r="AQ109" s="104"/>
      <c r="AR109" s="104"/>
      <c r="AS109" s="104"/>
      <c r="AT109" s="104"/>
      <c r="AU109" s="104"/>
      <c r="AV109" s="104"/>
      <c r="AW109" s="104"/>
      <c r="AX109" s="104"/>
      <c r="AY109" s="104"/>
      <c r="AZ109" s="104"/>
      <c r="BA109" s="104"/>
      <c r="BB109" s="104"/>
      <c r="BC109" s="104"/>
      <c r="BD109" s="104"/>
      <c r="BE109" s="104"/>
      <c r="BF109" s="104"/>
      <c r="BG109" s="104"/>
      <c r="BH109" s="104"/>
      <c r="BI109" s="104"/>
      <c r="BJ109" s="104"/>
      <c r="BK109" s="104"/>
      <c r="BL109" s="104"/>
      <c r="BM109" s="104"/>
      <c r="BN109" s="104"/>
      <c r="BO109" s="104"/>
      <c r="BP109" s="104"/>
      <c r="BQ109" s="104"/>
      <c r="BR109" s="104"/>
      <c r="BS109" s="104"/>
      <c r="BT109" s="104"/>
      <c r="BU109" s="104"/>
      <c r="BV109" s="104"/>
      <c r="BW109" s="122"/>
      <c r="BX109" s="104"/>
      <c r="BY109" s="104"/>
      <c r="BZ109" s="104"/>
      <c r="CA109" s="122"/>
      <c r="CB109" s="104"/>
      <c r="CC109" s="104"/>
      <c r="CD109" s="122"/>
      <c r="CE109" s="104"/>
      <c r="CF109" s="104"/>
      <c r="CG109" s="104"/>
      <c r="CH109" s="104"/>
      <c r="CI109" s="104"/>
      <c r="CJ109" s="104"/>
      <c r="CK109" s="104"/>
      <c r="CL109" s="104"/>
      <c r="CM109" s="104"/>
      <c r="CN109" s="104"/>
      <c r="CO109" s="104"/>
      <c r="CP109" s="104"/>
      <c r="CQ109" s="104"/>
      <c r="CR109" s="104"/>
      <c r="CS109" s="104"/>
      <c r="CT109" s="104"/>
      <c r="CU109" s="104"/>
    </row>
    <row r="110">
      <c r="A110" s="595"/>
      <c r="B110" s="202" t="s">
        <v>271</v>
      </c>
      <c r="C110" s="196" t="s">
        <v>271</v>
      </c>
      <c r="D110" s="197" t="s">
        <v>271</v>
      </c>
      <c r="E110" s="199" t="s">
        <v>271</v>
      </c>
      <c r="F110" s="201" t="s">
        <v>271</v>
      </c>
      <c r="G110" s="202" t="s">
        <v>271</v>
      </c>
      <c r="H110" s="609"/>
      <c r="I110" s="609"/>
      <c r="J110" s="104"/>
      <c r="K110" s="104"/>
      <c r="L110" s="104"/>
      <c r="M110" s="104"/>
      <c r="N110" s="104"/>
      <c r="O110" s="104"/>
      <c r="P110" s="104"/>
      <c r="Q110" s="104"/>
      <c r="R110" s="104"/>
      <c r="S110" s="104"/>
      <c r="T110" s="104"/>
      <c r="U110" s="104"/>
      <c r="V110" s="104"/>
      <c r="W110" s="104"/>
      <c r="X110" s="104"/>
      <c r="Y110" s="104"/>
      <c r="Z110" s="104"/>
      <c r="AA110" s="104"/>
      <c r="AB110" s="104"/>
      <c r="AC110" s="104"/>
      <c r="AD110" s="104"/>
      <c r="AE110" s="104"/>
      <c r="AF110" s="104"/>
      <c r="AG110" s="104"/>
      <c r="AH110" s="104"/>
      <c r="AI110" s="104"/>
      <c r="AJ110" s="104"/>
      <c r="AK110" s="104"/>
      <c r="AL110" s="104"/>
      <c r="AM110" s="104"/>
      <c r="AN110" s="104"/>
      <c r="AO110" s="104"/>
      <c r="AP110" s="104"/>
      <c r="AQ110" s="104"/>
      <c r="AR110" s="104"/>
      <c r="AS110" s="104"/>
      <c r="AT110" s="104"/>
      <c r="AU110" s="104"/>
      <c r="AV110" s="104"/>
      <c r="AW110" s="104"/>
      <c r="AX110" s="104"/>
      <c r="AY110" s="104"/>
      <c r="AZ110" s="104"/>
      <c r="BA110" s="104"/>
      <c r="BB110" s="104"/>
      <c r="BC110" s="104"/>
      <c r="BD110" s="104"/>
      <c r="BE110" s="104"/>
      <c r="BF110" s="104"/>
      <c r="BG110" s="104"/>
      <c r="BH110" s="104"/>
      <c r="BI110" s="104"/>
      <c r="BJ110" s="104"/>
      <c r="BK110" s="104"/>
      <c r="BL110" s="104"/>
      <c r="BM110" s="104"/>
      <c r="BN110" s="104"/>
      <c r="BO110" s="104"/>
      <c r="BP110" s="104"/>
      <c r="BQ110" s="104"/>
      <c r="BR110" s="104"/>
      <c r="BS110" s="104"/>
      <c r="BT110" s="104"/>
      <c r="BU110" s="104"/>
      <c r="BV110" s="104"/>
      <c r="BW110" s="122"/>
      <c r="BX110" s="104"/>
      <c r="BY110" s="104"/>
      <c r="BZ110" s="104"/>
      <c r="CA110" s="122"/>
      <c r="CB110" s="104"/>
      <c r="CC110" s="104"/>
      <c r="CD110" s="122"/>
      <c r="CE110" s="104"/>
      <c r="CF110" s="104"/>
      <c r="CG110" s="104"/>
      <c r="CH110" s="104"/>
      <c r="CI110" s="104"/>
      <c r="CJ110" s="104"/>
      <c r="CK110" s="104"/>
      <c r="CL110" s="104"/>
      <c r="CM110" s="104"/>
      <c r="CN110" s="104"/>
      <c r="CO110" s="104"/>
      <c r="CP110" s="104"/>
      <c r="CQ110" s="104"/>
      <c r="CR110" s="104"/>
      <c r="CS110" s="104"/>
      <c r="CT110" s="104"/>
      <c r="CU110" s="104"/>
    </row>
    <row r="111">
      <c r="A111" s="595"/>
      <c r="B111" s="202" t="s">
        <v>271</v>
      </c>
      <c r="C111" s="196" t="s">
        <v>271</v>
      </c>
      <c r="D111" s="197" t="s">
        <v>271</v>
      </c>
      <c r="E111" s="199" t="s">
        <v>271</v>
      </c>
      <c r="F111" s="201" t="s">
        <v>271</v>
      </c>
      <c r="G111" s="202" t="s">
        <v>271</v>
      </c>
      <c r="H111" s="609"/>
      <c r="I111" s="609"/>
      <c r="J111" s="104"/>
      <c r="K111" s="104"/>
      <c r="L111" s="104"/>
      <c r="M111" s="104"/>
      <c r="N111" s="104"/>
      <c r="O111" s="104"/>
      <c r="P111" s="104"/>
      <c r="Q111" s="104"/>
      <c r="R111" s="104"/>
      <c r="S111" s="104"/>
      <c r="T111" s="104"/>
      <c r="U111" s="104"/>
      <c r="V111" s="104"/>
      <c r="W111" s="104"/>
      <c r="X111" s="104"/>
      <c r="Y111" s="104"/>
      <c r="Z111" s="104"/>
      <c r="AA111" s="104"/>
      <c r="AB111" s="104"/>
      <c r="AC111" s="104"/>
      <c r="AD111" s="104"/>
      <c r="AE111" s="104"/>
      <c r="AF111" s="104"/>
      <c r="AG111" s="104"/>
      <c r="AH111" s="104"/>
      <c r="AI111" s="104"/>
      <c r="AJ111" s="104"/>
      <c r="AK111" s="104"/>
      <c r="AL111" s="104"/>
      <c r="AM111" s="104"/>
      <c r="AN111" s="104"/>
      <c r="AO111" s="104"/>
      <c r="AP111" s="104"/>
      <c r="AQ111" s="104"/>
      <c r="AR111" s="104"/>
      <c r="AS111" s="104"/>
      <c r="AT111" s="104"/>
      <c r="AU111" s="104"/>
      <c r="AV111" s="104"/>
      <c r="AW111" s="104"/>
      <c r="AX111" s="104"/>
      <c r="AY111" s="104"/>
      <c r="AZ111" s="104"/>
      <c r="BA111" s="104"/>
      <c r="BB111" s="104"/>
      <c r="BC111" s="104"/>
      <c r="BD111" s="104"/>
      <c r="BE111" s="104"/>
      <c r="BF111" s="104"/>
      <c r="BG111" s="104"/>
      <c r="BH111" s="104"/>
      <c r="BI111" s="104"/>
      <c r="BJ111" s="104"/>
      <c r="BK111" s="104"/>
      <c r="BL111" s="104"/>
      <c r="BM111" s="104"/>
      <c r="BN111" s="104"/>
      <c r="BO111" s="104"/>
      <c r="BP111" s="104"/>
      <c r="BQ111" s="104"/>
      <c r="BR111" s="104"/>
      <c r="BS111" s="104"/>
      <c r="BT111" s="104"/>
      <c r="BU111" s="104"/>
      <c r="BV111" s="104"/>
      <c r="BW111" s="122"/>
      <c r="BX111" s="104"/>
      <c r="BY111" s="104"/>
      <c r="BZ111" s="104"/>
      <c r="CA111" s="122"/>
      <c r="CB111" s="104"/>
      <c r="CC111" s="104"/>
      <c r="CD111" s="122"/>
      <c r="CE111" s="104"/>
      <c r="CF111" s="104"/>
      <c r="CG111" s="104"/>
      <c r="CH111" s="104"/>
      <c r="CI111" s="104"/>
      <c r="CJ111" s="104"/>
      <c r="CK111" s="104"/>
      <c r="CL111" s="104"/>
      <c r="CM111" s="104"/>
      <c r="CN111" s="104"/>
      <c r="CO111" s="104"/>
      <c r="CP111" s="104"/>
      <c r="CQ111" s="104"/>
      <c r="CR111" s="104"/>
      <c r="CS111" s="104"/>
      <c r="CT111" s="104"/>
      <c r="CU111" s="104"/>
    </row>
    <row r="112">
      <c r="A112" s="595"/>
      <c r="B112" s="202" t="s">
        <v>271</v>
      </c>
      <c r="C112" s="196" t="s">
        <v>271</v>
      </c>
      <c r="D112" s="197" t="s">
        <v>271</v>
      </c>
      <c r="E112" s="199" t="s">
        <v>271</v>
      </c>
      <c r="F112" s="201" t="s">
        <v>271</v>
      </c>
      <c r="G112" s="202" t="s">
        <v>271</v>
      </c>
      <c r="H112" s="609"/>
      <c r="I112" s="609"/>
      <c r="J112" s="104"/>
      <c r="K112" s="104"/>
      <c r="L112" s="104"/>
      <c r="M112" s="104"/>
      <c r="N112" s="104"/>
      <c r="O112" s="104"/>
      <c r="P112" s="104"/>
      <c r="Q112" s="104"/>
      <c r="R112" s="104"/>
      <c r="S112" s="104"/>
      <c r="T112" s="104"/>
      <c r="U112" s="104"/>
      <c r="V112" s="104"/>
      <c r="W112" s="104"/>
      <c r="X112" s="104"/>
      <c r="Y112" s="104"/>
      <c r="Z112" s="104"/>
      <c r="AA112" s="104"/>
      <c r="AB112" s="104"/>
      <c r="AC112" s="104"/>
      <c r="AD112" s="104"/>
      <c r="AE112" s="104"/>
      <c r="AF112" s="104"/>
      <c r="AG112" s="104"/>
      <c r="AH112" s="104"/>
      <c r="AI112" s="104"/>
      <c r="AJ112" s="104"/>
      <c r="AK112" s="104"/>
      <c r="AL112" s="104"/>
      <c r="AM112" s="104"/>
      <c r="AN112" s="104"/>
      <c r="AO112" s="104"/>
      <c r="AP112" s="104"/>
      <c r="AQ112" s="104"/>
      <c r="AR112" s="104"/>
      <c r="AS112" s="104"/>
      <c r="AT112" s="104"/>
      <c r="AU112" s="104"/>
      <c r="AV112" s="104"/>
      <c r="AW112" s="104"/>
      <c r="AX112" s="104"/>
      <c r="AY112" s="104"/>
      <c r="AZ112" s="104"/>
      <c r="BA112" s="104"/>
      <c r="BB112" s="104"/>
      <c r="BC112" s="104"/>
      <c r="BD112" s="104"/>
      <c r="BE112" s="104"/>
      <c r="BF112" s="104"/>
      <c r="BG112" s="104"/>
      <c r="BH112" s="104"/>
      <c r="BI112" s="104"/>
      <c r="BJ112" s="104"/>
      <c r="BK112" s="104"/>
      <c r="BL112" s="104"/>
      <c r="BM112" s="104"/>
      <c r="BN112" s="104"/>
      <c r="BO112" s="104"/>
      <c r="BP112" s="104"/>
      <c r="BQ112" s="104"/>
      <c r="BR112" s="104"/>
      <c r="BS112" s="104"/>
      <c r="BT112" s="104"/>
      <c r="BU112" s="104"/>
      <c r="BV112" s="104"/>
      <c r="BW112" s="122"/>
      <c r="BX112" s="104"/>
      <c r="BY112" s="104"/>
      <c r="BZ112" s="104"/>
      <c r="CA112" s="122"/>
      <c r="CB112" s="104"/>
      <c r="CC112" s="104"/>
      <c r="CD112" s="122"/>
      <c r="CE112" s="104"/>
      <c r="CF112" s="104"/>
      <c r="CG112" s="104"/>
      <c r="CH112" s="104"/>
      <c r="CI112" s="104"/>
      <c r="CJ112" s="104"/>
      <c r="CK112" s="104"/>
      <c r="CL112" s="104"/>
      <c r="CM112" s="104"/>
      <c r="CN112" s="104"/>
      <c r="CO112" s="104"/>
      <c r="CP112" s="104"/>
      <c r="CQ112" s="104"/>
      <c r="CR112" s="104"/>
      <c r="CS112" s="104"/>
      <c r="CT112" s="104"/>
      <c r="CU112" s="104"/>
    </row>
    <row r="113">
      <c r="A113" s="595"/>
      <c r="B113" s="202" t="s">
        <v>271</v>
      </c>
      <c r="C113" s="196" t="s">
        <v>271</v>
      </c>
      <c r="D113" s="197" t="s">
        <v>271</v>
      </c>
      <c r="E113" s="199" t="s">
        <v>271</v>
      </c>
      <c r="F113" s="201" t="s">
        <v>271</v>
      </c>
      <c r="G113" s="202" t="s">
        <v>271</v>
      </c>
      <c r="H113" s="609"/>
      <c r="I113" s="609"/>
      <c r="J113" s="104"/>
      <c r="K113" s="104"/>
      <c r="L113" s="104"/>
      <c r="M113" s="104"/>
      <c r="N113" s="104"/>
      <c r="O113" s="104"/>
      <c r="P113" s="104"/>
      <c r="Q113" s="104"/>
      <c r="R113" s="104"/>
      <c r="S113" s="104"/>
      <c r="T113" s="104"/>
      <c r="U113" s="104"/>
      <c r="V113" s="104"/>
      <c r="W113" s="104"/>
      <c r="X113" s="104"/>
      <c r="Y113" s="104"/>
      <c r="Z113" s="104"/>
      <c r="AA113" s="104"/>
      <c r="AB113" s="104"/>
      <c r="AC113" s="104"/>
      <c r="AD113" s="104"/>
      <c r="AE113" s="104"/>
      <c r="AF113" s="104"/>
      <c r="AG113" s="104"/>
      <c r="AH113" s="104"/>
      <c r="AI113" s="104"/>
      <c r="AJ113" s="104"/>
      <c r="AK113" s="104"/>
      <c r="AL113" s="104"/>
      <c r="AM113" s="104"/>
      <c r="AN113" s="104"/>
      <c r="AO113" s="104"/>
      <c r="AP113" s="104"/>
      <c r="AQ113" s="104"/>
      <c r="AR113" s="104"/>
      <c r="AS113" s="104"/>
      <c r="AT113" s="104"/>
      <c r="AU113" s="104"/>
      <c r="AV113" s="104"/>
      <c r="AW113" s="104"/>
      <c r="AX113" s="104"/>
      <c r="AY113" s="104"/>
      <c r="AZ113" s="104"/>
      <c r="BA113" s="104"/>
      <c r="BB113" s="104"/>
      <c r="BC113" s="104"/>
      <c r="BD113" s="104"/>
      <c r="BE113" s="104"/>
      <c r="BF113" s="104"/>
      <c r="BG113" s="104"/>
      <c r="BH113" s="104"/>
      <c r="BI113" s="104"/>
      <c r="BJ113" s="104"/>
      <c r="BK113" s="104"/>
      <c r="BL113" s="104"/>
      <c r="BM113" s="104"/>
      <c r="BN113" s="104"/>
      <c r="BO113" s="104"/>
      <c r="BP113" s="104"/>
      <c r="BQ113" s="104"/>
      <c r="BR113" s="104"/>
      <c r="BS113" s="104"/>
      <c r="BT113" s="104"/>
      <c r="BU113" s="104"/>
      <c r="BV113" s="104"/>
      <c r="BW113" s="122"/>
      <c r="BX113" s="104"/>
      <c r="BY113" s="104"/>
      <c r="BZ113" s="104"/>
      <c r="CA113" s="122"/>
      <c r="CB113" s="104"/>
      <c r="CC113" s="104"/>
      <c r="CD113" s="122"/>
      <c r="CE113" s="104"/>
      <c r="CF113" s="104"/>
      <c r="CG113" s="104"/>
      <c r="CH113" s="104"/>
      <c r="CI113" s="104"/>
      <c r="CJ113" s="104"/>
      <c r="CK113" s="104"/>
      <c r="CL113" s="104"/>
      <c r="CM113" s="104"/>
      <c r="CN113" s="104"/>
      <c r="CO113" s="104"/>
      <c r="CP113" s="104"/>
      <c r="CQ113" s="104"/>
      <c r="CR113" s="104"/>
      <c r="CS113" s="104"/>
      <c r="CT113" s="104"/>
      <c r="CU113" s="104"/>
    </row>
    <row r="114">
      <c r="A114" s="595"/>
      <c r="B114" s="202" t="s">
        <v>271</v>
      </c>
      <c r="C114" s="196" t="s">
        <v>271</v>
      </c>
      <c r="D114" s="197" t="s">
        <v>271</v>
      </c>
      <c r="E114" s="199" t="s">
        <v>271</v>
      </c>
      <c r="F114" s="201" t="s">
        <v>271</v>
      </c>
      <c r="G114" s="202" t="s">
        <v>271</v>
      </c>
      <c r="H114" s="609"/>
      <c r="I114" s="609"/>
      <c r="J114" s="104"/>
      <c r="K114" s="104"/>
      <c r="L114" s="104"/>
      <c r="M114" s="104"/>
      <c r="N114" s="104"/>
      <c r="O114" s="104"/>
      <c r="P114" s="104"/>
      <c r="Q114" s="104"/>
      <c r="R114" s="104"/>
      <c r="S114" s="104"/>
      <c r="T114" s="104"/>
      <c r="U114" s="104"/>
      <c r="V114" s="104"/>
      <c r="W114" s="104"/>
      <c r="X114" s="104"/>
      <c r="Y114" s="104"/>
      <c r="Z114" s="104"/>
      <c r="AA114" s="104"/>
      <c r="AB114" s="104"/>
      <c r="AC114" s="104"/>
      <c r="AD114" s="104"/>
      <c r="AE114" s="104"/>
      <c r="AF114" s="104"/>
      <c r="AG114" s="104"/>
      <c r="AH114" s="104"/>
      <c r="AI114" s="104"/>
      <c r="AJ114" s="104"/>
      <c r="AK114" s="104"/>
      <c r="AL114" s="104"/>
      <c r="AM114" s="104"/>
      <c r="AN114" s="104"/>
      <c r="AO114" s="104"/>
      <c r="AP114" s="104"/>
      <c r="AQ114" s="104"/>
      <c r="AR114" s="104"/>
      <c r="AS114" s="104"/>
      <c r="AT114" s="104"/>
      <c r="AU114" s="104"/>
      <c r="AV114" s="104"/>
      <c r="AW114" s="104"/>
      <c r="AX114" s="104"/>
      <c r="AY114" s="104"/>
      <c r="AZ114" s="104"/>
      <c r="BA114" s="104"/>
      <c r="BB114" s="104"/>
      <c r="BC114" s="104"/>
      <c r="BD114" s="104"/>
      <c r="BE114" s="104"/>
      <c r="BF114" s="104"/>
      <c r="BG114" s="104"/>
      <c r="BH114" s="104"/>
      <c r="BI114" s="104"/>
      <c r="BJ114" s="104"/>
      <c r="BK114" s="104"/>
      <c r="BL114" s="104"/>
      <c r="BM114" s="104"/>
      <c r="BN114" s="104"/>
      <c r="BO114" s="104"/>
      <c r="BP114" s="104"/>
      <c r="BQ114" s="104"/>
      <c r="BR114" s="104"/>
      <c r="BS114" s="104"/>
      <c r="BT114" s="104"/>
      <c r="BU114" s="104"/>
      <c r="BV114" s="104"/>
      <c r="BW114" s="122"/>
      <c r="BX114" s="104"/>
      <c r="BY114" s="104"/>
      <c r="BZ114" s="104"/>
      <c r="CA114" s="122"/>
      <c r="CB114" s="104"/>
      <c r="CC114" s="104"/>
      <c r="CD114" s="122"/>
      <c r="CE114" s="104"/>
      <c r="CF114" s="104"/>
      <c r="CG114" s="104"/>
      <c r="CH114" s="104"/>
      <c r="CI114" s="104"/>
      <c r="CJ114" s="104"/>
      <c r="CK114" s="104"/>
      <c r="CL114" s="104"/>
      <c r="CM114" s="104"/>
      <c r="CN114" s="104"/>
      <c r="CO114" s="104"/>
      <c r="CP114" s="104"/>
      <c r="CQ114" s="104"/>
      <c r="CR114" s="104"/>
      <c r="CS114" s="104"/>
      <c r="CT114" s="104"/>
      <c r="CU114" s="104"/>
    </row>
    <row r="115">
      <c r="A115" s="595"/>
      <c r="B115" s="202" t="s">
        <v>271</v>
      </c>
      <c r="C115" s="196" t="s">
        <v>271</v>
      </c>
      <c r="D115" s="197" t="s">
        <v>271</v>
      </c>
      <c r="E115" s="199" t="s">
        <v>271</v>
      </c>
      <c r="F115" s="201" t="s">
        <v>271</v>
      </c>
      <c r="G115" s="202" t="s">
        <v>271</v>
      </c>
      <c r="H115" s="609"/>
      <c r="I115" s="609"/>
      <c r="J115" s="104"/>
      <c r="K115" s="104"/>
      <c r="L115" s="104"/>
      <c r="M115" s="104"/>
      <c r="N115" s="104"/>
      <c r="O115" s="104"/>
      <c r="P115" s="104"/>
      <c r="Q115" s="104"/>
      <c r="R115" s="104"/>
      <c r="S115" s="104"/>
      <c r="T115" s="104"/>
      <c r="U115" s="104"/>
      <c r="V115" s="104"/>
      <c r="W115" s="104"/>
      <c r="X115" s="104"/>
      <c r="Y115" s="104"/>
      <c r="Z115" s="104"/>
      <c r="AA115" s="104"/>
      <c r="AB115" s="104"/>
      <c r="AC115" s="104"/>
      <c r="AD115" s="104"/>
      <c r="AE115" s="104"/>
      <c r="AF115" s="104"/>
      <c r="AG115" s="104"/>
      <c r="AH115" s="104"/>
      <c r="AI115" s="104"/>
      <c r="AJ115" s="104"/>
      <c r="AK115" s="104"/>
      <c r="AL115" s="104"/>
      <c r="AM115" s="104"/>
      <c r="AN115" s="104"/>
      <c r="AO115" s="104"/>
      <c r="AP115" s="104"/>
      <c r="AQ115" s="104"/>
      <c r="AR115" s="104"/>
      <c r="AS115" s="104"/>
      <c r="AT115" s="104"/>
      <c r="AU115" s="104"/>
      <c r="AV115" s="104"/>
      <c r="AW115" s="104"/>
      <c r="AX115" s="104"/>
      <c r="AY115" s="104"/>
      <c r="AZ115" s="104"/>
      <c r="BA115" s="104"/>
      <c r="BB115" s="104"/>
      <c r="BC115" s="104"/>
      <c r="BD115" s="104"/>
      <c r="BE115" s="104"/>
      <c r="BF115" s="104"/>
      <c r="BG115" s="104"/>
      <c r="BH115" s="104"/>
      <c r="BI115" s="104"/>
      <c r="BJ115" s="104"/>
      <c r="BK115" s="104"/>
      <c r="BL115" s="104"/>
      <c r="BM115" s="104"/>
      <c r="BN115" s="104"/>
      <c r="BO115" s="104"/>
      <c r="BP115" s="104"/>
      <c r="BQ115" s="104"/>
      <c r="BR115" s="104"/>
      <c r="BS115" s="104"/>
      <c r="BT115" s="104"/>
      <c r="BU115" s="104"/>
      <c r="BV115" s="104"/>
      <c r="BW115" s="122"/>
      <c r="BX115" s="104"/>
      <c r="BY115" s="104"/>
      <c r="BZ115" s="104"/>
      <c r="CA115" s="122"/>
      <c r="CB115" s="104"/>
      <c r="CC115" s="104"/>
      <c r="CD115" s="122"/>
      <c r="CE115" s="104"/>
      <c r="CF115" s="104"/>
      <c r="CG115" s="104"/>
      <c r="CH115" s="104"/>
      <c r="CI115" s="104"/>
      <c r="CJ115" s="104"/>
      <c r="CK115" s="104"/>
      <c r="CL115" s="104"/>
      <c r="CM115" s="104"/>
      <c r="CN115" s="104"/>
      <c r="CO115" s="104"/>
      <c r="CP115" s="104"/>
      <c r="CQ115" s="104"/>
      <c r="CR115" s="104"/>
      <c r="CS115" s="104"/>
      <c r="CT115" s="104"/>
      <c r="CU115" s="104"/>
    </row>
    <row r="116">
      <c r="A116" s="595"/>
      <c r="B116" s="202" t="s">
        <v>271</v>
      </c>
      <c r="C116" s="196" t="s">
        <v>271</v>
      </c>
      <c r="D116" s="197" t="s">
        <v>271</v>
      </c>
      <c r="E116" s="199" t="s">
        <v>271</v>
      </c>
      <c r="F116" s="201" t="s">
        <v>271</v>
      </c>
      <c r="G116" s="202" t="s">
        <v>271</v>
      </c>
      <c r="H116" s="609"/>
      <c r="I116" s="609"/>
      <c r="J116" s="104"/>
      <c r="K116" s="104"/>
      <c r="L116" s="104"/>
      <c r="M116" s="104"/>
      <c r="N116" s="104"/>
      <c r="O116" s="104"/>
      <c r="P116" s="104"/>
      <c r="Q116" s="104"/>
      <c r="R116" s="104"/>
      <c r="S116" s="104"/>
      <c r="T116" s="104"/>
      <c r="U116" s="104"/>
      <c r="V116" s="104"/>
      <c r="W116" s="104"/>
      <c r="X116" s="104"/>
      <c r="Y116" s="104"/>
      <c r="Z116" s="104"/>
      <c r="AA116" s="104"/>
      <c r="AB116" s="104"/>
      <c r="AC116" s="104"/>
      <c r="AD116" s="104"/>
      <c r="AE116" s="104"/>
      <c r="AF116" s="104"/>
      <c r="AG116" s="104"/>
      <c r="AH116" s="104"/>
      <c r="AI116" s="104"/>
      <c r="AJ116" s="104"/>
      <c r="AK116" s="104"/>
      <c r="AL116" s="104"/>
      <c r="AM116" s="104"/>
      <c r="AN116" s="104"/>
      <c r="AO116" s="104"/>
      <c r="AP116" s="104"/>
      <c r="AQ116" s="104"/>
      <c r="AR116" s="104"/>
      <c r="AS116" s="104"/>
      <c r="AT116" s="104"/>
      <c r="AU116" s="104"/>
      <c r="AV116" s="104"/>
      <c r="AW116" s="104"/>
      <c r="AX116" s="104"/>
      <c r="AY116" s="104"/>
      <c r="AZ116" s="104"/>
      <c r="BA116" s="104"/>
      <c r="BB116" s="104"/>
      <c r="BC116" s="104"/>
      <c r="BD116" s="104"/>
      <c r="BE116" s="104"/>
      <c r="BF116" s="104"/>
      <c r="BG116" s="104"/>
      <c r="BH116" s="104"/>
      <c r="BI116" s="104"/>
      <c r="BJ116" s="104"/>
      <c r="BK116" s="104"/>
      <c r="BL116" s="104"/>
      <c r="BM116" s="104"/>
      <c r="BN116" s="104"/>
      <c r="BO116" s="104"/>
      <c r="BP116" s="104"/>
      <c r="BQ116" s="104"/>
      <c r="BR116" s="104"/>
      <c r="BS116" s="104"/>
      <c r="BT116" s="104"/>
      <c r="BU116" s="104"/>
      <c r="BV116" s="104"/>
      <c r="BW116" s="122"/>
      <c r="BX116" s="104"/>
      <c r="BY116" s="104"/>
      <c r="BZ116" s="104"/>
      <c r="CA116" s="122"/>
      <c r="CB116" s="104"/>
      <c r="CC116" s="104"/>
      <c r="CD116" s="122"/>
      <c r="CE116" s="104"/>
      <c r="CF116" s="104"/>
      <c r="CG116" s="104"/>
      <c r="CH116" s="104"/>
      <c r="CI116" s="104"/>
      <c r="CJ116" s="104"/>
      <c r="CK116" s="104"/>
      <c r="CL116" s="104"/>
      <c r="CM116" s="104"/>
      <c r="CN116" s="104"/>
      <c r="CO116" s="104"/>
      <c r="CP116" s="104"/>
      <c r="CQ116" s="104"/>
      <c r="CR116" s="104"/>
      <c r="CS116" s="104"/>
      <c r="CT116" s="104"/>
      <c r="CU116" s="104"/>
    </row>
    <row r="117">
      <c r="A117" s="595"/>
      <c r="B117" s="202" t="s">
        <v>271</v>
      </c>
      <c r="C117" s="196" t="s">
        <v>271</v>
      </c>
      <c r="D117" s="197" t="s">
        <v>271</v>
      </c>
      <c r="E117" s="199" t="s">
        <v>271</v>
      </c>
      <c r="F117" s="201" t="s">
        <v>271</v>
      </c>
      <c r="G117" s="202" t="s">
        <v>271</v>
      </c>
      <c r="H117" s="609"/>
      <c r="I117" s="609"/>
      <c r="J117" s="104"/>
      <c r="K117" s="104"/>
      <c r="L117" s="104"/>
      <c r="M117" s="104"/>
      <c r="N117" s="104"/>
      <c r="O117" s="104"/>
      <c r="P117" s="104"/>
      <c r="Q117" s="104"/>
      <c r="R117" s="104"/>
      <c r="S117" s="104"/>
      <c r="T117" s="104"/>
      <c r="U117" s="104"/>
      <c r="V117" s="104"/>
      <c r="W117" s="104"/>
      <c r="X117" s="104"/>
      <c r="Y117" s="104"/>
      <c r="Z117" s="104"/>
      <c r="AA117" s="104"/>
      <c r="AB117" s="104"/>
      <c r="AC117" s="104"/>
      <c r="AD117" s="104"/>
      <c r="AE117" s="104"/>
      <c r="AF117" s="104"/>
      <c r="AG117" s="104"/>
      <c r="AH117" s="104"/>
      <c r="AI117" s="104"/>
      <c r="AJ117" s="104"/>
      <c r="AK117" s="104"/>
      <c r="AL117" s="104"/>
      <c r="AM117" s="104"/>
      <c r="AN117" s="104"/>
      <c r="AO117" s="104"/>
      <c r="AP117" s="104"/>
      <c r="AQ117" s="104"/>
      <c r="AR117" s="104"/>
      <c r="AS117" s="104"/>
      <c r="AT117" s="104"/>
      <c r="AU117" s="104"/>
      <c r="AV117" s="104"/>
      <c r="AW117" s="104"/>
      <c r="AX117" s="104"/>
      <c r="AY117" s="104"/>
      <c r="AZ117" s="104"/>
      <c r="BA117" s="104"/>
      <c r="BB117" s="104"/>
      <c r="BC117" s="104"/>
      <c r="BD117" s="104"/>
      <c r="BE117" s="104"/>
      <c r="BF117" s="104"/>
      <c r="BG117" s="104"/>
      <c r="BH117" s="104"/>
      <c r="BI117" s="104"/>
      <c r="BJ117" s="104"/>
      <c r="BK117" s="104"/>
      <c r="BL117" s="104"/>
      <c r="BM117" s="104"/>
      <c r="BN117" s="104"/>
      <c r="BO117" s="104"/>
      <c r="BP117" s="104"/>
      <c r="BQ117" s="104"/>
      <c r="BR117" s="104"/>
      <c r="BS117" s="104"/>
      <c r="BT117" s="104"/>
      <c r="BU117" s="104"/>
      <c r="BV117" s="104"/>
      <c r="BW117" s="122"/>
      <c r="BX117" s="104"/>
      <c r="BY117" s="104"/>
      <c r="BZ117" s="104"/>
      <c r="CA117" s="122"/>
      <c r="CB117" s="104"/>
      <c r="CC117" s="104"/>
      <c r="CD117" s="122"/>
      <c r="CE117" s="104"/>
      <c r="CF117" s="104"/>
      <c r="CG117" s="104"/>
      <c r="CH117" s="104"/>
      <c r="CI117" s="104"/>
      <c r="CJ117" s="104"/>
      <c r="CK117" s="104"/>
      <c r="CL117" s="104"/>
      <c r="CM117" s="104"/>
      <c r="CN117" s="104"/>
      <c r="CO117" s="104"/>
      <c r="CP117" s="104"/>
      <c r="CQ117" s="104"/>
      <c r="CR117" s="104"/>
      <c r="CS117" s="104"/>
      <c r="CT117" s="104"/>
      <c r="CU117" s="104"/>
    </row>
    <row r="118">
      <c r="A118" s="595"/>
      <c r="B118" s="202" t="s">
        <v>271</v>
      </c>
      <c r="C118" s="196" t="s">
        <v>271</v>
      </c>
      <c r="D118" s="197" t="s">
        <v>271</v>
      </c>
      <c r="E118" s="199" t="s">
        <v>271</v>
      </c>
      <c r="F118" s="201" t="s">
        <v>271</v>
      </c>
      <c r="G118" s="202" t="s">
        <v>271</v>
      </c>
      <c r="H118" s="609"/>
      <c r="I118" s="609"/>
      <c r="J118" s="104"/>
      <c r="K118" s="104"/>
      <c r="L118" s="104"/>
      <c r="M118" s="104"/>
      <c r="N118" s="104"/>
      <c r="O118" s="104"/>
      <c r="P118" s="104"/>
      <c r="Q118" s="104"/>
      <c r="R118" s="104"/>
      <c r="S118" s="104"/>
      <c r="T118" s="104"/>
      <c r="U118" s="104"/>
      <c r="V118" s="104"/>
      <c r="W118" s="104"/>
      <c r="X118" s="104"/>
      <c r="Y118" s="104"/>
      <c r="Z118" s="104"/>
      <c r="AA118" s="104"/>
      <c r="AB118" s="104"/>
      <c r="AC118" s="104"/>
      <c r="AD118" s="104"/>
      <c r="AE118" s="104"/>
      <c r="AF118" s="104"/>
      <c r="AG118" s="104"/>
      <c r="AH118" s="104"/>
      <c r="AI118" s="104"/>
      <c r="AJ118" s="104"/>
      <c r="AK118" s="104"/>
      <c r="AL118" s="104"/>
      <c r="AM118" s="104"/>
      <c r="AN118" s="104"/>
      <c r="AO118" s="104"/>
      <c r="AP118" s="104"/>
      <c r="AQ118" s="104"/>
      <c r="AR118" s="104"/>
      <c r="AS118" s="104"/>
      <c r="AT118" s="104"/>
      <c r="AU118" s="104"/>
      <c r="AV118" s="104"/>
      <c r="AW118" s="104"/>
      <c r="AX118" s="104"/>
      <c r="AY118" s="104"/>
      <c r="AZ118" s="104"/>
      <c r="BA118" s="104"/>
      <c r="BB118" s="104"/>
      <c r="BC118" s="104"/>
      <c r="BD118" s="104"/>
      <c r="BE118" s="104"/>
      <c r="BF118" s="104"/>
      <c r="BG118" s="104"/>
      <c r="BH118" s="104"/>
      <c r="BI118" s="104"/>
      <c r="BJ118" s="104"/>
      <c r="BK118" s="104"/>
      <c r="BL118" s="104"/>
      <c r="BM118" s="104"/>
      <c r="BN118" s="104"/>
      <c r="BO118" s="104"/>
      <c r="BP118" s="104"/>
      <c r="BQ118" s="104"/>
      <c r="BR118" s="104"/>
      <c r="BS118" s="104"/>
      <c r="BT118" s="104"/>
      <c r="BU118" s="104"/>
      <c r="BV118" s="104"/>
      <c r="BW118" s="122"/>
      <c r="BX118" s="104"/>
      <c r="BY118" s="104"/>
      <c r="BZ118" s="104"/>
      <c r="CA118" s="122"/>
      <c r="CB118" s="104"/>
      <c r="CC118" s="104"/>
      <c r="CD118" s="122"/>
      <c r="CE118" s="104"/>
      <c r="CF118" s="104"/>
      <c r="CG118" s="104"/>
      <c r="CH118" s="104"/>
      <c r="CI118" s="104"/>
      <c r="CJ118" s="104"/>
      <c r="CK118" s="104"/>
      <c r="CL118" s="104"/>
      <c r="CM118" s="104"/>
      <c r="CN118" s="104"/>
      <c r="CO118" s="104"/>
      <c r="CP118" s="104"/>
      <c r="CQ118" s="104"/>
      <c r="CR118" s="104"/>
      <c r="CS118" s="104"/>
      <c r="CT118" s="104"/>
      <c r="CU118" s="104"/>
    </row>
    <row r="119">
      <c r="A119" s="595"/>
      <c r="B119" s="202" t="s">
        <v>271</v>
      </c>
      <c r="C119" s="196" t="s">
        <v>271</v>
      </c>
      <c r="D119" s="197" t="s">
        <v>271</v>
      </c>
      <c r="E119" s="199" t="s">
        <v>271</v>
      </c>
      <c r="F119" s="201" t="s">
        <v>271</v>
      </c>
      <c r="G119" s="202" t="s">
        <v>271</v>
      </c>
      <c r="H119" s="609"/>
      <c r="I119" s="609"/>
      <c r="J119" s="104"/>
      <c r="K119" s="104"/>
      <c r="L119" s="104"/>
      <c r="M119" s="104"/>
      <c r="N119" s="104"/>
      <c r="O119" s="104"/>
      <c r="P119" s="104"/>
      <c r="Q119" s="104"/>
      <c r="R119" s="104"/>
      <c r="S119" s="104"/>
      <c r="T119" s="104"/>
      <c r="U119" s="104"/>
      <c r="V119" s="104"/>
      <c r="W119" s="104"/>
      <c r="X119" s="104"/>
      <c r="Y119" s="104"/>
      <c r="Z119" s="104"/>
      <c r="AA119" s="104"/>
      <c r="AB119" s="104"/>
      <c r="AC119" s="104"/>
      <c r="AD119" s="104"/>
      <c r="AE119" s="104"/>
      <c r="AF119" s="104"/>
      <c r="AG119" s="104"/>
      <c r="AH119" s="104"/>
      <c r="AI119" s="104"/>
      <c r="AJ119" s="104"/>
      <c r="AK119" s="104"/>
      <c r="AL119" s="104"/>
      <c r="AM119" s="104"/>
      <c r="AN119" s="104"/>
      <c r="AO119" s="104"/>
      <c r="AP119" s="104"/>
      <c r="AQ119" s="104"/>
      <c r="AR119" s="104"/>
      <c r="AS119" s="104"/>
      <c r="AT119" s="104"/>
      <c r="AU119" s="104"/>
      <c r="AV119" s="104"/>
      <c r="AW119" s="104"/>
      <c r="AX119" s="104"/>
      <c r="AY119" s="104"/>
      <c r="AZ119" s="104"/>
      <c r="BA119" s="104"/>
      <c r="BB119" s="104"/>
      <c r="BC119" s="104"/>
      <c r="BD119" s="104"/>
      <c r="BE119" s="104"/>
      <c r="BF119" s="104"/>
      <c r="BG119" s="104"/>
      <c r="BH119" s="104"/>
      <c r="BI119" s="104"/>
      <c r="BJ119" s="104"/>
      <c r="BK119" s="104"/>
      <c r="BL119" s="104"/>
      <c r="BM119" s="104"/>
      <c r="BN119" s="104"/>
      <c r="BO119" s="104"/>
      <c r="BP119" s="104"/>
      <c r="BQ119" s="104"/>
      <c r="BR119" s="104"/>
      <c r="BS119" s="104"/>
      <c r="BT119" s="104"/>
      <c r="BU119" s="104"/>
      <c r="BV119" s="104"/>
      <c r="BW119" s="122"/>
      <c r="BX119" s="104"/>
      <c r="BY119" s="104"/>
      <c r="BZ119" s="104"/>
      <c r="CA119" s="122"/>
      <c r="CB119" s="104"/>
      <c r="CC119" s="104"/>
      <c r="CD119" s="122"/>
      <c r="CE119" s="104"/>
      <c r="CF119" s="104"/>
      <c r="CG119" s="104"/>
      <c r="CH119" s="104"/>
      <c r="CI119" s="104"/>
      <c r="CJ119" s="104"/>
      <c r="CK119" s="104"/>
      <c r="CL119" s="104"/>
      <c r="CM119" s="104"/>
      <c r="CN119" s="104"/>
      <c r="CO119" s="104"/>
      <c r="CP119" s="104"/>
      <c r="CQ119" s="104"/>
      <c r="CR119" s="104"/>
      <c r="CS119" s="104"/>
      <c r="CT119" s="104"/>
      <c r="CU119" s="104"/>
    </row>
    <row r="120">
      <c r="A120" s="595"/>
      <c r="B120" s="202" t="s">
        <v>271</v>
      </c>
      <c r="C120" s="196" t="s">
        <v>271</v>
      </c>
      <c r="D120" s="197" t="s">
        <v>271</v>
      </c>
      <c r="E120" s="199" t="s">
        <v>271</v>
      </c>
      <c r="F120" s="201" t="s">
        <v>271</v>
      </c>
      <c r="G120" s="202" t="s">
        <v>271</v>
      </c>
      <c r="H120" s="609"/>
      <c r="I120" s="609"/>
      <c r="J120" s="104"/>
      <c r="K120" s="104"/>
      <c r="L120" s="104"/>
      <c r="M120" s="104"/>
      <c r="N120" s="104"/>
      <c r="O120" s="104"/>
      <c r="P120" s="104"/>
      <c r="Q120" s="104"/>
      <c r="R120" s="104"/>
      <c r="S120" s="104"/>
      <c r="T120" s="104"/>
      <c r="U120" s="104"/>
      <c r="V120" s="104"/>
      <c r="W120" s="104"/>
      <c r="X120" s="104"/>
      <c r="Y120" s="104"/>
      <c r="Z120" s="104"/>
      <c r="AA120" s="104"/>
      <c r="AB120" s="104"/>
      <c r="AC120" s="104"/>
      <c r="AD120" s="104"/>
      <c r="AE120" s="104"/>
      <c r="AF120" s="104"/>
      <c r="AG120" s="104"/>
      <c r="AH120" s="104"/>
      <c r="AI120" s="104"/>
      <c r="AJ120" s="104"/>
      <c r="AK120" s="104"/>
      <c r="AL120" s="104"/>
      <c r="AM120" s="104"/>
      <c r="AN120" s="104"/>
      <c r="AO120" s="104"/>
      <c r="AP120" s="104"/>
      <c r="AQ120" s="104"/>
      <c r="AR120" s="104"/>
      <c r="AS120" s="104"/>
      <c r="AT120" s="104"/>
      <c r="AU120" s="104"/>
      <c r="AV120" s="104"/>
      <c r="AW120" s="104"/>
      <c r="AX120" s="104"/>
      <c r="AY120" s="104"/>
      <c r="AZ120" s="104"/>
      <c r="BA120" s="104"/>
      <c r="BB120" s="104"/>
      <c r="BC120" s="104"/>
      <c r="BD120" s="104"/>
      <c r="BE120" s="104"/>
      <c r="BF120" s="104"/>
      <c r="BG120" s="104"/>
      <c r="BH120" s="104"/>
      <c r="BI120" s="104"/>
      <c r="BJ120" s="104"/>
      <c r="BK120" s="104"/>
      <c r="BL120" s="104"/>
      <c r="BM120" s="104"/>
      <c r="BN120" s="104"/>
      <c r="BO120" s="104"/>
      <c r="BP120" s="104"/>
      <c r="BQ120" s="104"/>
      <c r="BR120" s="104"/>
      <c r="BS120" s="104"/>
      <c r="BT120" s="104"/>
      <c r="BU120" s="104"/>
      <c r="BV120" s="104"/>
      <c r="BW120" s="122"/>
      <c r="BX120" s="104"/>
      <c r="BY120" s="104"/>
      <c r="BZ120" s="104"/>
      <c r="CA120" s="122"/>
      <c r="CB120" s="104"/>
      <c r="CC120" s="104"/>
      <c r="CD120" s="122"/>
      <c r="CE120" s="104"/>
      <c r="CF120" s="104"/>
      <c r="CG120" s="104"/>
      <c r="CH120" s="104"/>
      <c r="CI120" s="104"/>
      <c r="CJ120" s="104"/>
      <c r="CK120" s="104"/>
      <c r="CL120" s="104"/>
      <c r="CM120" s="104"/>
      <c r="CN120" s="104"/>
      <c r="CO120" s="104"/>
      <c r="CP120" s="104"/>
      <c r="CQ120" s="104"/>
      <c r="CR120" s="104"/>
      <c r="CS120" s="104"/>
      <c r="CT120" s="104"/>
      <c r="CU120" s="104"/>
    </row>
    <row r="121">
      <c r="A121" s="595"/>
      <c r="B121" s="202" t="s">
        <v>271</v>
      </c>
      <c r="C121" s="196" t="s">
        <v>271</v>
      </c>
      <c r="D121" s="197" t="s">
        <v>271</v>
      </c>
      <c r="E121" s="199" t="s">
        <v>271</v>
      </c>
      <c r="F121" s="201" t="s">
        <v>271</v>
      </c>
      <c r="G121" s="202" t="s">
        <v>271</v>
      </c>
      <c r="H121" s="609"/>
      <c r="I121" s="609"/>
      <c r="J121" s="104"/>
      <c r="K121" s="104"/>
      <c r="L121" s="104"/>
      <c r="M121" s="104"/>
      <c r="N121" s="104"/>
      <c r="O121" s="104"/>
      <c r="P121" s="104"/>
      <c r="Q121" s="104"/>
      <c r="R121" s="104"/>
      <c r="S121" s="104"/>
      <c r="T121" s="104"/>
      <c r="U121" s="104"/>
      <c r="V121" s="104"/>
      <c r="W121" s="104"/>
      <c r="X121" s="104"/>
      <c r="Y121" s="104"/>
      <c r="Z121" s="104"/>
      <c r="AA121" s="104"/>
      <c r="AB121" s="104"/>
      <c r="AC121" s="104"/>
      <c r="AD121" s="104"/>
      <c r="AE121" s="104"/>
      <c r="AF121" s="104"/>
      <c r="AG121" s="104"/>
      <c r="AH121" s="104"/>
      <c r="AI121" s="104"/>
      <c r="AJ121" s="104"/>
      <c r="AK121" s="104"/>
      <c r="AL121" s="104"/>
      <c r="AM121" s="104"/>
      <c r="AN121" s="104"/>
      <c r="AO121" s="104"/>
      <c r="AP121" s="104"/>
      <c r="AQ121" s="104"/>
      <c r="AR121" s="104"/>
      <c r="AS121" s="104"/>
      <c r="AT121" s="104"/>
      <c r="AU121" s="104"/>
      <c r="AV121" s="104"/>
      <c r="AW121" s="104"/>
      <c r="AX121" s="104"/>
      <c r="AY121" s="104"/>
      <c r="AZ121" s="104"/>
      <c r="BA121" s="104"/>
      <c r="BB121" s="104"/>
      <c r="BC121" s="104"/>
      <c r="BD121" s="104"/>
      <c r="BE121" s="104"/>
      <c r="BF121" s="104"/>
      <c r="BG121" s="104"/>
      <c r="BH121" s="104"/>
      <c r="BI121" s="104"/>
      <c r="BJ121" s="104"/>
      <c r="BK121" s="104"/>
      <c r="BL121" s="104"/>
      <c r="BM121" s="104"/>
      <c r="BN121" s="104"/>
      <c r="BO121" s="104"/>
      <c r="BP121" s="104"/>
      <c r="BQ121" s="104"/>
      <c r="BR121" s="104"/>
      <c r="BS121" s="104"/>
      <c r="BT121" s="104"/>
      <c r="BU121" s="104"/>
      <c r="BV121" s="104"/>
      <c r="BW121" s="122"/>
      <c r="BX121" s="104"/>
      <c r="BY121" s="104"/>
      <c r="BZ121" s="104"/>
      <c r="CA121" s="122"/>
      <c r="CB121" s="104"/>
      <c r="CC121" s="104"/>
      <c r="CD121" s="122"/>
      <c r="CE121" s="104"/>
      <c r="CF121" s="104"/>
      <c r="CG121" s="104"/>
      <c r="CH121" s="104"/>
      <c r="CI121" s="104"/>
      <c r="CJ121" s="104"/>
      <c r="CK121" s="104"/>
      <c r="CL121" s="104"/>
      <c r="CM121" s="104"/>
      <c r="CN121" s="104"/>
      <c r="CO121" s="104"/>
      <c r="CP121" s="104"/>
      <c r="CQ121" s="104"/>
      <c r="CR121" s="104"/>
      <c r="CS121" s="104"/>
      <c r="CT121" s="104"/>
      <c r="CU121" s="104"/>
    </row>
    <row r="122">
      <c r="A122" s="595"/>
      <c r="B122" s="202" t="s">
        <v>271</v>
      </c>
      <c r="C122" s="196" t="s">
        <v>271</v>
      </c>
      <c r="D122" s="197" t="s">
        <v>271</v>
      </c>
      <c r="E122" s="199" t="s">
        <v>271</v>
      </c>
      <c r="F122" s="201" t="s">
        <v>271</v>
      </c>
      <c r="G122" s="202" t="s">
        <v>271</v>
      </c>
      <c r="H122" s="609"/>
      <c r="I122" s="609"/>
      <c r="J122" s="104"/>
      <c r="K122" s="104"/>
      <c r="L122" s="104"/>
      <c r="M122" s="104"/>
      <c r="N122" s="104"/>
      <c r="O122" s="104"/>
      <c r="P122" s="104"/>
      <c r="Q122" s="104"/>
      <c r="R122" s="104"/>
      <c r="S122" s="104"/>
      <c r="T122" s="104"/>
      <c r="U122" s="104"/>
      <c r="V122" s="104"/>
      <c r="W122" s="104"/>
      <c r="X122" s="104"/>
      <c r="Y122" s="104"/>
      <c r="Z122" s="104"/>
      <c r="AA122" s="104"/>
      <c r="AB122" s="104"/>
      <c r="AC122" s="104"/>
      <c r="AD122" s="104"/>
      <c r="AE122" s="104"/>
      <c r="AF122" s="104"/>
      <c r="AG122" s="104"/>
      <c r="AH122" s="104"/>
      <c r="AI122" s="104"/>
      <c r="AJ122" s="104"/>
      <c r="AK122" s="104"/>
      <c r="AL122" s="104"/>
      <c r="AM122" s="104"/>
      <c r="AN122" s="104"/>
      <c r="AO122" s="104"/>
      <c r="AP122" s="104"/>
      <c r="AQ122" s="104"/>
      <c r="AR122" s="104"/>
      <c r="AS122" s="104"/>
      <c r="AT122" s="104"/>
      <c r="AU122" s="104"/>
      <c r="AV122" s="104"/>
      <c r="AW122" s="104"/>
      <c r="AX122" s="104"/>
      <c r="AY122" s="104"/>
      <c r="AZ122" s="104"/>
      <c r="BA122" s="104"/>
      <c r="BB122" s="104"/>
      <c r="BC122" s="104"/>
      <c r="BD122" s="104"/>
      <c r="BE122" s="104"/>
      <c r="BF122" s="104"/>
      <c r="BG122" s="104"/>
      <c r="BH122" s="104"/>
      <c r="BI122" s="104"/>
      <c r="BJ122" s="104"/>
      <c r="BK122" s="104"/>
      <c r="BL122" s="104"/>
      <c r="BM122" s="104"/>
      <c r="BN122" s="104"/>
      <c r="BO122" s="104"/>
      <c r="BP122" s="104"/>
      <c r="BQ122" s="104"/>
      <c r="BR122" s="104"/>
      <c r="BS122" s="104"/>
      <c r="BT122" s="104"/>
      <c r="BU122" s="104"/>
      <c r="BV122" s="104"/>
      <c r="BW122" s="122"/>
      <c r="BX122" s="104"/>
      <c r="BY122" s="104"/>
      <c r="BZ122" s="104"/>
      <c r="CA122" s="122"/>
      <c r="CB122" s="104"/>
      <c r="CC122" s="104"/>
      <c r="CD122" s="122"/>
      <c r="CE122" s="104"/>
      <c r="CF122" s="104"/>
      <c r="CG122" s="104"/>
      <c r="CH122" s="104"/>
      <c r="CI122" s="104"/>
      <c r="CJ122" s="104"/>
      <c r="CK122" s="104"/>
      <c r="CL122" s="104"/>
      <c r="CM122" s="104"/>
      <c r="CN122" s="104"/>
      <c r="CO122" s="104"/>
      <c r="CP122" s="104"/>
      <c r="CQ122" s="104"/>
      <c r="CR122" s="104"/>
      <c r="CS122" s="104"/>
      <c r="CT122" s="104"/>
      <c r="CU122" s="104"/>
    </row>
    <row r="123">
      <c r="A123" s="595"/>
      <c r="B123" s="202" t="s">
        <v>271</v>
      </c>
      <c r="C123" s="196" t="s">
        <v>271</v>
      </c>
      <c r="D123" s="197" t="s">
        <v>271</v>
      </c>
      <c r="E123" s="199" t="s">
        <v>271</v>
      </c>
      <c r="F123" s="201" t="s">
        <v>271</v>
      </c>
      <c r="G123" s="202" t="s">
        <v>271</v>
      </c>
      <c r="H123" s="609"/>
      <c r="I123" s="609"/>
      <c r="J123" s="104"/>
      <c r="K123" s="104"/>
      <c r="L123" s="104"/>
      <c r="M123" s="104"/>
      <c r="N123" s="104"/>
      <c r="O123" s="104"/>
      <c r="P123" s="104"/>
      <c r="Q123" s="104"/>
      <c r="R123" s="104"/>
      <c r="S123" s="104"/>
      <c r="T123" s="104"/>
      <c r="U123" s="104"/>
      <c r="V123" s="104"/>
      <c r="W123" s="104"/>
      <c r="X123" s="104"/>
      <c r="Y123" s="104"/>
      <c r="Z123" s="104"/>
      <c r="AA123" s="104"/>
      <c r="AB123" s="104"/>
      <c r="AC123" s="104"/>
      <c r="AD123" s="104"/>
      <c r="AE123" s="104"/>
      <c r="AF123" s="104"/>
      <c r="AG123" s="104"/>
      <c r="AH123" s="104"/>
      <c r="AI123" s="104"/>
      <c r="AJ123" s="104"/>
      <c r="AK123" s="104"/>
      <c r="AL123" s="104"/>
      <c r="AM123" s="104"/>
      <c r="AN123" s="104"/>
      <c r="AO123" s="104"/>
      <c r="AP123" s="104"/>
      <c r="AQ123" s="104"/>
      <c r="AR123" s="104"/>
      <c r="AS123" s="104"/>
      <c r="AT123" s="104"/>
      <c r="AU123" s="104"/>
      <c r="AV123" s="104"/>
      <c r="AW123" s="104"/>
      <c r="AX123" s="104"/>
      <c r="AY123" s="104"/>
      <c r="AZ123" s="104"/>
      <c r="BA123" s="104"/>
      <c r="BB123" s="104"/>
      <c r="BC123" s="104"/>
      <c r="BD123" s="104"/>
      <c r="BE123" s="104"/>
      <c r="BF123" s="104"/>
      <c r="BG123" s="104"/>
      <c r="BH123" s="104"/>
      <c r="BI123" s="104"/>
      <c r="BJ123" s="104"/>
      <c r="BK123" s="104"/>
      <c r="BL123" s="104"/>
      <c r="BM123" s="104"/>
      <c r="BN123" s="104"/>
      <c r="BO123" s="104"/>
      <c r="BP123" s="104"/>
      <c r="BQ123" s="104"/>
      <c r="BR123" s="104"/>
      <c r="BS123" s="104"/>
      <c r="BT123" s="104"/>
      <c r="BU123" s="104"/>
      <c r="BV123" s="104"/>
      <c r="BW123" s="122"/>
      <c r="BX123" s="104"/>
      <c r="BY123" s="104"/>
      <c r="BZ123" s="104"/>
      <c r="CA123" s="122"/>
      <c r="CB123" s="104"/>
      <c r="CC123" s="104"/>
      <c r="CD123" s="122"/>
      <c r="CE123" s="104"/>
      <c r="CF123" s="104"/>
      <c r="CG123" s="104"/>
      <c r="CH123" s="104"/>
      <c r="CI123" s="104"/>
      <c r="CJ123" s="104"/>
      <c r="CK123" s="104"/>
      <c r="CL123" s="104"/>
      <c r="CM123" s="104"/>
      <c r="CN123" s="104"/>
      <c r="CO123" s="104"/>
      <c r="CP123" s="104"/>
      <c r="CQ123" s="104"/>
      <c r="CR123" s="104"/>
      <c r="CS123" s="104"/>
      <c r="CT123" s="104"/>
      <c r="CU123" s="104"/>
    </row>
    <row r="124">
      <c r="A124" s="595"/>
      <c r="B124" s="202" t="s">
        <v>271</v>
      </c>
      <c r="C124" s="196" t="s">
        <v>271</v>
      </c>
      <c r="D124" s="197" t="s">
        <v>271</v>
      </c>
      <c r="E124" s="199" t="s">
        <v>271</v>
      </c>
      <c r="F124" s="201" t="s">
        <v>271</v>
      </c>
      <c r="G124" s="202" t="s">
        <v>271</v>
      </c>
      <c r="H124" s="609"/>
      <c r="I124" s="609"/>
      <c r="J124" s="104"/>
      <c r="K124" s="104"/>
      <c r="L124" s="104"/>
      <c r="M124" s="104"/>
      <c r="N124" s="104"/>
      <c r="O124" s="104"/>
      <c r="P124" s="104"/>
      <c r="Q124" s="104"/>
      <c r="R124" s="104"/>
      <c r="S124" s="104"/>
      <c r="T124" s="104"/>
      <c r="U124" s="104"/>
      <c r="V124" s="104"/>
      <c r="W124" s="104"/>
      <c r="X124" s="104"/>
      <c r="Y124" s="104"/>
      <c r="Z124" s="104"/>
      <c r="AA124" s="104"/>
      <c r="AB124" s="104"/>
      <c r="AC124" s="104"/>
      <c r="AD124" s="104"/>
      <c r="AE124" s="104"/>
      <c r="AF124" s="104"/>
      <c r="AG124" s="104"/>
      <c r="AH124" s="104"/>
      <c r="AI124" s="104"/>
      <c r="AJ124" s="104"/>
      <c r="AK124" s="104"/>
      <c r="AL124" s="104"/>
      <c r="AM124" s="104"/>
      <c r="AN124" s="104"/>
      <c r="AO124" s="104"/>
      <c r="AP124" s="104"/>
      <c r="AQ124" s="104"/>
      <c r="AR124" s="104"/>
      <c r="AS124" s="104"/>
      <c r="AT124" s="104"/>
      <c r="AU124" s="104"/>
      <c r="AV124" s="104"/>
      <c r="AW124" s="104"/>
      <c r="AX124" s="104"/>
      <c r="AY124" s="104"/>
      <c r="AZ124" s="104"/>
      <c r="BA124" s="104"/>
      <c r="BB124" s="104"/>
      <c r="BC124" s="104"/>
      <c r="BD124" s="104"/>
      <c r="BE124" s="104"/>
      <c r="BF124" s="104"/>
      <c r="BG124" s="104"/>
      <c r="BH124" s="104"/>
      <c r="BI124" s="104"/>
      <c r="BJ124" s="104"/>
      <c r="BK124" s="104"/>
      <c r="BL124" s="104"/>
      <c r="BM124" s="104"/>
      <c r="BN124" s="104"/>
      <c r="BO124" s="104"/>
      <c r="BP124" s="104"/>
      <c r="BQ124" s="104"/>
      <c r="BR124" s="104"/>
      <c r="BS124" s="104"/>
      <c r="BT124" s="104"/>
      <c r="BU124" s="104"/>
      <c r="BV124" s="104"/>
      <c r="BW124" s="122"/>
      <c r="BX124" s="104"/>
      <c r="BY124" s="104"/>
      <c r="BZ124" s="104"/>
      <c r="CA124" s="122"/>
      <c r="CB124" s="104"/>
      <c r="CC124" s="104"/>
      <c r="CD124" s="122"/>
      <c r="CE124" s="104"/>
      <c r="CF124" s="104"/>
      <c r="CG124" s="104"/>
      <c r="CH124" s="104"/>
      <c r="CI124" s="104"/>
      <c r="CJ124" s="104"/>
      <c r="CK124" s="104"/>
      <c r="CL124" s="104"/>
      <c r="CM124" s="104"/>
      <c r="CN124" s="104"/>
      <c r="CO124" s="104"/>
      <c r="CP124" s="104"/>
      <c r="CQ124" s="104"/>
      <c r="CR124" s="104"/>
      <c r="CS124" s="104"/>
      <c r="CT124" s="104"/>
      <c r="CU124" s="104"/>
    </row>
    <row r="125">
      <c r="A125" s="595"/>
      <c r="B125" s="202" t="s">
        <v>271</v>
      </c>
      <c r="C125" s="196" t="s">
        <v>271</v>
      </c>
      <c r="D125" s="197" t="s">
        <v>271</v>
      </c>
      <c r="E125" s="199" t="s">
        <v>271</v>
      </c>
      <c r="F125" s="201" t="s">
        <v>271</v>
      </c>
      <c r="G125" s="202" t="s">
        <v>271</v>
      </c>
      <c r="H125" s="609"/>
      <c r="I125" s="609"/>
      <c r="J125" s="104"/>
      <c r="K125" s="104"/>
      <c r="L125" s="104"/>
      <c r="M125" s="104"/>
      <c r="N125" s="104"/>
      <c r="O125" s="104"/>
      <c r="P125" s="104"/>
      <c r="Q125" s="104"/>
      <c r="R125" s="104"/>
      <c r="S125" s="104"/>
      <c r="T125" s="104"/>
      <c r="U125" s="104"/>
      <c r="V125" s="104"/>
      <c r="W125" s="104"/>
      <c r="X125" s="104"/>
      <c r="Y125" s="104"/>
      <c r="Z125" s="104"/>
      <c r="AA125" s="104"/>
      <c r="AB125" s="104"/>
      <c r="AC125" s="104"/>
      <c r="AD125" s="104"/>
      <c r="AE125" s="104"/>
      <c r="AF125" s="104"/>
      <c r="AG125" s="104"/>
      <c r="AH125" s="104"/>
      <c r="AI125" s="104"/>
      <c r="AJ125" s="104"/>
      <c r="AK125" s="104"/>
      <c r="AL125" s="104"/>
      <c r="AM125" s="104"/>
      <c r="AN125" s="104"/>
      <c r="AO125" s="104"/>
      <c r="AP125" s="104"/>
      <c r="AQ125" s="104"/>
      <c r="AR125" s="104"/>
      <c r="AS125" s="104"/>
      <c r="AT125" s="104"/>
      <c r="AU125" s="104"/>
      <c r="AV125" s="104"/>
      <c r="AW125" s="104"/>
      <c r="AX125" s="104"/>
      <c r="AY125" s="104"/>
      <c r="AZ125" s="104"/>
      <c r="BA125" s="104"/>
      <c r="BB125" s="104"/>
      <c r="BC125" s="104"/>
      <c r="BD125" s="104"/>
      <c r="BE125" s="104"/>
      <c r="BF125" s="104"/>
      <c r="BG125" s="104"/>
      <c r="BH125" s="104"/>
      <c r="BI125" s="104"/>
      <c r="BJ125" s="104"/>
      <c r="BK125" s="104"/>
      <c r="BL125" s="104"/>
      <c r="BM125" s="104"/>
      <c r="BN125" s="104"/>
      <c r="BO125" s="104"/>
      <c r="BP125" s="104"/>
      <c r="BQ125" s="104"/>
      <c r="BR125" s="104"/>
      <c r="BS125" s="104"/>
      <c r="BT125" s="104"/>
      <c r="BU125" s="104"/>
      <c r="BV125" s="104"/>
      <c r="BW125" s="122"/>
      <c r="BX125" s="104"/>
      <c r="BY125" s="104"/>
      <c r="BZ125" s="104"/>
      <c r="CA125" s="122"/>
      <c r="CB125" s="104"/>
      <c r="CC125" s="104"/>
      <c r="CD125" s="122"/>
      <c r="CE125" s="104"/>
      <c r="CF125" s="104"/>
      <c r="CG125" s="104"/>
      <c r="CH125" s="104"/>
      <c r="CI125" s="104"/>
      <c r="CJ125" s="104"/>
      <c r="CK125" s="104"/>
      <c r="CL125" s="104"/>
      <c r="CM125" s="104"/>
      <c r="CN125" s="104"/>
      <c r="CO125" s="104"/>
      <c r="CP125" s="104"/>
      <c r="CQ125" s="104"/>
      <c r="CR125" s="104"/>
      <c r="CS125" s="104"/>
      <c r="CT125" s="104"/>
      <c r="CU125" s="104"/>
    </row>
    <row r="126">
      <c r="A126" s="595"/>
      <c r="B126" s="202" t="s">
        <v>271</v>
      </c>
      <c r="C126" s="196" t="s">
        <v>271</v>
      </c>
      <c r="D126" s="197" t="s">
        <v>271</v>
      </c>
      <c r="E126" s="199" t="s">
        <v>271</v>
      </c>
      <c r="F126" s="201" t="s">
        <v>271</v>
      </c>
      <c r="G126" s="202" t="s">
        <v>271</v>
      </c>
      <c r="H126" s="609"/>
      <c r="I126" s="609"/>
      <c r="J126" s="104"/>
      <c r="K126" s="104"/>
      <c r="L126" s="104"/>
      <c r="M126" s="104"/>
      <c r="N126" s="104"/>
      <c r="O126" s="104"/>
      <c r="P126" s="104"/>
      <c r="Q126" s="104"/>
      <c r="R126" s="104"/>
      <c r="S126" s="104"/>
      <c r="T126" s="104"/>
      <c r="U126" s="104"/>
      <c r="V126" s="104"/>
      <c r="W126" s="104"/>
      <c r="X126" s="104"/>
      <c r="Y126" s="104"/>
      <c r="Z126" s="104"/>
      <c r="AA126" s="104"/>
      <c r="AB126" s="104"/>
      <c r="AC126" s="104"/>
      <c r="AD126" s="104"/>
      <c r="AE126" s="104"/>
      <c r="AF126" s="104"/>
      <c r="AG126" s="104"/>
      <c r="AH126" s="104"/>
      <c r="AI126" s="104"/>
      <c r="AJ126" s="104"/>
      <c r="AK126" s="104"/>
      <c r="AL126" s="104"/>
      <c r="AM126" s="104"/>
      <c r="AN126" s="104"/>
      <c r="AO126" s="104"/>
      <c r="AP126" s="104"/>
      <c r="AQ126" s="104"/>
      <c r="AR126" s="104"/>
      <c r="AS126" s="104"/>
      <c r="AT126" s="104"/>
      <c r="AU126" s="104"/>
      <c r="AV126" s="104"/>
      <c r="AW126" s="104"/>
      <c r="AX126" s="104"/>
      <c r="AY126" s="104"/>
      <c r="AZ126" s="104"/>
      <c r="BA126" s="104"/>
      <c r="BB126" s="104"/>
      <c r="BC126" s="104"/>
      <c r="BD126" s="104"/>
      <c r="BE126" s="104"/>
      <c r="BF126" s="104"/>
      <c r="BG126" s="104"/>
      <c r="BH126" s="104"/>
      <c r="BI126" s="104"/>
      <c r="BJ126" s="104"/>
      <c r="BK126" s="104"/>
      <c r="BL126" s="104"/>
      <c r="BM126" s="104"/>
      <c r="BN126" s="104"/>
      <c r="BO126" s="104"/>
      <c r="BP126" s="104"/>
      <c r="BQ126" s="104"/>
      <c r="BR126" s="104"/>
      <c r="BS126" s="104"/>
      <c r="BT126" s="104"/>
      <c r="BU126" s="104"/>
      <c r="BV126" s="104"/>
      <c r="BW126" s="122"/>
      <c r="BX126" s="104"/>
      <c r="BY126" s="104"/>
      <c r="BZ126" s="104"/>
      <c r="CA126" s="122"/>
      <c r="CB126" s="104"/>
      <c r="CC126" s="104"/>
      <c r="CD126" s="122"/>
      <c r="CE126" s="104"/>
      <c r="CF126" s="104"/>
      <c r="CG126" s="104"/>
      <c r="CH126" s="104"/>
      <c r="CI126" s="104"/>
      <c r="CJ126" s="104"/>
      <c r="CK126" s="104"/>
      <c r="CL126" s="104"/>
      <c r="CM126" s="104"/>
      <c r="CN126" s="104"/>
      <c r="CO126" s="104"/>
      <c r="CP126" s="104"/>
      <c r="CQ126" s="104"/>
      <c r="CR126" s="104"/>
      <c r="CS126" s="104"/>
      <c r="CT126" s="104"/>
      <c r="CU126" s="104"/>
    </row>
    <row r="127">
      <c r="A127" s="595"/>
      <c r="B127" s="202" t="s">
        <v>271</v>
      </c>
      <c r="C127" s="196" t="s">
        <v>271</v>
      </c>
      <c r="D127" s="197" t="s">
        <v>271</v>
      </c>
      <c r="E127" s="199" t="s">
        <v>271</v>
      </c>
      <c r="F127" s="201" t="s">
        <v>271</v>
      </c>
      <c r="G127" s="202" t="s">
        <v>271</v>
      </c>
      <c r="H127" s="609"/>
      <c r="I127" s="609"/>
      <c r="J127" s="104"/>
      <c r="K127" s="104"/>
      <c r="L127" s="104"/>
      <c r="M127" s="104"/>
      <c r="N127" s="104"/>
      <c r="O127" s="104"/>
      <c r="P127" s="104"/>
      <c r="Q127" s="104"/>
      <c r="R127" s="104"/>
      <c r="S127" s="104"/>
      <c r="T127" s="104"/>
      <c r="U127" s="104"/>
      <c r="V127" s="104"/>
      <c r="W127" s="104"/>
      <c r="X127" s="104"/>
      <c r="Y127" s="104"/>
      <c r="Z127" s="104"/>
      <c r="AA127" s="104"/>
      <c r="AB127" s="104"/>
      <c r="AC127" s="104"/>
      <c r="AD127" s="104"/>
      <c r="AE127" s="104"/>
      <c r="AF127" s="104"/>
      <c r="AG127" s="104"/>
      <c r="AH127" s="104"/>
      <c r="AI127" s="104"/>
      <c r="AJ127" s="104"/>
      <c r="AK127" s="104"/>
      <c r="AL127" s="104"/>
      <c r="AM127" s="104"/>
      <c r="AN127" s="104"/>
      <c r="AO127" s="104"/>
      <c r="AP127" s="104"/>
      <c r="AQ127" s="104"/>
      <c r="AR127" s="104"/>
      <c r="AS127" s="104"/>
      <c r="AT127" s="104"/>
      <c r="AU127" s="104"/>
      <c r="AV127" s="104"/>
      <c r="AW127" s="104"/>
      <c r="AX127" s="104"/>
      <c r="AY127" s="104"/>
      <c r="AZ127" s="104"/>
      <c r="BA127" s="104"/>
      <c r="BB127" s="104"/>
      <c r="BC127" s="104"/>
      <c r="BD127" s="104"/>
      <c r="BE127" s="104"/>
      <c r="BF127" s="104"/>
      <c r="BG127" s="104"/>
      <c r="BH127" s="104"/>
      <c r="BI127" s="104"/>
      <c r="BJ127" s="104"/>
      <c r="BK127" s="104"/>
      <c r="BL127" s="104"/>
      <c r="BM127" s="104"/>
      <c r="BN127" s="104"/>
      <c r="BO127" s="104"/>
      <c r="BP127" s="104"/>
      <c r="BQ127" s="104"/>
      <c r="BR127" s="104"/>
      <c r="BS127" s="104"/>
      <c r="BT127" s="104"/>
      <c r="BU127" s="104"/>
      <c r="BV127" s="104"/>
      <c r="BW127" s="122"/>
      <c r="BX127" s="104"/>
      <c r="BY127" s="104"/>
      <c r="BZ127" s="104"/>
      <c r="CA127" s="122"/>
      <c r="CB127" s="104"/>
      <c r="CC127" s="104"/>
      <c r="CD127" s="122"/>
      <c r="CE127" s="104"/>
      <c r="CF127" s="104"/>
      <c r="CG127" s="104"/>
      <c r="CH127" s="104"/>
      <c r="CI127" s="104"/>
      <c r="CJ127" s="104"/>
      <c r="CK127" s="104"/>
      <c r="CL127" s="104"/>
      <c r="CM127" s="104"/>
      <c r="CN127" s="104"/>
      <c r="CO127" s="104"/>
      <c r="CP127" s="104"/>
      <c r="CQ127" s="104"/>
      <c r="CR127" s="104"/>
      <c r="CS127" s="104"/>
      <c r="CT127" s="104"/>
      <c r="CU127" s="104"/>
    </row>
    <row r="128">
      <c r="A128" s="595"/>
      <c r="B128" s="202" t="s">
        <v>271</v>
      </c>
      <c r="C128" s="196" t="s">
        <v>271</v>
      </c>
      <c r="D128" s="197" t="s">
        <v>271</v>
      </c>
      <c r="E128" s="199" t="s">
        <v>271</v>
      </c>
      <c r="F128" s="201" t="s">
        <v>271</v>
      </c>
      <c r="G128" s="202" t="s">
        <v>271</v>
      </c>
      <c r="H128" s="609"/>
      <c r="I128" s="609"/>
      <c r="J128" s="104"/>
      <c r="K128" s="104"/>
      <c r="L128" s="104"/>
      <c r="M128" s="104"/>
      <c r="N128" s="104"/>
      <c r="O128" s="104"/>
      <c r="P128" s="104"/>
      <c r="Q128" s="104"/>
      <c r="R128" s="104"/>
      <c r="S128" s="104"/>
      <c r="T128" s="104"/>
      <c r="U128" s="104"/>
      <c r="V128" s="104"/>
      <c r="W128" s="104"/>
      <c r="X128" s="104"/>
      <c r="Y128" s="104"/>
      <c r="Z128" s="104"/>
      <c r="AA128" s="104"/>
      <c r="AB128" s="104"/>
      <c r="AC128" s="104"/>
      <c r="AD128" s="104"/>
      <c r="AE128" s="104"/>
      <c r="AF128" s="104"/>
      <c r="AG128" s="104"/>
      <c r="AH128" s="104"/>
      <c r="AI128" s="104"/>
      <c r="AJ128" s="104"/>
      <c r="AK128" s="104"/>
      <c r="AL128" s="104"/>
      <c r="AM128" s="104"/>
      <c r="AN128" s="104"/>
      <c r="AO128" s="104"/>
      <c r="AP128" s="104"/>
      <c r="AQ128" s="104"/>
      <c r="AR128" s="104"/>
      <c r="AS128" s="104"/>
      <c r="AT128" s="104"/>
      <c r="AU128" s="104"/>
      <c r="AV128" s="104"/>
      <c r="AW128" s="104"/>
      <c r="AX128" s="104"/>
      <c r="AY128" s="104"/>
      <c r="AZ128" s="104"/>
      <c r="BA128" s="104"/>
      <c r="BB128" s="104"/>
      <c r="BC128" s="104"/>
      <c r="BD128" s="104"/>
      <c r="BE128" s="104"/>
      <c r="BF128" s="104"/>
      <c r="BG128" s="104"/>
      <c r="BH128" s="104"/>
      <c r="BI128" s="104"/>
      <c r="BJ128" s="104"/>
      <c r="BK128" s="104"/>
      <c r="BL128" s="104"/>
      <c r="BM128" s="104"/>
      <c r="BN128" s="104"/>
      <c r="BO128" s="104"/>
      <c r="BP128" s="104"/>
      <c r="BQ128" s="104"/>
      <c r="BR128" s="104"/>
      <c r="BS128" s="104"/>
      <c r="BT128" s="104"/>
      <c r="BU128" s="104"/>
      <c r="BV128" s="104"/>
      <c r="BW128" s="122"/>
      <c r="BX128" s="104"/>
      <c r="BY128" s="104"/>
      <c r="BZ128" s="104"/>
      <c r="CA128" s="122"/>
      <c r="CB128" s="104"/>
      <c r="CC128" s="104"/>
      <c r="CD128" s="122"/>
      <c r="CE128" s="104"/>
      <c r="CF128" s="104"/>
      <c r="CG128" s="104"/>
      <c r="CH128" s="104"/>
      <c r="CI128" s="104"/>
      <c r="CJ128" s="104"/>
      <c r="CK128" s="104"/>
      <c r="CL128" s="104"/>
      <c r="CM128" s="104"/>
      <c r="CN128" s="104"/>
      <c r="CO128" s="104"/>
      <c r="CP128" s="104"/>
      <c r="CQ128" s="104"/>
      <c r="CR128" s="104"/>
      <c r="CS128" s="104"/>
      <c r="CT128" s="104"/>
      <c r="CU128" s="104"/>
    </row>
    <row r="129">
      <c r="A129" s="595"/>
      <c r="B129" s="202" t="s">
        <v>271</v>
      </c>
      <c r="C129" s="196" t="s">
        <v>271</v>
      </c>
      <c r="D129" s="197" t="s">
        <v>271</v>
      </c>
      <c r="E129" s="199" t="s">
        <v>271</v>
      </c>
      <c r="F129" s="201" t="s">
        <v>271</v>
      </c>
      <c r="G129" s="202" t="s">
        <v>271</v>
      </c>
      <c r="H129" s="609"/>
      <c r="I129" s="609"/>
      <c r="J129" s="104"/>
      <c r="K129" s="104"/>
      <c r="L129" s="104"/>
      <c r="M129" s="104"/>
      <c r="N129" s="104"/>
      <c r="O129" s="104"/>
      <c r="P129" s="104"/>
      <c r="Q129" s="104"/>
      <c r="R129" s="104"/>
      <c r="S129" s="104"/>
      <c r="T129" s="104"/>
      <c r="U129" s="104"/>
      <c r="V129" s="104"/>
      <c r="W129" s="104"/>
      <c r="X129" s="104"/>
      <c r="Y129" s="104"/>
      <c r="Z129" s="104"/>
      <c r="AA129" s="104"/>
      <c r="AB129" s="104"/>
      <c r="AC129" s="104"/>
      <c r="AD129" s="104"/>
      <c r="AE129" s="104"/>
      <c r="AF129" s="104"/>
      <c r="AG129" s="104"/>
      <c r="AH129" s="104"/>
      <c r="AI129" s="104"/>
      <c r="AJ129" s="104"/>
      <c r="AK129" s="104"/>
      <c r="AL129" s="104"/>
      <c r="AM129" s="104"/>
      <c r="AN129" s="104"/>
      <c r="AO129" s="104"/>
      <c r="AP129" s="104"/>
      <c r="AQ129" s="104"/>
      <c r="AR129" s="104"/>
      <c r="AS129" s="104"/>
      <c r="AT129" s="104"/>
      <c r="AU129" s="104"/>
      <c r="AV129" s="104"/>
      <c r="AW129" s="104"/>
      <c r="AX129" s="104"/>
      <c r="AY129" s="104"/>
      <c r="AZ129" s="104"/>
      <c r="BA129" s="104"/>
      <c r="BB129" s="104"/>
      <c r="BC129" s="104"/>
      <c r="BD129" s="104"/>
      <c r="BE129" s="104"/>
      <c r="BF129" s="104"/>
      <c r="BG129" s="104"/>
      <c r="BH129" s="104"/>
      <c r="BI129" s="104"/>
      <c r="BJ129" s="104"/>
      <c r="BK129" s="104"/>
      <c r="BL129" s="104"/>
      <c r="BM129" s="104"/>
      <c r="BN129" s="104"/>
      <c r="BO129" s="104"/>
      <c r="BP129" s="104"/>
      <c r="BQ129" s="104"/>
      <c r="BR129" s="104"/>
      <c r="BS129" s="104"/>
      <c r="BT129" s="104"/>
      <c r="BU129" s="104"/>
      <c r="BV129" s="104"/>
      <c r="BW129" s="122"/>
      <c r="BX129" s="104"/>
      <c r="BY129" s="104"/>
      <c r="BZ129" s="104"/>
      <c r="CA129" s="122"/>
      <c r="CB129" s="104"/>
      <c r="CC129" s="104"/>
      <c r="CD129" s="122"/>
      <c r="CE129" s="104"/>
      <c r="CF129" s="104"/>
      <c r="CG129" s="104"/>
      <c r="CH129" s="104"/>
      <c r="CI129" s="104"/>
      <c r="CJ129" s="104"/>
      <c r="CK129" s="104"/>
      <c r="CL129" s="104"/>
      <c r="CM129" s="104"/>
      <c r="CN129" s="104"/>
      <c r="CO129" s="104"/>
      <c r="CP129" s="104"/>
      <c r="CQ129" s="104"/>
      <c r="CR129" s="104"/>
      <c r="CS129" s="104"/>
      <c r="CT129" s="104"/>
      <c r="CU129" s="104"/>
    </row>
    <row r="130">
      <c r="A130" s="595"/>
      <c r="B130" s="202" t="s">
        <v>271</v>
      </c>
      <c r="C130" s="196" t="s">
        <v>271</v>
      </c>
      <c r="D130" s="197" t="s">
        <v>271</v>
      </c>
      <c r="E130" s="199" t="s">
        <v>271</v>
      </c>
      <c r="F130" s="201" t="s">
        <v>271</v>
      </c>
      <c r="G130" s="202" t="s">
        <v>271</v>
      </c>
      <c r="H130" s="609"/>
      <c r="I130" s="609"/>
      <c r="J130" s="104"/>
      <c r="K130" s="104"/>
      <c r="L130" s="104"/>
      <c r="M130" s="104"/>
      <c r="N130" s="104"/>
      <c r="O130" s="104"/>
      <c r="P130" s="104"/>
      <c r="Q130" s="104"/>
      <c r="R130" s="104"/>
      <c r="S130" s="104"/>
      <c r="T130" s="104"/>
      <c r="U130" s="104"/>
      <c r="V130" s="104"/>
      <c r="W130" s="104"/>
      <c r="X130" s="104"/>
      <c r="Y130" s="104"/>
      <c r="Z130" s="104"/>
      <c r="AA130" s="104"/>
      <c r="AB130" s="104"/>
      <c r="AC130" s="104"/>
      <c r="AD130" s="104"/>
      <c r="AE130" s="104"/>
      <c r="AF130" s="104"/>
      <c r="AG130" s="104"/>
      <c r="AH130" s="104"/>
      <c r="AI130" s="104"/>
      <c r="AJ130" s="104"/>
      <c r="AK130" s="104"/>
      <c r="AL130" s="104"/>
      <c r="AM130" s="104"/>
      <c r="AN130" s="104"/>
      <c r="AO130" s="104"/>
      <c r="AP130" s="104"/>
      <c r="AQ130" s="104"/>
      <c r="AR130" s="104"/>
      <c r="AS130" s="104"/>
      <c r="AT130" s="104"/>
      <c r="AU130" s="104"/>
      <c r="AV130" s="104"/>
      <c r="AW130" s="104"/>
      <c r="AX130" s="104"/>
      <c r="AY130" s="104"/>
      <c r="AZ130" s="104"/>
      <c r="BA130" s="104"/>
      <c r="BB130" s="104"/>
      <c r="BC130" s="104"/>
      <c r="BD130" s="104"/>
      <c r="BE130" s="104"/>
      <c r="BF130" s="104"/>
      <c r="BG130" s="104"/>
      <c r="BH130" s="104"/>
      <c r="BI130" s="104"/>
      <c r="BJ130" s="104"/>
      <c r="BK130" s="104"/>
      <c r="BL130" s="104"/>
      <c r="BM130" s="104"/>
      <c r="BN130" s="104"/>
      <c r="BO130" s="104"/>
      <c r="BP130" s="104"/>
      <c r="BQ130" s="104"/>
      <c r="BR130" s="104"/>
      <c r="BS130" s="104"/>
      <c r="BT130" s="104"/>
      <c r="BU130" s="104"/>
      <c r="BV130" s="104"/>
      <c r="BW130" s="122"/>
      <c r="BX130" s="104"/>
      <c r="BY130" s="104"/>
      <c r="BZ130" s="104"/>
      <c r="CA130" s="122"/>
      <c r="CB130" s="104"/>
      <c r="CC130" s="104"/>
      <c r="CD130" s="122"/>
      <c r="CE130" s="104"/>
      <c r="CF130" s="104"/>
      <c r="CG130" s="104"/>
      <c r="CH130" s="104"/>
      <c r="CI130" s="104"/>
      <c r="CJ130" s="104"/>
      <c r="CK130" s="104"/>
      <c r="CL130" s="104"/>
      <c r="CM130" s="104"/>
      <c r="CN130" s="104"/>
      <c r="CO130" s="104"/>
      <c r="CP130" s="104"/>
      <c r="CQ130" s="104"/>
      <c r="CR130" s="104"/>
      <c r="CS130" s="104"/>
      <c r="CT130" s="104"/>
      <c r="CU130" s="104"/>
    </row>
    <row r="131">
      <c r="A131" s="595"/>
      <c r="B131" s="202" t="s">
        <v>271</v>
      </c>
      <c r="C131" s="196" t="s">
        <v>271</v>
      </c>
      <c r="D131" s="197" t="s">
        <v>271</v>
      </c>
      <c r="E131" s="199" t="s">
        <v>271</v>
      </c>
      <c r="F131" s="201" t="s">
        <v>271</v>
      </c>
      <c r="G131" s="202" t="s">
        <v>271</v>
      </c>
      <c r="H131" s="609"/>
      <c r="I131" s="609"/>
      <c r="J131" s="104"/>
      <c r="K131" s="104"/>
      <c r="L131" s="104"/>
      <c r="M131" s="104"/>
      <c r="N131" s="104"/>
      <c r="O131" s="104"/>
      <c r="P131" s="104"/>
      <c r="Q131" s="104"/>
      <c r="R131" s="104"/>
      <c r="S131" s="104"/>
      <c r="T131" s="104"/>
      <c r="U131" s="104"/>
      <c r="V131" s="104"/>
      <c r="W131" s="104"/>
      <c r="X131" s="104"/>
      <c r="Y131" s="104"/>
      <c r="Z131" s="104"/>
      <c r="AA131" s="104"/>
      <c r="AB131" s="104"/>
      <c r="AC131" s="104"/>
      <c r="AD131" s="104"/>
      <c r="AE131" s="104"/>
      <c r="AF131" s="104"/>
      <c r="AG131" s="104"/>
      <c r="AH131" s="104"/>
      <c r="AI131" s="104"/>
      <c r="AJ131" s="104"/>
      <c r="AK131" s="104"/>
      <c r="AL131" s="104"/>
      <c r="AM131" s="104"/>
      <c r="AN131" s="104"/>
      <c r="AO131" s="104"/>
      <c r="AP131" s="104"/>
      <c r="AQ131" s="104"/>
      <c r="AR131" s="104"/>
      <c r="AS131" s="104"/>
      <c r="AT131" s="104"/>
      <c r="AU131" s="104"/>
      <c r="AV131" s="104"/>
      <c r="AW131" s="104"/>
      <c r="AX131" s="104"/>
      <c r="AY131" s="104"/>
      <c r="AZ131" s="104"/>
      <c r="BA131" s="104"/>
      <c r="BB131" s="104"/>
      <c r="BC131" s="104"/>
      <c r="BD131" s="104"/>
      <c r="BE131" s="104"/>
      <c r="BF131" s="104"/>
      <c r="BG131" s="104"/>
      <c r="BH131" s="104"/>
      <c r="BI131" s="104"/>
      <c r="BJ131" s="104"/>
      <c r="BK131" s="104"/>
      <c r="BL131" s="104"/>
      <c r="BM131" s="104"/>
      <c r="BN131" s="104"/>
      <c r="BO131" s="104"/>
      <c r="BP131" s="104"/>
      <c r="BQ131" s="104"/>
      <c r="BR131" s="104"/>
      <c r="BS131" s="104"/>
      <c r="BT131" s="104"/>
      <c r="BU131" s="104"/>
      <c r="BV131" s="104"/>
      <c r="BW131" s="122"/>
      <c r="BX131" s="104"/>
      <c r="BY131" s="104"/>
      <c r="BZ131" s="104"/>
      <c r="CA131" s="122"/>
      <c r="CB131" s="104"/>
      <c r="CC131" s="104"/>
      <c r="CD131" s="122"/>
      <c r="CE131" s="104"/>
      <c r="CF131" s="104"/>
      <c r="CG131" s="104"/>
      <c r="CH131" s="104"/>
      <c r="CI131" s="104"/>
      <c r="CJ131" s="104"/>
      <c r="CK131" s="104"/>
      <c r="CL131" s="104"/>
      <c r="CM131" s="104"/>
      <c r="CN131" s="104"/>
      <c r="CO131" s="104"/>
      <c r="CP131" s="104"/>
      <c r="CQ131" s="104"/>
      <c r="CR131" s="104"/>
      <c r="CS131" s="104"/>
      <c r="CT131" s="104"/>
      <c r="CU131" s="104"/>
    </row>
    <row r="132">
      <c r="A132" s="595"/>
      <c r="B132" s="202" t="s">
        <v>271</v>
      </c>
      <c r="C132" s="196" t="s">
        <v>271</v>
      </c>
      <c r="D132" s="197" t="s">
        <v>271</v>
      </c>
      <c r="E132" s="199" t="s">
        <v>271</v>
      </c>
      <c r="F132" s="201" t="s">
        <v>271</v>
      </c>
      <c r="G132" s="202" t="s">
        <v>271</v>
      </c>
      <c r="H132" s="609"/>
      <c r="I132" s="609"/>
      <c r="J132" s="104"/>
      <c r="K132" s="104"/>
      <c r="L132" s="104"/>
      <c r="M132" s="104"/>
      <c r="N132" s="104"/>
      <c r="O132" s="104"/>
      <c r="P132" s="104"/>
      <c r="Q132" s="104"/>
      <c r="R132" s="104"/>
      <c r="S132" s="104"/>
      <c r="T132" s="104"/>
      <c r="U132" s="104"/>
      <c r="V132" s="104"/>
      <c r="W132" s="104"/>
      <c r="X132" s="104"/>
      <c r="Y132" s="104"/>
      <c r="Z132" s="104"/>
      <c r="AA132" s="104"/>
      <c r="AB132" s="104"/>
      <c r="AC132" s="104"/>
      <c r="AD132" s="104"/>
      <c r="AE132" s="104"/>
      <c r="AF132" s="104"/>
      <c r="AG132" s="104"/>
      <c r="AH132" s="104"/>
      <c r="AI132" s="104"/>
      <c r="AJ132" s="104"/>
      <c r="AK132" s="104"/>
      <c r="AL132" s="104"/>
      <c r="AM132" s="104"/>
      <c r="AN132" s="104"/>
      <c r="AO132" s="104"/>
      <c r="AP132" s="104"/>
      <c r="AQ132" s="104"/>
      <c r="AR132" s="104"/>
      <c r="AS132" s="104"/>
      <c r="AT132" s="104"/>
      <c r="AU132" s="104"/>
      <c r="AV132" s="104"/>
      <c r="AW132" s="104"/>
      <c r="AX132" s="104"/>
      <c r="AY132" s="104"/>
      <c r="AZ132" s="104"/>
      <c r="BA132" s="104"/>
      <c r="BB132" s="104"/>
      <c r="BC132" s="104"/>
      <c r="BD132" s="104"/>
      <c r="BE132" s="104"/>
      <c r="BF132" s="104"/>
      <c r="BG132" s="104"/>
      <c r="BH132" s="104"/>
      <c r="BI132" s="104"/>
      <c r="BJ132" s="104"/>
      <c r="BK132" s="104"/>
      <c r="BL132" s="104"/>
      <c r="BM132" s="104"/>
      <c r="BN132" s="104"/>
      <c r="BO132" s="104"/>
      <c r="BP132" s="104"/>
      <c r="BQ132" s="104"/>
      <c r="BR132" s="104"/>
      <c r="BS132" s="104"/>
      <c r="BT132" s="104"/>
      <c r="BU132" s="104"/>
      <c r="BV132" s="104"/>
      <c r="BW132" s="122"/>
      <c r="BX132" s="104"/>
      <c r="BY132" s="104"/>
      <c r="BZ132" s="104"/>
      <c r="CA132" s="122"/>
      <c r="CB132" s="104"/>
      <c r="CC132" s="104"/>
      <c r="CD132" s="122"/>
      <c r="CE132" s="104"/>
      <c r="CF132" s="104"/>
      <c r="CG132" s="104"/>
      <c r="CH132" s="104"/>
      <c r="CI132" s="104"/>
      <c r="CJ132" s="104"/>
      <c r="CK132" s="104"/>
      <c r="CL132" s="104"/>
      <c r="CM132" s="104"/>
      <c r="CN132" s="104"/>
      <c r="CO132" s="104"/>
      <c r="CP132" s="104"/>
      <c r="CQ132" s="104"/>
      <c r="CR132" s="104"/>
      <c r="CS132" s="104"/>
      <c r="CT132" s="104"/>
      <c r="CU132" s="104"/>
    </row>
    <row r="133">
      <c r="A133" s="595"/>
      <c r="B133" s="202" t="s">
        <v>271</v>
      </c>
      <c r="C133" s="196" t="s">
        <v>271</v>
      </c>
      <c r="D133" s="197" t="s">
        <v>271</v>
      </c>
      <c r="E133" s="199" t="s">
        <v>271</v>
      </c>
      <c r="F133" s="201" t="s">
        <v>271</v>
      </c>
      <c r="G133" s="202" t="s">
        <v>271</v>
      </c>
      <c r="H133" s="609"/>
      <c r="I133" s="609"/>
      <c r="J133" s="104"/>
      <c r="K133" s="104"/>
      <c r="L133" s="104"/>
      <c r="M133" s="104"/>
      <c r="N133" s="104"/>
      <c r="O133" s="104"/>
      <c r="P133" s="104"/>
      <c r="Q133" s="104"/>
      <c r="R133" s="104"/>
      <c r="S133" s="104"/>
      <c r="T133" s="104"/>
      <c r="U133" s="104"/>
      <c r="V133" s="104"/>
      <c r="W133" s="104"/>
      <c r="X133" s="104"/>
      <c r="Y133" s="104"/>
      <c r="Z133" s="104"/>
      <c r="AA133" s="104"/>
      <c r="AB133" s="104"/>
      <c r="AC133" s="104"/>
      <c r="AD133" s="104"/>
      <c r="AE133" s="104"/>
      <c r="AF133" s="104"/>
      <c r="AG133" s="104"/>
      <c r="AH133" s="104"/>
      <c r="AI133" s="104"/>
      <c r="AJ133" s="104"/>
      <c r="AK133" s="104"/>
      <c r="AL133" s="104"/>
      <c r="AM133" s="104"/>
      <c r="AN133" s="104"/>
      <c r="AO133" s="104"/>
      <c r="AP133" s="104"/>
      <c r="AQ133" s="104"/>
      <c r="AR133" s="104"/>
      <c r="AS133" s="104"/>
      <c r="AT133" s="104"/>
      <c r="AU133" s="104"/>
      <c r="AV133" s="104"/>
      <c r="AW133" s="104"/>
      <c r="AX133" s="104"/>
      <c r="AY133" s="104"/>
      <c r="AZ133" s="104"/>
      <c r="BA133" s="104"/>
      <c r="BB133" s="104"/>
      <c r="BC133" s="104"/>
      <c r="BD133" s="104"/>
      <c r="BE133" s="104"/>
      <c r="BF133" s="104"/>
      <c r="BG133" s="104"/>
      <c r="BH133" s="104"/>
      <c r="BI133" s="104"/>
      <c r="BJ133" s="104"/>
      <c r="BK133" s="104"/>
      <c r="BL133" s="104"/>
      <c r="BM133" s="104"/>
      <c r="BN133" s="104"/>
      <c r="BO133" s="104"/>
      <c r="BP133" s="104"/>
      <c r="BQ133" s="104"/>
      <c r="BR133" s="104"/>
      <c r="BS133" s="104"/>
      <c r="BT133" s="104"/>
      <c r="BU133" s="104"/>
      <c r="BV133" s="104"/>
      <c r="BW133" s="122"/>
      <c r="BX133" s="104"/>
      <c r="BY133" s="104"/>
      <c r="BZ133" s="104"/>
      <c r="CA133" s="122"/>
      <c r="CB133" s="104"/>
      <c r="CC133" s="104"/>
      <c r="CD133" s="122"/>
      <c r="CE133" s="104"/>
      <c r="CF133" s="104"/>
      <c r="CG133" s="104"/>
      <c r="CH133" s="104"/>
      <c r="CI133" s="104"/>
      <c r="CJ133" s="104"/>
      <c r="CK133" s="104"/>
      <c r="CL133" s="104"/>
      <c r="CM133" s="104"/>
      <c r="CN133" s="104"/>
      <c r="CO133" s="104"/>
      <c r="CP133" s="104"/>
      <c r="CQ133" s="104"/>
      <c r="CR133" s="104"/>
      <c r="CS133" s="104"/>
      <c r="CT133" s="104"/>
      <c r="CU133" s="104"/>
    </row>
    <row r="134">
      <c r="A134" s="595"/>
      <c r="B134" s="202" t="s">
        <v>271</v>
      </c>
      <c r="C134" s="196" t="s">
        <v>271</v>
      </c>
      <c r="D134" s="197" t="s">
        <v>271</v>
      </c>
      <c r="E134" s="199" t="s">
        <v>271</v>
      </c>
      <c r="F134" s="201" t="s">
        <v>271</v>
      </c>
      <c r="G134" s="202" t="s">
        <v>271</v>
      </c>
      <c r="H134" s="609"/>
      <c r="I134" s="609"/>
      <c r="J134" s="104"/>
      <c r="K134" s="104"/>
      <c r="L134" s="104"/>
      <c r="M134" s="104"/>
      <c r="N134" s="104"/>
      <c r="O134" s="104"/>
      <c r="P134" s="104"/>
      <c r="Q134" s="104"/>
      <c r="R134" s="104"/>
      <c r="S134" s="104"/>
      <c r="T134" s="104"/>
      <c r="U134" s="104"/>
      <c r="V134" s="104"/>
      <c r="W134" s="104"/>
      <c r="X134" s="104"/>
      <c r="Y134" s="104"/>
      <c r="Z134" s="104"/>
      <c r="AA134" s="104"/>
      <c r="AB134" s="104"/>
      <c r="AC134" s="104"/>
      <c r="AD134" s="104"/>
      <c r="AE134" s="104"/>
      <c r="AF134" s="104"/>
      <c r="AG134" s="104"/>
      <c r="AH134" s="104"/>
      <c r="AI134" s="104"/>
      <c r="AJ134" s="104"/>
      <c r="AK134" s="104"/>
      <c r="AL134" s="104"/>
      <c r="AM134" s="104"/>
      <c r="AN134" s="104"/>
      <c r="AO134" s="104"/>
      <c r="AP134" s="104"/>
      <c r="AQ134" s="104"/>
      <c r="AR134" s="104"/>
      <c r="AS134" s="104"/>
      <c r="AT134" s="104"/>
      <c r="AU134" s="104"/>
      <c r="AV134" s="104"/>
      <c r="AW134" s="104"/>
      <c r="AX134" s="104"/>
      <c r="AY134" s="104"/>
      <c r="AZ134" s="104"/>
      <c r="BA134" s="104"/>
      <c r="BB134" s="104"/>
      <c r="BC134" s="104"/>
      <c r="BD134" s="104"/>
      <c r="BE134" s="104"/>
      <c r="BF134" s="104"/>
      <c r="BG134" s="104"/>
      <c r="BH134" s="104"/>
      <c r="BI134" s="104"/>
      <c r="BJ134" s="104"/>
      <c r="BK134" s="104"/>
      <c r="BL134" s="104"/>
      <c r="BM134" s="104"/>
      <c r="BN134" s="104"/>
      <c r="BO134" s="104"/>
      <c r="BP134" s="104"/>
      <c r="BQ134" s="104"/>
      <c r="BR134" s="104"/>
      <c r="BS134" s="104"/>
      <c r="BT134" s="104"/>
      <c r="BU134" s="104"/>
      <c r="BV134" s="104"/>
      <c r="BW134" s="122"/>
      <c r="BX134" s="104"/>
      <c r="BY134" s="104"/>
      <c r="BZ134" s="104"/>
      <c r="CA134" s="122"/>
      <c r="CB134" s="104"/>
      <c r="CC134" s="104"/>
      <c r="CD134" s="122"/>
      <c r="CE134" s="104"/>
      <c r="CF134" s="104"/>
      <c r="CG134" s="104"/>
      <c r="CH134" s="104"/>
      <c r="CI134" s="104"/>
      <c r="CJ134" s="104"/>
      <c r="CK134" s="104"/>
      <c r="CL134" s="104"/>
      <c r="CM134" s="104"/>
      <c r="CN134" s="104"/>
      <c r="CO134" s="104"/>
      <c r="CP134" s="104"/>
      <c r="CQ134" s="104"/>
      <c r="CR134" s="104"/>
      <c r="CS134" s="104"/>
      <c r="CT134" s="104"/>
      <c r="CU134" s="104"/>
    </row>
    <row r="135">
      <c r="A135" s="595"/>
      <c r="B135" s="202" t="s">
        <v>271</v>
      </c>
      <c r="C135" s="196" t="s">
        <v>271</v>
      </c>
      <c r="D135" s="197" t="s">
        <v>271</v>
      </c>
      <c r="E135" s="199" t="s">
        <v>271</v>
      </c>
      <c r="F135" s="201" t="s">
        <v>271</v>
      </c>
      <c r="G135" s="202" t="s">
        <v>271</v>
      </c>
      <c r="H135" s="609"/>
      <c r="I135" s="609"/>
      <c r="J135" s="104"/>
      <c r="K135" s="104"/>
      <c r="L135" s="104"/>
      <c r="M135" s="104"/>
      <c r="N135" s="104"/>
      <c r="O135" s="104"/>
      <c r="P135" s="104"/>
      <c r="Q135" s="104"/>
      <c r="R135" s="104"/>
      <c r="S135" s="104"/>
      <c r="T135" s="104"/>
      <c r="U135" s="104"/>
      <c r="V135" s="104"/>
      <c r="W135" s="104"/>
      <c r="X135" s="104"/>
      <c r="Y135" s="104"/>
      <c r="Z135" s="104"/>
      <c r="AA135" s="104"/>
      <c r="AB135" s="104"/>
      <c r="AC135" s="104"/>
      <c r="AD135" s="104"/>
      <c r="AE135" s="104"/>
      <c r="AF135" s="104"/>
      <c r="AG135" s="104"/>
      <c r="AH135" s="104"/>
      <c r="AI135" s="104"/>
      <c r="AJ135" s="104"/>
      <c r="AK135" s="104"/>
      <c r="AL135" s="104"/>
      <c r="AM135" s="104"/>
      <c r="AN135" s="104"/>
      <c r="AO135" s="104"/>
      <c r="AP135" s="104"/>
      <c r="AQ135" s="104"/>
      <c r="AR135" s="104"/>
      <c r="AS135" s="104"/>
      <c r="AT135" s="104"/>
      <c r="AU135" s="104"/>
      <c r="AV135" s="104"/>
      <c r="AW135" s="104"/>
      <c r="AX135" s="104"/>
      <c r="AY135" s="104"/>
      <c r="AZ135" s="104"/>
      <c r="BA135" s="104"/>
      <c r="BB135" s="104"/>
      <c r="BC135" s="104"/>
      <c r="BD135" s="104"/>
      <c r="BE135" s="104"/>
      <c r="BF135" s="104"/>
      <c r="BG135" s="104"/>
      <c r="BH135" s="104"/>
      <c r="BI135" s="104"/>
      <c r="BJ135" s="104"/>
      <c r="BK135" s="104"/>
      <c r="BL135" s="104"/>
      <c r="BM135" s="104"/>
      <c r="BN135" s="104"/>
      <c r="BO135" s="104"/>
      <c r="BP135" s="104"/>
      <c r="BQ135" s="104"/>
      <c r="BR135" s="104"/>
      <c r="BS135" s="104"/>
      <c r="BT135" s="104"/>
      <c r="BU135" s="104"/>
      <c r="BV135" s="104"/>
      <c r="BW135" s="122"/>
      <c r="BX135" s="104"/>
      <c r="BY135" s="104"/>
      <c r="BZ135" s="104"/>
      <c r="CA135" s="122"/>
      <c r="CB135" s="104"/>
      <c r="CC135" s="104"/>
      <c r="CD135" s="122"/>
      <c r="CE135" s="104"/>
      <c r="CF135" s="104"/>
      <c r="CG135" s="104"/>
      <c r="CH135" s="104"/>
      <c r="CI135" s="104"/>
      <c r="CJ135" s="104"/>
      <c r="CK135" s="104"/>
      <c r="CL135" s="104"/>
      <c r="CM135" s="104"/>
      <c r="CN135" s="104"/>
      <c r="CO135" s="104"/>
      <c r="CP135" s="104"/>
      <c r="CQ135" s="104"/>
      <c r="CR135" s="104"/>
      <c r="CS135" s="104"/>
      <c r="CT135" s="104"/>
      <c r="CU135" s="104"/>
    </row>
    <row r="136">
      <c r="A136" s="595"/>
      <c r="B136" s="202" t="s">
        <v>271</v>
      </c>
      <c r="C136" s="196" t="s">
        <v>271</v>
      </c>
      <c r="D136" s="197" t="s">
        <v>271</v>
      </c>
      <c r="E136" s="199" t="s">
        <v>271</v>
      </c>
      <c r="F136" s="201" t="s">
        <v>271</v>
      </c>
      <c r="G136" s="202" t="s">
        <v>271</v>
      </c>
      <c r="H136" s="609"/>
      <c r="I136" s="609"/>
      <c r="J136" s="104"/>
      <c r="K136" s="104"/>
      <c r="L136" s="104"/>
      <c r="M136" s="104"/>
      <c r="N136" s="104"/>
      <c r="O136" s="104"/>
      <c r="P136" s="104"/>
      <c r="Q136" s="104"/>
      <c r="R136" s="104"/>
      <c r="S136" s="104"/>
      <c r="T136" s="104"/>
      <c r="U136" s="104"/>
      <c r="V136" s="104"/>
      <c r="W136" s="104"/>
      <c r="X136" s="104"/>
      <c r="Y136" s="104"/>
      <c r="Z136" s="104"/>
      <c r="AA136" s="104"/>
      <c r="AB136" s="104"/>
      <c r="AC136" s="104"/>
      <c r="AD136" s="104"/>
      <c r="AE136" s="104"/>
      <c r="AF136" s="104"/>
      <c r="AG136" s="104"/>
      <c r="AH136" s="104"/>
      <c r="AI136" s="104"/>
      <c r="AJ136" s="104"/>
      <c r="AK136" s="104"/>
      <c r="AL136" s="104"/>
      <c r="AM136" s="104"/>
      <c r="AN136" s="104"/>
      <c r="AO136" s="104"/>
      <c r="AP136" s="104"/>
      <c r="AQ136" s="104"/>
      <c r="AR136" s="104"/>
      <c r="AS136" s="104"/>
      <c r="AT136" s="104"/>
      <c r="AU136" s="104"/>
      <c r="AV136" s="104"/>
      <c r="AW136" s="104"/>
      <c r="AX136" s="104"/>
      <c r="AY136" s="104"/>
      <c r="AZ136" s="104"/>
      <c r="BA136" s="104"/>
      <c r="BB136" s="104"/>
      <c r="BC136" s="104"/>
      <c r="BD136" s="104"/>
      <c r="BE136" s="104"/>
      <c r="BF136" s="104"/>
      <c r="BG136" s="104"/>
      <c r="BH136" s="104"/>
      <c r="BI136" s="104"/>
      <c r="BJ136" s="104"/>
      <c r="BK136" s="104"/>
      <c r="BL136" s="104"/>
      <c r="BM136" s="104"/>
      <c r="BN136" s="104"/>
      <c r="BO136" s="104"/>
      <c r="BP136" s="104"/>
      <c r="BQ136" s="104"/>
      <c r="BR136" s="104"/>
      <c r="BS136" s="104"/>
      <c r="BT136" s="104"/>
      <c r="BU136" s="104"/>
      <c r="BV136" s="104"/>
      <c r="BW136" s="122"/>
      <c r="BX136" s="104"/>
      <c r="BY136" s="104"/>
      <c r="BZ136" s="104"/>
      <c r="CA136" s="122"/>
      <c r="CB136" s="104"/>
      <c r="CC136" s="104"/>
      <c r="CD136" s="122"/>
      <c r="CE136" s="104"/>
      <c r="CF136" s="104"/>
      <c r="CG136" s="104"/>
      <c r="CH136" s="104"/>
      <c r="CI136" s="104"/>
      <c r="CJ136" s="104"/>
      <c r="CK136" s="104"/>
      <c r="CL136" s="104"/>
      <c r="CM136" s="104"/>
      <c r="CN136" s="104"/>
      <c r="CO136" s="104"/>
      <c r="CP136" s="104"/>
      <c r="CQ136" s="104"/>
      <c r="CR136" s="104"/>
      <c r="CS136" s="104"/>
      <c r="CT136" s="104"/>
      <c r="CU136" s="104"/>
    </row>
    <row r="137">
      <c r="A137" s="595"/>
      <c r="B137" s="202" t="s">
        <v>271</v>
      </c>
      <c r="C137" s="196" t="s">
        <v>271</v>
      </c>
      <c r="D137" s="197" t="s">
        <v>271</v>
      </c>
      <c r="E137" s="199" t="s">
        <v>271</v>
      </c>
      <c r="F137" s="201" t="s">
        <v>271</v>
      </c>
      <c r="G137" s="202" t="s">
        <v>271</v>
      </c>
      <c r="H137" s="609"/>
      <c r="I137" s="609"/>
      <c r="J137" s="104"/>
      <c r="K137" s="104"/>
      <c r="L137" s="104"/>
      <c r="M137" s="104"/>
      <c r="N137" s="104"/>
      <c r="O137" s="104"/>
      <c r="P137" s="104"/>
      <c r="Q137" s="104"/>
      <c r="R137" s="104"/>
      <c r="S137" s="104"/>
      <c r="T137" s="104"/>
      <c r="U137" s="104"/>
      <c r="V137" s="104"/>
      <c r="W137" s="104"/>
      <c r="X137" s="104"/>
      <c r="Y137" s="104"/>
      <c r="Z137" s="104"/>
      <c r="AA137" s="104"/>
      <c r="AB137" s="104"/>
      <c r="AC137" s="104"/>
      <c r="AD137" s="104"/>
      <c r="AE137" s="104"/>
      <c r="AF137" s="104"/>
      <c r="AG137" s="104"/>
      <c r="AH137" s="104"/>
      <c r="AI137" s="104"/>
      <c r="AJ137" s="104"/>
      <c r="AK137" s="104"/>
      <c r="AL137" s="104"/>
      <c r="AM137" s="104"/>
      <c r="AN137" s="104"/>
      <c r="AO137" s="104"/>
      <c r="AP137" s="104"/>
      <c r="AQ137" s="104"/>
      <c r="AR137" s="104"/>
      <c r="AS137" s="104"/>
      <c r="AT137" s="104"/>
      <c r="AU137" s="104"/>
      <c r="AV137" s="104"/>
      <c r="AW137" s="104"/>
      <c r="AX137" s="104"/>
      <c r="AY137" s="104"/>
      <c r="AZ137" s="104"/>
      <c r="BA137" s="104"/>
      <c r="BB137" s="104"/>
      <c r="BC137" s="104"/>
      <c r="BD137" s="104"/>
      <c r="BE137" s="104"/>
      <c r="BF137" s="104"/>
      <c r="BG137" s="104"/>
      <c r="BH137" s="104"/>
      <c r="BI137" s="104"/>
      <c r="BJ137" s="104"/>
      <c r="BK137" s="104"/>
      <c r="BL137" s="104"/>
      <c r="BM137" s="104"/>
      <c r="BN137" s="104"/>
      <c r="BO137" s="104"/>
      <c r="BP137" s="104"/>
      <c r="BQ137" s="104"/>
      <c r="BR137" s="104"/>
      <c r="BS137" s="104"/>
      <c r="BT137" s="104"/>
      <c r="BU137" s="104"/>
      <c r="BV137" s="104"/>
      <c r="BW137" s="122"/>
      <c r="BX137" s="104"/>
      <c r="BY137" s="104"/>
      <c r="BZ137" s="104"/>
      <c r="CA137" s="122"/>
      <c r="CB137" s="104"/>
      <c r="CC137" s="104"/>
      <c r="CD137" s="122"/>
      <c r="CE137" s="104"/>
      <c r="CF137" s="104"/>
      <c r="CG137" s="104"/>
      <c r="CH137" s="104"/>
      <c r="CI137" s="104"/>
      <c r="CJ137" s="104"/>
      <c r="CK137" s="104"/>
      <c r="CL137" s="104"/>
      <c r="CM137" s="104"/>
      <c r="CN137" s="104"/>
      <c r="CO137" s="104"/>
      <c r="CP137" s="104"/>
      <c r="CQ137" s="104"/>
      <c r="CR137" s="104"/>
      <c r="CS137" s="104"/>
      <c r="CT137" s="104"/>
      <c r="CU137" s="104"/>
    </row>
    <row r="138">
      <c r="A138" s="595"/>
      <c r="B138" s="202" t="s">
        <v>271</v>
      </c>
      <c r="C138" s="196" t="s">
        <v>271</v>
      </c>
      <c r="D138" s="197" t="s">
        <v>271</v>
      </c>
      <c r="E138" s="199" t="s">
        <v>271</v>
      </c>
      <c r="F138" s="201" t="s">
        <v>271</v>
      </c>
      <c r="G138" s="202" t="s">
        <v>271</v>
      </c>
      <c r="H138" s="609"/>
      <c r="I138" s="609"/>
      <c r="J138" s="104"/>
      <c r="K138" s="104"/>
      <c r="L138" s="104"/>
      <c r="M138" s="104"/>
      <c r="N138" s="104"/>
      <c r="O138" s="104"/>
      <c r="P138" s="104"/>
      <c r="Q138" s="104"/>
      <c r="R138" s="104"/>
      <c r="S138" s="104"/>
      <c r="T138" s="104"/>
      <c r="U138" s="104"/>
      <c r="V138" s="104"/>
      <c r="W138" s="104"/>
      <c r="X138" s="104"/>
      <c r="Y138" s="104"/>
      <c r="Z138" s="104"/>
      <c r="AA138" s="104"/>
      <c r="AB138" s="104"/>
      <c r="AC138" s="104"/>
      <c r="AD138" s="104"/>
      <c r="AE138" s="104"/>
      <c r="AF138" s="104"/>
      <c r="AG138" s="104"/>
      <c r="AH138" s="104"/>
      <c r="AI138" s="104"/>
      <c r="AJ138" s="104"/>
      <c r="AK138" s="104"/>
      <c r="AL138" s="104"/>
      <c r="AM138" s="104"/>
      <c r="AN138" s="104"/>
      <c r="AO138" s="104"/>
      <c r="AP138" s="104"/>
      <c r="AQ138" s="104"/>
      <c r="AR138" s="104"/>
      <c r="AS138" s="104"/>
      <c r="AT138" s="104"/>
      <c r="AU138" s="104"/>
      <c r="AV138" s="104"/>
      <c r="AW138" s="104"/>
      <c r="AX138" s="104"/>
      <c r="AY138" s="104"/>
      <c r="AZ138" s="104"/>
      <c r="BA138" s="104"/>
      <c r="BB138" s="104"/>
      <c r="BC138" s="104"/>
      <c r="BD138" s="104"/>
      <c r="BE138" s="104"/>
      <c r="BF138" s="104"/>
      <c r="BG138" s="104"/>
      <c r="BH138" s="104"/>
      <c r="BI138" s="104"/>
      <c r="BJ138" s="104"/>
      <c r="BK138" s="104"/>
      <c r="BL138" s="104"/>
      <c r="BM138" s="104"/>
      <c r="BN138" s="104"/>
      <c r="BO138" s="104"/>
      <c r="BP138" s="104"/>
      <c r="BQ138" s="104"/>
      <c r="BR138" s="104"/>
      <c r="BS138" s="104"/>
      <c r="BT138" s="104"/>
      <c r="BU138" s="104"/>
      <c r="BV138" s="104"/>
      <c r="BW138" s="122"/>
      <c r="BX138" s="104"/>
      <c r="BY138" s="104"/>
      <c r="BZ138" s="104"/>
      <c r="CA138" s="122"/>
      <c r="CB138" s="104"/>
      <c r="CC138" s="104"/>
      <c r="CD138" s="122"/>
      <c r="CE138" s="104"/>
      <c r="CF138" s="104"/>
      <c r="CG138" s="104"/>
      <c r="CH138" s="104"/>
      <c r="CI138" s="104"/>
      <c r="CJ138" s="104"/>
      <c r="CK138" s="104"/>
      <c r="CL138" s="104"/>
      <c r="CM138" s="104"/>
      <c r="CN138" s="104"/>
      <c r="CO138" s="104"/>
      <c r="CP138" s="104"/>
      <c r="CQ138" s="104"/>
      <c r="CR138" s="104"/>
      <c r="CS138" s="104"/>
      <c r="CT138" s="104"/>
      <c r="CU138" s="104"/>
    </row>
    <row r="139">
      <c r="A139" s="595"/>
      <c r="B139" s="202" t="s">
        <v>271</v>
      </c>
      <c r="C139" s="196" t="s">
        <v>271</v>
      </c>
      <c r="D139" s="197" t="s">
        <v>271</v>
      </c>
      <c r="E139" s="199" t="s">
        <v>271</v>
      </c>
      <c r="F139" s="201" t="s">
        <v>271</v>
      </c>
      <c r="G139" s="202" t="s">
        <v>271</v>
      </c>
      <c r="H139" s="609"/>
      <c r="I139" s="609"/>
      <c r="J139" s="104"/>
      <c r="K139" s="104"/>
      <c r="L139" s="104"/>
      <c r="M139" s="104"/>
      <c r="N139" s="104"/>
      <c r="O139" s="104"/>
      <c r="P139" s="104"/>
      <c r="Q139" s="104"/>
      <c r="R139" s="104"/>
      <c r="S139" s="104"/>
      <c r="T139" s="104"/>
      <c r="U139" s="104"/>
      <c r="V139" s="104"/>
      <c r="W139" s="104"/>
      <c r="X139" s="104"/>
      <c r="Y139" s="104"/>
      <c r="Z139" s="104"/>
      <c r="AA139" s="104"/>
      <c r="AB139" s="104"/>
      <c r="AC139" s="104"/>
      <c r="AD139" s="104"/>
      <c r="AE139" s="104"/>
      <c r="AF139" s="104"/>
      <c r="AG139" s="104"/>
      <c r="AH139" s="104"/>
      <c r="AI139" s="104"/>
      <c r="AJ139" s="104"/>
      <c r="AK139" s="104"/>
      <c r="AL139" s="104"/>
      <c r="AM139" s="104"/>
      <c r="AN139" s="104"/>
      <c r="AO139" s="104"/>
      <c r="AP139" s="104"/>
      <c r="AQ139" s="104"/>
      <c r="AR139" s="104"/>
      <c r="AS139" s="104"/>
      <c r="AT139" s="104"/>
      <c r="AU139" s="104"/>
      <c r="AV139" s="104"/>
      <c r="AW139" s="104"/>
      <c r="AX139" s="104"/>
      <c r="AY139" s="104"/>
      <c r="AZ139" s="104"/>
      <c r="BA139" s="104"/>
      <c r="BB139" s="104"/>
      <c r="BC139" s="104"/>
      <c r="BD139" s="104"/>
      <c r="BE139" s="104"/>
      <c r="BF139" s="104"/>
      <c r="BG139" s="104"/>
      <c r="BH139" s="104"/>
      <c r="BI139" s="104"/>
      <c r="BJ139" s="104"/>
      <c r="BK139" s="104"/>
      <c r="BL139" s="104"/>
      <c r="BM139" s="104"/>
      <c r="BN139" s="104"/>
      <c r="BO139" s="104"/>
      <c r="BP139" s="104"/>
      <c r="BQ139" s="104"/>
      <c r="BR139" s="104"/>
      <c r="BS139" s="104"/>
      <c r="BT139" s="104"/>
      <c r="BU139" s="104"/>
      <c r="BV139" s="104"/>
      <c r="BW139" s="122"/>
      <c r="BX139" s="104"/>
      <c r="BY139" s="104"/>
      <c r="BZ139" s="104"/>
      <c r="CA139" s="122"/>
      <c r="CB139" s="104"/>
      <c r="CC139" s="104"/>
      <c r="CD139" s="122"/>
      <c r="CE139" s="104"/>
      <c r="CF139" s="104"/>
      <c r="CG139" s="104"/>
      <c r="CH139" s="104"/>
      <c r="CI139" s="104"/>
      <c r="CJ139" s="104"/>
      <c r="CK139" s="104"/>
      <c r="CL139" s="104"/>
      <c r="CM139" s="104"/>
      <c r="CN139" s="104"/>
      <c r="CO139" s="104"/>
      <c r="CP139" s="104"/>
      <c r="CQ139" s="104"/>
      <c r="CR139" s="104"/>
      <c r="CS139" s="104"/>
      <c r="CT139" s="104"/>
      <c r="CU139" s="104"/>
    </row>
    <row r="140">
      <c r="A140" s="595"/>
      <c r="B140" s="202" t="s">
        <v>271</v>
      </c>
      <c r="C140" s="196" t="s">
        <v>271</v>
      </c>
      <c r="D140" s="197" t="s">
        <v>271</v>
      </c>
      <c r="E140" s="199" t="s">
        <v>271</v>
      </c>
      <c r="F140" s="201" t="s">
        <v>271</v>
      </c>
      <c r="G140" s="202" t="s">
        <v>271</v>
      </c>
      <c r="H140" s="609"/>
      <c r="I140" s="609"/>
      <c r="J140" s="104"/>
      <c r="K140" s="104"/>
      <c r="L140" s="104"/>
      <c r="M140" s="104"/>
      <c r="N140" s="104"/>
      <c r="O140" s="104"/>
      <c r="P140" s="104"/>
      <c r="Q140" s="104"/>
      <c r="R140" s="104"/>
      <c r="S140" s="104"/>
      <c r="T140" s="104"/>
      <c r="U140" s="104"/>
      <c r="V140" s="104"/>
      <c r="W140" s="104"/>
      <c r="X140" s="104"/>
      <c r="Y140" s="104"/>
      <c r="Z140" s="104"/>
      <c r="AA140" s="104"/>
      <c r="AB140" s="104"/>
      <c r="AC140" s="104"/>
      <c r="AD140" s="104"/>
      <c r="AE140" s="104"/>
      <c r="AF140" s="104"/>
      <c r="AG140" s="104"/>
      <c r="AH140" s="104"/>
      <c r="AI140" s="104"/>
      <c r="AJ140" s="104"/>
      <c r="AK140" s="104"/>
      <c r="AL140" s="104"/>
      <c r="AM140" s="104"/>
      <c r="AN140" s="104"/>
      <c r="AO140" s="104"/>
      <c r="AP140" s="104"/>
      <c r="AQ140" s="104"/>
      <c r="AR140" s="104"/>
      <c r="AS140" s="104"/>
      <c r="AT140" s="104"/>
      <c r="AU140" s="104"/>
      <c r="AV140" s="104"/>
      <c r="AW140" s="104"/>
      <c r="AX140" s="104"/>
      <c r="AY140" s="104"/>
      <c r="AZ140" s="104"/>
      <c r="BA140" s="104"/>
      <c r="BB140" s="104"/>
      <c r="BC140" s="104"/>
      <c r="BD140" s="104"/>
      <c r="BE140" s="104"/>
      <c r="BF140" s="104"/>
      <c r="BG140" s="104"/>
      <c r="BH140" s="104"/>
      <c r="BI140" s="104"/>
      <c r="BJ140" s="104"/>
      <c r="BK140" s="104"/>
      <c r="BL140" s="104"/>
      <c r="BM140" s="104"/>
      <c r="BN140" s="104"/>
      <c r="BO140" s="104"/>
      <c r="BP140" s="104"/>
      <c r="BQ140" s="104"/>
      <c r="BR140" s="104"/>
      <c r="BS140" s="104"/>
      <c r="BT140" s="104"/>
      <c r="BU140" s="104"/>
      <c r="BV140" s="104"/>
      <c r="BW140" s="122"/>
      <c r="BX140" s="104"/>
      <c r="BY140" s="104"/>
      <c r="BZ140" s="104"/>
      <c r="CA140" s="122"/>
      <c r="CB140" s="104"/>
      <c r="CC140" s="104"/>
      <c r="CD140" s="122"/>
      <c r="CE140" s="104"/>
      <c r="CF140" s="104"/>
      <c r="CG140" s="104"/>
      <c r="CH140" s="104"/>
      <c r="CI140" s="104"/>
      <c r="CJ140" s="104"/>
      <c r="CK140" s="104"/>
      <c r="CL140" s="104"/>
      <c r="CM140" s="104"/>
      <c r="CN140" s="104"/>
      <c r="CO140" s="104"/>
      <c r="CP140" s="104"/>
      <c r="CQ140" s="104"/>
      <c r="CR140" s="104"/>
      <c r="CS140" s="104"/>
      <c r="CT140" s="104"/>
      <c r="CU140" s="104"/>
    </row>
    <row r="141">
      <c r="A141" s="595"/>
      <c r="B141" s="202" t="s">
        <v>271</v>
      </c>
      <c r="C141" s="196" t="s">
        <v>271</v>
      </c>
      <c r="D141" s="197" t="s">
        <v>271</v>
      </c>
      <c r="E141" s="199" t="s">
        <v>271</v>
      </c>
      <c r="F141" s="201" t="s">
        <v>271</v>
      </c>
      <c r="G141" s="202" t="s">
        <v>271</v>
      </c>
      <c r="H141" s="609"/>
      <c r="I141" s="609"/>
      <c r="J141" s="104"/>
      <c r="K141" s="104"/>
      <c r="L141" s="104"/>
      <c r="M141" s="104"/>
      <c r="N141" s="104"/>
      <c r="O141" s="104"/>
      <c r="P141" s="104"/>
      <c r="Q141" s="104"/>
      <c r="R141" s="104"/>
      <c r="S141" s="104"/>
      <c r="T141" s="104"/>
      <c r="U141" s="104"/>
      <c r="V141" s="104"/>
      <c r="W141" s="104"/>
      <c r="X141" s="104"/>
      <c r="Y141" s="104"/>
      <c r="Z141" s="104"/>
      <c r="AA141" s="104"/>
      <c r="AB141" s="104"/>
      <c r="AC141" s="104"/>
      <c r="AD141" s="104"/>
      <c r="AE141" s="104"/>
      <c r="AF141" s="104"/>
      <c r="AG141" s="104"/>
      <c r="AH141" s="104"/>
      <c r="AI141" s="104"/>
      <c r="AJ141" s="104"/>
      <c r="AK141" s="104"/>
      <c r="AL141" s="104"/>
      <c r="AM141" s="104"/>
      <c r="AN141" s="104"/>
      <c r="AO141" s="104"/>
      <c r="AP141" s="104"/>
      <c r="AQ141" s="104"/>
      <c r="AR141" s="104"/>
      <c r="AS141" s="104"/>
      <c r="AT141" s="104"/>
      <c r="AU141" s="104"/>
      <c r="AV141" s="104"/>
      <c r="AW141" s="104"/>
      <c r="AX141" s="104"/>
      <c r="AY141" s="104"/>
      <c r="AZ141" s="104"/>
      <c r="BA141" s="104"/>
      <c r="BB141" s="104"/>
      <c r="BC141" s="104"/>
      <c r="BD141" s="104"/>
      <c r="BE141" s="104"/>
      <c r="BF141" s="104"/>
      <c r="BG141" s="104"/>
      <c r="BH141" s="104"/>
      <c r="BI141" s="104"/>
      <c r="BJ141" s="104"/>
      <c r="BK141" s="104"/>
      <c r="BL141" s="104"/>
      <c r="BM141" s="104"/>
      <c r="BN141" s="104"/>
      <c r="BO141" s="104"/>
      <c r="BP141" s="104"/>
      <c r="BQ141" s="104"/>
      <c r="BR141" s="104"/>
      <c r="BS141" s="104"/>
      <c r="BT141" s="104"/>
      <c r="BU141" s="104"/>
      <c r="BV141" s="104"/>
      <c r="BW141" s="122"/>
      <c r="BX141" s="104"/>
      <c r="BY141" s="104"/>
      <c r="BZ141" s="104"/>
      <c r="CA141" s="122"/>
      <c r="CB141" s="104"/>
      <c r="CC141" s="104"/>
      <c r="CD141" s="122"/>
      <c r="CE141" s="104"/>
      <c r="CF141" s="104"/>
      <c r="CG141" s="104"/>
      <c r="CH141" s="104"/>
      <c r="CI141" s="104"/>
      <c r="CJ141" s="104"/>
      <c r="CK141" s="104"/>
      <c r="CL141" s="104"/>
      <c r="CM141" s="104"/>
      <c r="CN141" s="104"/>
      <c r="CO141" s="104"/>
      <c r="CP141" s="104"/>
      <c r="CQ141" s="104"/>
      <c r="CR141" s="104"/>
      <c r="CS141" s="104"/>
      <c r="CT141" s="104"/>
      <c r="CU141" s="104"/>
    </row>
    <row r="142">
      <c r="A142" s="595"/>
      <c r="B142" s="202" t="s">
        <v>271</v>
      </c>
      <c r="C142" s="196" t="s">
        <v>271</v>
      </c>
      <c r="D142" s="197" t="s">
        <v>271</v>
      </c>
      <c r="E142" s="199" t="s">
        <v>271</v>
      </c>
      <c r="F142" s="201" t="s">
        <v>271</v>
      </c>
      <c r="G142" s="202" t="s">
        <v>271</v>
      </c>
      <c r="H142" s="609"/>
      <c r="I142" s="609"/>
      <c r="J142" s="104"/>
      <c r="K142" s="104"/>
      <c r="L142" s="104"/>
      <c r="M142" s="104"/>
      <c r="N142" s="104"/>
      <c r="O142" s="104"/>
      <c r="P142" s="104"/>
      <c r="Q142" s="104"/>
      <c r="R142" s="104"/>
      <c r="S142" s="104"/>
      <c r="T142" s="104"/>
      <c r="U142" s="104"/>
      <c r="V142" s="104"/>
      <c r="W142" s="104"/>
      <c r="X142" s="104"/>
      <c r="Y142" s="104"/>
      <c r="Z142" s="104"/>
      <c r="AA142" s="104"/>
      <c r="AB142" s="104"/>
      <c r="AC142" s="104"/>
      <c r="AD142" s="104"/>
      <c r="AE142" s="104"/>
      <c r="AF142" s="104"/>
      <c r="AG142" s="104"/>
      <c r="AH142" s="104"/>
      <c r="AI142" s="104"/>
      <c r="AJ142" s="104"/>
      <c r="AK142" s="104"/>
      <c r="AL142" s="104"/>
      <c r="AM142" s="104"/>
      <c r="AN142" s="104"/>
      <c r="AO142" s="104"/>
      <c r="AP142" s="104"/>
      <c r="AQ142" s="104"/>
      <c r="AR142" s="104"/>
      <c r="AS142" s="104"/>
      <c r="AT142" s="104"/>
      <c r="AU142" s="104"/>
      <c r="AV142" s="104"/>
      <c r="AW142" s="104"/>
      <c r="AX142" s="104"/>
      <c r="AY142" s="104"/>
      <c r="AZ142" s="104"/>
      <c r="BA142" s="104"/>
      <c r="BB142" s="104"/>
      <c r="BC142" s="104"/>
      <c r="BD142" s="104"/>
      <c r="BE142" s="104"/>
      <c r="BF142" s="104"/>
      <c r="BG142" s="104"/>
      <c r="BH142" s="104"/>
      <c r="BI142" s="104"/>
      <c r="BJ142" s="104"/>
      <c r="BK142" s="104"/>
      <c r="BL142" s="104"/>
      <c r="BM142" s="104"/>
      <c r="BN142" s="104"/>
      <c r="BO142" s="104"/>
      <c r="BP142" s="104"/>
      <c r="BQ142" s="104"/>
      <c r="BR142" s="104"/>
      <c r="BS142" s="104"/>
      <c r="BT142" s="104"/>
      <c r="BU142" s="104"/>
      <c r="BV142" s="104"/>
      <c r="BW142" s="122"/>
      <c r="BX142" s="104"/>
      <c r="BY142" s="104"/>
      <c r="BZ142" s="104"/>
      <c r="CA142" s="122"/>
      <c r="CB142" s="104"/>
      <c r="CC142" s="104"/>
      <c r="CD142" s="122"/>
      <c r="CE142" s="104"/>
      <c r="CF142" s="104"/>
      <c r="CG142" s="104"/>
      <c r="CH142" s="104"/>
      <c r="CI142" s="104"/>
      <c r="CJ142" s="104"/>
      <c r="CK142" s="104"/>
      <c r="CL142" s="104"/>
      <c r="CM142" s="104"/>
      <c r="CN142" s="104"/>
      <c r="CO142" s="104"/>
      <c r="CP142" s="104"/>
      <c r="CQ142" s="104"/>
      <c r="CR142" s="104"/>
      <c r="CS142" s="104"/>
      <c r="CT142" s="104"/>
      <c r="CU142" s="104"/>
    </row>
    <row r="143">
      <c r="A143" s="595"/>
      <c r="B143" s="202" t="s">
        <v>271</v>
      </c>
      <c r="C143" s="196" t="s">
        <v>271</v>
      </c>
      <c r="D143" s="197" t="s">
        <v>271</v>
      </c>
      <c r="E143" s="199" t="s">
        <v>271</v>
      </c>
      <c r="F143" s="201" t="s">
        <v>271</v>
      </c>
      <c r="G143" s="202" t="s">
        <v>271</v>
      </c>
      <c r="H143" s="609"/>
      <c r="I143" s="609"/>
      <c r="J143" s="104"/>
      <c r="K143" s="104"/>
      <c r="L143" s="104"/>
      <c r="M143" s="104"/>
      <c r="N143" s="104"/>
      <c r="O143" s="104"/>
      <c r="P143" s="104"/>
      <c r="Q143" s="104"/>
      <c r="R143" s="104"/>
      <c r="S143" s="104"/>
      <c r="T143" s="104"/>
      <c r="U143" s="104"/>
      <c r="V143" s="104"/>
      <c r="W143" s="104"/>
      <c r="X143" s="104"/>
      <c r="Y143" s="104"/>
      <c r="Z143" s="104"/>
      <c r="AA143" s="104"/>
      <c r="AB143" s="104"/>
      <c r="AC143" s="104"/>
      <c r="AD143" s="104"/>
      <c r="AE143" s="104"/>
      <c r="AF143" s="104"/>
      <c r="AG143" s="104"/>
      <c r="AH143" s="104"/>
      <c r="AI143" s="104"/>
      <c r="AJ143" s="104"/>
      <c r="AK143" s="104"/>
      <c r="AL143" s="104"/>
      <c r="AM143" s="104"/>
      <c r="AN143" s="104"/>
      <c r="AO143" s="104"/>
      <c r="AP143" s="104"/>
      <c r="AQ143" s="104"/>
      <c r="AR143" s="104"/>
      <c r="AS143" s="104"/>
      <c r="AT143" s="104"/>
      <c r="AU143" s="104"/>
      <c r="AV143" s="104"/>
      <c r="AW143" s="104"/>
      <c r="AX143" s="104"/>
      <c r="AY143" s="104"/>
      <c r="AZ143" s="104"/>
      <c r="BA143" s="104"/>
      <c r="BB143" s="104"/>
      <c r="BC143" s="104"/>
      <c r="BD143" s="104"/>
      <c r="BE143" s="104"/>
      <c r="BF143" s="104"/>
      <c r="BG143" s="104"/>
      <c r="BH143" s="104"/>
      <c r="BI143" s="104"/>
      <c r="BJ143" s="104"/>
      <c r="BK143" s="104"/>
      <c r="BL143" s="104"/>
      <c r="BM143" s="104"/>
      <c r="BN143" s="104"/>
      <c r="BO143" s="104"/>
      <c r="BP143" s="104"/>
      <c r="BQ143" s="104"/>
      <c r="BR143" s="104"/>
      <c r="BS143" s="104"/>
      <c r="BT143" s="104"/>
      <c r="BU143" s="104"/>
      <c r="BV143" s="104"/>
      <c r="BW143" s="122"/>
      <c r="BX143" s="104"/>
      <c r="BY143" s="104"/>
      <c r="BZ143" s="104"/>
      <c r="CA143" s="122"/>
      <c r="CB143" s="104"/>
      <c r="CC143" s="104"/>
      <c r="CD143" s="122"/>
      <c r="CE143" s="104"/>
      <c r="CF143" s="104"/>
      <c r="CG143" s="104"/>
      <c r="CH143" s="104"/>
      <c r="CI143" s="104"/>
      <c r="CJ143" s="104"/>
      <c r="CK143" s="104"/>
      <c r="CL143" s="104"/>
      <c r="CM143" s="104"/>
      <c r="CN143" s="104"/>
      <c r="CO143" s="104"/>
      <c r="CP143" s="104"/>
      <c r="CQ143" s="104"/>
      <c r="CR143" s="104"/>
      <c r="CS143" s="104"/>
      <c r="CT143" s="104"/>
      <c r="CU143" s="104"/>
    </row>
    <row r="144">
      <c r="A144" s="595"/>
      <c r="B144" s="202" t="s">
        <v>271</v>
      </c>
      <c r="C144" s="196" t="s">
        <v>271</v>
      </c>
      <c r="D144" s="197" t="s">
        <v>271</v>
      </c>
      <c r="E144" s="199" t="s">
        <v>271</v>
      </c>
      <c r="F144" s="201" t="s">
        <v>271</v>
      </c>
      <c r="G144" s="202" t="s">
        <v>271</v>
      </c>
      <c r="H144" s="609"/>
      <c r="I144" s="609"/>
      <c r="J144" s="104"/>
      <c r="K144" s="104"/>
      <c r="L144" s="104"/>
      <c r="M144" s="104"/>
      <c r="N144" s="104"/>
      <c r="O144" s="104"/>
      <c r="P144" s="104"/>
      <c r="Q144" s="104"/>
      <c r="R144" s="104"/>
      <c r="S144" s="104"/>
      <c r="T144" s="104"/>
      <c r="U144" s="104"/>
      <c r="V144" s="104"/>
      <c r="W144" s="104"/>
      <c r="X144" s="104"/>
      <c r="Y144" s="104"/>
      <c r="Z144" s="104"/>
      <c r="AA144" s="104"/>
      <c r="AB144" s="104"/>
      <c r="AC144" s="104"/>
      <c r="AD144" s="104"/>
      <c r="AE144" s="104"/>
      <c r="AF144" s="104"/>
      <c r="AG144" s="104"/>
      <c r="AH144" s="104"/>
      <c r="AI144" s="104"/>
      <c r="AJ144" s="104"/>
      <c r="AK144" s="104"/>
      <c r="AL144" s="104"/>
      <c r="AM144" s="104"/>
      <c r="AN144" s="104"/>
      <c r="AO144" s="104"/>
      <c r="AP144" s="104"/>
      <c r="AQ144" s="104"/>
      <c r="AR144" s="104"/>
      <c r="AS144" s="104"/>
      <c r="AT144" s="104"/>
      <c r="AU144" s="104"/>
      <c r="AV144" s="104"/>
      <c r="AW144" s="104"/>
      <c r="AX144" s="104"/>
      <c r="AY144" s="104"/>
      <c r="AZ144" s="104"/>
      <c r="BA144" s="104"/>
      <c r="BB144" s="104"/>
      <c r="BC144" s="104"/>
      <c r="BD144" s="104"/>
      <c r="BE144" s="104"/>
      <c r="BF144" s="104"/>
      <c r="BG144" s="104"/>
      <c r="BH144" s="104"/>
      <c r="BI144" s="104"/>
      <c r="BJ144" s="104"/>
      <c r="BK144" s="104"/>
      <c r="BL144" s="104"/>
      <c r="BM144" s="104"/>
      <c r="BN144" s="104"/>
      <c r="BO144" s="104"/>
      <c r="BP144" s="104"/>
      <c r="BQ144" s="104"/>
      <c r="BR144" s="104"/>
      <c r="BS144" s="104"/>
      <c r="BT144" s="104"/>
      <c r="BU144" s="104"/>
      <c r="BV144" s="104"/>
      <c r="BW144" s="122"/>
      <c r="BX144" s="104"/>
      <c r="BY144" s="104"/>
      <c r="BZ144" s="104"/>
      <c r="CA144" s="122"/>
      <c r="CB144" s="104"/>
      <c r="CC144" s="104"/>
      <c r="CD144" s="122"/>
      <c r="CE144" s="104"/>
      <c r="CF144" s="104"/>
      <c r="CG144" s="104"/>
      <c r="CH144" s="104"/>
      <c r="CI144" s="104"/>
      <c r="CJ144" s="104"/>
      <c r="CK144" s="104"/>
      <c r="CL144" s="104"/>
      <c r="CM144" s="104"/>
      <c r="CN144" s="104"/>
      <c r="CO144" s="104"/>
      <c r="CP144" s="104"/>
      <c r="CQ144" s="104"/>
      <c r="CR144" s="104"/>
      <c r="CS144" s="104"/>
      <c r="CT144" s="104"/>
      <c r="CU144" s="104"/>
    </row>
    <row r="145">
      <c r="A145" s="595"/>
      <c r="B145" s="202" t="s">
        <v>271</v>
      </c>
      <c r="C145" s="196" t="s">
        <v>271</v>
      </c>
      <c r="D145" s="197" t="s">
        <v>271</v>
      </c>
      <c r="E145" s="199" t="s">
        <v>271</v>
      </c>
      <c r="F145" s="201" t="s">
        <v>271</v>
      </c>
      <c r="G145" s="202" t="s">
        <v>271</v>
      </c>
      <c r="H145" s="609"/>
      <c r="I145" s="609"/>
      <c r="J145" s="104"/>
      <c r="K145" s="104"/>
      <c r="L145" s="104"/>
      <c r="M145" s="104"/>
      <c r="N145" s="104"/>
      <c r="O145" s="104"/>
      <c r="P145" s="104"/>
      <c r="Q145" s="104"/>
      <c r="R145" s="104"/>
      <c r="S145" s="104"/>
      <c r="T145" s="104"/>
      <c r="U145" s="104"/>
      <c r="V145" s="104"/>
      <c r="W145" s="104"/>
      <c r="X145" s="104"/>
      <c r="Y145" s="104"/>
      <c r="Z145" s="104"/>
      <c r="AA145" s="104"/>
      <c r="AB145" s="104"/>
      <c r="AC145" s="104"/>
      <c r="AD145" s="104"/>
      <c r="AE145" s="104"/>
      <c r="AF145" s="104"/>
      <c r="AG145" s="104"/>
      <c r="AH145" s="104"/>
      <c r="AI145" s="104"/>
      <c r="AJ145" s="104"/>
      <c r="AK145" s="104"/>
      <c r="AL145" s="104"/>
      <c r="AM145" s="104"/>
      <c r="AN145" s="104"/>
      <c r="AO145" s="104"/>
      <c r="AP145" s="104"/>
      <c r="AQ145" s="104"/>
      <c r="AR145" s="104"/>
      <c r="AS145" s="104"/>
      <c r="AT145" s="104"/>
      <c r="AU145" s="104"/>
      <c r="AV145" s="104"/>
      <c r="AW145" s="104"/>
      <c r="AX145" s="104"/>
      <c r="AY145" s="104"/>
      <c r="AZ145" s="104"/>
      <c r="BA145" s="104"/>
      <c r="BB145" s="104"/>
      <c r="BC145" s="104"/>
      <c r="BD145" s="104"/>
      <c r="BE145" s="104"/>
      <c r="BF145" s="104"/>
      <c r="BG145" s="104"/>
      <c r="BH145" s="104"/>
      <c r="BI145" s="104"/>
      <c r="BJ145" s="104"/>
      <c r="BK145" s="104"/>
      <c r="BL145" s="104"/>
      <c r="BM145" s="104"/>
      <c r="BN145" s="104"/>
      <c r="BO145" s="104"/>
      <c r="BP145" s="104"/>
      <c r="BQ145" s="104"/>
      <c r="BR145" s="104"/>
      <c r="BS145" s="104"/>
      <c r="BT145" s="104"/>
      <c r="BU145" s="104"/>
      <c r="BV145" s="104"/>
      <c r="BW145" s="122"/>
      <c r="BX145" s="104"/>
      <c r="BY145" s="104"/>
      <c r="BZ145" s="104"/>
      <c r="CA145" s="122"/>
      <c r="CB145" s="104"/>
      <c r="CC145" s="104"/>
      <c r="CD145" s="122"/>
      <c r="CE145" s="104"/>
      <c r="CF145" s="104"/>
      <c r="CG145" s="104"/>
      <c r="CH145" s="104"/>
      <c r="CI145" s="104"/>
      <c r="CJ145" s="104"/>
      <c r="CK145" s="104"/>
      <c r="CL145" s="104"/>
      <c r="CM145" s="104"/>
      <c r="CN145" s="104"/>
      <c r="CO145" s="104"/>
      <c r="CP145" s="104"/>
      <c r="CQ145" s="104"/>
      <c r="CR145" s="104"/>
      <c r="CS145" s="104"/>
      <c r="CT145" s="104"/>
      <c r="CU145" s="104"/>
    </row>
    <row r="146">
      <c r="A146" s="595"/>
      <c r="B146" s="202" t="s">
        <v>271</v>
      </c>
      <c r="C146" s="196" t="s">
        <v>271</v>
      </c>
      <c r="D146" s="197" t="s">
        <v>271</v>
      </c>
      <c r="E146" s="199" t="s">
        <v>271</v>
      </c>
      <c r="F146" s="201" t="s">
        <v>271</v>
      </c>
      <c r="G146" s="202" t="s">
        <v>271</v>
      </c>
      <c r="H146" s="609"/>
      <c r="I146" s="609"/>
      <c r="J146" s="104"/>
      <c r="K146" s="104"/>
      <c r="L146" s="104"/>
      <c r="M146" s="104"/>
      <c r="N146" s="104"/>
      <c r="O146" s="104"/>
      <c r="P146" s="104"/>
      <c r="Q146" s="104"/>
      <c r="R146" s="104"/>
      <c r="S146" s="104"/>
      <c r="T146" s="104"/>
      <c r="U146" s="104"/>
      <c r="V146" s="104"/>
      <c r="W146" s="104"/>
      <c r="X146" s="104"/>
      <c r="Y146" s="104"/>
      <c r="Z146" s="104"/>
      <c r="AA146" s="104"/>
      <c r="AB146" s="104"/>
      <c r="AC146" s="104"/>
      <c r="AD146" s="104"/>
      <c r="AE146" s="104"/>
      <c r="AF146" s="104"/>
      <c r="AG146" s="104"/>
      <c r="AH146" s="104"/>
      <c r="AI146" s="104"/>
      <c r="AJ146" s="104"/>
      <c r="AK146" s="104"/>
      <c r="AL146" s="104"/>
      <c r="AM146" s="104"/>
      <c r="AN146" s="104"/>
      <c r="AO146" s="104"/>
      <c r="AP146" s="104"/>
      <c r="AQ146" s="104"/>
      <c r="AR146" s="104"/>
      <c r="AS146" s="104"/>
      <c r="AT146" s="104"/>
      <c r="AU146" s="104"/>
      <c r="AV146" s="104"/>
      <c r="AW146" s="104"/>
      <c r="AX146" s="104"/>
      <c r="AY146" s="104"/>
      <c r="AZ146" s="104"/>
      <c r="BA146" s="104"/>
      <c r="BB146" s="104"/>
      <c r="BC146" s="104"/>
      <c r="BD146" s="104"/>
      <c r="BE146" s="104"/>
      <c r="BF146" s="104"/>
      <c r="BG146" s="104"/>
      <c r="BH146" s="104"/>
      <c r="BI146" s="104"/>
      <c r="BJ146" s="104"/>
      <c r="BK146" s="104"/>
      <c r="BL146" s="104"/>
      <c r="BM146" s="104"/>
      <c r="BN146" s="104"/>
      <c r="BO146" s="104"/>
      <c r="BP146" s="104"/>
      <c r="BQ146" s="104"/>
      <c r="BR146" s="104"/>
      <c r="BS146" s="104"/>
      <c r="BT146" s="104"/>
      <c r="BU146" s="104"/>
      <c r="BV146" s="104"/>
      <c r="BW146" s="122"/>
      <c r="BX146" s="104"/>
      <c r="BY146" s="104"/>
      <c r="BZ146" s="104"/>
      <c r="CA146" s="122"/>
      <c r="CB146" s="104"/>
      <c r="CC146" s="104"/>
      <c r="CD146" s="122"/>
      <c r="CE146" s="104"/>
      <c r="CF146" s="104"/>
      <c r="CG146" s="104"/>
      <c r="CH146" s="104"/>
      <c r="CI146" s="104"/>
      <c r="CJ146" s="104"/>
      <c r="CK146" s="104"/>
      <c r="CL146" s="104"/>
      <c r="CM146" s="104"/>
      <c r="CN146" s="104"/>
      <c r="CO146" s="104"/>
      <c r="CP146" s="104"/>
      <c r="CQ146" s="104"/>
      <c r="CR146" s="104"/>
      <c r="CS146" s="104"/>
      <c r="CT146" s="104"/>
      <c r="CU146" s="104"/>
    </row>
    <row r="147">
      <c r="A147" s="595"/>
      <c r="B147" s="202" t="s">
        <v>271</v>
      </c>
      <c r="C147" s="196" t="s">
        <v>271</v>
      </c>
      <c r="D147" s="197" t="s">
        <v>271</v>
      </c>
      <c r="E147" s="199" t="s">
        <v>271</v>
      </c>
      <c r="F147" s="201" t="s">
        <v>271</v>
      </c>
      <c r="G147" s="202" t="s">
        <v>271</v>
      </c>
      <c r="H147" s="609"/>
      <c r="I147" s="609"/>
      <c r="J147" s="104"/>
      <c r="K147" s="104"/>
      <c r="L147" s="104"/>
      <c r="M147" s="104"/>
      <c r="N147" s="104"/>
      <c r="O147" s="104"/>
      <c r="P147" s="104"/>
      <c r="Q147" s="104"/>
      <c r="R147" s="104"/>
      <c r="S147" s="104"/>
      <c r="T147" s="104"/>
      <c r="U147" s="104"/>
      <c r="V147" s="104"/>
      <c r="W147" s="104"/>
      <c r="X147" s="104"/>
      <c r="Y147" s="104"/>
      <c r="Z147" s="104"/>
      <c r="AA147" s="104"/>
      <c r="AB147" s="104"/>
      <c r="AC147" s="104"/>
      <c r="AD147" s="104"/>
      <c r="AE147" s="104"/>
      <c r="AF147" s="104"/>
      <c r="AG147" s="104"/>
      <c r="AH147" s="104"/>
      <c r="AI147" s="104"/>
      <c r="AJ147" s="104"/>
      <c r="AK147" s="104"/>
      <c r="AL147" s="104"/>
      <c r="AM147" s="104"/>
      <c r="AN147" s="104"/>
      <c r="AO147" s="104"/>
      <c r="AP147" s="104"/>
      <c r="AQ147" s="104"/>
      <c r="AR147" s="104"/>
      <c r="AS147" s="104"/>
      <c r="AT147" s="104"/>
      <c r="AU147" s="104"/>
      <c r="AV147" s="104"/>
      <c r="AW147" s="104"/>
      <c r="AX147" s="104"/>
      <c r="AY147" s="104"/>
      <c r="AZ147" s="104"/>
      <c r="BA147" s="104"/>
      <c r="BB147" s="104"/>
      <c r="BC147" s="104"/>
      <c r="BD147" s="104"/>
      <c r="BE147" s="104"/>
      <c r="BF147" s="104"/>
      <c r="BG147" s="104"/>
      <c r="BH147" s="104"/>
      <c r="BI147" s="104"/>
      <c r="BJ147" s="104"/>
      <c r="BK147" s="104"/>
      <c r="BL147" s="104"/>
      <c r="BM147" s="104"/>
      <c r="BN147" s="104"/>
      <c r="BO147" s="104"/>
      <c r="BP147" s="104"/>
      <c r="BQ147" s="104"/>
      <c r="BR147" s="104"/>
      <c r="BS147" s="104"/>
      <c r="BT147" s="104"/>
      <c r="BU147" s="104"/>
      <c r="BV147" s="104"/>
      <c r="BW147" s="122"/>
      <c r="BX147" s="104"/>
      <c r="BY147" s="104"/>
      <c r="BZ147" s="104"/>
      <c r="CA147" s="122"/>
      <c r="CB147" s="104"/>
      <c r="CC147" s="104"/>
      <c r="CD147" s="122"/>
      <c r="CE147" s="104"/>
      <c r="CF147" s="104"/>
      <c r="CG147" s="104"/>
      <c r="CH147" s="104"/>
      <c r="CI147" s="104"/>
      <c r="CJ147" s="104"/>
      <c r="CK147" s="104"/>
      <c r="CL147" s="104"/>
      <c r="CM147" s="104"/>
      <c r="CN147" s="104"/>
      <c r="CO147" s="104"/>
      <c r="CP147" s="104"/>
      <c r="CQ147" s="104"/>
      <c r="CR147" s="104"/>
      <c r="CS147" s="104"/>
      <c r="CT147" s="104"/>
      <c r="CU147" s="104"/>
    </row>
    <row r="148">
      <c r="A148" s="595"/>
      <c r="B148" s="202" t="s">
        <v>271</v>
      </c>
      <c r="C148" s="196" t="s">
        <v>271</v>
      </c>
      <c r="D148" s="197" t="s">
        <v>271</v>
      </c>
      <c r="E148" s="199" t="s">
        <v>271</v>
      </c>
      <c r="F148" s="201" t="s">
        <v>271</v>
      </c>
      <c r="G148" s="202" t="s">
        <v>271</v>
      </c>
      <c r="H148" s="609"/>
      <c r="I148" s="609"/>
      <c r="J148" s="104"/>
      <c r="K148" s="104"/>
      <c r="L148" s="104"/>
      <c r="M148" s="104"/>
      <c r="N148" s="104"/>
      <c r="O148" s="104"/>
      <c r="P148" s="104"/>
      <c r="Q148" s="104"/>
      <c r="R148" s="104"/>
      <c r="S148" s="104"/>
      <c r="T148" s="104"/>
      <c r="U148" s="104"/>
      <c r="V148" s="104"/>
      <c r="W148" s="104"/>
      <c r="X148" s="104"/>
      <c r="Y148" s="104"/>
      <c r="Z148" s="104"/>
      <c r="AA148" s="104"/>
      <c r="AB148" s="104"/>
      <c r="AC148" s="104"/>
      <c r="AD148" s="104"/>
      <c r="AE148" s="104"/>
      <c r="AF148" s="104"/>
      <c r="AG148" s="104"/>
      <c r="AH148" s="104"/>
      <c r="AI148" s="104"/>
      <c r="AJ148" s="104"/>
      <c r="AK148" s="104"/>
      <c r="AL148" s="104"/>
      <c r="AM148" s="104"/>
      <c r="AN148" s="104"/>
      <c r="AO148" s="104"/>
      <c r="AP148" s="104"/>
      <c r="AQ148" s="104"/>
      <c r="AR148" s="104"/>
      <c r="AS148" s="104"/>
      <c r="AT148" s="104"/>
      <c r="AU148" s="104"/>
      <c r="AV148" s="104"/>
      <c r="AW148" s="104"/>
      <c r="AX148" s="104"/>
      <c r="AY148" s="104"/>
      <c r="AZ148" s="104"/>
      <c r="BA148" s="104"/>
      <c r="BB148" s="104"/>
      <c r="BC148" s="104"/>
      <c r="BD148" s="104"/>
      <c r="BE148" s="104"/>
      <c r="BF148" s="104"/>
      <c r="BG148" s="104"/>
      <c r="BH148" s="104"/>
      <c r="BI148" s="104"/>
      <c r="BJ148" s="104"/>
      <c r="BK148" s="104"/>
      <c r="BL148" s="104"/>
      <c r="BM148" s="104"/>
      <c r="BN148" s="104"/>
      <c r="BO148" s="104"/>
      <c r="BP148" s="104"/>
      <c r="BQ148" s="104"/>
      <c r="BR148" s="104"/>
      <c r="BS148" s="104"/>
      <c r="BT148" s="104"/>
      <c r="BU148" s="104"/>
      <c r="BV148" s="104"/>
      <c r="BW148" s="122"/>
      <c r="BX148" s="104"/>
      <c r="BY148" s="104"/>
      <c r="BZ148" s="104"/>
      <c r="CA148" s="122"/>
      <c r="CB148" s="104"/>
      <c r="CC148" s="104"/>
      <c r="CD148" s="122"/>
      <c r="CE148" s="104"/>
      <c r="CF148" s="104"/>
      <c r="CG148" s="104"/>
      <c r="CH148" s="104"/>
      <c r="CI148" s="104"/>
      <c r="CJ148" s="104"/>
      <c r="CK148" s="104"/>
      <c r="CL148" s="104"/>
      <c r="CM148" s="104"/>
      <c r="CN148" s="104"/>
      <c r="CO148" s="104"/>
      <c r="CP148" s="104"/>
      <c r="CQ148" s="104"/>
      <c r="CR148" s="104"/>
      <c r="CS148" s="104"/>
      <c r="CT148" s="104"/>
      <c r="CU148" s="104"/>
    </row>
    <row r="149">
      <c r="A149" s="595"/>
      <c r="B149" s="202" t="s">
        <v>271</v>
      </c>
      <c r="C149" s="196" t="s">
        <v>271</v>
      </c>
      <c r="D149" s="197" t="s">
        <v>271</v>
      </c>
      <c r="E149" s="199" t="s">
        <v>271</v>
      </c>
      <c r="F149" s="201" t="s">
        <v>271</v>
      </c>
      <c r="G149" s="202" t="s">
        <v>271</v>
      </c>
      <c r="H149" s="609"/>
      <c r="I149" s="609"/>
      <c r="J149" s="104"/>
      <c r="K149" s="104"/>
      <c r="L149" s="104"/>
      <c r="M149" s="104"/>
      <c r="N149" s="104"/>
      <c r="O149" s="104"/>
      <c r="P149" s="104"/>
      <c r="Q149" s="104"/>
      <c r="R149" s="104"/>
      <c r="S149" s="104"/>
      <c r="T149" s="104"/>
      <c r="U149" s="104"/>
      <c r="V149" s="104"/>
      <c r="W149" s="104"/>
      <c r="X149" s="104"/>
      <c r="Y149" s="104"/>
      <c r="Z149" s="104"/>
      <c r="AA149" s="104"/>
      <c r="AB149" s="104"/>
      <c r="AC149" s="104"/>
      <c r="AD149" s="104"/>
      <c r="AE149" s="104"/>
      <c r="AF149" s="104"/>
      <c r="AG149" s="104"/>
      <c r="AH149" s="104"/>
      <c r="AI149" s="104"/>
      <c r="AJ149" s="104"/>
      <c r="AK149" s="104"/>
      <c r="AL149" s="104"/>
      <c r="AM149" s="104"/>
      <c r="AN149" s="104"/>
      <c r="AO149" s="104"/>
      <c r="AP149" s="104"/>
      <c r="AQ149" s="104"/>
      <c r="AR149" s="104"/>
      <c r="AS149" s="104"/>
      <c r="AT149" s="104"/>
      <c r="AU149" s="104"/>
      <c r="AV149" s="104"/>
      <c r="AW149" s="104"/>
      <c r="AX149" s="104"/>
      <c r="AY149" s="104"/>
      <c r="AZ149" s="104"/>
      <c r="BA149" s="104"/>
      <c r="BB149" s="104"/>
      <c r="BC149" s="104"/>
      <c r="BD149" s="104"/>
      <c r="BE149" s="104"/>
      <c r="BF149" s="104"/>
      <c r="BG149" s="104"/>
      <c r="BH149" s="104"/>
      <c r="BI149" s="104"/>
      <c r="BJ149" s="104"/>
      <c r="BK149" s="104"/>
      <c r="BL149" s="104"/>
      <c r="BM149" s="104"/>
      <c r="BN149" s="104"/>
      <c r="BO149" s="104"/>
      <c r="BP149" s="104"/>
      <c r="BQ149" s="104"/>
      <c r="BR149" s="104"/>
      <c r="BS149" s="104"/>
      <c r="BT149" s="104"/>
      <c r="BU149" s="104"/>
      <c r="BV149" s="104"/>
      <c r="BW149" s="122"/>
      <c r="BX149" s="104"/>
      <c r="BY149" s="104"/>
      <c r="BZ149" s="104"/>
      <c r="CA149" s="122"/>
      <c r="CB149" s="104"/>
      <c r="CC149" s="104"/>
      <c r="CD149" s="122"/>
      <c r="CE149" s="104"/>
      <c r="CF149" s="104"/>
      <c r="CG149" s="104"/>
      <c r="CH149" s="104"/>
      <c r="CI149" s="104"/>
      <c r="CJ149" s="104"/>
      <c r="CK149" s="104"/>
      <c r="CL149" s="104"/>
      <c r="CM149" s="104"/>
      <c r="CN149" s="104"/>
      <c r="CO149" s="104"/>
      <c r="CP149" s="104"/>
      <c r="CQ149" s="104"/>
      <c r="CR149" s="104"/>
      <c r="CS149" s="104"/>
      <c r="CT149" s="104"/>
      <c r="CU149" s="104"/>
    </row>
    <row r="150">
      <c r="A150" s="595"/>
      <c r="B150" s="202" t="s">
        <v>271</v>
      </c>
      <c r="C150" s="196" t="s">
        <v>271</v>
      </c>
      <c r="D150" s="197" t="s">
        <v>271</v>
      </c>
      <c r="E150" s="199" t="s">
        <v>271</v>
      </c>
      <c r="F150" s="201" t="s">
        <v>271</v>
      </c>
      <c r="G150" s="202" t="s">
        <v>271</v>
      </c>
      <c r="H150" s="609"/>
      <c r="I150" s="609"/>
      <c r="J150" s="104"/>
      <c r="K150" s="104"/>
      <c r="L150" s="104"/>
      <c r="M150" s="104"/>
      <c r="N150" s="104"/>
      <c r="O150" s="104"/>
      <c r="P150" s="104"/>
      <c r="Q150" s="104"/>
      <c r="R150" s="104"/>
      <c r="S150" s="104"/>
      <c r="T150" s="104"/>
      <c r="U150" s="104"/>
      <c r="V150" s="104"/>
      <c r="W150" s="104"/>
      <c r="X150" s="104"/>
      <c r="Y150" s="104"/>
      <c r="Z150" s="104"/>
      <c r="AA150" s="104"/>
      <c r="AB150" s="104"/>
      <c r="AC150" s="104"/>
      <c r="AD150" s="104"/>
      <c r="AE150" s="104"/>
      <c r="AF150" s="104"/>
      <c r="AG150" s="104"/>
      <c r="AH150" s="104"/>
      <c r="AI150" s="104"/>
      <c r="AJ150" s="104"/>
      <c r="AK150" s="104"/>
      <c r="AL150" s="104"/>
      <c r="AM150" s="104"/>
      <c r="AN150" s="104"/>
      <c r="AO150" s="104"/>
      <c r="AP150" s="104"/>
      <c r="AQ150" s="104"/>
      <c r="AR150" s="104"/>
      <c r="AS150" s="104"/>
      <c r="AT150" s="104"/>
      <c r="AU150" s="104"/>
      <c r="AV150" s="104"/>
      <c r="AW150" s="104"/>
      <c r="AX150" s="104"/>
      <c r="AY150" s="104"/>
      <c r="AZ150" s="104"/>
      <c r="BA150" s="104"/>
      <c r="BB150" s="104"/>
      <c r="BC150" s="104"/>
      <c r="BD150" s="104"/>
      <c r="BE150" s="104"/>
      <c r="BF150" s="104"/>
      <c r="BG150" s="104"/>
      <c r="BH150" s="104"/>
      <c r="BI150" s="104"/>
      <c r="BJ150" s="104"/>
      <c r="BK150" s="104"/>
      <c r="BL150" s="104"/>
      <c r="BM150" s="104"/>
      <c r="BN150" s="104"/>
      <c r="BO150" s="104"/>
      <c r="BP150" s="104"/>
      <c r="BQ150" s="104"/>
      <c r="BR150" s="104"/>
      <c r="BS150" s="104"/>
      <c r="BT150" s="104"/>
      <c r="BU150" s="104"/>
      <c r="BV150" s="104"/>
      <c r="BW150" s="122"/>
      <c r="BX150" s="104"/>
      <c r="BY150" s="104"/>
      <c r="BZ150" s="104"/>
      <c r="CA150" s="122"/>
      <c r="CB150" s="104"/>
      <c r="CC150" s="104"/>
      <c r="CD150" s="122"/>
      <c r="CE150" s="104"/>
      <c r="CF150" s="104"/>
      <c r="CG150" s="104"/>
      <c r="CH150" s="104"/>
      <c r="CI150" s="104"/>
      <c r="CJ150" s="104"/>
      <c r="CK150" s="104"/>
      <c r="CL150" s="104"/>
      <c r="CM150" s="104"/>
      <c r="CN150" s="104"/>
      <c r="CO150" s="104"/>
      <c r="CP150" s="104"/>
      <c r="CQ150" s="104"/>
      <c r="CR150" s="104"/>
      <c r="CS150" s="104"/>
      <c r="CT150" s="104"/>
      <c r="CU150" s="104"/>
    </row>
    <row r="151">
      <c r="A151" s="595"/>
      <c r="B151" s="202" t="s">
        <v>271</v>
      </c>
      <c r="C151" s="196" t="s">
        <v>271</v>
      </c>
      <c r="D151" s="197" t="s">
        <v>271</v>
      </c>
      <c r="E151" s="199" t="s">
        <v>271</v>
      </c>
      <c r="F151" s="201" t="s">
        <v>271</v>
      </c>
      <c r="G151" s="202" t="s">
        <v>271</v>
      </c>
      <c r="H151" s="609"/>
      <c r="I151" s="609"/>
      <c r="J151" s="104"/>
      <c r="K151" s="104"/>
      <c r="L151" s="104"/>
      <c r="M151" s="104"/>
      <c r="N151" s="104"/>
      <c r="O151" s="104"/>
      <c r="P151" s="104"/>
      <c r="Q151" s="104"/>
      <c r="R151" s="104"/>
      <c r="S151" s="104"/>
      <c r="T151" s="104"/>
      <c r="U151" s="104"/>
      <c r="V151" s="104"/>
      <c r="W151" s="104"/>
      <c r="X151" s="104"/>
      <c r="Y151" s="104"/>
      <c r="Z151" s="104"/>
      <c r="AA151" s="104"/>
      <c r="AB151" s="104"/>
      <c r="AC151" s="104"/>
      <c r="AD151" s="104"/>
      <c r="AE151" s="104"/>
      <c r="AF151" s="104"/>
      <c r="AG151" s="104"/>
      <c r="AH151" s="104"/>
      <c r="AI151" s="104"/>
      <c r="AJ151" s="104"/>
      <c r="AK151" s="104"/>
      <c r="AL151" s="104"/>
      <c r="AM151" s="104"/>
      <c r="AN151" s="104"/>
      <c r="AO151" s="104"/>
      <c r="AP151" s="104"/>
      <c r="AQ151" s="104"/>
      <c r="AR151" s="104"/>
      <c r="AS151" s="104"/>
      <c r="AT151" s="104"/>
      <c r="AU151" s="104"/>
      <c r="AV151" s="104"/>
      <c r="AW151" s="104"/>
      <c r="AX151" s="104"/>
      <c r="AY151" s="104"/>
      <c r="AZ151" s="104"/>
      <c r="BA151" s="104"/>
      <c r="BB151" s="104"/>
      <c r="BC151" s="104"/>
      <c r="BD151" s="104"/>
      <c r="BE151" s="104"/>
      <c r="BF151" s="104"/>
      <c r="BG151" s="104"/>
      <c r="BH151" s="104"/>
      <c r="BI151" s="104"/>
      <c r="BJ151" s="104"/>
      <c r="BK151" s="104"/>
      <c r="BL151" s="104"/>
      <c r="BM151" s="104"/>
      <c r="BN151" s="104"/>
      <c r="BO151" s="104"/>
      <c r="BP151" s="104"/>
      <c r="BQ151" s="104"/>
      <c r="BR151" s="104"/>
      <c r="BS151" s="104"/>
      <c r="BT151" s="104"/>
      <c r="BU151" s="104"/>
      <c r="BV151" s="104"/>
      <c r="BW151" s="122"/>
      <c r="BX151" s="104"/>
      <c r="BY151" s="104"/>
      <c r="BZ151" s="104"/>
      <c r="CA151" s="122"/>
      <c r="CB151" s="104"/>
      <c r="CC151" s="104"/>
      <c r="CD151" s="122"/>
      <c r="CE151" s="104"/>
      <c r="CF151" s="104"/>
      <c r="CG151" s="104"/>
      <c r="CH151" s="104"/>
      <c r="CI151" s="104"/>
      <c r="CJ151" s="104"/>
      <c r="CK151" s="104"/>
      <c r="CL151" s="104"/>
      <c r="CM151" s="104"/>
      <c r="CN151" s="104"/>
      <c r="CO151" s="104"/>
      <c r="CP151" s="104"/>
      <c r="CQ151" s="104"/>
      <c r="CR151" s="104"/>
      <c r="CS151" s="104"/>
      <c r="CT151" s="104"/>
      <c r="CU151" s="104"/>
    </row>
    <row r="152">
      <c r="A152" s="595"/>
      <c r="B152" s="202" t="s">
        <v>271</v>
      </c>
      <c r="C152" s="196" t="s">
        <v>271</v>
      </c>
      <c r="D152" s="197" t="s">
        <v>271</v>
      </c>
      <c r="E152" s="199" t="s">
        <v>271</v>
      </c>
      <c r="F152" s="201" t="s">
        <v>271</v>
      </c>
      <c r="G152" s="202" t="s">
        <v>271</v>
      </c>
      <c r="H152" s="609"/>
      <c r="I152" s="609"/>
      <c r="J152" s="104"/>
      <c r="K152" s="104"/>
      <c r="L152" s="104"/>
      <c r="M152" s="104"/>
      <c r="N152" s="104"/>
      <c r="O152" s="104"/>
      <c r="P152" s="104"/>
      <c r="Q152" s="104"/>
      <c r="R152" s="104"/>
      <c r="S152" s="104"/>
      <c r="T152" s="104"/>
      <c r="U152" s="104"/>
      <c r="V152" s="104"/>
      <c r="W152" s="104"/>
      <c r="X152" s="104"/>
      <c r="Y152" s="104"/>
      <c r="Z152" s="104"/>
      <c r="AA152" s="104"/>
      <c r="AB152" s="104"/>
      <c r="AC152" s="104"/>
      <c r="AD152" s="104"/>
      <c r="AE152" s="104"/>
      <c r="AF152" s="104"/>
      <c r="AG152" s="104"/>
      <c r="AH152" s="104"/>
      <c r="AI152" s="104"/>
      <c r="AJ152" s="104"/>
      <c r="AK152" s="104"/>
      <c r="AL152" s="104"/>
      <c r="AM152" s="104"/>
      <c r="AN152" s="104"/>
      <c r="AO152" s="104"/>
      <c r="AP152" s="104"/>
      <c r="AQ152" s="104"/>
      <c r="AR152" s="104"/>
      <c r="AS152" s="104"/>
      <c r="AT152" s="104"/>
      <c r="AU152" s="104"/>
      <c r="AV152" s="104"/>
      <c r="AW152" s="104"/>
      <c r="AX152" s="104"/>
      <c r="AY152" s="104"/>
      <c r="AZ152" s="104"/>
      <c r="BA152" s="104"/>
      <c r="BB152" s="104"/>
      <c r="BC152" s="104"/>
      <c r="BD152" s="104"/>
      <c r="BE152" s="104"/>
      <c r="BF152" s="104"/>
      <c r="BG152" s="104"/>
      <c r="BH152" s="104"/>
      <c r="BI152" s="104"/>
      <c r="BJ152" s="104"/>
      <c r="BK152" s="104"/>
      <c r="BL152" s="104"/>
      <c r="BM152" s="104"/>
      <c r="BN152" s="104"/>
      <c r="BO152" s="104"/>
      <c r="BP152" s="104"/>
      <c r="BQ152" s="104"/>
      <c r="BR152" s="104"/>
      <c r="BS152" s="104"/>
      <c r="BT152" s="104"/>
      <c r="BU152" s="104"/>
      <c r="BV152" s="104"/>
      <c r="BW152" s="122"/>
      <c r="BX152" s="104"/>
      <c r="BY152" s="104"/>
      <c r="BZ152" s="104"/>
      <c r="CA152" s="122"/>
      <c r="CB152" s="104"/>
      <c r="CC152" s="104"/>
      <c r="CD152" s="122"/>
      <c r="CE152" s="104"/>
      <c r="CF152" s="104"/>
      <c r="CG152" s="104"/>
      <c r="CH152" s="104"/>
      <c r="CI152" s="104"/>
      <c r="CJ152" s="104"/>
      <c r="CK152" s="104"/>
      <c r="CL152" s="104"/>
      <c r="CM152" s="104"/>
      <c r="CN152" s="104"/>
      <c r="CO152" s="104"/>
      <c r="CP152" s="104"/>
      <c r="CQ152" s="104"/>
      <c r="CR152" s="104"/>
      <c r="CS152" s="104"/>
      <c r="CT152" s="104"/>
      <c r="CU152" s="104"/>
    </row>
    <row r="153">
      <c r="A153" s="595"/>
      <c r="B153" s="202" t="s">
        <v>271</v>
      </c>
      <c r="C153" s="196" t="s">
        <v>271</v>
      </c>
      <c r="D153" s="197" t="s">
        <v>271</v>
      </c>
      <c r="E153" s="199" t="s">
        <v>271</v>
      </c>
      <c r="F153" s="201" t="s">
        <v>271</v>
      </c>
      <c r="G153" s="202" t="s">
        <v>271</v>
      </c>
      <c r="H153" s="609"/>
      <c r="I153" s="609"/>
      <c r="J153" s="104"/>
      <c r="K153" s="104"/>
      <c r="L153" s="104"/>
      <c r="M153" s="104"/>
      <c r="N153" s="104"/>
      <c r="O153" s="104"/>
      <c r="P153" s="104"/>
      <c r="Q153" s="104"/>
      <c r="R153" s="104"/>
      <c r="S153" s="104"/>
      <c r="T153" s="104"/>
      <c r="U153" s="104"/>
      <c r="V153" s="104"/>
      <c r="W153" s="104"/>
      <c r="X153" s="104"/>
      <c r="Y153" s="104"/>
      <c r="Z153" s="104"/>
      <c r="AA153" s="104"/>
      <c r="AB153" s="104"/>
      <c r="AC153" s="104"/>
      <c r="AD153" s="104"/>
      <c r="AE153" s="104"/>
      <c r="AF153" s="104"/>
      <c r="AG153" s="104"/>
      <c r="AH153" s="104"/>
      <c r="AI153" s="104"/>
      <c r="AJ153" s="104"/>
      <c r="AK153" s="104"/>
      <c r="AL153" s="104"/>
      <c r="AM153" s="104"/>
      <c r="AN153" s="104"/>
      <c r="AO153" s="104"/>
      <c r="AP153" s="104"/>
      <c r="AQ153" s="104"/>
      <c r="AR153" s="104"/>
      <c r="AS153" s="104"/>
      <c r="AT153" s="104"/>
      <c r="AU153" s="104"/>
      <c r="AV153" s="104"/>
      <c r="AW153" s="104"/>
      <c r="AX153" s="104"/>
      <c r="AY153" s="104"/>
      <c r="AZ153" s="104"/>
      <c r="BA153" s="104"/>
      <c r="BB153" s="104"/>
      <c r="BC153" s="104"/>
      <c r="BD153" s="104"/>
      <c r="BE153" s="104"/>
      <c r="BF153" s="104"/>
      <c r="BG153" s="104"/>
      <c r="BH153" s="104"/>
      <c r="BI153" s="104"/>
      <c r="BJ153" s="104"/>
      <c r="BK153" s="104"/>
      <c r="BL153" s="104"/>
      <c r="BM153" s="104"/>
      <c r="BN153" s="104"/>
      <c r="BO153" s="104"/>
      <c r="BP153" s="104"/>
      <c r="BQ153" s="104"/>
      <c r="BR153" s="104"/>
      <c r="BS153" s="104"/>
      <c r="BT153" s="104"/>
      <c r="BU153" s="104"/>
      <c r="BV153" s="104"/>
      <c r="BW153" s="122"/>
      <c r="BX153" s="104"/>
      <c r="BY153" s="104"/>
      <c r="BZ153" s="104"/>
      <c r="CA153" s="122"/>
      <c r="CB153" s="104"/>
      <c r="CC153" s="104"/>
      <c r="CD153" s="122"/>
      <c r="CE153" s="104"/>
      <c r="CF153" s="104"/>
      <c r="CG153" s="104"/>
      <c r="CH153" s="104"/>
      <c r="CI153" s="104"/>
      <c r="CJ153" s="104"/>
      <c r="CK153" s="104"/>
      <c r="CL153" s="104"/>
      <c r="CM153" s="104"/>
      <c r="CN153" s="104"/>
      <c r="CO153" s="104"/>
      <c r="CP153" s="104"/>
      <c r="CQ153" s="104"/>
      <c r="CR153" s="104"/>
      <c r="CS153" s="104"/>
      <c r="CT153" s="104"/>
      <c r="CU153" s="104"/>
    </row>
    <row r="154">
      <c r="A154" s="595"/>
      <c r="B154" s="202" t="s">
        <v>271</v>
      </c>
      <c r="C154" s="196" t="s">
        <v>271</v>
      </c>
      <c r="D154" s="197" t="s">
        <v>271</v>
      </c>
      <c r="E154" s="199" t="s">
        <v>271</v>
      </c>
      <c r="F154" s="201" t="s">
        <v>271</v>
      </c>
      <c r="G154" s="202" t="s">
        <v>271</v>
      </c>
      <c r="H154" s="609"/>
      <c r="I154" s="609"/>
      <c r="J154" s="104"/>
      <c r="K154" s="104"/>
      <c r="L154" s="104"/>
      <c r="M154" s="104"/>
      <c r="N154" s="104"/>
      <c r="O154" s="104"/>
      <c r="P154" s="104"/>
      <c r="Q154" s="104"/>
      <c r="R154" s="104"/>
      <c r="S154" s="104"/>
      <c r="T154" s="104"/>
      <c r="U154" s="104"/>
      <c r="V154" s="104"/>
      <c r="W154" s="104"/>
      <c r="X154" s="104"/>
      <c r="Y154" s="104"/>
      <c r="Z154" s="104"/>
      <c r="AA154" s="104"/>
      <c r="AB154" s="104"/>
      <c r="AC154" s="104"/>
      <c r="AD154" s="104"/>
      <c r="AE154" s="104"/>
      <c r="AF154" s="104"/>
      <c r="AG154" s="104"/>
      <c r="AH154" s="104"/>
      <c r="AI154" s="104"/>
      <c r="AJ154" s="104"/>
      <c r="AK154" s="104"/>
      <c r="AL154" s="104"/>
      <c r="AM154" s="104"/>
      <c r="AN154" s="104"/>
      <c r="AO154" s="104"/>
      <c r="AP154" s="104"/>
      <c r="AQ154" s="104"/>
      <c r="AR154" s="104"/>
      <c r="AS154" s="104"/>
      <c r="AT154" s="104"/>
      <c r="AU154" s="104"/>
      <c r="AV154" s="104"/>
      <c r="AW154" s="104"/>
      <c r="AX154" s="104"/>
      <c r="AY154" s="104"/>
      <c r="AZ154" s="104"/>
      <c r="BA154" s="104"/>
      <c r="BB154" s="104"/>
      <c r="BC154" s="104"/>
      <c r="BD154" s="104"/>
      <c r="BE154" s="104"/>
      <c r="BF154" s="104"/>
      <c r="BG154" s="104"/>
      <c r="BH154" s="104"/>
      <c r="BI154" s="104"/>
      <c r="BJ154" s="104"/>
      <c r="BK154" s="104"/>
      <c r="BL154" s="104"/>
      <c r="BM154" s="104"/>
      <c r="BN154" s="104"/>
      <c r="BO154" s="104"/>
      <c r="BP154" s="104"/>
      <c r="BQ154" s="104"/>
      <c r="BR154" s="104"/>
      <c r="BS154" s="104"/>
      <c r="BT154" s="104"/>
      <c r="BU154" s="104"/>
      <c r="BV154" s="104"/>
      <c r="BW154" s="122"/>
      <c r="BX154" s="104"/>
      <c r="BY154" s="104"/>
      <c r="BZ154" s="104"/>
      <c r="CA154" s="122"/>
      <c r="CB154" s="104"/>
      <c r="CC154" s="104"/>
      <c r="CD154" s="122"/>
      <c r="CE154" s="104"/>
      <c r="CF154" s="104"/>
      <c r="CG154" s="104"/>
      <c r="CH154" s="104"/>
      <c r="CI154" s="104"/>
      <c r="CJ154" s="104"/>
      <c r="CK154" s="104"/>
      <c r="CL154" s="104"/>
      <c r="CM154" s="104"/>
      <c r="CN154" s="104"/>
      <c r="CO154" s="104"/>
      <c r="CP154" s="104"/>
      <c r="CQ154" s="104"/>
      <c r="CR154" s="104"/>
      <c r="CS154" s="104"/>
      <c r="CT154" s="104"/>
      <c r="CU154" s="104"/>
    </row>
    <row r="155">
      <c r="A155" s="595"/>
      <c r="B155" s="202" t="s">
        <v>271</v>
      </c>
      <c r="C155" s="196" t="s">
        <v>271</v>
      </c>
      <c r="D155" s="197" t="s">
        <v>271</v>
      </c>
      <c r="E155" s="199" t="s">
        <v>271</v>
      </c>
      <c r="F155" s="201" t="s">
        <v>271</v>
      </c>
      <c r="G155" s="202" t="s">
        <v>271</v>
      </c>
      <c r="H155" s="609"/>
      <c r="I155" s="609"/>
      <c r="J155" s="104"/>
      <c r="K155" s="104"/>
      <c r="L155" s="104"/>
      <c r="M155" s="104"/>
      <c r="N155" s="104"/>
      <c r="O155" s="104"/>
      <c r="P155" s="104"/>
      <c r="Q155" s="104"/>
      <c r="R155" s="104"/>
      <c r="S155" s="104"/>
      <c r="T155" s="104"/>
      <c r="U155" s="104"/>
      <c r="V155" s="104"/>
      <c r="W155" s="104"/>
      <c r="X155" s="104"/>
      <c r="Y155" s="104"/>
      <c r="Z155" s="104"/>
      <c r="AA155" s="104"/>
      <c r="AB155" s="104"/>
      <c r="AC155" s="104"/>
      <c r="AD155" s="104"/>
      <c r="AE155" s="104"/>
      <c r="AF155" s="104"/>
      <c r="AG155" s="104"/>
      <c r="AH155" s="104"/>
      <c r="AI155" s="104"/>
      <c r="AJ155" s="104"/>
      <c r="AK155" s="104"/>
      <c r="AL155" s="104"/>
      <c r="AM155" s="104"/>
      <c r="AN155" s="104"/>
      <c r="AO155" s="104"/>
      <c r="AP155" s="104"/>
      <c r="AQ155" s="104"/>
      <c r="AR155" s="104"/>
      <c r="AS155" s="104"/>
      <c r="AT155" s="104"/>
      <c r="AU155" s="104"/>
      <c r="AV155" s="104"/>
      <c r="AW155" s="104"/>
      <c r="AX155" s="104"/>
      <c r="AY155" s="104"/>
      <c r="AZ155" s="104"/>
      <c r="BA155" s="104"/>
      <c r="BB155" s="104"/>
      <c r="BC155" s="104"/>
      <c r="BD155" s="104"/>
      <c r="BE155" s="104"/>
      <c r="BF155" s="104"/>
      <c r="BG155" s="104"/>
      <c r="BH155" s="104"/>
      <c r="BI155" s="104"/>
      <c r="BJ155" s="104"/>
      <c r="BK155" s="104"/>
      <c r="BL155" s="104"/>
      <c r="BM155" s="104"/>
      <c r="BN155" s="104"/>
      <c r="BO155" s="104"/>
      <c r="BP155" s="104"/>
      <c r="BQ155" s="104"/>
      <c r="BR155" s="104"/>
      <c r="BS155" s="104"/>
      <c r="BT155" s="104"/>
      <c r="BU155" s="104"/>
      <c r="BV155" s="104"/>
      <c r="BW155" s="122"/>
      <c r="BX155" s="104"/>
      <c r="BY155" s="104"/>
      <c r="BZ155" s="104"/>
      <c r="CA155" s="122"/>
      <c r="CB155" s="104"/>
      <c r="CC155" s="104"/>
      <c r="CD155" s="122"/>
      <c r="CE155" s="104"/>
      <c r="CF155" s="104"/>
      <c r="CG155" s="104"/>
      <c r="CH155" s="104"/>
      <c r="CI155" s="104"/>
      <c r="CJ155" s="104"/>
      <c r="CK155" s="104"/>
      <c r="CL155" s="104"/>
      <c r="CM155" s="104"/>
      <c r="CN155" s="104"/>
      <c r="CO155" s="104"/>
      <c r="CP155" s="104"/>
      <c r="CQ155" s="104"/>
      <c r="CR155" s="104"/>
      <c r="CS155" s="104"/>
      <c r="CT155" s="104"/>
      <c r="CU155" s="104"/>
    </row>
    <row r="156">
      <c r="A156" s="595"/>
      <c r="B156" s="202" t="s">
        <v>271</v>
      </c>
      <c r="C156" s="196" t="s">
        <v>271</v>
      </c>
      <c r="D156" s="197" t="s">
        <v>271</v>
      </c>
      <c r="E156" s="199" t="s">
        <v>271</v>
      </c>
      <c r="F156" s="201" t="s">
        <v>271</v>
      </c>
      <c r="G156" s="202" t="s">
        <v>271</v>
      </c>
      <c r="H156" s="609"/>
      <c r="I156" s="609"/>
      <c r="J156" s="104"/>
      <c r="K156" s="104"/>
      <c r="L156" s="104"/>
      <c r="M156" s="104"/>
      <c r="N156" s="104"/>
      <c r="O156" s="104"/>
      <c r="P156" s="104"/>
      <c r="Q156" s="104"/>
      <c r="R156" s="104"/>
      <c r="S156" s="104"/>
      <c r="T156" s="104"/>
      <c r="U156" s="104"/>
      <c r="V156" s="104"/>
      <c r="W156" s="104"/>
      <c r="X156" s="104"/>
      <c r="Y156" s="104"/>
      <c r="Z156" s="104"/>
      <c r="AA156" s="104"/>
      <c r="AB156" s="104"/>
      <c r="AC156" s="104"/>
      <c r="AD156" s="104"/>
      <c r="AE156" s="104"/>
      <c r="AF156" s="104"/>
      <c r="AG156" s="104"/>
      <c r="AH156" s="104"/>
      <c r="AI156" s="104"/>
      <c r="AJ156" s="104"/>
      <c r="AK156" s="104"/>
      <c r="AL156" s="104"/>
      <c r="AM156" s="104"/>
      <c r="AN156" s="104"/>
      <c r="AO156" s="104"/>
      <c r="AP156" s="104"/>
      <c r="AQ156" s="104"/>
      <c r="AR156" s="104"/>
      <c r="AS156" s="104"/>
      <c r="AT156" s="104"/>
      <c r="AU156" s="104"/>
      <c r="AV156" s="104"/>
      <c r="AW156" s="104"/>
      <c r="AX156" s="104"/>
      <c r="AY156" s="104"/>
      <c r="AZ156" s="104"/>
      <c r="BA156" s="104"/>
      <c r="BB156" s="104"/>
      <c r="BC156" s="104"/>
      <c r="BD156" s="104"/>
      <c r="BE156" s="104"/>
      <c r="BF156" s="104"/>
      <c r="BG156" s="104"/>
      <c r="BH156" s="104"/>
      <c r="BI156" s="104"/>
      <c r="BJ156" s="104"/>
      <c r="BK156" s="104"/>
      <c r="BL156" s="104"/>
      <c r="BM156" s="104"/>
      <c r="BN156" s="104"/>
      <c r="BO156" s="104"/>
      <c r="BP156" s="104"/>
      <c r="BQ156" s="104"/>
      <c r="BR156" s="104"/>
      <c r="BS156" s="104"/>
      <c r="BT156" s="104"/>
      <c r="BU156" s="104"/>
      <c r="BV156" s="104"/>
      <c r="BW156" s="122"/>
      <c r="BX156" s="104"/>
      <c r="BY156" s="104"/>
      <c r="BZ156" s="104"/>
      <c r="CA156" s="122"/>
      <c r="CB156" s="104"/>
      <c r="CC156" s="104"/>
      <c r="CD156" s="122"/>
      <c r="CE156" s="104"/>
      <c r="CF156" s="104"/>
      <c r="CG156" s="104"/>
      <c r="CH156" s="104"/>
      <c r="CI156" s="104"/>
      <c r="CJ156" s="104"/>
      <c r="CK156" s="104"/>
      <c r="CL156" s="104"/>
      <c r="CM156" s="104"/>
      <c r="CN156" s="104"/>
      <c r="CO156" s="104"/>
      <c r="CP156" s="104"/>
      <c r="CQ156" s="104"/>
      <c r="CR156" s="104"/>
      <c r="CS156" s="104"/>
      <c r="CT156" s="104"/>
      <c r="CU156" s="104"/>
    </row>
    <row r="157">
      <c r="A157" s="595"/>
      <c r="B157" s="202" t="s">
        <v>271</v>
      </c>
      <c r="C157" s="196" t="s">
        <v>271</v>
      </c>
      <c r="D157" s="197" t="s">
        <v>271</v>
      </c>
      <c r="E157" s="199" t="s">
        <v>271</v>
      </c>
      <c r="F157" s="201" t="s">
        <v>271</v>
      </c>
      <c r="G157" s="202" t="s">
        <v>271</v>
      </c>
      <c r="H157" s="609"/>
      <c r="I157" s="609"/>
      <c r="J157" s="104"/>
      <c r="K157" s="104"/>
      <c r="L157" s="104"/>
      <c r="M157" s="104"/>
      <c r="N157" s="104"/>
      <c r="O157" s="104"/>
      <c r="P157" s="104"/>
      <c r="Q157" s="104"/>
      <c r="R157" s="104"/>
      <c r="S157" s="104"/>
      <c r="T157" s="104"/>
      <c r="U157" s="104"/>
      <c r="V157" s="104"/>
      <c r="W157" s="104"/>
      <c r="X157" s="104"/>
      <c r="Y157" s="104"/>
      <c r="Z157" s="104"/>
      <c r="AA157" s="104"/>
      <c r="AB157" s="104"/>
      <c r="AC157" s="104"/>
      <c r="AD157" s="104"/>
      <c r="AE157" s="104"/>
      <c r="AF157" s="104"/>
      <c r="AG157" s="104"/>
      <c r="AH157" s="104"/>
      <c r="AI157" s="104"/>
      <c r="AJ157" s="104"/>
      <c r="AK157" s="104"/>
      <c r="AL157" s="104"/>
      <c r="AM157" s="104"/>
      <c r="AN157" s="104"/>
      <c r="AO157" s="104"/>
      <c r="AP157" s="104"/>
      <c r="AQ157" s="104"/>
      <c r="AR157" s="104"/>
      <c r="AS157" s="104"/>
      <c r="AT157" s="104"/>
      <c r="AU157" s="104"/>
      <c r="AV157" s="104"/>
      <c r="AW157" s="104"/>
      <c r="AX157" s="104"/>
      <c r="AY157" s="104"/>
      <c r="AZ157" s="104"/>
      <c r="BA157" s="104"/>
      <c r="BB157" s="104"/>
      <c r="BC157" s="104"/>
      <c r="BD157" s="104"/>
      <c r="BE157" s="104"/>
      <c r="BF157" s="104"/>
      <c r="BG157" s="104"/>
      <c r="BH157" s="104"/>
      <c r="BI157" s="104"/>
      <c r="BJ157" s="104"/>
      <c r="BK157" s="104"/>
      <c r="BL157" s="104"/>
      <c r="BM157" s="104"/>
      <c r="BN157" s="104"/>
      <c r="BO157" s="104"/>
      <c r="BP157" s="104"/>
      <c r="BQ157" s="104"/>
      <c r="BR157" s="104"/>
      <c r="BS157" s="104"/>
      <c r="BT157" s="104"/>
      <c r="BU157" s="104"/>
      <c r="BV157" s="104"/>
      <c r="BW157" s="122"/>
      <c r="BX157" s="104"/>
      <c r="BY157" s="104"/>
      <c r="BZ157" s="104"/>
      <c r="CA157" s="122"/>
      <c r="CB157" s="104"/>
      <c r="CC157" s="104"/>
      <c r="CD157" s="122"/>
      <c r="CE157" s="104"/>
      <c r="CF157" s="104"/>
      <c r="CG157" s="104"/>
      <c r="CH157" s="104"/>
      <c r="CI157" s="104"/>
      <c r="CJ157" s="104"/>
      <c r="CK157" s="104"/>
      <c r="CL157" s="104"/>
      <c r="CM157" s="104"/>
      <c r="CN157" s="104"/>
      <c r="CO157" s="104"/>
      <c r="CP157" s="104"/>
      <c r="CQ157" s="104"/>
      <c r="CR157" s="104"/>
      <c r="CS157" s="104"/>
      <c r="CT157" s="104"/>
      <c r="CU157" s="104"/>
    </row>
    <row r="158">
      <c r="A158" s="595"/>
      <c r="B158" s="202" t="s">
        <v>271</v>
      </c>
      <c r="C158" s="196" t="s">
        <v>271</v>
      </c>
      <c r="D158" s="197" t="s">
        <v>271</v>
      </c>
      <c r="E158" s="199" t="s">
        <v>271</v>
      </c>
      <c r="F158" s="201" t="s">
        <v>271</v>
      </c>
      <c r="G158" s="202" t="s">
        <v>271</v>
      </c>
      <c r="H158" s="609"/>
      <c r="I158" s="609"/>
      <c r="J158" s="104"/>
      <c r="K158" s="104"/>
      <c r="L158" s="104"/>
      <c r="M158" s="104"/>
      <c r="N158" s="104"/>
      <c r="O158" s="104"/>
      <c r="P158" s="104"/>
      <c r="Q158" s="104"/>
      <c r="R158" s="104"/>
      <c r="S158" s="104"/>
      <c r="T158" s="104"/>
      <c r="U158" s="104"/>
      <c r="V158" s="104"/>
      <c r="W158" s="104"/>
      <c r="X158" s="104"/>
      <c r="Y158" s="104"/>
      <c r="Z158" s="104"/>
      <c r="AA158" s="104"/>
      <c r="AB158" s="104"/>
      <c r="AC158" s="104"/>
      <c r="AD158" s="104"/>
      <c r="AE158" s="104"/>
      <c r="AF158" s="104"/>
      <c r="AG158" s="104"/>
      <c r="AH158" s="104"/>
      <c r="AI158" s="104"/>
      <c r="AJ158" s="104"/>
      <c r="AK158" s="104"/>
      <c r="AL158" s="104"/>
      <c r="AM158" s="104"/>
      <c r="AN158" s="104"/>
      <c r="AO158" s="104"/>
      <c r="AP158" s="104"/>
      <c r="AQ158" s="104"/>
      <c r="AR158" s="104"/>
      <c r="AS158" s="104"/>
      <c r="AT158" s="104"/>
      <c r="AU158" s="104"/>
      <c r="AV158" s="104"/>
      <c r="AW158" s="104"/>
      <c r="AX158" s="104"/>
      <c r="AY158" s="104"/>
      <c r="AZ158" s="104"/>
      <c r="BA158" s="104"/>
      <c r="BB158" s="104"/>
      <c r="BC158" s="104"/>
      <c r="BD158" s="104"/>
      <c r="BE158" s="104"/>
      <c r="BF158" s="104"/>
      <c r="BG158" s="104"/>
      <c r="BH158" s="104"/>
      <c r="BI158" s="104"/>
      <c r="BJ158" s="104"/>
      <c r="BK158" s="104"/>
      <c r="BL158" s="104"/>
      <c r="BM158" s="104"/>
      <c r="BN158" s="104"/>
      <c r="BO158" s="104"/>
      <c r="BP158" s="104"/>
      <c r="BQ158" s="104"/>
      <c r="BR158" s="104"/>
      <c r="BS158" s="104"/>
      <c r="BT158" s="104"/>
      <c r="BU158" s="104"/>
      <c r="BV158" s="104"/>
      <c r="BW158" s="122"/>
      <c r="BX158" s="104"/>
      <c r="BY158" s="104"/>
      <c r="BZ158" s="104"/>
      <c r="CA158" s="122"/>
      <c r="CB158" s="104"/>
      <c r="CC158" s="104"/>
      <c r="CD158" s="122"/>
      <c r="CE158" s="104"/>
      <c r="CF158" s="104"/>
      <c r="CG158" s="104"/>
      <c r="CH158" s="104"/>
      <c r="CI158" s="104"/>
      <c r="CJ158" s="104"/>
      <c r="CK158" s="104"/>
      <c r="CL158" s="104"/>
      <c r="CM158" s="104"/>
      <c r="CN158" s="104"/>
      <c r="CO158" s="104"/>
      <c r="CP158" s="104"/>
      <c r="CQ158" s="104"/>
      <c r="CR158" s="104"/>
      <c r="CS158" s="104"/>
      <c r="CT158" s="104"/>
      <c r="CU158" s="104"/>
    </row>
    <row r="159">
      <c r="A159" s="595"/>
      <c r="B159" s="202" t="s">
        <v>271</v>
      </c>
      <c r="C159" s="196" t="s">
        <v>271</v>
      </c>
      <c r="D159" s="197" t="s">
        <v>271</v>
      </c>
      <c r="E159" s="199" t="s">
        <v>271</v>
      </c>
      <c r="F159" s="201" t="s">
        <v>271</v>
      </c>
      <c r="G159" s="202" t="s">
        <v>271</v>
      </c>
      <c r="H159" s="609"/>
      <c r="I159" s="609"/>
      <c r="J159" s="104"/>
      <c r="K159" s="104"/>
      <c r="L159" s="104"/>
      <c r="M159" s="104"/>
      <c r="N159" s="104"/>
      <c r="O159" s="104"/>
      <c r="P159" s="104"/>
      <c r="Q159" s="104"/>
      <c r="R159" s="104"/>
      <c r="S159" s="104"/>
      <c r="T159" s="104"/>
      <c r="U159" s="104"/>
      <c r="V159" s="104"/>
      <c r="W159" s="104"/>
      <c r="X159" s="104"/>
      <c r="Y159" s="104"/>
      <c r="Z159" s="104"/>
      <c r="AA159" s="104"/>
      <c r="AB159" s="104"/>
      <c r="AC159" s="104"/>
      <c r="AD159" s="104"/>
      <c r="AE159" s="104"/>
      <c r="AF159" s="104"/>
      <c r="AG159" s="104"/>
      <c r="AH159" s="104"/>
      <c r="AI159" s="104"/>
      <c r="AJ159" s="104"/>
      <c r="AK159" s="104"/>
      <c r="AL159" s="104"/>
      <c r="AM159" s="104"/>
      <c r="AN159" s="104"/>
      <c r="AO159" s="104"/>
      <c r="AP159" s="104"/>
      <c r="AQ159" s="104"/>
      <c r="AR159" s="104"/>
      <c r="AS159" s="104"/>
      <c r="AT159" s="104"/>
      <c r="AU159" s="104"/>
      <c r="AV159" s="104"/>
      <c r="AW159" s="104"/>
      <c r="AX159" s="104"/>
      <c r="AY159" s="104"/>
      <c r="AZ159" s="104"/>
      <c r="BA159" s="104"/>
      <c r="BB159" s="104"/>
      <c r="BC159" s="104"/>
      <c r="BD159" s="104"/>
      <c r="BE159" s="104"/>
      <c r="BF159" s="104"/>
      <c r="BG159" s="104"/>
      <c r="BH159" s="104"/>
      <c r="BI159" s="104"/>
      <c r="BJ159" s="104"/>
      <c r="BK159" s="104"/>
      <c r="BL159" s="104"/>
      <c r="BM159" s="104"/>
      <c r="BN159" s="104"/>
      <c r="BO159" s="104"/>
      <c r="BP159" s="104"/>
      <c r="BQ159" s="104"/>
      <c r="BR159" s="104"/>
      <c r="BS159" s="104"/>
      <c r="BT159" s="104"/>
      <c r="BU159" s="104"/>
      <c r="BV159" s="104"/>
      <c r="BW159" s="122"/>
      <c r="BX159" s="104"/>
      <c r="BY159" s="104"/>
      <c r="BZ159" s="104"/>
      <c r="CA159" s="122"/>
      <c r="CB159" s="104"/>
      <c r="CC159" s="104"/>
      <c r="CD159" s="122"/>
      <c r="CE159" s="104"/>
      <c r="CF159" s="104"/>
      <c r="CG159" s="104"/>
      <c r="CH159" s="104"/>
      <c r="CI159" s="104"/>
      <c r="CJ159" s="104"/>
      <c r="CK159" s="104"/>
      <c r="CL159" s="104"/>
      <c r="CM159" s="104"/>
      <c r="CN159" s="104"/>
      <c r="CO159" s="104"/>
      <c r="CP159" s="104"/>
      <c r="CQ159" s="104"/>
      <c r="CR159" s="104"/>
      <c r="CS159" s="104"/>
      <c r="CT159" s="104"/>
      <c r="CU159" s="104"/>
    </row>
    <row r="160">
      <c r="A160" s="595"/>
      <c r="B160" s="202" t="s">
        <v>271</v>
      </c>
      <c r="C160" s="196" t="s">
        <v>271</v>
      </c>
      <c r="D160" s="197" t="s">
        <v>271</v>
      </c>
      <c r="E160" s="199" t="s">
        <v>271</v>
      </c>
      <c r="F160" s="201" t="s">
        <v>271</v>
      </c>
      <c r="G160" s="202" t="s">
        <v>271</v>
      </c>
      <c r="H160" s="609"/>
      <c r="I160" s="609"/>
      <c r="J160" s="104"/>
      <c r="K160" s="104"/>
      <c r="L160" s="104"/>
      <c r="M160" s="104"/>
      <c r="N160" s="104"/>
      <c r="O160" s="104"/>
      <c r="P160" s="104"/>
      <c r="Q160" s="104"/>
      <c r="R160" s="104"/>
      <c r="S160" s="104"/>
      <c r="T160" s="104"/>
      <c r="U160" s="104"/>
      <c r="V160" s="104"/>
      <c r="W160" s="104"/>
      <c r="X160" s="104"/>
      <c r="Y160" s="104"/>
      <c r="Z160" s="104"/>
      <c r="AA160" s="104"/>
      <c r="AB160" s="104"/>
      <c r="AC160" s="104"/>
      <c r="AD160" s="104"/>
      <c r="AE160" s="104"/>
      <c r="AF160" s="104"/>
      <c r="AG160" s="104"/>
      <c r="AH160" s="104"/>
      <c r="AI160" s="104"/>
      <c r="AJ160" s="104"/>
      <c r="AK160" s="104"/>
      <c r="AL160" s="104"/>
      <c r="AM160" s="104"/>
      <c r="AN160" s="104"/>
      <c r="AO160" s="104"/>
      <c r="AP160" s="104"/>
      <c r="AQ160" s="104"/>
      <c r="AR160" s="104"/>
      <c r="AS160" s="104"/>
      <c r="AT160" s="104"/>
      <c r="AU160" s="104"/>
      <c r="AV160" s="104"/>
      <c r="AW160" s="104"/>
      <c r="AX160" s="104"/>
      <c r="AY160" s="104"/>
      <c r="AZ160" s="104"/>
      <c r="BA160" s="104"/>
      <c r="BB160" s="104"/>
      <c r="BC160" s="104"/>
      <c r="BD160" s="104"/>
      <c r="BE160" s="104"/>
      <c r="BF160" s="104"/>
      <c r="BG160" s="104"/>
      <c r="BH160" s="104"/>
      <c r="BI160" s="104"/>
      <c r="BJ160" s="104"/>
      <c r="BK160" s="104"/>
      <c r="BL160" s="104"/>
      <c r="BM160" s="104"/>
      <c r="BN160" s="104"/>
      <c r="BO160" s="104"/>
      <c r="BP160" s="104"/>
      <c r="BQ160" s="104"/>
      <c r="BR160" s="104"/>
      <c r="BS160" s="104"/>
      <c r="BT160" s="104"/>
      <c r="BU160" s="104"/>
      <c r="BV160" s="104"/>
      <c r="BW160" s="122"/>
      <c r="BX160" s="104"/>
      <c r="BY160" s="104"/>
      <c r="BZ160" s="104"/>
      <c r="CA160" s="122"/>
      <c r="CB160" s="104"/>
      <c r="CC160" s="104"/>
      <c r="CD160" s="122"/>
      <c r="CE160" s="104"/>
      <c r="CF160" s="104"/>
      <c r="CG160" s="104"/>
      <c r="CH160" s="104"/>
      <c r="CI160" s="104"/>
      <c r="CJ160" s="104"/>
      <c r="CK160" s="104"/>
      <c r="CL160" s="104"/>
      <c r="CM160" s="104"/>
      <c r="CN160" s="104"/>
      <c r="CO160" s="104"/>
      <c r="CP160" s="104"/>
      <c r="CQ160" s="104"/>
      <c r="CR160" s="104"/>
      <c r="CS160" s="104"/>
      <c r="CT160" s="104"/>
      <c r="CU160" s="104"/>
    </row>
    <row r="161">
      <c r="A161" s="595"/>
      <c r="B161" s="202" t="s">
        <v>271</v>
      </c>
      <c r="C161" s="196" t="s">
        <v>271</v>
      </c>
      <c r="D161" s="197" t="s">
        <v>271</v>
      </c>
      <c r="E161" s="199" t="s">
        <v>271</v>
      </c>
      <c r="F161" s="201" t="s">
        <v>271</v>
      </c>
      <c r="G161" s="202" t="s">
        <v>271</v>
      </c>
      <c r="H161" s="609"/>
      <c r="I161" s="609"/>
      <c r="J161" s="104"/>
      <c r="K161" s="104"/>
      <c r="L161" s="104"/>
      <c r="M161" s="104"/>
      <c r="N161" s="104"/>
      <c r="O161" s="104"/>
      <c r="P161" s="104"/>
      <c r="Q161" s="104"/>
      <c r="R161" s="104"/>
      <c r="S161" s="104"/>
      <c r="T161" s="104"/>
      <c r="U161" s="104"/>
      <c r="V161" s="104"/>
      <c r="W161" s="104"/>
      <c r="X161" s="104"/>
      <c r="Y161" s="104"/>
      <c r="Z161" s="104"/>
      <c r="AA161" s="104"/>
      <c r="AB161" s="104"/>
      <c r="AC161" s="104"/>
      <c r="AD161" s="104"/>
      <c r="AE161" s="104"/>
      <c r="AF161" s="104"/>
      <c r="AG161" s="104"/>
      <c r="AH161" s="104"/>
      <c r="AI161" s="104"/>
      <c r="AJ161" s="104"/>
      <c r="AK161" s="104"/>
      <c r="AL161" s="104"/>
      <c r="AM161" s="104"/>
      <c r="AN161" s="104"/>
      <c r="AO161" s="104"/>
      <c r="AP161" s="104"/>
      <c r="AQ161" s="104"/>
      <c r="AR161" s="104"/>
      <c r="AS161" s="104"/>
      <c r="AT161" s="104"/>
      <c r="AU161" s="104"/>
      <c r="AV161" s="104"/>
      <c r="AW161" s="104"/>
      <c r="AX161" s="104"/>
      <c r="AY161" s="104"/>
      <c r="AZ161" s="104"/>
      <c r="BA161" s="104"/>
      <c r="BB161" s="104"/>
      <c r="BC161" s="104"/>
      <c r="BD161" s="104"/>
      <c r="BE161" s="104"/>
      <c r="BF161" s="104"/>
      <c r="BG161" s="104"/>
      <c r="BH161" s="104"/>
      <c r="BI161" s="104"/>
      <c r="BJ161" s="104"/>
      <c r="BK161" s="104"/>
      <c r="BL161" s="104"/>
      <c r="BM161" s="104"/>
      <c r="BN161" s="104"/>
      <c r="BO161" s="104"/>
      <c r="BP161" s="104"/>
      <c r="BQ161" s="104"/>
      <c r="BR161" s="104"/>
      <c r="BS161" s="104"/>
      <c r="BT161" s="104"/>
      <c r="BU161" s="104"/>
      <c r="BV161" s="104"/>
      <c r="BW161" s="122"/>
      <c r="BX161" s="104"/>
      <c r="BY161" s="104"/>
      <c r="BZ161" s="104"/>
      <c r="CA161" s="122"/>
      <c r="CB161" s="104"/>
      <c r="CC161" s="104"/>
      <c r="CD161" s="122"/>
      <c r="CE161" s="104"/>
      <c r="CF161" s="104"/>
      <c r="CG161" s="104"/>
      <c r="CH161" s="104"/>
      <c r="CI161" s="104"/>
      <c r="CJ161" s="104"/>
      <c r="CK161" s="104"/>
      <c r="CL161" s="104"/>
      <c r="CM161" s="104"/>
      <c r="CN161" s="104"/>
      <c r="CO161" s="104"/>
      <c r="CP161" s="104"/>
      <c r="CQ161" s="104"/>
      <c r="CR161" s="104"/>
      <c r="CS161" s="104"/>
      <c r="CT161" s="104"/>
      <c r="CU161" s="104"/>
    </row>
    <row r="162">
      <c r="A162" s="595"/>
      <c r="B162" s="202" t="s">
        <v>271</v>
      </c>
      <c r="C162" s="196" t="s">
        <v>271</v>
      </c>
      <c r="D162" s="197" t="s">
        <v>271</v>
      </c>
      <c r="E162" s="199" t="s">
        <v>271</v>
      </c>
      <c r="F162" s="201" t="s">
        <v>271</v>
      </c>
      <c r="G162" s="202" t="s">
        <v>271</v>
      </c>
      <c r="H162" s="609"/>
      <c r="I162" s="609"/>
      <c r="J162" s="104"/>
      <c r="K162" s="104"/>
      <c r="L162" s="104"/>
      <c r="M162" s="104"/>
      <c r="N162" s="104"/>
      <c r="O162" s="104"/>
      <c r="P162" s="104"/>
      <c r="Q162" s="104"/>
      <c r="R162" s="104"/>
      <c r="S162" s="104"/>
      <c r="T162" s="104"/>
      <c r="U162" s="104"/>
      <c r="V162" s="104"/>
      <c r="W162" s="104"/>
      <c r="X162" s="104"/>
      <c r="Y162" s="104"/>
      <c r="Z162" s="104"/>
      <c r="AA162" s="104"/>
      <c r="AB162" s="104"/>
      <c r="AC162" s="104"/>
      <c r="AD162" s="104"/>
      <c r="AE162" s="104"/>
      <c r="AF162" s="104"/>
      <c r="AG162" s="104"/>
      <c r="AH162" s="104"/>
      <c r="AI162" s="104"/>
      <c r="AJ162" s="104"/>
      <c r="AK162" s="104"/>
      <c r="AL162" s="104"/>
      <c r="AM162" s="104"/>
      <c r="AN162" s="104"/>
      <c r="AO162" s="104"/>
      <c r="AP162" s="104"/>
      <c r="AQ162" s="104"/>
      <c r="AR162" s="104"/>
      <c r="AS162" s="104"/>
      <c r="AT162" s="104"/>
      <c r="AU162" s="104"/>
      <c r="AV162" s="104"/>
      <c r="AW162" s="104"/>
      <c r="AX162" s="104"/>
      <c r="AY162" s="104"/>
      <c r="AZ162" s="104"/>
      <c r="BA162" s="104"/>
      <c r="BB162" s="104"/>
      <c r="BC162" s="104"/>
      <c r="BD162" s="104"/>
      <c r="BE162" s="104"/>
      <c r="BF162" s="104"/>
      <c r="BG162" s="104"/>
      <c r="BH162" s="104"/>
      <c r="BI162" s="104"/>
      <c r="BJ162" s="104"/>
      <c r="BK162" s="104"/>
      <c r="BL162" s="104"/>
      <c r="BM162" s="104"/>
      <c r="BN162" s="104"/>
      <c r="BO162" s="104"/>
      <c r="BP162" s="104"/>
      <c r="BQ162" s="104"/>
      <c r="BR162" s="104"/>
      <c r="BS162" s="104"/>
      <c r="BT162" s="104"/>
      <c r="BU162" s="104"/>
      <c r="BV162" s="104"/>
      <c r="BW162" s="122"/>
      <c r="BX162" s="104"/>
      <c r="BY162" s="104"/>
      <c r="BZ162" s="104"/>
      <c r="CA162" s="122"/>
      <c r="CB162" s="104"/>
      <c r="CC162" s="104"/>
      <c r="CD162" s="122"/>
      <c r="CE162" s="104"/>
      <c r="CF162" s="104"/>
      <c r="CG162" s="104"/>
      <c r="CH162" s="104"/>
      <c r="CI162" s="104"/>
      <c r="CJ162" s="104"/>
      <c r="CK162" s="104"/>
      <c r="CL162" s="104"/>
      <c r="CM162" s="104"/>
      <c r="CN162" s="104"/>
      <c r="CO162" s="104"/>
      <c r="CP162" s="104"/>
      <c r="CQ162" s="104"/>
      <c r="CR162" s="104"/>
      <c r="CS162" s="104"/>
      <c r="CT162" s="104"/>
      <c r="CU162" s="104"/>
    </row>
    <row r="163">
      <c r="A163" s="595"/>
      <c r="B163" s="202" t="s">
        <v>271</v>
      </c>
      <c r="C163" s="196" t="s">
        <v>271</v>
      </c>
      <c r="D163" s="197" t="s">
        <v>271</v>
      </c>
      <c r="E163" s="199" t="s">
        <v>271</v>
      </c>
      <c r="F163" s="201" t="s">
        <v>271</v>
      </c>
      <c r="G163" s="202" t="s">
        <v>271</v>
      </c>
      <c r="H163" s="609"/>
      <c r="I163" s="609"/>
      <c r="J163" s="104"/>
      <c r="K163" s="104"/>
      <c r="L163" s="104"/>
      <c r="M163" s="104"/>
      <c r="N163" s="104"/>
      <c r="O163" s="104"/>
      <c r="P163" s="104"/>
      <c r="Q163" s="104"/>
      <c r="R163" s="104"/>
      <c r="S163" s="104"/>
      <c r="T163" s="104"/>
      <c r="U163" s="104"/>
      <c r="V163" s="104"/>
      <c r="W163" s="104"/>
      <c r="X163" s="104"/>
      <c r="Y163" s="104"/>
      <c r="Z163" s="104"/>
      <c r="AA163" s="104"/>
      <c r="AB163" s="104"/>
      <c r="AC163" s="104"/>
      <c r="AD163" s="104"/>
      <c r="AE163" s="104"/>
      <c r="AF163" s="104"/>
      <c r="AG163" s="104"/>
      <c r="AH163" s="104"/>
      <c r="AI163" s="104"/>
      <c r="AJ163" s="104"/>
      <c r="AK163" s="104"/>
      <c r="AL163" s="104"/>
      <c r="AM163" s="104"/>
      <c r="AN163" s="104"/>
      <c r="AO163" s="104"/>
      <c r="AP163" s="104"/>
      <c r="AQ163" s="104"/>
      <c r="AR163" s="104"/>
      <c r="AS163" s="104"/>
      <c r="AT163" s="104"/>
      <c r="AU163" s="104"/>
      <c r="AV163" s="104"/>
      <c r="AW163" s="104"/>
      <c r="AX163" s="104"/>
      <c r="AY163" s="104"/>
      <c r="AZ163" s="104"/>
      <c r="BA163" s="104"/>
      <c r="BB163" s="104"/>
      <c r="BC163" s="104"/>
      <c r="BD163" s="104"/>
      <c r="BE163" s="104"/>
      <c r="BF163" s="104"/>
      <c r="BG163" s="104"/>
      <c r="BH163" s="104"/>
      <c r="BI163" s="104"/>
      <c r="BJ163" s="104"/>
      <c r="BK163" s="104"/>
      <c r="BL163" s="104"/>
      <c r="BM163" s="104"/>
      <c r="BN163" s="104"/>
      <c r="BO163" s="104"/>
      <c r="BP163" s="104"/>
      <c r="BQ163" s="104"/>
      <c r="BR163" s="104"/>
      <c r="BS163" s="104"/>
      <c r="BT163" s="104"/>
      <c r="BU163" s="104"/>
      <c r="BV163" s="104"/>
      <c r="BW163" s="122"/>
      <c r="BX163" s="104"/>
      <c r="BY163" s="104"/>
      <c r="BZ163" s="104"/>
      <c r="CA163" s="122"/>
      <c r="CB163" s="104"/>
      <c r="CC163" s="104"/>
      <c r="CD163" s="122"/>
      <c r="CE163" s="104"/>
      <c r="CF163" s="104"/>
      <c r="CG163" s="104"/>
      <c r="CH163" s="104"/>
      <c r="CI163" s="104"/>
      <c r="CJ163" s="104"/>
      <c r="CK163" s="104"/>
      <c r="CL163" s="104"/>
      <c r="CM163" s="104"/>
      <c r="CN163" s="104"/>
      <c r="CO163" s="104"/>
      <c r="CP163" s="104"/>
      <c r="CQ163" s="104"/>
      <c r="CR163" s="104"/>
      <c r="CS163" s="104"/>
      <c r="CT163" s="104"/>
      <c r="CU163" s="104"/>
    </row>
    <row r="164">
      <c r="A164" s="595"/>
      <c r="B164" s="202" t="s">
        <v>271</v>
      </c>
      <c r="C164" s="196" t="s">
        <v>271</v>
      </c>
      <c r="D164" s="197" t="s">
        <v>271</v>
      </c>
      <c r="E164" s="199" t="s">
        <v>271</v>
      </c>
      <c r="F164" s="201" t="s">
        <v>271</v>
      </c>
      <c r="G164" s="202" t="s">
        <v>271</v>
      </c>
      <c r="H164" s="609"/>
      <c r="I164" s="609"/>
      <c r="J164" s="104"/>
      <c r="K164" s="104"/>
      <c r="L164" s="104"/>
      <c r="M164" s="104"/>
      <c r="N164" s="104"/>
      <c r="O164" s="104"/>
      <c r="P164" s="104"/>
      <c r="Q164" s="104"/>
      <c r="R164" s="104"/>
      <c r="S164" s="104"/>
      <c r="T164" s="104"/>
      <c r="U164" s="104"/>
      <c r="V164" s="104"/>
      <c r="W164" s="104"/>
      <c r="X164" s="104"/>
      <c r="Y164" s="104"/>
      <c r="Z164" s="104"/>
      <c r="AA164" s="104"/>
      <c r="AB164" s="104"/>
      <c r="AC164" s="104"/>
      <c r="AD164" s="104"/>
      <c r="AE164" s="104"/>
      <c r="AF164" s="104"/>
      <c r="AG164" s="104"/>
      <c r="AH164" s="104"/>
      <c r="AI164" s="104"/>
      <c r="AJ164" s="104"/>
      <c r="AK164" s="104"/>
      <c r="AL164" s="104"/>
      <c r="AM164" s="104"/>
      <c r="AN164" s="104"/>
      <c r="AO164" s="104"/>
      <c r="AP164" s="104"/>
      <c r="AQ164" s="104"/>
      <c r="AR164" s="104"/>
      <c r="AS164" s="104"/>
      <c r="AT164" s="104"/>
      <c r="AU164" s="104"/>
      <c r="AV164" s="104"/>
      <c r="AW164" s="104"/>
      <c r="AX164" s="104"/>
      <c r="AY164" s="104"/>
      <c r="AZ164" s="104"/>
      <c r="BA164" s="104"/>
      <c r="BB164" s="104"/>
      <c r="BC164" s="104"/>
      <c r="BD164" s="104"/>
      <c r="BE164" s="104"/>
      <c r="BF164" s="104"/>
      <c r="BG164" s="104"/>
      <c r="BH164" s="104"/>
      <c r="BI164" s="104"/>
      <c r="BJ164" s="104"/>
      <c r="BK164" s="104"/>
      <c r="BL164" s="104"/>
      <c r="BM164" s="104"/>
      <c r="BN164" s="104"/>
      <c r="BO164" s="104"/>
      <c r="BP164" s="104"/>
      <c r="BQ164" s="104"/>
      <c r="BR164" s="104"/>
      <c r="BS164" s="104"/>
      <c r="BT164" s="104"/>
      <c r="BU164" s="104"/>
      <c r="BV164" s="104"/>
      <c r="BW164" s="122"/>
      <c r="BX164" s="122"/>
      <c r="BY164" s="104"/>
      <c r="BZ164" s="104"/>
      <c r="CA164" s="122"/>
      <c r="CB164" s="104"/>
      <c r="CC164" s="104"/>
      <c r="CD164" s="122"/>
      <c r="CE164" s="104"/>
      <c r="CF164" s="104"/>
      <c r="CG164" s="104"/>
      <c r="CH164" s="104"/>
      <c r="CI164" s="104"/>
      <c r="CJ164" s="104"/>
      <c r="CK164" s="104"/>
      <c r="CL164" s="104"/>
      <c r="CM164" s="104"/>
      <c r="CN164" s="104"/>
      <c r="CO164" s="104"/>
      <c r="CP164" s="104"/>
      <c r="CQ164" s="104"/>
      <c r="CR164" s="104"/>
      <c r="CS164" s="104"/>
      <c r="CT164" s="104"/>
      <c r="CU164" s="104"/>
    </row>
    <row r="165">
      <c r="A165" s="595"/>
      <c r="B165" s="202" t="s">
        <v>271</v>
      </c>
      <c r="C165" s="196" t="s">
        <v>271</v>
      </c>
      <c r="D165" s="197" t="s">
        <v>271</v>
      </c>
      <c r="E165" s="199" t="s">
        <v>271</v>
      </c>
      <c r="F165" s="201" t="s">
        <v>271</v>
      </c>
      <c r="G165" s="202" t="s">
        <v>271</v>
      </c>
      <c r="H165" s="609"/>
      <c r="I165" s="609"/>
      <c r="J165" s="104"/>
      <c r="K165" s="104"/>
      <c r="L165" s="104"/>
      <c r="M165" s="104"/>
      <c r="N165" s="104"/>
      <c r="O165" s="104"/>
      <c r="P165" s="104"/>
      <c r="Q165" s="104"/>
      <c r="R165" s="104"/>
      <c r="S165" s="104"/>
      <c r="T165" s="104"/>
      <c r="U165" s="104"/>
      <c r="V165" s="104"/>
      <c r="W165" s="104"/>
      <c r="X165" s="104"/>
      <c r="Y165" s="104"/>
      <c r="Z165" s="104"/>
      <c r="AA165" s="104"/>
      <c r="AB165" s="104"/>
      <c r="AC165" s="104"/>
      <c r="AD165" s="104"/>
      <c r="AE165" s="104"/>
      <c r="AF165" s="104"/>
      <c r="AG165" s="104"/>
      <c r="AH165" s="104"/>
      <c r="AI165" s="104"/>
      <c r="AJ165" s="104"/>
      <c r="AK165" s="104"/>
      <c r="AL165" s="104"/>
      <c r="AM165" s="104"/>
      <c r="AN165" s="104"/>
      <c r="AO165" s="104"/>
      <c r="AP165" s="104"/>
      <c r="AQ165" s="104"/>
      <c r="AR165" s="104"/>
      <c r="AS165" s="104"/>
      <c r="AT165" s="104"/>
      <c r="AU165" s="104"/>
      <c r="AV165" s="104"/>
      <c r="AW165" s="104"/>
      <c r="AX165" s="104"/>
      <c r="AY165" s="104"/>
      <c r="AZ165" s="104"/>
      <c r="BA165" s="104"/>
      <c r="BB165" s="104"/>
      <c r="BC165" s="104"/>
      <c r="BD165" s="104"/>
      <c r="BE165" s="104"/>
      <c r="BF165" s="104"/>
      <c r="BG165" s="104"/>
      <c r="BH165" s="104"/>
      <c r="BI165" s="104"/>
      <c r="BJ165" s="104"/>
      <c r="BK165" s="104"/>
      <c r="BL165" s="104"/>
      <c r="BM165" s="104"/>
      <c r="BN165" s="104"/>
      <c r="BO165" s="104"/>
      <c r="BP165" s="104"/>
      <c r="BQ165" s="104"/>
      <c r="BR165" s="104"/>
      <c r="BS165" s="104"/>
      <c r="BT165" s="104"/>
      <c r="BU165" s="104"/>
      <c r="BV165" s="104"/>
      <c r="BW165" s="122"/>
      <c r="BX165" s="122"/>
      <c r="BY165" s="104"/>
      <c r="BZ165" s="104"/>
      <c r="CA165" s="122"/>
      <c r="CB165" s="104"/>
      <c r="CC165" s="104"/>
      <c r="CD165" s="122"/>
      <c r="CE165" s="104"/>
      <c r="CF165" s="104"/>
      <c r="CG165" s="104"/>
      <c r="CH165" s="104"/>
      <c r="CI165" s="104"/>
      <c r="CJ165" s="104"/>
      <c r="CK165" s="104"/>
      <c r="CL165" s="104"/>
      <c r="CM165" s="104"/>
      <c r="CN165" s="104"/>
      <c r="CO165" s="104"/>
      <c r="CP165" s="104"/>
      <c r="CQ165" s="104"/>
      <c r="CR165" s="104"/>
      <c r="CS165" s="104"/>
      <c r="CT165" s="104"/>
      <c r="CU165" s="104"/>
    </row>
    <row r="166">
      <c r="A166" s="595"/>
      <c r="B166" s="202" t="s">
        <v>271</v>
      </c>
      <c r="C166" s="196" t="s">
        <v>271</v>
      </c>
      <c r="D166" s="197" t="s">
        <v>271</v>
      </c>
      <c r="E166" s="199" t="s">
        <v>271</v>
      </c>
      <c r="F166" s="201" t="s">
        <v>271</v>
      </c>
      <c r="G166" s="202" t="s">
        <v>271</v>
      </c>
      <c r="H166" s="609"/>
      <c r="I166" s="609"/>
      <c r="J166" s="104"/>
      <c r="K166" s="104"/>
      <c r="L166" s="104"/>
      <c r="M166" s="104"/>
      <c r="N166" s="104"/>
      <c r="O166" s="104"/>
      <c r="P166" s="104"/>
      <c r="Q166" s="104"/>
      <c r="R166" s="104"/>
      <c r="S166" s="104"/>
      <c r="T166" s="104"/>
      <c r="U166" s="104"/>
      <c r="V166" s="104"/>
      <c r="W166" s="104"/>
      <c r="X166" s="104"/>
      <c r="Y166" s="104"/>
      <c r="Z166" s="104"/>
      <c r="AA166" s="104"/>
      <c r="AB166" s="104"/>
      <c r="AC166" s="104"/>
      <c r="AD166" s="104"/>
      <c r="AE166" s="104"/>
      <c r="AF166" s="104"/>
      <c r="AG166" s="104"/>
      <c r="AH166" s="104"/>
      <c r="AI166" s="104"/>
      <c r="AJ166" s="104"/>
      <c r="AK166" s="104"/>
      <c r="AL166" s="104"/>
      <c r="AM166" s="104"/>
      <c r="AN166" s="104"/>
      <c r="AO166" s="104"/>
      <c r="AP166" s="104"/>
      <c r="AQ166" s="104"/>
      <c r="AR166" s="104"/>
      <c r="AS166" s="104"/>
      <c r="AT166" s="104"/>
      <c r="AU166" s="104"/>
      <c r="AV166" s="104"/>
      <c r="AW166" s="104"/>
      <c r="AX166" s="104"/>
      <c r="AY166" s="104"/>
      <c r="AZ166" s="104"/>
      <c r="BA166" s="104"/>
      <c r="BB166" s="104"/>
      <c r="BC166" s="104"/>
      <c r="BD166" s="104"/>
      <c r="BE166" s="104"/>
      <c r="BF166" s="104"/>
      <c r="BG166" s="104"/>
      <c r="BH166" s="104"/>
      <c r="BI166" s="104"/>
      <c r="BJ166" s="104"/>
      <c r="BK166" s="104"/>
      <c r="BL166" s="104"/>
      <c r="BM166" s="104"/>
      <c r="BN166" s="104"/>
      <c r="BO166" s="104"/>
      <c r="BP166" s="104"/>
      <c r="BQ166" s="104"/>
      <c r="BR166" s="104"/>
      <c r="BS166" s="104"/>
      <c r="BT166" s="104"/>
      <c r="BU166" s="104"/>
      <c r="BV166" s="104"/>
      <c r="BW166" s="122"/>
      <c r="BX166" s="122"/>
      <c r="BY166" s="104"/>
      <c r="BZ166" s="104"/>
      <c r="CA166" s="122"/>
      <c r="CB166" s="104"/>
      <c r="CC166" s="104"/>
      <c r="CD166" s="122"/>
      <c r="CE166" s="104"/>
      <c r="CF166" s="104"/>
      <c r="CG166" s="104"/>
      <c r="CH166" s="104"/>
      <c r="CI166" s="104"/>
      <c r="CJ166" s="104"/>
      <c r="CK166" s="104"/>
      <c r="CL166" s="104"/>
      <c r="CM166" s="104"/>
      <c r="CN166" s="104"/>
      <c r="CO166" s="104"/>
      <c r="CP166" s="104"/>
      <c r="CQ166" s="104"/>
      <c r="CR166" s="104"/>
      <c r="CS166" s="104"/>
      <c r="CT166" s="104"/>
      <c r="CU166" s="104"/>
    </row>
    <row r="167">
      <c r="A167" s="595"/>
      <c r="B167" s="202" t="s">
        <v>271</v>
      </c>
      <c r="C167" s="196" t="s">
        <v>271</v>
      </c>
      <c r="D167" s="197" t="s">
        <v>271</v>
      </c>
      <c r="E167" s="199" t="s">
        <v>271</v>
      </c>
      <c r="F167" s="201" t="s">
        <v>271</v>
      </c>
      <c r="G167" s="202" t="s">
        <v>271</v>
      </c>
      <c r="H167" s="609"/>
      <c r="I167" s="609"/>
      <c r="J167" s="104"/>
      <c r="K167" s="104"/>
      <c r="L167" s="104"/>
      <c r="M167" s="104"/>
      <c r="N167" s="104"/>
      <c r="O167" s="104"/>
      <c r="P167" s="104"/>
      <c r="Q167" s="104"/>
      <c r="R167" s="104"/>
      <c r="S167" s="104"/>
      <c r="T167" s="104"/>
      <c r="U167" s="104"/>
      <c r="V167" s="104"/>
      <c r="W167" s="104"/>
      <c r="X167" s="104"/>
      <c r="Y167" s="104"/>
      <c r="Z167" s="104"/>
      <c r="AA167" s="104"/>
      <c r="AB167" s="104"/>
      <c r="AC167" s="104"/>
      <c r="AD167" s="104"/>
      <c r="AE167" s="104"/>
      <c r="AF167" s="104"/>
      <c r="AG167" s="104"/>
      <c r="AH167" s="104"/>
      <c r="AI167" s="104"/>
      <c r="AJ167" s="104"/>
      <c r="AK167" s="104"/>
      <c r="AL167" s="104"/>
      <c r="AM167" s="104"/>
      <c r="AN167" s="104"/>
      <c r="AO167" s="104"/>
      <c r="AP167" s="104"/>
      <c r="AQ167" s="104"/>
      <c r="AR167" s="104"/>
      <c r="AS167" s="104"/>
      <c r="AT167" s="104"/>
      <c r="AU167" s="104"/>
      <c r="AV167" s="104"/>
      <c r="AW167" s="104"/>
      <c r="AX167" s="104"/>
      <c r="AY167" s="104"/>
      <c r="AZ167" s="104"/>
      <c r="BA167" s="104"/>
      <c r="BB167" s="104"/>
      <c r="BC167" s="104"/>
      <c r="BD167" s="104"/>
      <c r="BE167" s="104"/>
      <c r="BF167" s="104"/>
      <c r="BG167" s="104"/>
      <c r="BH167" s="104"/>
      <c r="BI167" s="104"/>
      <c r="BJ167" s="104"/>
      <c r="BK167" s="104"/>
      <c r="BL167" s="104"/>
      <c r="BM167" s="104"/>
      <c r="BN167" s="104"/>
      <c r="BO167" s="104"/>
      <c r="BP167" s="104"/>
      <c r="BQ167" s="104"/>
      <c r="BR167" s="104"/>
      <c r="BS167" s="104"/>
      <c r="BT167" s="104"/>
      <c r="BU167" s="104"/>
      <c r="BV167" s="104"/>
      <c r="BW167" s="122"/>
      <c r="BX167" s="122"/>
      <c r="BY167" s="104"/>
      <c r="BZ167" s="104"/>
      <c r="CA167" s="122"/>
      <c r="CB167" s="104"/>
      <c r="CC167" s="104"/>
      <c r="CD167" s="122"/>
      <c r="CE167" s="104"/>
      <c r="CF167" s="104"/>
      <c r="CG167" s="104"/>
      <c r="CH167" s="104"/>
      <c r="CI167" s="104"/>
      <c r="CJ167" s="104"/>
      <c r="CK167" s="104"/>
      <c r="CL167" s="104"/>
      <c r="CM167" s="104"/>
      <c r="CN167" s="104"/>
      <c r="CO167" s="104"/>
      <c r="CP167" s="104"/>
      <c r="CQ167" s="104"/>
      <c r="CR167" s="104"/>
      <c r="CS167" s="104"/>
      <c r="CT167" s="104"/>
      <c r="CU167" s="104"/>
    </row>
    <row r="168">
      <c r="A168" s="595"/>
      <c r="B168" s="202" t="s">
        <v>271</v>
      </c>
      <c r="C168" s="196" t="s">
        <v>271</v>
      </c>
      <c r="D168" s="197" t="s">
        <v>271</v>
      </c>
      <c r="E168" s="199" t="s">
        <v>271</v>
      </c>
      <c r="F168" s="201" t="s">
        <v>271</v>
      </c>
      <c r="G168" s="202" t="s">
        <v>271</v>
      </c>
      <c r="H168" s="609"/>
      <c r="I168" s="609"/>
      <c r="J168" s="104"/>
      <c r="K168" s="104"/>
      <c r="L168" s="104"/>
      <c r="M168" s="104"/>
      <c r="N168" s="104"/>
      <c r="O168" s="104"/>
      <c r="P168" s="104"/>
      <c r="Q168" s="104"/>
      <c r="R168" s="104"/>
      <c r="S168" s="104"/>
      <c r="T168" s="104"/>
      <c r="U168" s="104"/>
      <c r="V168" s="104"/>
      <c r="W168" s="104"/>
      <c r="X168" s="104"/>
      <c r="Y168" s="104"/>
      <c r="Z168" s="104"/>
      <c r="AA168" s="104"/>
      <c r="AB168" s="104"/>
      <c r="AC168" s="104"/>
      <c r="AD168" s="104"/>
      <c r="AE168" s="104"/>
      <c r="AF168" s="104"/>
      <c r="AG168" s="104"/>
      <c r="AH168" s="104"/>
      <c r="AI168" s="104"/>
      <c r="AJ168" s="104"/>
      <c r="AK168" s="104"/>
      <c r="AL168" s="104"/>
      <c r="AM168" s="104"/>
      <c r="AN168" s="104"/>
      <c r="AO168" s="104"/>
      <c r="AP168" s="104"/>
      <c r="AQ168" s="104"/>
      <c r="AR168" s="104"/>
      <c r="AS168" s="104"/>
      <c r="AT168" s="104"/>
      <c r="AU168" s="104"/>
      <c r="AV168" s="104"/>
      <c r="AW168" s="104"/>
      <c r="AX168" s="104"/>
      <c r="AY168" s="104"/>
      <c r="AZ168" s="104"/>
      <c r="BA168" s="104"/>
      <c r="BB168" s="104"/>
      <c r="BC168" s="104"/>
      <c r="BD168" s="104"/>
      <c r="BE168" s="104"/>
      <c r="BF168" s="104"/>
      <c r="BG168" s="104"/>
      <c r="BH168" s="104"/>
      <c r="BI168" s="104"/>
      <c r="BJ168" s="104"/>
      <c r="BK168" s="104"/>
      <c r="BL168" s="104"/>
      <c r="BM168" s="104"/>
      <c r="BN168" s="104"/>
      <c r="BO168" s="104"/>
      <c r="BP168" s="104"/>
      <c r="BQ168" s="104"/>
      <c r="BR168" s="104"/>
      <c r="BS168" s="104"/>
      <c r="BT168" s="104"/>
      <c r="BU168" s="104"/>
      <c r="BV168" s="104"/>
      <c r="BW168" s="122"/>
      <c r="BX168" s="122"/>
      <c r="BY168" s="104"/>
      <c r="BZ168" s="104"/>
      <c r="CA168" s="122"/>
      <c r="CB168" s="104"/>
      <c r="CC168" s="104"/>
      <c r="CD168" s="122"/>
      <c r="CE168" s="104"/>
      <c r="CF168" s="104"/>
      <c r="CG168" s="104"/>
      <c r="CH168" s="104"/>
      <c r="CI168" s="104"/>
      <c r="CJ168" s="104"/>
      <c r="CK168" s="104"/>
      <c r="CL168" s="104"/>
      <c r="CM168" s="104"/>
      <c r="CN168" s="104"/>
      <c r="CO168" s="104"/>
      <c r="CP168" s="104"/>
      <c r="CQ168" s="104"/>
      <c r="CR168" s="104"/>
      <c r="CS168" s="104"/>
      <c r="CT168" s="104"/>
      <c r="CU168" s="104"/>
    </row>
    <row r="169">
      <c r="A169" s="595"/>
      <c r="B169" s="202" t="s">
        <v>271</v>
      </c>
      <c r="C169" s="196" t="s">
        <v>271</v>
      </c>
      <c r="D169" s="197" t="s">
        <v>271</v>
      </c>
      <c r="E169" s="199" t="s">
        <v>271</v>
      </c>
      <c r="F169" s="201" t="s">
        <v>271</v>
      </c>
      <c r="G169" s="202" t="s">
        <v>271</v>
      </c>
      <c r="H169" s="609"/>
      <c r="I169" s="609"/>
      <c r="J169" s="104"/>
      <c r="K169" s="104"/>
      <c r="L169" s="104"/>
      <c r="M169" s="104"/>
      <c r="N169" s="104"/>
      <c r="O169" s="104"/>
      <c r="P169" s="104"/>
      <c r="Q169" s="104"/>
      <c r="R169" s="104"/>
      <c r="S169" s="104"/>
      <c r="T169" s="104"/>
      <c r="U169" s="104"/>
      <c r="V169" s="104"/>
      <c r="W169" s="104"/>
      <c r="X169" s="104"/>
      <c r="Y169" s="104"/>
      <c r="Z169" s="104"/>
      <c r="AA169" s="104"/>
      <c r="AB169" s="104"/>
      <c r="AC169" s="104"/>
      <c r="AD169" s="104"/>
      <c r="AE169" s="104"/>
      <c r="AF169" s="104"/>
      <c r="AG169" s="104"/>
      <c r="AH169" s="104"/>
      <c r="AI169" s="104"/>
      <c r="AJ169" s="104"/>
      <c r="AK169" s="104"/>
      <c r="AL169" s="104"/>
      <c r="AM169" s="104"/>
      <c r="AN169" s="104"/>
      <c r="AO169" s="104"/>
      <c r="AP169" s="104"/>
      <c r="AQ169" s="104"/>
      <c r="AR169" s="104"/>
      <c r="AS169" s="104"/>
      <c r="AT169" s="104"/>
      <c r="AU169" s="104"/>
      <c r="AV169" s="104"/>
      <c r="AW169" s="104"/>
      <c r="AX169" s="104"/>
      <c r="AY169" s="104"/>
      <c r="AZ169" s="104"/>
      <c r="BA169" s="104"/>
      <c r="BB169" s="104"/>
      <c r="BC169" s="104"/>
      <c r="BD169" s="104"/>
      <c r="BE169" s="104"/>
      <c r="BF169" s="104"/>
      <c r="BG169" s="104"/>
      <c r="BH169" s="104"/>
      <c r="BI169" s="104"/>
      <c r="BJ169" s="104"/>
      <c r="BK169" s="104"/>
      <c r="BL169" s="104"/>
      <c r="BM169" s="104"/>
      <c r="BN169" s="104"/>
      <c r="BO169" s="104"/>
      <c r="BP169" s="104"/>
      <c r="BQ169" s="104"/>
      <c r="BR169" s="104"/>
      <c r="BS169" s="104"/>
      <c r="BT169" s="104"/>
      <c r="BU169" s="104"/>
      <c r="BV169" s="104"/>
      <c r="BW169" s="122"/>
      <c r="BX169" s="122"/>
      <c r="BY169" s="104"/>
      <c r="BZ169" s="104"/>
      <c r="CA169" s="122"/>
      <c r="CB169" s="104"/>
      <c r="CC169" s="104"/>
      <c r="CD169" s="122"/>
      <c r="CE169" s="104"/>
      <c r="CF169" s="104"/>
      <c r="CG169" s="104"/>
      <c r="CH169" s="104"/>
      <c r="CI169" s="104"/>
      <c r="CJ169" s="104"/>
      <c r="CK169" s="104"/>
      <c r="CL169" s="104"/>
      <c r="CM169" s="104"/>
      <c r="CN169" s="104"/>
      <c r="CO169" s="104"/>
      <c r="CP169" s="104"/>
      <c r="CQ169" s="104"/>
      <c r="CR169" s="104"/>
      <c r="CS169" s="104"/>
      <c r="CT169" s="104"/>
      <c r="CU169" s="104"/>
    </row>
    <row r="170">
      <c r="A170" s="595"/>
      <c r="B170" s="202" t="s">
        <v>271</v>
      </c>
      <c r="C170" s="196" t="s">
        <v>271</v>
      </c>
      <c r="D170" s="197" t="s">
        <v>271</v>
      </c>
      <c r="E170" s="199" t="s">
        <v>271</v>
      </c>
      <c r="F170" s="201" t="s">
        <v>271</v>
      </c>
      <c r="G170" s="202" t="s">
        <v>271</v>
      </c>
      <c r="H170" s="609"/>
      <c r="I170" s="609"/>
      <c r="J170" s="104"/>
      <c r="K170" s="104"/>
      <c r="L170" s="104"/>
      <c r="M170" s="104"/>
      <c r="N170" s="104"/>
      <c r="O170" s="104"/>
      <c r="P170" s="104"/>
      <c r="Q170" s="104"/>
      <c r="R170" s="104"/>
      <c r="S170" s="104"/>
      <c r="T170" s="104"/>
      <c r="U170" s="104"/>
      <c r="V170" s="104"/>
      <c r="W170" s="104"/>
      <c r="X170" s="104"/>
      <c r="Y170" s="104"/>
      <c r="Z170" s="104"/>
      <c r="AA170" s="104"/>
      <c r="AB170" s="104"/>
      <c r="AC170" s="104"/>
      <c r="AD170" s="104"/>
      <c r="AE170" s="104"/>
      <c r="AF170" s="104"/>
      <c r="AG170" s="104"/>
      <c r="AH170" s="104"/>
      <c r="AI170" s="104"/>
      <c r="AJ170" s="104"/>
      <c r="AK170" s="104"/>
      <c r="AL170" s="104"/>
      <c r="AM170" s="104"/>
      <c r="AN170" s="104"/>
      <c r="AO170" s="104"/>
      <c r="AP170" s="104"/>
      <c r="AQ170" s="104"/>
      <c r="AR170" s="104"/>
      <c r="AS170" s="104"/>
      <c r="AT170" s="104"/>
      <c r="AU170" s="104"/>
      <c r="AV170" s="104"/>
      <c r="AW170" s="104"/>
      <c r="AX170" s="104"/>
      <c r="AY170" s="104"/>
      <c r="AZ170" s="104"/>
      <c r="BA170" s="104"/>
      <c r="BB170" s="104"/>
      <c r="BC170" s="104"/>
      <c r="BD170" s="104"/>
      <c r="BE170" s="104"/>
      <c r="BF170" s="104"/>
      <c r="BG170" s="104"/>
      <c r="BH170" s="104"/>
      <c r="BI170" s="104"/>
      <c r="BJ170" s="104"/>
      <c r="BK170" s="104"/>
      <c r="BL170" s="104"/>
      <c r="BM170" s="104"/>
      <c r="BN170" s="104"/>
      <c r="BO170" s="104"/>
      <c r="BP170" s="104"/>
      <c r="BQ170" s="104"/>
      <c r="BR170" s="104"/>
      <c r="BS170" s="104"/>
      <c r="BT170" s="104"/>
      <c r="BU170" s="104"/>
      <c r="BV170" s="104"/>
      <c r="BW170" s="122"/>
      <c r="BX170" s="122"/>
      <c r="BY170" s="104"/>
      <c r="BZ170" s="122"/>
      <c r="CA170" s="122"/>
      <c r="CB170" s="104"/>
      <c r="CC170" s="104"/>
      <c r="CD170" s="122"/>
      <c r="CE170" s="104"/>
      <c r="CF170" s="104"/>
      <c r="CG170" s="104"/>
      <c r="CH170" s="104"/>
      <c r="CI170" s="104"/>
      <c r="CJ170" s="104"/>
      <c r="CK170" s="104"/>
      <c r="CL170" s="104"/>
      <c r="CM170" s="104"/>
      <c r="CN170" s="104"/>
      <c r="CO170" s="104"/>
      <c r="CP170" s="104"/>
      <c r="CQ170" s="104"/>
      <c r="CR170" s="104"/>
      <c r="CS170" s="104"/>
      <c r="CT170" s="104"/>
      <c r="CU170" s="104"/>
    </row>
    <row r="171">
      <c r="A171" s="595"/>
      <c r="B171" s="202" t="s">
        <v>271</v>
      </c>
      <c r="C171" s="196" t="s">
        <v>271</v>
      </c>
      <c r="D171" s="197" t="s">
        <v>271</v>
      </c>
      <c r="E171" s="199" t="s">
        <v>271</v>
      </c>
      <c r="F171" s="201" t="s">
        <v>271</v>
      </c>
      <c r="G171" s="202" t="s">
        <v>271</v>
      </c>
      <c r="H171" s="609"/>
      <c r="I171" s="609"/>
      <c r="J171" s="104"/>
      <c r="K171" s="104"/>
      <c r="L171" s="104"/>
      <c r="M171" s="104"/>
      <c r="N171" s="104"/>
      <c r="O171" s="104"/>
      <c r="P171" s="104"/>
      <c r="Q171" s="104"/>
      <c r="R171" s="104"/>
      <c r="S171" s="104"/>
      <c r="T171" s="104"/>
      <c r="U171" s="104"/>
      <c r="V171" s="104"/>
      <c r="W171" s="104"/>
      <c r="X171" s="104"/>
      <c r="Y171" s="104"/>
      <c r="Z171" s="104"/>
      <c r="AA171" s="104"/>
      <c r="AB171" s="104"/>
      <c r="AC171" s="104"/>
      <c r="AD171" s="104"/>
      <c r="AE171" s="104"/>
      <c r="AF171" s="104"/>
      <c r="AG171" s="104"/>
      <c r="AH171" s="104"/>
      <c r="AI171" s="104"/>
      <c r="AJ171" s="104"/>
      <c r="AK171" s="104"/>
      <c r="AL171" s="104"/>
      <c r="AM171" s="104"/>
      <c r="AN171" s="104"/>
      <c r="AO171" s="104"/>
      <c r="AP171" s="104"/>
      <c r="AQ171" s="104"/>
      <c r="AR171" s="104"/>
      <c r="AS171" s="104"/>
      <c r="AT171" s="104"/>
      <c r="AU171" s="104"/>
      <c r="AV171" s="104"/>
      <c r="AW171" s="104"/>
      <c r="AX171" s="104"/>
      <c r="AY171" s="104"/>
      <c r="AZ171" s="104"/>
      <c r="BA171" s="104"/>
      <c r="BB171" s="104"/>
      <c r="BC171" s="104"/>
      <c r="BD171" s="104"/>
      <c r="BE171" s="104"/>
      <c r="BF171" s="104"/>
      <c r="BG171" s="104"/>
      <c r="BH171" s="104"/>
      <c r="BI171" s="104"/>
      <c r="BJ171" s="104"/>
      <c r="BK171" s="104"/>
      <c r="BL171" s="104"/>
      <c r="BM171" s="104"/>
      <c r="BN171" s="104"/>
      <c r="BO171" s="104"/>
      <c r="BP171" s="104"/>
      <c r="BQ171" s="104"/>
      <c r="BR171" s="104"/>
      <c r="BS171" s="104"/>
      <c r="BT171" s="104"/>
      <c r="BU171" s="104"/>
      <c r="BV171" s="104"/>
      <c r="BW171" s="122"/>
      <c r="BX171" s="122"/>
      <c r="BY171" s="104"/>
      <c r="BZ171" s="122"/>
      <c r="CA171" s="122"/>
      <c r="CB171" s="104"/>
      <c r="CC171" s="104"/>
      <c r="CD171" s="122"/>
      <c r="CE171" s="104"/>
      <c r="CF171" s="104"/>
      <c r="CG171" s="104"/>
      <c r="CH171" s="104"/>
      <c r="CI171" s="104"/>
      <c r="CJ171" s="104"/>
      <c r="CK171" s="104"/>
      <c r="CL171" s="104"/>
      <c r="CM171" s="104"/>
      <c r="CN171" s="104"/>
      <c r="CO171" s="104"/>
      <c r="CP171" s="104"/>
      <c r="CQ171" s="104"/>
      <c r="CR171" s="104"/>
      <c r="CS171" s="104"/>
      <c r="CT171" s="104"/>
      <c r="CU171" s="104"/>
    </row>
    <row r="172">
      <c r="A172" s="595"/>
      <c r="B172" s="202" t="s">
        <v>271</v>
      </c>
      <c r="C172" s="196" t="s">
        <v>271</v>
      </c>
      <c r="D172" s="197" t="s">
        <v>271</v>
      </c>
      <c r="E172" s="199" t="s">
        <v>271</v>
      </c>
      <c r="F172" s="201" t="s">
        <v>271</v>
      </c>
      <c r="G172" s="202" t="s">
        <v>271</v>
      </c>
      <c r="H172" s="609"/>
      <c r="I172" s="609"/>
      <c r="J172" s="104"/>
      <c r="K172" s="104"/>
      <c r="L172" s="104"/>
      <c r="M172" s="104"/>
      <c r="N172" s="104"/>
      <c r="O172" s="104"/>
      <c r="P172" s="104"/>
      <c r="Q172" s="104"/>
      <c r="R172" s="104"/>
      <c r="S172" s="104"/>
      <c r="T172" s="104"/>
      <c r="U172" s="104"/>
      <c r="V172" s="104"/>
      <c r="W172" s="104"/>
      <c r="X172" s="104"/>
      <c r="Y172" s="104"/>
      <c r="Z172" s="104"/>
      <c r="AA172" s="104"/>
      <c r="AB172" s="104"/>
      <c r="AC172" s="104"/>
      <c r="AD172" s="104"/>
      <c r="AE172" s="104"/>
      <c r="AF172" s="104"/>
      <c r="AG172" s="104"/>
      <c r="AH172" s="104"/>
      <c r="AI172" s="104"/>
      <c r="AJ172" s="104"/>
      <c r="AK172" s="104"/>
      <c r="AL172" s="104"/>
      <c r="AM172" s="104"/>
      <c r="AN172" s="104"/>
      <c r="AO172" s="104"/>
      <c r="AP172" s="104"/>
      <c r="AQ172" s="104"/>
      <c r="AR172" s="104"/>
      <c r="AS172" s="104"/>
      <c r="AT172" s="104"/>
      <c r="AU172" s="104"/>
      <c r="AV172" s="104"/>
      <c r="AW172" s="104"/>
      <c r="AX172" s="104"/>
      <c r="AY172" s="104"/>
      <c r="AZ172" s="104"/>
      <c r="BA172" s="104"/>
      <c r="BB172" s="104"/>
      <c r="BC172" s="104"/>
      <c r="BD172" s="104"/>
      <c r="BE172" s="104"/>
      <c r="BF172" s="104"/>
      <c r="BG172" s="104"/>
      <c r="BH172" s="104"/>
      <c r="BI172" s="104"/>
      <c r="BJ172" s="104"/>
      <c r="BK172" s="104"/>
      <c r="BL172" s="104"/>
      <c r="BM172" s="104"/>
      <c r="BN172" s="104"/>
      <c r="BO172" s="104"/>
      <c r="BP172" s="104"/>
      <c r="BQ172" s="104"/>
      <c r="BR172" s="104"/>
      <c r="BS172" s="104"/>
      <c r="BT172" s="104"/>
      <c r="BU172" s="104"/>
      <c r="BV172" s="104"/>
      <c r="BW172" s="122"/>
      <c r="BX172" s="122"/>
      <c r="BY172" s="104"/>
      <c r="BZ172" s="122"/>
      <c r="CA172" s="122"/>
      <c r="CB172" s="104"/>
      <c r="CC172" s="104"/>
      <c r="CD172" s="122"/>
      <c r="CE172" s="104"/>
      <c r="CF172" s="104"/>
      <c r="CG172" s="104"/>
      <c r="CH172" s="104"/>
      <c r="CI172" s="104"/>
      <c r="CJ172" s="104"/>
      <c r="CK172" s="104"/>
      <c r="CL172" s="104"/>
      <c r="CM172" s="104"/>
      <c r="CN172" s="104"/>
      <c r="CO172" s="104"/>
      <c r="CP172" s="104"/>
      <c r="CQ172" s="104"/>
      <c r="CR172" s="104"/>
      <c r="CS172" s="104"/>
      <c r="CT172" s="104"/>
      <c r="CU172" s="104"/>
    </row>
    <row r="173">
      <c r="A173" s="595"/>
      <c r="B173" s="202" t="s">
        <v>271</v>
      </c>
      <c r="C173" s="196" t="s">
        <v>271</v>
      </c>
      <c r="D173" s="197" t="s">
        <v>271</v>
      </c>
      <c r="E173" s="199" t="s">
        <v>271</v>
      </c>
      <c r="F173" s="201" t="s">
        <v>271</v>
      </c>
      <c r="G173" s="202" t="s">
        <v>271</v>
      </c>
      <c r="H173" s="609"/>
      <c r="I173" s="609"/>
      <c r="J173" s="104"/>
      <c r="K173" s="104"/>
      <c r="L173" s="104"/>
      <c r="M173" s="104"/>
      <c r="N173" s="104"/>
      <c r="O173" s="104"/>
      <c r="P173" s="104"/>
      <c r="Q173" s="104"/>
      <c r="R173" s="104"/>
      <c r="S173" s="104"/>
      <c r="T173" s="104"/>
      <c r="U173" s="104"/>
      <c r="V173" s="104"/>
      <c r="W173" s="104"/>
      <c r="X173" s="104"/>
      <c r="Y173" s="104"/>
      <c r="Z173" s="104"/>
      <c r="AA173" s="104"/>
      <c r="AB173" s="104"/>
      <c r="AC173" s="104"/>
      <c r="AD173" s="104"/>
      <c r="AE173" s="104"/>
      <c r="AF173" s="104"/>
      <c r="AG173" s="104"/>
      <c r="AH173" s="104"/>
      <c r="AI173" s="104"/>
      <c r="AJ173" s="104"/>
      <c r="AK173" s="104"/>
      <c r="AL173" s="104"/>
      <c r="AM173" s="104"/>
      <c r="AN173" s="104"/>
      <c r="AO173" s="104"/>
      <c r="AP173" s="104"/>
      <c r="AQ173" s="104"/>
      <c r="AR173" s="104"/>
      <c r="AS173" s="104"/>
      <c r="AT173" s="104"/>
      <c r="AU173" s="104"/>
      <c r="AV173" s="104"/>
      <c r="AW173" s="104"/>
      <c r="AX173" s="104"/>
      <c r="AY173" s="104"/>
      <c r="AZ173" s="104"/>
      <c r="BA173" s="104"/>
      <c r="BB173" s="104"/>
      <c r="BC173" s="104"/>
      <c r="BD173" s="104"/>
      <c r="BE173" s="104"/>
      <c r="BF173" s="104"/>
      <c r="BG173" s="104"/>
      <c r="BH173" s="104"/>
      <c r="BI173" s="104"/>
      <c r="BJ173" s="104"/>
      <c r="BK173" s="104"/>
      <c r="BL173" s="104"/>
      <c r="BM173" s="104"/>
      <c r="BN173" s="104"/>
      <c r="BO173" s="104"/>
      <c r="BP173" s="104"/>
      <c r="BQ173" s="104"/>
      <c r="BR173" s="104"/>
      <c r="BS173" s="104"/>
      <c r="BT173" s="104"/>
      <c r="BU173" s="104"/>
      <c r="BV173" s="104"/>
      <c r="BW173" s="122"/>
      <c r="BX173" s="122"/>
      <c r="BY173" s="104"/>
      <c r="BZ173" s="122"/>
      <c r="CA173" s="122"/>
      <c r="CB173" s="104"/>
      <c r="CC173" s="104"/>
      <c r="CD173" s="122"/>
      <c r="CE173" s="104"/>
      <c r="CF173" s="104"/>
      <c r="CG173" s="104"/>
      <c r="CH173" s="104"/>
      <c r="CI173" s="104"/>
      <c r="CJ173" s="104"/>
      <c r="CK173" s="104"/>
      <c r="CL173" s="104"/>
      <c r="CM173" s="104"/>
      <c r="CN173" s="104"/>
      <c r="CO173" s="104"/>
      <c r="CP173" s="104"/>
      <c r="CQ173" s="104"/>
      <c r="CR173" s="104"/>
      <c r="CS173" s="104"/>
      <c r="CT173" s="104"/>
      <c r="CU173" s="104"/>
    </row>
    <row r="174">
      <c r="A174" s="595"/>
      <c r="B174" s="202" t="s">
        <v>271</v>
      </c>
      <c r="C174" s="196" t="s">
        <v>271</v>
      </c>
      <c r="D174" s="197" t="s">
        <v>271</v>
      </c>
      <c r="E174" s="199" t="s">
        <v>271</v>
      </c>
      <c r="F174" s="201" t="s">
        <v>271</v>
      </c>
      <c r="G174" s="202" t="s">
        <v>271</v>
      </c>
      <c r="H174" s="609"/>
      <c r="I174" s="609"/>
      <c r="J174" s="104"/>
      <c r="K174" s="104"/>
      <c r="L174" s="104"/>
      <c r="M174" s="104"/>
      <c r="N174" s="104"/>
      <c r="O174" s="104"/>
      <c r="P174" s="104"/>
      <c r="Q174" s="104"/>
      <c r="R174" s="104"/>
      <c r="S174" s="104"/>
      <c r="T174" s="104"/>
      <c r="U174" s="104"/>
      <c r="V174" s="104"/>
      <c r="W174" s="104"/>
      <c r="X174" s="104"/>
      <c r="Y174" s="104"/>
      <c r="Z174" s="104"/>
      <c r="AA174" s="104"/>
      <c r="AB174" s="104"/>
      <c r="AC174" s="104"/>
      <c r="AD174" s="104"/>
      <c r="AE174" s="104"/>
      <c r="AF174" s="104"/>
      <c r="AG174" s="104"/>
      <c r="AH174" s="104"/>
      <c r="AI174" s="104"/>
      <c r="AJ174" s="104"/>
      <c r="AK174" s="104"/>
      <c r="AL174" s="104"/>
      <c r="AM174" s="104"/>
      <c r="AN174" s="104"/>
      <c r="AO174" s="104"/>
      <c r="AP174" s="104"/>
      <c r="AQ174" s="104"/>
      <c r="AR174" s="104"/>
      <c r="AS174" s="104"/>
      <c r="AT174" s="104"/>
      <c r="AU174" s="104"/>
      <c r="AV174" s="104"/>
      <c r="AW174" s="104"/>
      <c r="AX174" s="104"/>
      <c r="AY174" s="104"/>
      <c r="AZ174" s="104"/>
      <c r="BA174" s="104"/>
      <c r="BB174" s="104"/>
      <c r="BC174" s="104"/>
      <c r="BD174" s="104"/>
      <c r="BE174" s="104"/>
      <c r="BF174" s="104"/>
      <c r="BG174" s="104"/>
      <c r="BH174" s="104"/>
      <c r="BI174" s="104"/>
      <c r="BJ174" s="104"/>
      <c r="BK174" s="104"/>
      <c r="BL174" s="104"/>
      <c r="BM174" s="104"/>
      <c r="BN174" s="104"/>
      <c r="BO174" s="104"/>
      <c r="BP174" s="104"/>
      <c r="BQ174" s="104"/>
      <c r="BR174" s="104"/>
      <c r="BS174" s="104"/>
      <c r="BT174" s="104"/>
      <c r="BU174" s="104"/>
      <c r="BV174" s="104"/>
      <c r="BW174" s="122"/>
      <c r="BX174" s="122"/>
      <c r="BY174" s="104"/>
      <c r="BZ174" s="122"/>
      <c r="CA174" s="122"/>
      <c r="CB174" s="104"/>
      <c r="CC174" s="104"/>
      <c r="CD174" s="122"/>
      <c r="CE174" s="104"/>
      <c r="CF174" s="104"/>
      <c r="CG174" s="104"/>
      <c r="CH174" s="104"/>
      <c r="CI174" s="104"/>
      <c r="CJ174" s="104"/>
      <c r="CK174" s="104"/>
      <c r="CL174" s="104"/>
      <c r="CM174" s="104"/>
      <c r="CN174" s="104"/>
      <c r="CO174" s="104"/>
      <c r="CP174" s="104"/>
      <c r="CQ174" s="104"/>
      <c r="CR174" s="104"/>
      <c r="CS174" s="104"/>
      <c r="CT174" s="104"/>
      <c r="CU174" s="104"/>
    </row>
    <row r="175">
      <c r="A175" s="595"/>
      <c r="B175" s="202" t="s">
        <v>271</v>
      </c>
      <c r="C175" s="196" t="s">
        <v>271</v>
      </c>
      <c r="D175" s="197" t="s">
        <v>271</v>
      </c>
      <c r="E175" s="199" t="s">
        <v>271</v>
      </c>
      <c r="F175" s="201" t="s">
        <v>271</v>
      </c>
      <c r="G175" s="202" t="s">
        <v>271</v>
      </c>
      <c r="H175" s="609"/>
      <c r="I175" s="609"/>
      <c r="J175" s="104"/>
      <c r="K175" s="104"/>
      <c r="L175" s="104"/>
      <c r="M175" s="104"/>
      <c r="N175" s="104"/>
      <c r="O175" s="104"/>
      <c r="P175" s="104"/>
      <c r="Q175" s="104"/>
      <c r="R175" s="104"/>
      <c r="S175" s="104"/>
      <c r="T175" s="104"/>
      <c r="U175" s="104"/>
      <c r="V175" s="104"/>
      <c r="W175" s="104"/>
      <c r="X175" s="104"/>
      <c r="Y175" s="104"/>
      <c r="Z175" s="104"/>
      <c r="AA175" s="104"/>
      <c r="AB175" s="104"/>
      <c r="AC175" s="104"/>
      <c r="AD175" s="104"/>
      <c r="AE175" s="104"/>
      <c r="AF175" s="104"/>
      <c r="AG175" s="104"/>
      <c r="AH175" s="104"/>
      <c r="AI175" s="104"/>
      <c r="AJ175" s="104"/>
      <c r="AK175" s="104"/>
      <c r="AL175" s="104"/>
      <c r="AM175" s="104"/>
      <c r="AN175" s="104"/>
      <c r="AO175" s="104"/>
      <c r="AP175" s="104"/>
      <c r="AQ175" s="104"/>
      <c r="AR175" s="104"/>
      <c r="AS175" s="104"/>
      <c r="AT175" s="104"/>
      <c r="AU175" s="104"/>
      <c r="AV175" s="104"/>
      <c r="AW175" s="104"/>
      <c r="AX175" s="104"/>
      <c r="AY175" s="104"/>
      <c r="AZ175" s="104"/>
      <c r="BA175" s="104"/>
      <c r="BB175" s="104"/>
      <c r="BC175" s="104"/>
      <c r="BD175" s="104"/>
      <c r="BE175" s="104"/>
      <c r="BF175" s="104"/>
      <c r="BG175" s="104"/>
      <c r="BH175" s="104"/>
      <c r="BI175" s="104"/>
      <c r="BJ175" s="104"/>
      <c r="BK175" s="104"/>
      <c r="BL175" s="104"/>
      <c r="BM175" s="104"/>
      <c r="BN175" s="104"/>
      <c r="BO175" s="104"/>
      <c r="BP175" s="104"/>
      <c r="BQ175" s="104"/>
      <c r="BR175" s="104"/>
      <c r="BS175" s="104"/>
      <c r="BT175" s="104"/>
      <c r="BU175" s="104"/>
      <c r="BV175" s="104"/>
      <c r="BW175" s="122"/>
      <c r="BX175" s="122"/>
      <c r="BY175" s="104"/>
      <c r="BZ175" s="122"/>
      <c r="CA175" s="122"/>
      <c r="CB175" s="104"/>
      <c r="CC175" s="104"/>
      <c r="CD175" s="122"/>
      <c r="CE175" s="104"/>
      <c r="CF175" s="104"/>
      <c r="CG175" s="104"/>
      <c r="CH175" s="104"/>
      <c r="CI175" s="104"/>
      <c r="CJ175" s="104"/>
      <c r="CK175" s="104"/>
      <c r="CL175" s="104"/>
      <c r="CM175" s="104"/>
      <c r="CN175" s="104"/>
      <c r="CO175" s="104"/>
      <c r="CP175" s="104"/>
      <c r="CQ175" s="104"/>
      <c r="CR175" s="104"/>
      <c r="CS175" s="104"/>
      <c r="CT175" s="104"/>
      <c r="CU175" s="104"/>
    </row>
    <row r="176">
      <c r="A176" s="595"/>
      <c r="B176" s="202" t="s">
        <v>271</v>
      </c>
      <c r="C176" s="196" t="s">
        <v>271</v>
      </c>
      <c r="D176" s="197" t="s">
        <v>271</v>
      </c>
      <c r="E176" s="199" t="s">
        <v>271</v>
      </c>
      <c r="F176" s="201" t="s">
        <v>271</v>
      </c>
      <c r="G176" s="202" t="s">
        <v>271</v>
      </c>
      <c r="H176" s="609"/>
      <c r="I176" s="609"/>
      <c r="J176" s="104"/>
      <c r="K176" s="104"/>
      <c r="L176" s="104"/>
      <c r="M176" s="104"/>
      <c r="N176" s="104"/>
      <c r="O176" s="104"/>
      <c r="P176" s="104"/>
      <c r="Q176" s="104"/>
      <c r="R176" s="104"/>
      <c r="S176" s="104"/>
      <c r="T176" s="104"/>
      <c r="U176" s="104"/>
      <c r="V176" s="104"/>
      <c r="W176" s="104"/>
      <c r="X176" s="104"/>
      <c r="Y176" s="104"/>
      <c r="Z176" s="104"/>
      <c r="AA176" s="104"/>
      <c r="AB176" s="104"/>
      <c r="AC176" s="104"/>
      <c r="AD176" s="104"/>
      <c r="AE176" s="104"/>
      <c r="AF176" s="104"/>
      <c r="AG176" s="104"/>
      <c r="AH176" s="104"/>
      <c r="AI176" s="104"/>
      <c r="AJ176" s="104"/>
      <c r="AK176" s="104"/>
      <c r="AL176" s="104"/>
      <c r="AM176" s="104"/>
      <c r="AN176" s="104"/>
      <c r="AO176" s="104"/>
      <c r="AP176" s="104"/>
      <c r="AQ176" s="104"/>
      <c r="AR176" s="104"/>
      <c r="AS176" s="104"/>
      <c r="AT176" s="104"/>
      <c r="AU176" s="104"/>
      <c r="AV176" s="104"/>
      <c r="AW176" s="104"/>
      <c r="AX176" s="104"/>
      <c r="AY176" s="104"/>
      <c r="AZ176" s="104"/>
      <c r="BA176" s="104"/>
      <c r="BB176" s="104"/>
      <c r="BC176" s="104"/>
      <c r="BD176" s="104"/>
      <c r="BE176" s="104"/>
      <c r="BF176" s="104"/>
      <c r="BG176" s="104"/>
      <c r="BH176" s="104"/>
      <c r="BI176" s="104"/>
      <c r="BJ176" s="104"/>
      <c r="BK176" s="104"/>
      <c r="BL176" s="104"/>
      <c r="BM176" s="104"/>
      <c r="BN176" s="104"/>
      <c r="BO176" s="104"/>
      <c r="BP176" s="104"/>
      <c r="BQ176" s="104"/>
      <c r="BR176" s="104"/>
      <c r="BS176" s="104"/>
      <c r="BT176" s="104"/>
      <c r="BU176" s="104"/>
      <c r="BV176" s="104"/>
      <c r="BW176" s="122"/>
      <c r="BX176" s="122"/>
      <c r="BY176" s="104"/>
      <c r="BZ176" s="122"/>
      <c r="CA176" s="122"/>
      <c r="CB176" s="104"/>
      <c r="CC176" s="104"/>
      <c r="CD176" s="122"/>
      <c r="CE176" s="104"/>
      <c r="CF176" s="104"/>
      <c r="CG176" s="104"/>
      <c r="CH176" s="104"/>
      <c r="CI176" s="104"/>
      <c r="CJ176" s="104"/>
      <c r="CK176" s="104"/>
      <c r="CL176" s="104"/>
      <c r="CM176" s="104"/>
      <c r="CN176" s="104"/>
      <c r="CO176" s="104"/>
      <c r="CP176" s="104"/>
      <c r="CQ176" s="104"/>
      <c r="CR176" s="104"/>
      <c r="CS176" s="104"/>
      <c r="CT176" s="104"/>
      <c r="CU176" s="104"/>
    </row>
    <row r="177">
      <c r="A177" s="595"/>
      <c r="B177" s="202" t="s">
        <v>271</v>
      </c>
      <c r="C177" s="196" t="s">
        <v>271</v>
      </c>
      <c r="D177" s="197" t="s">
        <v>271</v>
      </c>
      <c r="E177" s="199" t="s">
        <v>271</v>
      </c>
      <c r="F177" s="201" t="s">
        <v>271</v>
      </c>
      <c r="G177" s="202" t="s">
        <v>271</v>
      </c>
      <c r="H177" s="609"/>
      <c r="I177" s="609"/>
      <c r="J177" s="104"/>
      <c r="K177" s="104"/>
      <c r="L177" s="104"/>
      <c r="M177" s="104"/>
      <c r="N177" s="104"/>
      <c r="O177" s="104"/>
      <c r="P177" s="104"/>
      <c r="Q177" s="104"/>
      <c r="R177" s="104"/>
      <c r="S177" s="104"/>
      <c r="T177" s="104"/>
      <c r="U177" s="104"/>
      <c r="V177" s="104"/>
      <c r="W177" s="104"/>
      <c r="X177" s="104"/>
      <c r="Y177" s="104"/>
      <c r="Z177" s="104"/>
      <c r="AA177" s="104"/>
      <c r="AB177" s="104"/>
      <c r="AC177" s="104"/>
      <c r="AD177" s="104"/>
      <c r="AE177" s="104"/>
      <c r="AF177" s="104"/>
      <c r="AG177" s="104"/>
      <c r="AH177" s="104"/>
      <c r="AI177" s="104"/>
      <c r="AJ177" s="104"/>
      <c r="AK177" s="104"/>
      <c r="AL177" s="104"/>
      <c r="AM177" s="104"/>
      <c r="AN177" s="104"/>
      <c r="AO177" s="104"/>
      <c r="AP177" s="104"/>
      <c r="AQ177" s="104"/>
      <c r="AR177" s="104"/>
      <c r="AS177" s="104"/>
      <c r="AT177" s="104"/>
      <c r="AU177" s="104"/>
      <c r="AV177" s="104"/>
      <c r="AW177" s="104"/>
      <c r="AX177" s="104"/>
      <c r="AY177" s="104"/>
      <c r="AZ177" s="104"/>
      <c r="BA177" s="104"/>
      <c r="BB177" s="104"/>
      <c r="BC177" s="104"/>
      <c r="BD177" s="104"/>
      <c r="BE177" s="104"/>
      <c r="BF177" s="104"/>
      <c r="BG177" s="104"/>
      <c r="BH177" s="104"/>
      <c r="BI177" s="104"/>
      <c r="BJ177" s="104"/>
      <c r="BK177" s="104"/>
      <c r="BL177" s="104"/>
      <c r="BM177" s="104"/>
      <c r="BN177" s="104"/>
      <c r="BO177" s="104"/>
      <c r="BP177" s="104"/>
      <c r="BQ177" s="104"/>
      <c r="BR177" s="104"/>
      <c r="BS177" s="104"/>
      <c r="BT177" s="104"/>
      <c r="BU177" s="104"/>
      <c r="BV177" s="104"/>
      <c r="BW177" s="122"/>
      <c r="BX177" s="122"/>
      <c r="BY177" s="104"/>
      <c r="BZ177" s="122"/>
      <c r="CA177" s="122"/>
      <c r="CB177" s="104"/>
      <c r="CC177" s="104"/>
      <c r="CD177" s="122"/>
      <c r="CE177" s="104"/>
      <c r="CF177" s="104"/>
      <c r="CG177" s="104"/>
      <c r="CH177" s="104"/>
      <c r="CI177" s="104"/>
      <c r="CJ177" s="104"/>
      <c r="CK177" s="104"/>
      <c r="CL177" s="104"/>
      <c r="CM177" s="104"/>
      <c r="CN177" s="104"/>
      <c r="CO177" s="104"/>
      <c r="CP177" s="104"/>
      <c r="CQ177" s="104"/>
      <c r="CR177" s="104"/>
      <c r="CS177" s="104"/>
      <c r="CT177" s="104"/>
      <c r="CU177" s="104"/>
    </row>
    <row r="178">
      <c r="A178" s="595"/>
      <c r="B178" s="202" t="s">
        <v>271</v>
      </c>
      <c r="C178" s="196" t="s">
        <v>271</v>
      </c>
      <c r="D178" s="197" t="s">
        <v>271</v>
      </c>
      <c r="E178" s="199" t="s">
        <v>271</v>
      </c>
      <c r="F178" s="201" t="s">
        <v>271</v>
      </c>
      <c r="G178" s="202" t="s">
        <v>271</v>
      </c>
      <c r="H178" s="609"/>
      <c r="I178" s="609"/>
      <c r="J178" s="104"/>
      <c r="K178" s="104"/>
      <c r="L178" s="104"/>
      <c r="M178" s="104"/>
      <c r="N178" s="104"/>
      <c r="O178" s="104"/>
      <c r="P178" s="104"/>
      <c r="Q178" s="104"/>
      <c r="R178" s="104"/>
      <c r="S178" s="104"/>
      <c r="T178" s="104"/>
      <c r="U178" s="104"/>
      <c r="V178" s="104"/>
      <c r="W178" s="104"/>
      <c r="X178" s="104"/>
      <c r="Y178" s="104"/>
      <c r="Z178" s="104"/>
      <c r="AA178" s="104"/>
      <c r="AB178" s="104"/>
      <c r="AC178" s="104"/>
      <c r="AD178" s="104"/>
      <c r="AE178" s="104"/>
      <c r="AF178" s="104"/>
      <c r="AG178" s="104"/>
      <c r="AH178" s="104"/>
      <c r="AI178" s="104"/>
      <c r="AJ178" s="104"/>
      <c r="AK178" s="104"/>
      <c r="AL178" s="104"/>
      <c r="AM178" s="104"/>
      <c r="AN178" s="104"/>
      <c r="AO178" s="104"/>
      <c r="AP178" s="104"/>
      <c r="AQ178" s="104"/>
      <c r="AR178" s="104"/>
      <c r="AS178" s="104"/>
      <c r="AT178" s="104"/>
      <c r="AU178" s="104"/>
      <c r="AV178" s="104"/>
      <c r="AW178" s="104"/>
      <c r="AX178" s="104"/>
      <c r="AY178" s="104"/>
      <c r="AZ178" s="104"/>
      <c r="BA178" s="104"/>
      <c r="BB178" s="104"/>
      <c r="BC178" s="104"/>
      <c r="BD178" s="104"/>
      <c r="BE178" s="104"/>
      <c r="BF178" s="104"/>
      <c r="BG178" s="104"/>
      <c r="BH178" s="104"/>
      <c r="BI178" s="104"/>
      <c r="BJ178" s="104"/>
      <c r="BK178" s="104"/>
      <c r="BL178" s="104"/>
      <c r="BM178" s="104"/>
      <c r="BN178" s="104"/>
      <c r="BO178" s="104"/>
      <c r="BP178" s="104"/>
      <c r="BQ178" s="104"/>
      <c r="BR178" s="104"/>
      <c r="BS178" s="104"/>
      <c r="BT178" s="104"/>
      <c r="BU178" s="104"/>
      <c r="BV178" s="104"/>
      <c r="BW178" s="122"/>
      <c r="BX178" s="122"/>
      <c r="BY178" s="104"/>
      <c r="BZ178" s="122"/>
      <c r="CA178" s="122"/>
      <c r="CB178" s="104"/>
      <c r="CC178" s="104"/>
      <c r="CD178" s="122"/>
      <c r="CE178" s="104"/>
      <c r="CF178" s="104"/>
      <c r="CG178" s="104"/>
      <c r="CH178" s="104"/>
      <c r="CI178" s="104"/>
      <c r="CJ178" s="104"/>
      <c r="CK178" s="104"/>
      <c r="CL178" s="104"/>
      <c r="CM178" s="104"/>
      <c r="CN178" s="104"/>
      <c r="CO178" s="104"/>
      <c r="CP178" s="104"/>
      <c r="CQ178" s="104"/>
      <c r="CR178" s="104"/>
      <c r="CS178" s="104"/>
      <c r="CT178" s="104"/>
      <c r="CU178" s="104"/>
    </row>
    <row r="179">
      <c r="A179" s="595"/>
      <c r="B179" s="202" t="s">
        <v>271</v>
      </c>
      <c r="C179" s="196" t="s">
        <v>271</v>
      </c>
      <c r="D179" s="197" t="s">
        <v>271</v>
      </c>
      <c r="E179" s="199" t="s">
        <v>271</v>
      </c>
      <c r="F179" s="201" t="s">
        <v>271</v>
      </c>
      <c r="G179" s="202" t="s">
        <v>271</v>
      </c>
      <c r="H179" s="609"/>
      <c r="I179" s="609"/>
      <c r="J179" s="104"/>
      <c r="K179" s="104"/>
      <c r="L179" s="104"/>
      <c r="M179" s="104"/>
      <c r="N179" s="104"/>
      <c r="O179" s="104"/>
      <c r="P179" s="104"/>
      <c r="Q179" s="104"/>
      <c r="R179" s="104"/>
      <c r="S179" s="104"/>
      <c r="T179" s="104"/>
      <c r="U179" s="104"/>
      <c r="V179" s="104"/>
      <c r="W179" s="104"/>
      <c r="X179" s="104"/>
      <c r="Y179" s="104"/>
      <c r="Z179" s="104"/>
      <c r="AA179" s="104"/>
      <c r="AB179" s="104"/>
      <c r="AC179" s="104"/>
      <c r="AD179" s="104"/>
      <c r="AE179" s="104"/>
      <c r="AF179" s="104"/>
      <c r="AG179" s="104"/>
      <c r="AH179" s="104"/>
      <c r="AI179" s="104"/>
      <c r="AJ179" s="104"/>
      <c r="AK179" s="104"/>
      <c r="AL179" s="104"/>
      <c r="AM179" s="104"/>
      <c r="AN179" s="104"/>
      <c r="AO179" s="104"/>
      <c r="AP179" s="104"/>
      <c r="AQ179" s="104"/>
      <c r="AR179" s="104"/>
      <c r="AS179" s="104"/>
      <c r="AT179" s="104"/>
      <c r="AU179" s="104"/>
      <c r="AV179" s="104"/>
      <c r="AW179" s="104"/>
      <c r="AX179" s="104"/>
      <c r="AY179" s="104"/>
      <c r="AZ179" s="104"/>
      <c r="BA179" s="104"/>
      <c r="BB179" s="104"/>
      <c r="BC179" s="104"/>
      <c r="BD179" s="104"/>
      <c r="BE179" s="104"/>
      <c r="BF179" s="104"/>
      <c r="BG179" s="104"/>
      <c r="BH179" s="104"/>
      <c r="BI179" s="104"/>
      <c r="BJ179" s="104"/>
      <c r="BK179" s="104"/>
      <c r="BL179" s="104"/>
      <c r="BM179" s="104"/>
      <c r="BN179" s="104"/>
      <c r="BO179" s="104"/>
      <c r="BP179" s="104"/>
      <c r="BQ179" s="104"/>
      <c r="BR179" s="104"/>
      <c r="BS179" s="104"/>
      <c r="BT179" s="104"/>
      <c r="BU179" s="104"/>
      <c r="BV179" s="104"/>
      <c r="BW179" s="122"/>
      <c r="BX179" s="122"/>
      <c r="BY179" s="104"/>
      <c r="BZ179" s="122"/>
      <c r="CA179" s="122"/>
      <c r="CB179" s="104"/>
      <c r="CC179" s="104"/>
      <c r="CD179" s="122"/>
      <c r="CE179" s="104"/>
      <c r="CF179" s="104"/>
      <c r="CG179" s="104"/>
      <c r="CH179" s="104"/>
      <c r="CI179" s="104"/>
      <c r="CJ179" s="104"/>
      <c r="CK179" s="104"/>
      <c r="CL179" s="104"/>
      <c r="CM179" s="104"/>
      <c r="CN179" s="104"/>
      <c r="CO179" s="104"/>
      <c r="CP179" s="104"/>
      <c r="CQ179" s="104"/>
      <c r="CR179" s="104"/>
      <c r="CS179" s="104"/>
      <c r="CT179" s="104"/>
      <c r="CU179" s="104"/>
    </row>
    <row r="180">
      <c r="A180" s="595"/>
      <c r="B180" s="202" t="s">
        <v>271</v>
      </c>
      <c r="C180" s="196" t="s">
        <v>271</v>
      </c>
      <c r="D180" s="197" t="s">
        <v>271</v>
      </c>
      <c r="E180" s="199" t="s">
        <v>271</v>
      </c>
      <c r="F180" s="201" t="s">
        <v>271</v>
      </c>
      <c r="G180" s="202" t="s">
        <v>271</v>
      </c>
      <c r="H180" s="609"/>
      <c r="I180" s="609"/>
      <c r="J180" s="104"/>
      <c r="K180" s="104"/>
      <c r="L180" s="104"/>
      <c r="M180" s="104"/>
      <c r="N180" s="104"/>
      <c r="O180" s="104"/>
      <c r="P180" s="104"/>
      <c r="Q180" s="104"/>
      <c r="R180" s="104"/>
      <c r="S180" s="104"/>
      <c r="T180" s="104"/>
      <c r="U180" s="104"/>
      <c r="V180" s="104"/>
      <c r="W180" s="104"/>
      <c r="X180" s="104"/>
      <c r="Y180" s="104"/>
      <c r="Z180" s="104"/>
      <c r="AA180" s="104"/>
      <c r="AB180" s="104"/>
      <c r="AC180" s="104"/>
      <c r="AD180" s="104"/>
      <c r="AE180" s="104"/>
      <c r="AF180" s="104"/>
      <c r="AG180" s="104"/>
      <c r="AH180" s="104"/>
      <c r="AI180" s="104"/>
      <c r="AJ180" s="104"/>
      <c r="AK180" s="104"/>
      <c r="AL180" s="104"/>
      <c r="AM180" s="104"/>
      <c r="AN180" s="104"/>
      <c r="AO180" s="104"/>
      <c r="AP180" s="104"/>
      <c r="AQ180" s="104"/>
      <c r="AR180" s="104"/>
      <c r="AS180" s="104"/>
      <c r="AT180" s="104"/>
      <c r="AU180" s="104"/>
      <c r="AV180" s="104"/>
      <c r="AW180" s="104"/>
      <c r="AX180" s="104"/>
      <c r="AY180" s="104"/>
      <c r="AZ180" s="104"/>
      <c r="BA180" s="104"/>
      <c r="BB180" s="104"/>
      <c r="BC180" s="104"/>
      <c r="BD180" s="104"/>
      <c r="BE180" s="104"/>
      <c r="BF180" s="104"/>
      <c r="BG180" s="104"/>
      <c r="BH180" s="104"/>
      <c r="BI180" s="104"/>
      <c r="BJ180" s="104"/>
      <c r="BK180" s="104"/>
      <c r="BL180" s="104"/>
      <c r="BM180" s="104"/>
      <c r="BN180" s="104"/>
      <c r="BO180" s="104"/>
      <c r="BP180" s="104"/>
      <c r="BQ180" s="104"/>
      <c r="BR180" s="104"/>
      <c r="BS180" s="104"/>
      <c r="BT180" s="104"/>
      <c r="BU180" s="104"/>
      <c r="BV180" s="104"/>
      <c r="BW180" s="122"/>
      <c r="BX180" s="122"/>
      <c r="BY180" s="104"/>
      <c r="BZ180" s="122"/>
      <c r="CA180" s="122"/>
      <c r="CB180" s="104"/>
      <c r="CC180" s="104"/>
      <c r="CD180" s="122"/>
      <c r="CE180" s="104"/>
      <c r="CF180" s="104"/>
      <c r="CG180" s="104"/>
      <c r="CH180" s="104"/>
      <c r="CI180" s="104"/>
      <c r="CJ180" s="104"/>
      <c r="CK180" s="104"/>
      <c r="CL180" s="104"/>
      <c r="CM180" s="104"/>
      <c r="CN180" s="104"/>
      <c r="CO180" s="104"/>
      <c r="CP180" s="104"/>
      <c r="CQ180" s="104"/>
      <c r="CR180" s="104"/>
      <c r="CS180" s="104"/>
      <c r="CT180" s="104"/>
      <c r="CU180" s="104"/>
    </row>
    <row r="181">
      <c r="A181" s="595"/>
      <c r="B181" s="202" t="s">
        <v>271</v>
      </c>
      <c r="C181" s="196" t="s">
        <v>271</v>
      </c>
      <c r="D181" s="197" t="s">
        <v>271</v>
      </c>
      <c r="E181" s="199" t="s">
        <v>271</v>
      </c>
      <c r="F181" s="201" t="s">
        <v>271</v>
      </c>
      <c r="G181" s="202" t="s">
        <v>271</v>
      </c>
      <c r="H181" s="609"/>
      <c r="I181" s="609"/>
      <c r="J181" s="104"/>
      <c r="K181" s="104"/>
      <c r="L181" s="104"/>
      <c r="M181" s="104"/>
      <c r="N181" s="104"/>
      <c r="O181" s="104"/>
      <c r="P181" s="104"/>
      <c r="Q181" s="104"/>
      <c r="R181" s="104"/>
      <c r="S181" s="104"/>
      <c r="T181" s="104"/>
      <c r="U181" s="104"/>
      <c r="V181" s="104"/>
      <c r="W181" s="104"/>
      <c r="X181" s="104"/>
      <c r="Y181" s="104"/>
      <c r="Z181" s="104"/>
      <c r="AA181" s="104"/>
      <c r="AB181" s="104"/>
      <c r="AC181" s="104"/>
      <c r="AD181" s="104"/>
      <c r="AE181" s="104"/>
      <c r="AF181" s="104"/>
      <c r="AG181" s="104"/>
      <c r="AH181" s="104"/>
      <c r="AI181" s="104"/>
      <c r="AJ181" s="104"/>
      <c r="AK181" s="104"/>
      <c r="AL181" s="104"/>
      <c r="AM181" s="104"/>
      <c r="AN181" s="104"/>
      <c r="AO181" s="104"/>
      <c r="AP181" s="104"/>
      <c r="AQ181" s="104"/>
      <c r="AR181" s="104"/>
      <c r="AS181" s="104"/>
      <c r="AT181" s="104"/>
      <c r="AU181" s="104"/>
      <c r="AV181" s="104"/>
      <c r="AW181" s="104"/>
      <c r="AX181" s="104"/>
      <c r="AY181" s="104"/>
      <c r="AZ181" s="104"/>
      <c r="BA181" s="104"/>
      <c r="BB181" s="104"/>
      <c r="BC181" s="104"/>
      <c r="BD181" s="104"/>
      <c r="BE181" s="104"/>
      <c r="BF181" s="104"/>
      <c r="BG181" s="104"/>
      <c r="BH181" s="104"/>
      <c r="BI181" s="104"/>
      <c r="BJ181" s="104"/>
      <c r="BK181" s="104"/>
      <c r="BL181" s="104"/>
      <c r="BM181" s="104"/>
      <c r="BN181" s="104"/>
      <c r="BO181" s="104"/>
      <c r="BP181" s="104"/>
      <c r="BQ181" s="104"/>
      <c r="BR181" s="104"/>
      <c r="BS181" s="104"/>
      <c r="BT181" s="104"/>
      <c r="BU181" s="104"/>
      <c r="BV181" s="104"/>
      <c r="BW181" s="122"/>
      <c r="BX181" s="122"/>
      <c r="BY181" s="104"/>
      <c r="BZ181" s="122"/>
      <c r="CA181" s="122"/>
      <c r="CB181" s="104"/>
      <c r="CC181" s="104"/>
      <c r="CD181" s="122"/>
      <c r="CE181" s="104"/>
      <c r="CF181" s="104"/>
      <c r="CG181" s="104"/>
      <c r="CH181" s="104"/>
      <c r="CI181" s="104"/>
      <c r="CJ181" s="104"/>
      <c r="CK181" s="104"/>
      <c r="CL181" s="104"/>
      <c r="CM181" s="104"/>
      <c r="CN181" s="104"/>
      <c r="CO181" s="104"/>
      <c r="CP181" s="104"/>
      <c r="CQ181" s="104"/>
      <c r="CR181" s="104"/>
      <c r="CS181" s="104"/>
      <c r="CT181" s="104"/>
      <c r="CU181" s="104"/>
    </row>
    <row r="182">
      <c r="A182" s="595"/>
      <c r="B182" s="202" t="s">
        <v>271</v>
      </c>
      <c r="C182" s="196" t="s">
        <v>271</v>
      </c>
      <c r="D182" s="197" t="s">
        <v>271</v>
      </c>
      <c r="E182" s="199" t="s">
        <v>271</v>
      </c>
      <c r="F182" s="201" t="s">
        <v>271</v>
      </c>
      <c r="G182" s="202" t="s">
        <v>271</v>
      </c>
      <c r="H182" s="609"/>
      <c r="I182" s="609"/>
      <c r="J182" s="104"/>
      <c r="K182" s="104"/>
      <c r="L182" s="104"/>
      <c r="M182" s="104"/>
      <c r="N182" s="104"/>
      <c r="O182" s="104"/>
      <c r="P182" s="104"/>
      <c r="Q182" s="104"/>
      <c r="R182" s="104"/>
      <c r="S182" s="104"/>
      <c r="T182" s="104"/>
      <c r="U182" s="104"/>
      <c r="V182" s="104"/>
      <c r="W182" s="104"/>
      <c r="X182" s="104"/>
      <c r="Y182" s="104"/>
      <c r="Z182" s="104"/>
      <c r="AA182" s="104"/>
      <c r="AB182" s="104"/>
      <c r="AC182" s="104"/>
      <c r="AD182" s="104"/>
      <c r="AE182" s="104"/>
      <c r="AF182" s="104"/>
      <c r="AG182" s="104"/>
      <c r="AH182" s="104"/>
      <c r="AI182" s="104"/>
      <c r="AJ182" s="104"/>
      <c r="AK182" s="104"/>
      <c r="AL182" s="104"/>
      <c r="AM182" s="104"/>
      <c r="AN182" s="104"/>
      <c r="AO182" s="104"/>
      <c r="AP182" s="104"/>
      <c r="AQ182" s="104"/>
      <c r="AR182" s="104"/>
      <c r="AS182" s="104"/>
      <c r="AT182" s="104"/>
      <c r="AU182" s="104"/>
      <c r="AV182" s="104"/>
      <c r="AW182" s="104"/>
      <c r="AX182" s="104"/>
      <c r="AY182" s="104"/>
      <c r="AZ182" s="104"/>
      <c r="BA182" s="104"/>
      <c r="BB182" s="104"/>
      <c r="BC182" s="104"/>
      <c r="BD182" s="104"/>
      <c r="BE182" s="104"/>
      <c r="BF182" s="104"/>
      <c r="BG182" s="104"/>
      <c r="BH182" s="104"/>
      <c r="BI182" s="104"/>
      <c r="BJ182" s="104"/>
      <c r="BK182" s="104"/>
      <c r="BL182" s="104"/>
      <c r="BM182" s="104"/>
      <c r="BN182" s="104"/>
      <c r="BO182" s="104"/>
      <c r="BP182" s="104"/>
      <c r="BQ182" s="104"/>
      <c r="BR182" s="104"/>
      <c r="BS182" s="104"/>
      <c r="BT182" s="104"/>
      <c r="BU182" s="104"/>
      <c r="BV182" s="104"/>
      <c r="BW182" s="122"/>
      <c r="BX182" s="122"/>
      <c r="BY182" s="104"/>
      <c r="BZ182" s="122"/>
      <c r="CA182" s="122"/>
      <c r="CB182" s="104"/>
      <c r="CC182" s="104"/>
      <c r="CD182" s="122"/>
      <c r="CE182" s="104"/>
      <c r="CF182" s="104"/>
      <c r="CG182" s="104"/>
      <c r="CH182" s="104"/>
      <c r="CI182" s="104"/>
      <c r="CJ182" s="104"/>
      <c r="CK182" s="104"/>
      <c r="CL182" s="104"/>
      <c r="CM182" s="104"/>
      <c r="CN182" s="104"/>
      <c r="CO182" s="104"/>
      <c r="CP182" s="104"/>
      <c r="CQ182" s="104"/>
      <c r="CR182" s="104"/>
      <c r="CS182" s="104"/>
      <c r="CT182" s="104"/>
      <c r="CU182" s="104"/>
    </row>
    <row r="183">
      <c r="A183" s="595"/>
      <c r="B183" s="202" t="s">
        <v>271</v>
      </c>
      <c r="C183" s="196" t="s">
        <v>271</v>
      </c>
      <c r="D183" s="197" t="s">
        <v>271</v>
      </c>
      <c r="E183" s="199" t="s">
        <v>271</v>
      </c>
      <c r="F183" s="201" t="s">
        <v>271</v>
      </c>
      <c r="G183" s="202" t="s">
        <v>271</v>
      </c>
      <c r="H183" s="609"/>
      <c r="I183" s="609"/>
      <c r="J183" s="104"/>
      <c r="K183" s="104"/>
      <c r="L183" s="104"/>
      <c r="M183" s="104"/>
      <c r="N183" s="104"/>
      <c r="O183" s="104"/>
      <c r="P183" s="104"/>
      <c r="Q183" s="104"/>
      <c r="R183" s="104"/>
      <c r="S183" s="104"/>
      <c r="T183" s="104"/>
      <c r="U183" s="104"/>
      <c r="V183" s="104"/>
      <c r="W183" s="104"/>
      <c r="X183" s="104"/>
      <c r="Y183" s="104"/>
      <c r="Z183" s="104"/>
      <c r="AA183" s="104"/>
      <c r="AB183" s="104"/>
      <c r="AC183" s="104"/>
      <c r="AD183" s="104"/>
      <c r="AE183" s="104"/>
      <c r="AF183" s="104"/>
      <c r="AG183" s="104"/>
      <c r="AH183" s="104"/>
      <c r="AI183" s="104"/>
      <c r="AJ183" s="104"/>
      <c r="AK183" s="104"/>
      <c r="AL183" s="104"/>
      <c r="AM183" s="104"/>
      <c r="AN183" s="104"/>
      <c r="AO183" s="104"/>
      <c r="AP183" s="104"/>
      <c r="AQ183" s="104"/>
      <c r="AR183" s="104"/>
      <c r="AS183" s="104"/>
      <c r="AT183" s="104"/>
      <c r="AU183" s="104"/>
      <c r="AV183" s="104"/>
      <c r="AW183" s="104"/>
      <c r="AX183" s="104"/>
      <c r="AY183" s="104"/>
      <c r="AZ183" s="104"/>
      <c r="BA183" s="104"/>
      <c r="BB183" s="104"/>
      <c r="BC183" s="104"/>
      <c r="BD183" s="104"/>
      <c r="BE183" s="104"/>
      <c r="BF183" s="104"/>
      <c r="BG183" s="104"/>
      <c r="BH183" s="104"/>
      <c r="BI183" s="104"/>
      <c r="BJ183" s="104"/>
      <c r="BK183" s="104"/>
      <c r="BL183" s="104"/>
      <c r="BM183" s="104"/>
      <c r="BN183" s="104"/>
      <c r="BO183" s="104"/>
      <c r="BP183" s="104"/>
      <c r="BQ183" s="104"/>
      <c r="BR183" s="104"/>
      <c r="BS183" s="104"/>
      <c r="BT183" s="104"/>
      <c r="BU183" s="104"/>
      <c r="BV183" s="104"/>
      <c r="BW183" s="122"/>
      <c r="BX183" s="122"/>
      <c r="BY183" s="104"/>
      <c r="BZ183" s="122"/>
      <c r="CA183" s="122"/>
      <c r="CB183" s="104"/>
      <c r="CC183" s="104"/>
      <c r="CD183" s="122"/>
      <c r="CE183" s="104"/>
      <c r="CF183" s="104"/>
      <c r="CG183" s="104"/>
      <c r="CH183" s="104"/>
      <c r="CI183" s="104"/>
      <c r="CJ183" s="104"/>
      <c r="CK183" s="104"/>
      <c r="CL183" s="104"/>
      <c r="CM183" s="104"/>
      <c r="CN183" s="104"/>
      <c r="CO183" s="104"/>
      <c r="CP183" s="104"/>
      <c r="CQ183" s="104"/>
      <c r="CR183" s="104"/>
      <c r="CS183" s="104"/>
      <c r="CT183" s="104"/>
      <c r="CU183" s="104"/>
    </row>
    <row r="184">
      <c r="A184" s="595"/>
      <c r="B184" s="202" t="s">
        <v>271</v>
      </c>
      <c r="C184" s="196" t="s">
        <v>271</v>
      </c>
      <c r="D184" s="197" t="s">
        <v>271</v>
      </c>
      <c r="E184" s="199" t="s">
        <v>271</v>
      </c>
      <c r="F184" s="201" t="s">
        <v>271</v>
      </c>
      <c r="G184" s="202" t="s">
        <v>271</v>
      </c>
      <c r="H184" s="609"/>
      <c r="I184" s="609"/>
      <c r="J184" s="104"/>
      <c r="K184" s="104"/>
      <c r="L184" s="104"/>
      <c r="M184" s="104"/>
      <c r="N184" s="104"/>
      <c r="O184" s="104"/>
      <c r="P184" s="104"/>
      <c r="Q184" s="104"/>
      <c r="R184" s="104"/>
      <c r="S184" s="104"/>
      <c r="T184" s="104"/>
      <c r="U184" s="104"/>
      <c r="V184" s="104"/>
      <c r="W184" s="104"/>
      <c r="X184" s="104"/>
      <c r="Y184" s="104"/>
      <c r="Z184" s="104"/>
      <c r="AA184" s="104"/>
      <c r="AB184" s="104"/>
      <c r="AC184" s="104"/>
      <c r="AD184" s="104"/>
      <c r="AE184" s="104"/>
      <c r="AF184" s="104"/>
      <c r="AG184" s="104"/>
      <c r="AH184" s="104"/>
      <c r="AI184" s="104"/>
      <c r="AJ184" s="104"/>
      <c r="AK184" s="104"/>
      <c r="AL184" s="104"/>
      <c r="AM184" s="104"/>
      <c r="AN184" s="104"/>
      <c r="AO184" s="104"/>
      <c r="AP184" s="104"/>
      <c r="AQ184" s="104"/>
      <c r="AR184" s="104"/>
      <c r="AS184" s="104"/>
      <c r="AT184" s="104"/>
      <c r="AU184" s="104"/>
      <c r="AV184" s="104"/>
      <c r="AW184" s="104"/>
      <c r="AX184" s="104"/>
      <c r="AY184" s="104"/>
      <c r="AZ184" s="104"/>
      <c r="BA184" s="104"/>
      <c r="BB184" s="104"/>
      <c r="BC184" s="104"/>
      <c r="BD184" s="104"/>
      <c r="BE184" s="104"/>
      <c r="BF184" s="104"/>
      <c r="BG184" s="104"/>
      <c r="BH184" s="104"/>
      <c r="BI184" s="104"/>
      <c r="BJ184" s="104"/>
      <c r="BK184" s="104"/>
      <c r="BL184" s="104"/>
      <c r="BM184" s="104"/>
      <c r="BN184" s="104"/>
      <c r="BO184" s="104"/>
      <c r="BP184" s="104"/>
      <c r="BQ184" s="104"/>
      <c r="BR184" s="104"/>
      <c r="BS184" s="104"/>
      <c r="BT184" s="104"/>
      <c r="BU184" s="104"/>
      <c r="BV184" s="104"/>
      <c r="BW184" s="122"/>
      <c r="BX184" s="122"/>
      <c r="BY184" s="104"/>
      <c r="BZ184" s="122"/>
      <c r="CA184" s="122"/>
      <c r="CB184" s="104"/>
      <c r="CC184" s="104"/>
      <c r="CD184" s="122"/>
      <c r="CE184" s="104"/>
      <c r="CF184" s="104"/>
      <c r="CG184" s="104"/>
      <c r="CH184" s="104"/>
      <c r="CI184" s="104"/>
      <c r="CJ184" s="104"/>
      <c r="CK184" s="104"/>
      <c r="CL184" s="104"/>
      <c r="CM184" s="104"/>
      <c r="CN184" s="104"/>
      <c r="CO184" s="104"/>
      <c r="CP184" s="104"/>
      <c r="CQ184" s="104"/>
      <c r="CR184" s="104"/>
      <c r="CS184" s="104"/>
      <c r="CT184" s="104"/>
      <c r="CU184" s="104"/>
    </row>
    <row r="185">
      <c r="A185" s="595"/>
      <c r="B185" s="202" t="s">
        <v>271</v>
      </c>
      <c r="C185" s="196" t="s">
        <v>271</v>
      </c>
      <c r="D185" s="197" t="s">
        <v>271</v>
      </c>
      <c r="E185" s="199" t="s">
        <v>271</v>
      </c>
      <c r="F185" s="201" t="s">
        <v>271</v>
      </c>
      <c r="G185" s="202" t="s">
        <v>271</v>
      </c>
      <c r="H185" s="609"/>
      <c r="I185" s="609"/>
      <c r="J185" s="104"/>
      <c r="K185" s="104"/>
      <c r="L185" s="104"/>
      <c r="M185" s="104"/>
      <c r="N185" s="104"/>
      <c r="O185" s="104"/>
      <c r="P185" s="104"/>
      <c r="Q185" s="104"/>
      <c r="R185" s="104"/>
      <c r="S185" s="104"/>
      <c r="T185" s="104"/>
      <c r="U185" s="104"/>
      <c r="V185" s="104"/>
      <c r="W185" s="104"/>
      <c r="X185" s="104"/>
      <c r="Y185" s="104"/>
      <c r="Z185" s="104"/>
      <c r="AA185" s="104"/>
      <c r="AB185" s="104"/>
      <c r="AC185" s="104"/>
      <c r="AD185" s="104"/>
      <c r="AE185" s="104"/>
      <c r="AF185" s="104"/>
      <c r="AG185" s="104"/>
      <c r="AH185" s="104"/>
      <c r="AI185" s="104"/>
      <c r="AJ185" s="104"/>
      <c r="AK185" s="104"/>
      <c r="AL185" s="104"/>
      <c r="AM185" s="104"/>
      <c r="AN185" s="104"/>
      <c r="AO185" s="104"/>
      <c r="AP185" s="104"/>
      <c r="AQ185" s="104"/>
      <c r="AR185" s="104"/>
      <c r="AS185" s="104"/>
      <c r="AT185" s="104"/>
      <c r="AU185" s="104"/>
      <c r="AV185" s="104"/>
      <c r="AW185" s="104"/>
      <c r="AX185" s="104"/>
      <c r="AY185" s="104"/>
      <c r="AZ185" s="104"/>
      <c r="BA185" s="104"/>
      <c r="BB185" s="104"/>
      <c r="BC185" s="104"/>
      <c r="BD185" s="104"/>
      <c r="BE185" s="104"/>
      <c r="BF185" s="104"/>
      <c r="BG185" s="104"/>
      <c r="BH185" s="104"/>
      <c r="BI185" s="104"/>
      <c r="BJ185" s="104"/>
      <c r="BK185" s="104"/>
      <c r="BL185" s="104"/>
      <c r="BM185" s="104"/>
      <c r="BN185" s="104"/>
      <c r="BO185" s="104"/>
      <c r="BP185" s="104"/>
      <c r="BQ185" s="104"/>
      <c r="BR185" s="104"/>
      <c r="BS185" s="104"/>
      <c r="BT185" s="104"/>
      <c r="BU185" s="104"/>
      <c r="BV185" s="104"/>
      <c r="BW185" s="122"/>
      <c r="BX185" s="122"/>
      <c r="BY185" s="104"/>
      <c r="BZ185" s="122"/>
      <c r="CA185" s="122"/>
      <c r="CB185" s="104"/>
      <c r="CC185" s="104"/>
      <c r="CD185" s="122"/>
      <c r="CE185" s="104"/>
      <c r="CF185" s="104"/>
      <c r="CG185" s="104"/>
      <c r="CH185" s="104"/>
      <c r="CI185" s="104"/>
      <c r="CJ185" s="104"/>
      <c r="CK185" s="104"/>
      <c r="CL185" s="104"/>
      <c r="CM185" s="104"/>
      <c r="CN185" s="104"/>
      <c r="CO185" s="104"/>
      <c r="CP185" s="104"/>
      <c r="CQ185" s="104"/>
      <c r="CR185" s="104"/>
      <c r="CS185" s="104"/>
      <c r="CT185" s="104"/>
      <c r="CU185" s="104"/>
    </row>
    <row r="186">
      <c r="A186" s="595"/>
      <c r="B186" s="202" t="s">
        <v>271</v>
      </c>
      <c r="C186" s="196" t="s">
        <v>271</v>
      </c>
      <c r="D186" s="197" t="s">
        <v>271</v>
      </c>
      <c r="E186" s="199" t="s">
        <v>271</v>
      </c>
      <c r="F186" s="201" t="s">
        <v>271</v>
      </c>
      <c r="G186" s="202" t="s">
        <v>271</v>
      </c>
      <c r="H186" s="609"/>
      <c r="I186" s="609"/>
      <c r="J186" s="104"/>
      <c r="K186" s="104"/>
      <c r="L186" s="104"/>
      <c r="M186" s="104"/>
      <c r="N186" s="104"/>
      <c r="O186" s="104"/>
      <c r="P186" s="104"/>
      <c r="Q186" s="104"/>
      <c r="R186" s="104"/>
      <c r="S186" s="104"/>
      <c r="T186" s="104"/>
      <c r="U186" s="104"/>
      <c r="V186" s="104"/>
      <c r="W186" s="104"/>
      <c r="X186" s="104"/>
      <c r="Y186" s="104"/>
      <c r="Z186" s="104"/>
      <c r="AA186" s="104"/>
      <c r="AB186" s="104"/>
      <c r="AC186" s="104"/>
      <c r="AD186" s="104"/>
      <c r="AE186" s="104"/>
      <c r="AF186" s="104"/>
      <c r="AG186" s="104"/>
      <c r="AH186" s="104"/>
      <c r="AI186" s="104"/>
      <c r="AJ186" s="104"/>
      <c r="AK186" s="104"/>
      <c r="AL186" s="104"/>
      <c r="AM186" s="104"/>
      <c r="AN186" s="104"/>
      <c r="AO186" s="104"/>
      <c r="AP186" s="104"/>
      <c r="AQ186" s="104"/>
      <c r="AR186" s="104"/>
      <c r="AS186" s="104"/>
      <c r="AT186" s="104"/>
      <c r="AU186" s="104"/>
      <c r="AV186" s="104"/>
      <c r="AW186" s="104"/>
      <c r="AX186" s="104"/>
      <c r="AY186" s="104"/>
      <c r="AZ186" s="104"/>
      <c r="BA186" s="104"/>
      <c r="BB186" s="104"/>
      <c r="BC186" s="104"/>
      <c r="BD186" s="104"/>
      <c r="BE186" s="104"/>
      <c r="BF186" s="104"/>
      <c r="BG186" s="104"/>
      <c r="BH186" s="104"/>
      <c r="BI186" s="104"/>
      <c r="BJ186" s="104"/>
      <c r="BK186" s="104"/>
      <c r="BL186" s="104"/>
      <c r="BM186" s="104"/>
      <c r="BN186" s="104"/>
      <c r="BO186" s="104"/>
      <c r="BP186" s="104"/>
      <c r="BQ186" s="104"/>
      <c r="BR186" s="104"/>
      <c r="BS186" s="104"/>
      <c r="BT186" s="104"/>
      <c r="BU186" s="104"/>
      <c r="BV186" s="104"/>
      <c r="BW186" s="122"/>
      <c r="BX186" s="122"/>
      <c r="BY186" s="104"/>
      <c r="BZ186" s="122"/>
      <c r="CA186" s="122"/>
      <c r="CB186" s="104"/>
      <c r="CC186" s="104"/>
      <c r="CD186" s="122"/>
      <c r="CE186" s="104"/>
      <c r="CF186" s="104"/>
      <c r="CG186" s="104"/>
      <c r="CH186" s="104"/>
      <c r="CI186" s="104"/>
      <c r="CJ186" s="104"/>
      <c r="CK186" s="104"/>
      <c r="CL186" s="104"/>
      <c r="CM186" s="104"/>
      <c r="CN186" s="104"/>
      <c r="CO186" s="104"/>
      <c r="CP186" s="104"/>
      <c r="CQ186" s="104"/>
      <c r="CR186" s="104"/>
      <c r="CS186" s="104"/>
      <c r="CT186" s="104"/>
      <c r="CU186" s="104"/>
    </row>
    <row r="187">
      <c r="A187" s="595"/>
      <c r="B187" s="202" t="s">
        <v>271</v>
      </c>
      <c r="C187" s="196" t="s">
        <v>271</v>
      </c>
      <c r="D187" s="197" t="s">
        <v>271</v>
      </c>
      <c r="E187" s="199" t="s">
        <v>271</v>
      </c>
      <c r="F187" s="201" t="s">
        <v>271</v>
      </c>
      <c r="G187" s="202" t="s">
        <v>271</v>
      </c>
      <c r="H187" s="609"/>
      <c r="I187" s="609"/>
      <c r="J187" s="104"/>
      <c r="K187" s="104"/>
      <c r="L187" s="104"/>
      <c r="M187" s="104"/>
      <c r="N187" s="104"/>
      <c r="O187" s="104"/>
      <c r="P187" s="104"/>
      <c r="Q187" s="104"/>
      <c r="R187" s="104"/>
      <c r="S187" s="104"/>
      <c r="T187" s="104"/>
      <c r="U187" s="104"/>
      <c r="V187" s="104"/>
      <c r="W187" s="104"/>
      <c r="X187" s="104"/>
      <c r="Y187" s="104"/>
      <c r="Z187" s="104"/>
      <c r="AA187" s="104"/>
      <c r="AB187" s="104"/>
      <c r="AC187" s="104"/>
      <c r="AD187" s="104"/>
      <c r="AE187" s="104"/>
      <c r="AF187" s="104"/>
      <c r="AG187" s="104"/>
      <c r="AH187" s="104"/>
      <c r="AI187" s="104"/>
      <c r="AJ187" s="104"/>
      <c r="AK187" s="104"/>
      <c r="AL187" s="104"/>
      <c r="AM187" s="104"/>
      <c r="AN187" s="104"/>
      <c r="AO187" s="104"/>
      <c r="AP187" s="104"/>
      <c r="AQ187" s="104"/>
      <c r="AR187" s="104"/>
      <c r="AS187" s="104"/>
      <c r="AT187" s="104"/>
      <c r="AU187" s="104"/>
      <c r="AV187" s="104"/>
      <c r="AW187" s="104"/>
      <c r="AX187" s="104"/>
      <c r="AY187" s="104"/>
      <c r="AZ187" s="104"/>
      <c r="BA187" s="104"/>
      <c r="BB187" s="104"/>
      <c r="BC187" s="104"/>
      <c r="BD187" s="104"/>
      <c r="BE187" s="104"/>
      <c r="BF187" s="104"/>
      <c r="BG187" s="104"/>
      <c r="BH187" s="104"/>
      <c r="BI187" s="104"/>
      <c r="BJ187" s="104"/>
      <c r="BK187" s="104"/>
      <c r="BL187" s="104"/>
      <c r="BM187" s="104"/>
      <c r="BN187" s="104"/>
      <c r="BO187" s="104"/>
      <c r="BP187" s="104"/>
      <c r="BQ187" s="104"/>
      <c r="BR187" s="104"/>
      <c r="BS187" s="104"/>
      <c r="BT187" s="104"/>
      <c r="BU187" s="104"/>
      <c r="BV187" s="104"/>
      <c r="BW187" s="122"/>
      <c r="BX187" s="122"/>
      <c r="BY187" s="104"/>
      <c r="BZ187" s="122"/>
      <c r="CA187" s="122"/>
      <c r="CB187" s="104"/>
      <c r="CC187" s="104"/>
      <c r="CD187" s="122"/>
      <c r="CE187" s="104"/>
      <c r="CF187" s="104"/>
      <c r="CG187" s="104"/>
      <c r="CH187" s="104"/>
      <c r="CI187" s="104"/>
      <c r="CJ187" s="104"/>
      <c r="CK187" s="104"/>
      <c r="CL187" s="104"/>
      <c r="CM187" s="104"/>
      <c r="CN187" s="104"/>
      <c r="CO187" s="104"/>
      <c r="CP187" s="104"/>
      <c r="CQ187" s="104"/>
      <c r="CR187" s="104"/>
      <c r="CS187" s="104"/>
      <c r="CT187" s="104"/>
      <c r="CU187" s="104"/>
    </row>
    <row r="188">
      <c r="A188" s="595"/>
      <c r="B188" s="202" t="s">
        <v>271</v>
      </c>
      <c r="C188" s="196" t="s">
        <v>271</v>
      </c>
      <c r="D188" s="197" t="s">
        <v>271</v>
      </c>
      <c r="E188" s="199" t="s">
        <v>271</v>
      </c>
      <c r="F188" s="201" t="s">
        <v>271</v>
      </c>
      <c r="G188" s="202" t="s">
        <v>271</v>
      </c>
      <c r="H188" s="609"/>
      <c r="I188" s="609"/>
      <c r="J188" s="104"/>
      <c r="K188" s="104"/>
      <c r="L188" s="104"/>
      <c r="M188" s="104"/>
      <c r="N188" s="104"/>
      <c r="O188" s="104"/>
      <c r="P188" s="104"/>
      <c r="Q188" s="104"/>
      <c r="R188" s="104"/>
      <c r="S188" s="104"/>
      <c r="T188" s="104"/>
      <c r="U188" s="104"/>
      <c r="V188" s="104"/>
      <c r="W188" s="104"/>
      <c r="X188" s="104"/>
      <c r="Y188" s="104"/>
      <c r="Z188" s="104"/>
      <c r="AA188" s="104"/>
      <c r="AB188" s="104"/>
      <c r="AC188" s="104"/>
      <c r="AD188" s="104"/>
      <c r="AE188" s="104"/>
      <c r="AF188" s="104"/>
      <c r="AG188" s="104"/>
      <c r="AH188" s="104"/>
      <c r="AI188" s="104"/>
      <c r="AJ188" s="104"/>
      <c r="AK188" s="104"/>
      <c r="AL188" s="104"/>
      <c r="AM188" s="104"/>
      <c r="AN188" s="104"/>
      <c r="AO188" s="104"/>
      <c r="AP188" s="104"/>
      <c r="AQ188" s="104"/>
      <c r="AR188" s="104"/>
      <c r="AS188" s="104"/>
      <c r="AT188" s="104"/>
      <c r="AU188" s="104"/>
      <c r="AV188" s="104"/>
      <c r="AW188" s="104"/>
      <c r="AX188" s="104"/>
      <c r="AY188" s="104"/>
      <c r="AZ188" s="104"/>
      <c r="BA188" s="104"/>
      <c r="BB188" s="104"/>
      <c r="BC188" s="104"/>
      <c r="BD188" s="104"/>
      <c r="BE188" s="104"/>
      <c r="BF188" s="104"/>
      <c r="BG188" s="104"/>
      <c r="BH188" s="104"/>
      <c r="BI188" s="104"/>
      <c r="BJ188" s="104"/>
      <c r="BK188" s="104"/>
      <c r="BL188" s="104"/>
      <c r="BM188" s="104"/>
      <c r="BN188" s="104"/>
      <c r="BO188" s="104"/>
      <c r="BP188" s="104"/>
      <c r="BQ188" s="104"/>
      <c r="BR188" s="104"/>
      <c r="BS188" s="104"/>
      <c r="BT188" s="104"/>
      <c r="BU188" s="104"/>
      <c r="BV188" s="104"/>
      <c r="BW188" s="122"/>
      <c r="BX188" s="122"/>
      <c r="BY188" s="104"/>
      <c r="BZ188" s="122"/>
      <c r="CA188" s="122"/>
      <c r="CB188" s="104"/>
      <c r="CC188" s="104"/>
      <c r="CD188" s="122"/>
      <c r="CE188" s="104"/>
      <c r="CF188" s="104"/>
      <c r="CG188" s="104"/>
      <c r="CH188" s="104"/>
      <c r="CI188" s="104"/>
      <c r="CJ188" s="104"/>
      <c r="CK188" s="104"/>
      <c r="CL188" s="104"/>
      <c r="CM188" s="104"/>
      <c r="CN188" s="104"/>
      <c r="CO188" s="104"/>
      <c r="CP188" s="104"/>
      <c r="CQ188" s="104"/>
      <c r="CR188" s="104"/>
      <c r="CS188" s="104"/>
      <c r="CT188" s="104"/>
      <c r="CU188" s="104"/>
    </row>
    <row r="189">
      <c r="A189" s="595"/>
      <c r="B189" s="202" t="s">
        <v>271</v>
      </c>
      <c r="C189" s="196" t="s">
        <v>271</v>
      </c>
      <c r="D189" s="197" t="s">
        <v>271</v>
      </c>
      <c r="E189" s="199" t="s">
        <v>271</v>
      </c>
      <c r="F189" s="201" t="s">
        <v>271</v>
      </c>
      <c r="G189" s="202" t="s">
        <v>271</v>
      </c>
      <c r="H189" s="609"/>
      <c r="I189" s="609"/>
      <c r="J189" s="104"/>
      <c r="K189" s="104"/>
      <c r="L189" s="104"/>
      <c r="M189" s="104"/>
      <c r="N189" s="104"/>
      <c r="O189" s="104"/>
      <c r="P189" s="104"/>
      <c r="Q189" s="104"/>
      <c r="R189" s="104"/>
      <c r="S189" s="104"/>
      <c r="T189" s="104"/>
      <c r="U189" s="104"/>
      <c r="V189" s="104"/>
      <c r="W189" s="104"/>
      <c r="X189" s="104"/>
      <c r="Y189" s="104"/>
      <c r="Z189" s="104"/>
      <c r="AA189" s="104"/>
      <c r="AB189" s="104"/>
      <c r="AC189" s="104"/>
      <c r="AD189" s="104"/>
      <c r="AE189" s="104"/>
      <c r="AF189" s="104"/>
      <c r="AG189" s="104"/>
      <c r="AH189" s="104"/>
      <c r="AI189" s="104"/>
      <c r="AJ189" s="104"/>
      <c r="AK189" s="104"/>
      <c r="AL189" s="104"/>
      <c r="AM189" s="104"/>
      <c r="AN189" s="104"/>
      <c r="AO189" s="104"/>
      <c r="AP189" s="104"/>
      <c r="AQ189" s="104"/>
      <c r="AR189" s="104"/>
      <c r="AS189" s="104"/>
      <c r="AT189" s="104"/>
      <c r="AU189" s="104"/>
      <c r="AV189" s="104"/>
      <c r="AW189" s="104"/>
      <c r="AX189" s="104"/>
      <c r="AY189" s="104"/>
      <c r="AZ189" s="104"/>
      <c r="BA189" s="104"/>
      <c r="BB189" s="104"/>
      <c r="BC189" s="104"/>
      <c r="BD189" s="104"/>
      <c r="BE189" s="104"/>
      <c r="BF189" s="104"/>
      <c r="BG189" s="104"/>
      <c r="BH189" s="104"/>
      <c r="BI189" s="104"/>
      <c r="BJ189" s="104"/>
      <c r="BK189" s="104"/>
      <c r="BL189" s="104"/>
      <c r="BM189" s="104"/>
      <c r="BN189" s="104"/>
      <c r="BO189" s="104"/>
      <c r="BP189" s="104"/>
      <c r="BQ189" s="104"/>
      <c r="BR189" s="104"/>
      <c r="BS189" s="104"/>
      <c r="BT189" s="104"/>
      <c r="BU189" s="104"/>
      <c r="BV189" s="104"/>
      <c r="BW189" s="122"/>
      <c r="BX189" s="122"/>
      <c r="BY189" s="104"/>
      <c r="BZ189" s="122"/>
      <c r="CA189" s="122"/>
      <c r="CB189" s="104"/>
      <c r="CC189" s="104"/>
      <c r="CD189" s="122"/>
      <c r="CE189" s="104"/>
      <c r="CF189" s="104"/>
      <c r="CG189" s="104"/>
      <c r="CH189" s="104"/>
      <c r="CI189" s="104"/>
      <c r="CJ189" s="104"/>
      <c r="CK189" s="104"/>
      <c r="CL189" s="104"/>
      <c r="CM189" s="104"/>
      <c r="CN189" s="104"/>
      <c r="CO189" s="104"/>
      <c r="CP189" s="104"/>
      <c r="CQ189" s="104"/>
      <c r="CR189" s="104"/>
      <c r="CS189" s="104"/>
      <c r="CT189" s="104"/>
      <c r="CU189" s="104"/>
    </row>
    <row r="190">
      <c r="A190" s="595"/>
      <c r="B190" s="202" t="s">
        <v>271</v>
      </c>
      <c r="C190" s="196" t="s">
        <v>271</v>
      </c>
      <c r="D190" s="197" t="s">
        <v>271</v>
      </c>
      <c r="E190" s="199" t="s">
        <v>271</v>
      </c>
      <c r="F190" s="201" t="s">
        <v>271</v>
      </c>
      <c r="G190" s="202" t="s">
        <v>271</v>
      </c>
      <c r="H190" s="609"/>
      <c r="I190" s="609"/>
      <c r="J190" s="104"/>
      <c r="K190" s="104"/>
      <c r="L190" s="104"/>
      <c r="M190" s="104"/>
      <c r="N190" s="104"/>
      <c r="O190" s="104"/>
      <c r="P190" s="104"/>
      <c r="Q190" s="104"/>
      <c r="R190" s="104"/>
      <c r="S190" s="104"/>
      <c r="T190" s="104"/>
      <c r="U190" s="104"/>
      <c r="V190" s="104"/>
      <c r="W190" s="104"/>
      <c r="X190" s="104"/>
      <c r="Y190" s="104"/>
      <c r="Z190" s="104"/>
      <c r="AA190" s="104"/>
      <c r="AB190" s="104"/>
      <c r="AC190" s="104"/>
      <c r="AD190" s="104"/>
      <c r="AE190" s="104"/>
      <c r="AF190" s="104"/>
      <c r="AG190" s="104"/>
      <c r="AH190" s="104"/>
      <c r="AI190" s="104"/>
      <c r="AJ190" s="104"/>
      <c r="AK190" s="104"/>
      <c r="AL190" s="104"/>
      <c r="AM190" s="104"/>
      <c r="AN190" s="104"/>
      <c r="AO190" s="104"/>
      <c r="AP190" s="104"/>
      <c r="AQ190" s="104"/>
      <c r="AR190" s="104"/>
      <c r="AS190" s="104"/>
      <c r="AT190" s="104"/>
      <c r="AU190" s="104"/>
      <c r="AV190" s="104"/>
      <c r="AW190" s="104"/>
      <c r="AX190" s="104"/>
      <c r="AY190" s="104"/>
      <c r="AZ190" s="104"/>
      <c r="BA190" s="104"/>
      <c r="BB190" s="104"/>
      <c r="BC190" s="104"/>
      <c r="BD190" s="104"/>
      <c r="BE190" s="104"/>
      <c r="BF190" s="104"/>
      <c r="BG190" s="104"/>
      <c r="BH190" s="104"/>
      <c r="BI190" s="104"/>
      <c r="BJ190" s="104"/>
      <c r="BK190" s="104"/>
      <c r="BL190" s="104"/>
      <c r="BM190" s="104"/>
      <c r="BN190" s="104"/>
      <c r="BO190" s="104"/>
      <c r="BP190" s="104"/>
      <c r="BQ190" s="104"/>
      <c r="BR190" s="104"/>
      <c r="BS190" s="104"/>
      <c r="BT190" s="104"/>
      <c r="BU190" s="104"/>
      <c r="BV190" s="104"/>
      <c r="BW190" s="122"/>
      <c r="BX190" s="122"/>
      <c r="BY190" s="104"/>
      <c r="BZ190" s="122"/>
      <c r="CA190" s="122"/>
      <c r="CB190" s="104"/>
      <c r="CC190" s="104"/>
      <c r="CD190" s="122"/>
      <c r="CE190" s="104"/>
      <c r="CF190" s="104"/>
      <c r="CG190" s="104"/>
      <c r="CH190" s="104"/>
      <c r="CI190" s="104"/>
      <c r="CJ190" s="104"/>
      <c r="CK190" s="104"/>
      <c r="CL190" s="104"/>
      <c r="CM190" s="104"/>
      <c r="CN190" s="104"/>
      <c r="CO190" s="104"/>
      <c r="CP190" s="104"/>
      <c r="CQ190" s="104"/>
      <c r="CR190" s="104"/>
      <c r="CS190" s="104"/>
      <c r="CT190" s="104"/>
      <c r="CU190" s="104"/>
    </row>
    <row r="191">
      <c r="A191" s="595"/>
      <c r="B191" s="202" t="s">
        <v>271</v>
      </c>
      <c r="C191" s="196" t="s">
        <v>271</v>
      </c>
      <c r="D191" s="197" t="s">
        <v>271</v>
      </c>
      <c r="E191" s="199" t="s">
        <v>271</v>
      </c>
      <c r="F191" s="201" t="s">
        <v>271</v>
      </c>
      <c r="G191" s="202" t="s">
        <v>271</v>
      </c>
      <c r="H191" s="609"/>
      <c r="I191" s="609"/>
      <c r="J191" s="104"/>
      <c r="K191" s="104"/>
      <c r="L191" s="104"/>
      <c r="M191" s="104"/>
      <c r="N191" s="104"/>
      <c r="O191" s="104"/>
      <c r="P191" s="104"/>
      <c r="Q191" s="104"/>
      <c r="R191" s="104"/>
      <c r="S191" s="104"/>
      <c r="T191" s="104"/>
      <c r="U191" s="104"/>
      <c r="V191" s="104"/>
      <c r="W191" s="104"/>
      <c r="X191" s="104"/>
      <c r="Y191" s="104"/>
      <c r="Z191" s="104"/>
      <c r="AA191" s="104"/>
      <c r="AB191" s="104"/>
      <c r="AC191" s="104"/>
      <c r="AD191" s="104"/>
      <c r="AE191" s="104"/>
      <c r="AF191" s="104"/>
      <c r="AG191" s="104"/>
      <c r="AH191" s="104"/>
      <c r="AI191" s="104"/>
      <c r="AJ191" s="104"/>
      <c r="AK191" s="104"/>
      <c r="AL191" s="104"/>
      <c r="AM191" s="104"/>
      <c r="AN191" s="104"/>
      <c r="AO191" s="104"/>
      <c r="AP191" s="104"/>
      <c r="AQ191" s="104"/>
      <c r="AR191" s="104"/>
      <c r="AS191" s="104"/>
      <c r="AT191" s="104"/>
      <c r="AU191" s="104"/>
      <c r="AV191" s="104"/>
      <c r="AW191" s="104"/>
      <c r="AX191" s="104"/>
      <c r="AY191" s="104"/>
      <c r="AZ191" s="104"/>
      <c r="BA191" s="104"/>
      <c r="BB191" s="104"/>
      <c r="BC191" s="104"/>
      <c r="BD191" s="104"/>
      <c r="BE191" s="104"/>
      <c r="BF191" s="104"/>
      <c r="BG191" s="104"/>
      <c r="BH191" s="104"/>
      <c r="BI191" s="104"/>
      <c r="BJ191" s="104"/>
      <c r="BK191" s="104"/>
      <c r="BL191" s="104"/>
      <c r="BM191" s="104"/>
      <c r="BN191" s="104"/>
      <c r="BO191" s="104"/>
      <c r="BP191" s="104"/>
      <c r="BQ191" s="104"/>
      <c r="BR191" s="104"/>
      <c r="BS191" s="104"/>
      <c r="BT191" s="104"/>
      <c r="BU191" s="104"/>
      <c r="BV191" s="104"/>
      <c r="BW191" s="122"/>
      <c r="BX191" s="122"/>
      <c r="BY191" s="104"/>
      <c r="BZ191" s="122"/>
      <c r="CA191" s="122"/>
      <c r="CB191" s="104"/>
      <c r="CC191" s="104"/>
      <c r="CD191" s="122"/>
      <c r="CE191" s="104"/>
      <c r="CF191" s="104"/>
      <c r="CG191" s="104"/>
      <c r="CH191" s="104"/>
      <c r="CI191" s="104"/>
      <c r="CJ191" s="104"/>
      <c r="CK191" s="104"/>
      <c r="CL191" s="104"/>
      <c r="CM191" s="104"/>
      <c r="CN191" s="104"/>
      <c r="CO191" s="104"/>
      <c r="CP191" s="104"/>
      <c r="CQ191" s="104"/>
      <c r="CR191" s="104"/>
      <c r="CS191" s="104"/>
      <c r="CT191" s="104"/>
      <c r="CU191" s="104"/>
    </row>
    <row r="192">
      <c r="A192" s="595"/>
      <c r="B192" s="202" t="s">
        <v>271</v>
      </c>
      <c r="C192" s="196" t="s">
        <v>271</v>
      </c>
      <c r="D192" s="197" t="s">
        <v>271</v>
      </c>
      <c r="E192" s="199" t="s">
        <v>271</v>
      </c>
      <c r="F192" s="201" t="s">
        <v>271</v>
      </c>
      <c r="G192" s="202" t="s">
        <v>271</v>
      </c>
      <c r="H192" s="609"/>
      <c r="I192" s="609"/>
      <c r="J192" s="104"/>
      <c r="K192" s="104"/>
      <c r="L192" s="104"/>
      <c r="M192" s="104"/>
      <c r="N192" s="104"/>
      <c r="O192" s="104"/>
      <c r="P192" s="104"/>
      <c r="Q192" s="104"/>
      <c r="R192" s="104"/>
      <c r="S192" s="104"/>
      <c r="T192" s="104"/>
      <c r="U192" s="104"/>
      <c r="V192" s="104"/>
      <c r="W192" s="104"/>
      <c r="X192" s="104"/>
      <c r="Y192" s="104"/>
      <c r="Z192" s="104"/>
      <c r="AA192" s="104"/>
      <c r="AB192" s="104"/>
      <c r="AC192" s="104"/>
      <c r="AD192" s="104"/>
      <c r="AE192" s="104"/>
      <c r="AF192" s="104"/>
      <c r="AG192" s="104"/>
      <c r="AH192" s="104"/>
      <c r="AI192" s="104"/>
      <c r="AJ192" s="104"/>
      <c r="AK192" s="104"/>
      <c r="AL192" s="104"/>
      <c r="AM192" s="104"/>
      <c r="AN192" s="104"/>
      <c r="AO192" s="104"/>
      <c r="AP192" s="104"/>
      <c r="AQ192" s="104"/>
      <c r="AR192" s="104"/>
      <c r="AS192" s="104"/>
      <c r="AT192" s="104"/>
      <c r="AU192" s="104"/>
      <c r="AV192" s="104"/>
      <c r="AW192" s="104"/>
      <c r="AX192" s="104"/>
      <c r="AY192" s="104"/>
      <c r="AZ192" s="104"/>
      <c r="BA192" s="104"/>
      <c r="BB192" s="104"/>
      <c r="BC192" s="104"/>
      <c r="BD192" s="104"/>
      <c r="BE192" s="104"/>
      <c r="BF192" s="104"/>
      <c r="BG192" s="104"/>
      <c r="BH192" s="104"/>
      <c r="BI192" s="104"/>
      <c r="BJ192" s="104"/>
      <c r="BK192" s="104"/>
      <c r="BL192" s="104"/>
      <c r="BM192" s="104"/>
      <c r="BN192" s="104"/>
      <c r="BO192" s="104"/>
      <c r="BP192" s="104"/>
      <c r="BQ192" s="104"/>
      <c r="BR192" s="104"/>
      <c r="BS192" s="104"/>
      <c r="BT192" s="104"/>
      <c r="BU192" s="104"/>
      <c r="BV192" s="104"/>
      <c r="BW192" s="122"/>
      <c r="BX192" s="122"/>
      <c r="BY192" s="104"/>
      <c r="BZ192" s="122"/>
      <c r="CA192" s="122"/>
      <c r="CB192" s="104"/>
      <c r="CC192" s="104"/>
      <c r="CD192" s="122"/>
      <c r="CE192" s="104"/>
      <c r="CF192" s="104"/>
      <c r="CG192" s="104"/>
      <c r="CH192" s="104"/>
      <c r="CI192" s="104"/>
      <c r="CJ192" s="104"/>
      <c r="CK192" s="104"/>
      <c r="CL192" s="104"/>
      <c r="CM192" s="104"/>
      <c r="CN192" s="104"/>
      <c r="CO192" s="104"/>
      <c r="CP192" s="104"/>
      <c r="CQ192" s="104"/>
      <c r="CR192" s="104"/>
      <c r="CS192" s="104"/>
      <c r="CT192" s="104"/>
      <c r="CU192" s="104"/>
    </row>
    <row r="193">
      <c r="A193" s="595"/>
      <c r="B193" s="202" t="s">
        <v>271</v>
      </c>
      <c r="C193" s="196" t="s">
        <v>271</v>
      </c>
      <c r="D193" s="197" t="s">
        <v>271</v>
      </c>
      <c r="E193" s="199" t="s">
        <v>271</v>
      </c>
      <c r="F193" s="201" t="s">
        <v>271</v>
      </c>
      <c r="G193" s="202" t="s">
        <v>271</v>
      </c>
      <c r="H193" s="609"/>
      <c r="I193" s="609"/>
      <c r="J193" s="104"/>
      <c r="K193" s="104"/>
      <c r="L193" s="104"/>
      <c r="M193" s="104"/>
      <c r="N193" s="104"/>
      <c r="O193" s="104"/>
      <c r="P193" s="104"/>
      <c r="Q193" s="104"/>
      <c r="R193" s="104"/>
      <c r="S193" s="104"/>
      <c r="T193" s="104"/>
      <c r="U193" s="104"/>
      <c r="V193" s="104"/>
      <c r="W193" s="104"/>
      <c r="X193" s="104"/>
      <c r="Y193" s="104"/>
      <c r="Z193" s="104"/>
      <c r="AA193" s="104"/>
      <c r="AB193" s="104"/>
      <c r="AC193" s="104"/>
      <c r="AD193" s="104"/>
      <c r="AE193" s="104"/>
      <c r="AF193" s="104"/>
      <c r="AG193" s="104"/>
      <c r="AH193" s="104"/>
      <c r="AI193" s="104"/>
      <c r="AJ193" s="104"/>
      <c r="AK193" s="104"/>
      <c r="AL193" s="104"/>
      <c r="AM193" s="104"/>
      <c r="AN193" s="104"/>
      <c r="AO193" s="104"/>
      <c r="AP193" s="104"/>
      <c r="AQ193" s="104"/>
      <c r="AR193" s="104"/>
      <c r="AS193" s="104"/>
      <c r="AT193" s="104"/>
      <c r="AU193" s="104"/>
      <c r="AV193" s="104"/>
      <c r="AW193" s="104"/>
      <c r="AX193" s="104"/>
      <c r="AY193" s="104"/>
      <c r="AZ193" s="104"/>
      <c r="BA193" s="104"/>
      <c r="BB193" s="104"/>
      <c r="BC193" s="104"/>
      <c r="BD193" s="104"/>
      <c r="BE193" s="104"/>
      <c r="BF193" s="104"/>
      <c r="BG193" s="104"/>
      <c r="BH193" s="104"/>
      <c r="BI193" s="104"/>
      <c r="BJ193" s="104"/>
      <c r="BK193" s="104"/>
      <c r="BL193" s="104"/>
      <c r="BM193" s="104"/>
      <c r="BN193" s="104"/>
      <c r="BO193" s="104"/>
      <c r="BP193" s="104"/>
      <c r="BQ193" s="104"/>
      <c r="BR193" s="104"/>
      <c r="BS193" s="104"/>
      <c r="BT193" s="104"/>
      <c r="BU193" s="104"/>
      <c r="BV193" s="104"/>
      <c r="BW193" s="122"/>
      <c r="BX193" s="122"/>
      <c r="BY193" s="104"/>
      <c r="BZ193" s="122"/>
      <c r="CA193" s="122"/>
      <c r="CB193" s="104"/>
      <c r="CC193" s="104"/>
      <c r="CD193" s="122"/>
      <c r="CE193" s="104"/>
      <c r="CF193" s="104"/>
      <c r="CG193" s="104"/>
      <c r="CH193" s="104"/>
      <c r="CI193" s="104"/>
      <c r="CJ193" s="104"/>
      <c r="CK193" s="104"/>
      <c r="CL193" s="104"/>
      <c r="CM193" s="104"/>
      <c r="CN193" s="104"/>
      <c r="CO193" s="104"/>
      <c r="CP193" s="104"/>
      <c r="CQ193" s="104"/>
      <c r="CR193" s="104"/>
      <c r="CS193" s="104"/>
      <c r="CT193" s="104"/>
      <c r="CU193" s="104"/>
    </row>
    <row r="194">
      <c r="A194" s="595"/>
      <c r="B194" s="202" t="s">
        <v>271</v>
      </c>
      <c r="C194" s="196" t="s">
        <v>271</v>
      </c>
      <c r="D194" s="197" t="s">
        <v>271</v>
      </c>
      <c r="E194" s="199" t="s">
        <v>271</v>
      </c>
      <c r="F194" s="201" t="s">
        <v>271</v>
      </c>
      <c r="G194" s="202" t="s">
        <v>271</v>
      </c>
      <c r="H194" s="609"/>
      <c r="I194" s="609"/>
      <c r="J194" s="104"/>
      <c r="K194" s="104"/>
      <c r="L194" s="104"/>
      <c r="M194" s="104"/>
      <c r="N194" s="104"/>
      <c r="O194" s="104"/>
      <c r="P194" s="104"/>
      <c r="Q194" s="104"/>
      <c r="R194" s="104"/>
      <c r="S194" s="104"/>
      <c r="T194" s="104"/>
      <c r="U194" s="104"/>
      <c r="V194" s="104"/>
      <c r="W194" s="104"/>
      <c r="X194" s="104"/>
      <c r="Y194" s="104"/>
      <c r="Z194" s="104"/>
      <c r="AA194" s="104"/>
      <c r="AB194" s="104"/>
      <c r="AC194" s="104"/>
      <c r="AD194" s="104"/>
      <c r="AE194" s="104"/>
      <c r="AF194" s="104"/>
      <c r="AG194" s="104"/>
      <c r="AH194" s="104"/>
      <c r="AI194" s="104"/>
      <c r="AJ194" s="104"/>
      <c r="AK194" s="104"/>
      <c r="AL194" s="104"/>
      <c r="AM194" s="104"/>
      <c r="AN194" s="104"/>
      <c r="AO194" s="104"/>
      <c r="AP194" s="104"/>
      <c r="AQ194" s="104"/>
      <c r="AR194" s="104"/>
      <c r="AS194" s="104"/>
      <c r="AT194" s="104"/>
      <c r="AU194" s="104"/>
      <c r="AV194" s="104"/>
      <c r="AW194" s="104"/>
      <c r="AX194" s="104"/>
      <c r="AY194" s="104"/>
      <c r="AZ194" s="104"/>
      <c r="BA194" s="104"/>
      <c r="BB194" s="104"/>
      <c r="BC194" s="104"/>
      <c r="BD194" s="104"/>
      <c r="BE194" s="104"/>
      <c r="BF194" s="104"/>
      <c r="BG194" s="104"/>
      <c r="BH194" s="104"/>
      <c r="BI194" s="104"/>
      <c r="BJ194" s="104"/>
      <c r="BK194" s="104"/>
      <c r="BL194" s="104"/>
      <c r="BM194" s="104"/>
      <c r="BN194" s="104"/>
      <c r="BO194" s="104"/>
      <c r="BP194" s="104"/>
      <c r="BQ194" s="104"/>
      <c r="BR194" s="104"/>
      <c r="BS194" s="104"/>
      <c r="BT194" s="104"/>
      <c r="BU194" s="104"/>
      <c r="BV194" s="104"/>
      <c r="BW194" s="122"/>
      <c r="BX194" s="122"/>
      <c r="BY194" s="104"/>
      <c r="BZ194" s="122"/>
      <c r="CA194" s="122"/>
      <c r="CB194" s="104"/>
      <c r="CC194" s="104"/>
      <c r="CD194" s="122"/>
      <c r="CE194" s="104"/>
      <c r="CF194" s="104"/>
      <c r="CG194" s="104"/>
      <c r="CH194" s="104"/>
      <c r="CI194" s="104"/>
      <c r="CJ194" s="104"/>
      <c r="CK194" s="104"/>
      <c r="CL194" s="104"/>
      <c r="CM194" s="104"/>
      <c r="CN194" s="104"/>
      <c r="CO194" s="104"/>
      <c r="CP194" s="104"/>
      <c r="CQ194" s="104"/>
      <c r="CR194" s="104"/>
      <c r="CS194" s="104"/>
      <c r="CT194" s="104"/>
      <c r="CU194" s="104"/>
    </row>
    <row r="195">
      <c r="A195" s="595"/>
      <c r="B195" s="202" t="s">
        <v>271</v>
      </c>
      <c r="C195" s="196" t="s">
        <v>271</v>
      </c>
      <c r="D195" s="197" t="s">
        <v>271</v>
      </c>
      <c r="E195" s="199" t="s">
        <v>271</v>
      </c>
      <c r="F195" s="201" t="s">
        <v>271</v>
      </c>
      <c r="G195" s="202" t="s">
        <v>271</v>
      </c>
      <c r="H195" s="609"/>
      <c r="I195" s="609"/>
      <c r="J195" s="104"/>
      <c r="K195" s="104"/>
      <c r="L195" s="104"/>
      <c r="M195" s="104"/>
      <c r="N195" s="104"/>
      <c r="O195" s="104"/>
      <c r="P195" s="104"/>
      <c r="Q195" s="104"/>
      <c r="R195" s="104"/>
      <c r="S195" s="104"/>
      <c r="T195" s="104"/>
      <c r="U195" s="104"/>
      <c r="V195" s="104"/>
      <c r="W195" s="104"/>
      <c r="X195" s="104"/>
      <c r="Y195" s="104"/>
      <c r="Z195" s="104"/>
      <c r="AA195" s="104"/>
      <c r="AB195" s="104"/>
      <c r="AC195" s="104"/>
      <c r="AD195" s="104"/>
      <c r="AE195" s="104"/>
      <c r="AF195" s="104"/>
      <c r="AG195" s="104"/>
      <c r="AH195" s="104"/>
      <c r="AI195" s="104"/>
      <c r="AJ195" s="104"/>
      <c r="AK195" s="104"/>
      <c r="AL195" s="104"/>
      <c r="AM195" s="104"/>
      <c r="AN195" s="104"/>
      <c r="AO195" s="104"/>
      <c r="AP195" s="104"/>
      <c r="AQ195" s="104"/>
      <c r="AR195" s="104"/>
      <c r="AS195" s="104"/>
      <c r="AT195" s="104"/>
      <c r="AU195" s="104"/>
      <c r="AV195" s="104"/>
      <c r="AW195" s="104"/>
      <c r="AX195" s="104"/>
      <c r="AY195" s="104"/>
      <c r="AZ195" s="104"/>
      <c r="BA195" s="104"/>
      <c r="BB195" s="104"/>
      <c r="BC195" s="104"/>
      <c r="BD195" s="104"/>
      <c r="BE195" s="104"/>
      <c r="BF195" s="104"/>
      <c r="BG195" s="104"/>
      <c r="BH195" s="104"/>
      <c r="BI195" s="104"/>
      <c r="BJ195" s="104"/>
      <c r="BK195" s="104"/>
      <c r="BL195" s="104"/>
      <c r="BM195" s="104"/>
      <c r="BN195" s="104"/>
      <c r="BO195" s="104"/>
      <c r="BP195" s="104"/>
      <c r="BQ195" s="104"/>
      <c r="BR195" s="104"/>
      <c r="BS195" s="104"/>
      <c r="BT195" s="104"/>
      <c r="BU195" s="104"/>
      <c r="BV195" s="104"/>
      <c r="BW195" s="122"/>
      <c r="BX195" s="122"/>
      <c r="BY195" s="104"/>
      <c r="BZ195" s="122"/>
      <c r="CA195" s="122"/>
      <c r="CB195" s="104"/>
      <c r="CC195" s="104"/>
      <c r="CD195" s="122"/>
      <c r="CE195" s="104"/>
      <c r="CF195" s="104"/>
      <c r="CG195" s="104"/>
      <c r="CH195" s="104"/>
      <c r="CI195" s="104"/>
      <c r="CJ195" s="104"/>
      <c r="CK195" s="104"/>
      <c r="CL195" s="104"/>
      <c r="CM195" s="104"/>
      <c r="CN195" s="104"/>
      <c r="CO195" s="104"/>
      <c r="CP195" s="104"/>
      <c r="CQ195" s="104"/>
      <c r="CR195" s="104"/>
      <c r="CS195" s="104"/>
      <c r="CT195" s="104"/>
      <c r="CU195" s="104"/>
    </row>
    <row r="196">
      <c r="A196" s="595"/>
      <c r="B196" s="202" t="s">
        <v>271</v>
      </c>
      <c r="C196" s="196" t="s">
        <v>271</v>
      </c>
      <c r="D196" s="197" t="s">
        <v>271</v>
      </c>
      <c r="E196" s="199" t="s">
        <v>271</v>
      </c>
      <c r="F196" s="201" t="s">
        <v>271</v>
      </c>
      <c r="G196" s="202" t="s">
        <v>271</v>
      </c>
      <c r="H196" s="609"/>
      <c r="I196" s="609"/>
      <c r="J196" s="104"/>
      <c r="K196" s="104"/>
      <c r="L196" s="104"/>
      <c r="M196" s="104"/>
      <c r="N196" s="104"/>
      <c r="O196" s="104"/>
      <c r="P196" s="104"/>
      <c r="Q196" s="104"/>
      <c r="R196" s="104"/>
      <c r="S196" s="104"/>
      <c r="T196" s="104"/>
      <c r="U196" s="104"/>
      <c r="V196" s="104"/>
      <c r="W196" s="104"/>
      <c r="X196" s="104"/>
      <c r="Y196" s="104"/>
      <c r="Z196" s="104"/>
      <c r="AA196" s="104"/>
      <c r="AB196" s="104"/>
      <c r="AC196" s="104"/>
      <c r="AD196" s="104"/>
      <c r="AE196" s="104"/>
      <c r="AF196" s="104"/>
      <c r="AG196" s="104"/>
      <c r="AH196" s="104"/>
      <c r="AI196" s="104"/>
      <c r="AJ196" s="104"/>
      <c r="AK196" s="104"/>
      <c r="AL196" s="104"/>
      <c r="AM196" s="104"/>
      <c r="AN196" s="104"/>
      <c r="AO196" s="104"/>
      <c r="AP196" s="104"/>
      <c r="AQ196" s="104"/>
      <c r="AR196" s="104"/>
      <c r="AS196" s="104"/>
      <c r="AT196" s="104"/>
      <c r="AU196" s="104"/>
      <c r="AV196" s="104"/>
      <c r="AW196" s="104"/>
      <c r="AX196" s="104"/>
      <c r="AY196" s="104"/>
      <c r="AZ196" s="104"/>
      <c r="BA196" s="104"/>
      <c r="BB196" s="104"/>
      <c r="BC196" s="104"/>
      <c r="BD196" s="104"/>
      <c r="BE196" s="104"/>
      <c r="BF196" s="104"/>
      <c r="BG196" s="104"/>
      <c r="BH196" s="104"/>
      <c r="BI196" s="104"/>
      <c r="BJ196" s="104"/>
      <c r="BK196" s="104"/>
      <c r="BL196" s="104"/>
      <c r="BM196" s="104"/>
      <c r="BN196" s="104"/>
      <c r="BO196" s="104"/>
      <c r="BP196" s="104"/>
      <c r="BQ196" s="104"/>
      <c r="BR196" s="104"/>
      <c r="BS196" s="104"/>
      <c r="BT196" s="104"/>
      <c r="BU196" s="104"/>
      <c r="BV196" s="104"/>
      <c r="BW196" s="122"/>
      <c r="BX196" s="122"/>
      <c r="BY196" s="104"/>
      <c r="BZ196" s="122"/>
      <c r="CA196" s="122"/>
      <c r="CB196" s="104"/>
      <c r="CC196" s="104"/>
      <c r="CD196" s="122"/>
      <c r="CE196" s="104"/>
      <c r="CF196" s="104"/>
      <c r="CG196" s="104"/>
      <c r="CH196" s="104"/>
      <c r="CI196" s="104"/>
      <c r="CJ196" s="104"/>
      <c r="CK196" s="104"/>
      <c r="CL196" s="104"/>
      <c r="CM196" s="104"/>
      <c r="CN196" s="104"/>
      <c r="CO196" s="104"/>
      <c r="CP196" s="104"/>
      <c r="CQ196" s="104"/>
      <c r="CR196" s="104"/>
      <c r="CS196" s="104"/>
      <c r="CT196" s="104"/>
      <c r="CU196" s="104"/>
    </row>
    <row r="197">
      <c r="A197" s="595"/>
      <c r="B197" s="202" t="s">
        <v>271</v>
      </c>
      <c r="C197" s="196" t="s">
        <v>271</v>
      </c>
      <c r="D197" s="197" t="s">
        <v>271</v>
      </c>
      <c r="E197" s="199" t="s">
        <v>271</v>
      </c>
      <c r="F197" s="201" t="s">
        <v>271</v>
      </c>
      <c r="G197" s="202" t="s">
        <v>271</v>
      </c>
      <c r="H197" s="609"/>
      <c r="I197" s="609"/>
      <c r="J197" s="104"/>
      <c r="K197" s="104"/>
      <c r="L197" s="104"/>
      <c r="M197" s="104"/>
      <c r="N197" s="104"/>
      <c r="O197" s="104"/>
      <c r="P197" s="104"/>
      <c r="Q197" s="104"/>
      <c r="R197" s="104"/>
      <c r="S197" s="104"/>
      <c r="T197" s="104"/>
      <c r="U197" s="104"/>
      <c r="V197" s="104"/>
      <c r="W197" s="104"/>
      <c r="X197" s="104"/>
      <c r="Y197" s="104"/>
      <c r="Z197" s="104"/>
      <c r="AA197" s="104"/>
      <c r="AB197" s="104"/>
      <c r="AC197" s="104"/>
      <c r="AD197" s="104"/>
      <c r="AE197" s="104"/>
      <c r="AF197" s="104"/>
      <c r="AG197" s="104"/>
      <c r="AH197" s="104"/>
      <c r="AI197" s="104"/>
      <c r="AJ197" s="104"/>
      <c r="AK197" s="104"/>
      <c r="AL197" s="104"/>
      <c r="AM197" s="104"/>
      <c r="AN197" s="104"/>
      <c r="AO197" s="104"/>
      <c r="AP197" s="104"/>
      <c r="AQ197" s="104"/>
      <c r="AR197" s="104"/>
      <c r="AS197" s="104"/>
      <c r="AT197" s="104"/>
      <c r="AU197" s="104"/>
      <c r="AV197" s="104"/>
      <c r="AW197" s="104"/>
      <c r="AX197" s="104"/>
      <c r="AY197" s="104"/>
      <c r="AZ197" s="104"/>
      <c r="BA197" s="104"/>
      <c r="BB197" s="104"/>
      <c r="BC197" s="104"/>
      <c r="BD197" s="104"/>
      <c r="BE197" s="104"/>
      <c r="BF197" s="104"/>
      <c r="BG197" s="104"/>
      <c r="BH197" s="104"/>
      <c r="BI197" s="104"/>
      <c r="BJ197" s="104"/>
      <c r="BK197" s="104"/>
      <c r="BL197" s="104"/>
      <c r="BM197" s="104"/>
      <c r="BN197" s="104"/>
      <c r="BO197" s="104"/>
      <c r="BP197" s="104"/>
      <c r="BQ197" s="104"/>
      <c r="BR197" s="104"/>
      <c r="BS197" s="104"/>
      <c r="BT197" s="104"/>
      <c r="BU197" s="104"/>
      <c r="BV197" s="104"/>
      <c r="BW197" s="122"/>
      <c r="BX197" s="122"/>
      <c r="BY197" s="104"/>
      <c r="BZ197" s="122"/>
      <c r="CA197" s="122"/>
      <c r="CB197" s="104"/>
      <c r="CC197" s="104"/>
      <c r="CD197" s="122"/>
      <c r="CE197" s="104"/>
      <c r="CF197" s="104"/>
      <c r="CG197" s="104"/>
      <c r="CH197" s="104"/>
      <c r="CI197" s="104"/>
      <c r="CJ197" s="104"/>
      <c r="CK197" s="104"/>
      <c r="CL197" s="104"/>
      <c r="CM197" s="104"/>
      <c r="CN197" s="104"/>
      <c r="CO197" s="104"/>
      <c r="CP197" s="104"/>
      <c r="CQ197" s="104"/>
      <c r="CR197" s="104"/>
      <c r="CS197" s="104"/>
      <c r="CT197" s="104"/>
      <c r="CU197" s="104"/>
    </row>
    <row r="198">
      <c r="A198" s="595"/>
      <c r="B198" s="202" t="s">
        <v>271</v>
      </c>
      <c r="C198" s="196" t="s">
        <v>271</v>
      </c>
      <c r="D198" s="197" t="s">
        <v>271</v>
      </c>
      <c r="E198" s="199" t="s">
        <v>271</v>
      </c>
      <c r="F198" s="201" t="s">
        <v>271</v>
      </c>
      <c r="G198" s="202" t="s">
        <v>271</v>
      </c>
      <c r="H198" s="609"/>
      <c r="I198" s="609"/>
      <c r="J198" s="104"/>
      <c r="K198" s="104"/>
      <c r="L198" s="104"/>
      <c r="M198" s="104"/>
      <c r="N198" s="104"/>
      <c r="O198" s="104"/>
      <c r="P198" s="104"/>
      <c r="Q198" s="104"/>
      <c r="R198" s="104"/>
      <c r="S198" s="104"/>
      <c r="T198" s="104"/>
      <c r="U198" s="104"/>
      <c r="V198" s="104"/>
      <c r="W198" s="104"/>
      <c r="X198" s="104"/>
      <c r="Y198" s="104"/>
      <c r="Z198" s="104"/>
      <c r="AA198" s="104"/>
      <c r="AB198" s="104"/>
      <c r="AC198" s="104"/>
      <c r="AD198" s="104"/>
      <c r="AE198" s="104"/>
      <c r="AF198" s="104"/>
      <c r="AG198" s="104"/>
      <c r="AH198" s="104"/>
      <c r="AI198" s="104"/>
      <c r="AJ198" s="104"/>
      <c r="AK198" s="104"/>
      <c r="AL198" s="104"/>
      <c r="AM198" s="104"/>
      <c r="AN198" s="104"/>
      <c r="AO198" s="104"/>
      <c r="AP198" s="104"/>
      <c r="AQ198" s="104"/>
      <c r="AR198" s="104"/>
      <c r="AS198" s="104"/>
      <c r="AT198" s="104"/>
      <c r="AU198" s="104"/>
      <c r="AV198" s="104"/>
      <c r="AW198" s="104"/>
      <c r="AX198" s="104"/>
      <c r="AY198" s="104"/>
      <c r="AZ198" s="104"/>
      <c r="BA198" s="104"/>
      <c r="BB198" s="104"/>
      <c r="BC198" s="104"/>
      <c r="BD198" s="104"/>
      <c r="BE198" s="104"/>
      <c r="BF198" s="104"/>
      <c r="BG198" s="104"/>
      <c r="BH198" s="104"/>
      <c r="BI198" s="104"/>
      <c r="BJ198" s="104"/>
      <c r="BK198" s="104"/>
      <c r="BL198" s="104"/>
      <c r="BM198" s="104"/>
      <c r="BN198" s="104"/>
      <c r="BO198" s="104"/>
      <c r="BP198" s="104"/>
      <c r="BQ198" s="104"/>
      <c r="BR198" s="104"/>
      <c r="BS198" s="104"/>
      <c r="BT198" s="104"/>
      <c r="BU198" s="104"/>
      <c r="BV198" s="104"/>
      <c r="BW198" s="122"/>
      <c r="BX198" s="122"/>
      <c r="BY198" s="104"/>
      <c r="BZ198" s="122"/>
      <c r="CA198" s="122"/>
      <c r="CB198" s="104"/>
      <c r="CC198" s="104"/>
      <c r="CD198" s="122"/>
      <c r="CE198" s="104"/>
      <c r="CF198" s="104"/>
      <c r="CG198" s="104"/>
      <c r="CH198" s="104"/>
      <c r="CI198" s="104"/>
      <c r="CJ198" s="104"/>
      <c r="CK198" s="104"/>
      <c r="CL198" s="104"/>
      <c r="CM198" s="104"/>
      <c r="CN198" s="104"/>
      <c r="CO198" s="104"/>
      <c r="CP198" s="104"/>
      <c r="CQ198" s="104"/>
      <c r="CR198" s="104"/>
      <c r="CS198" s="104"/>
      <c r="CT198" s="104"/>
      <c r="CU198" s="104"/>
    </row>
    <row r="199">
      <c r="A199" s="595"/>
      <c r="B199" s="202" t="s">
        <v>271</v>
      </c>
      <c r="C199" s="196" t="s">
        <v>271</v>
      </c>
      <c r="D199" s="197" t="s">
        <v>271</v>
      </c>
      <c r="E199" s="199" t="s">
        <v>271</v>
      </c>
      <c r="F199" s="201" t="s">
        <v>271</v>
      </c>
      <c r="G199" s="202" t="s">
        <v>271</v>
      </c>
      <c r="H199" s="609"/>
      <c r="I199" s="609"/>
      <c r="J199" s="104"/>
      <c r="K199" s="104"/>
      <c r="L199" s="104"/>
      <c r="M199" s="104"/>
      <c r="N199" s="104"/>
      <c r="O199" s="104"/>
      <c r="P199" s="104"/>
      <c r="Q199" s="104"/>
      <c r="R199" s="104"/>
      <c r="S199" s="104"/>
      <c r="T199" s="104"/>
      <c r="U199" s="104"/>
      <c r="V199" s="104"/>
      <c r="W199" s="104"/>
      <c r="X199" s="104"/>
      <c r="Y199" s="104"/>
      <c r="Z199" s="104"/>
      <c r="AA199" s="104"/>
      <c r="AB199" s="104"/>
      <c r="AC199" s="104"/>
      <c r="AD199" s="104"/>
      <c r="AE199" s="104"/>
      <c r="AF199" s="104"/>
      <c r="AG199" s="104"/>
      <c r="AH199" s="104"/>
      <c r="AI199" s="104"/>
      <c r="AJ199" s="104"/>
      <c r="AK199" s="104"/>
      <c r="AL199" s="104"/>
      <c r="AM199" s="104"/>
      <c r="AN199" s="104"/>
      <c r="AO199" s="104"/>
      <c r="AP199" s="104"/>
      <c r="AQ199" s="104"/>
      <c r="AR199" s="104"/>
      <c r="AS199" s="104"/>
      <c r="AT199" s="104"/>
      <c r="AU199" s="104"/>
      <c r="AV199" s="104"/>
      <c r="AW199" s="104"/>
      <c r="AX199" s="104"/>
      <c r="AY199" s="104"/>
      <c r="AZ199" s="104"/>
      <c r="BA199" s="104"/>
      <c r="BB199" s="104"/>
      <c r="BC199" s="104"/>
      <c r="BD199" s="104"/>
      <c r="BE199" s="104"/>
      <c r="BF199" s="104"/>
      <c r="BG199" s="104"/>
      <c r="BH199" s="104"/>
      <c r="BI199" s="104"/>
      <c r="BJ199" s="104"/>
      <c r="BK199" s="104"/>
      <c r="BL199" s="104"/>
      <c r="BM199" s="104"/>
      <c r="BN199" s="104"/>
      <c r="BO199" s="104"/>
      <c r="BP199" s="104"/>
      <c r="BQ199" s="104"/>
      <c r="BR199" s="104"/>
      <c r="BS199" s="104"/>
      <c r="BT199" s="104"/>
      <c r="BU199" s="104"/>
      <c r="BV199" s="104"/>
      <c r="BW199" s="122"/>
      <c r="BX199" s="122"/>
      <c r="BY199" s="104"/>
      <c r="BZ199" s="122"/>
      <c r="CA199" s="122"/>
      <c r="CB199" s="104"/>
      <c r="CC199" s="104"/>
      <c r="CD199" s="122"/>
      <c r="CE199" s="104"/>
      <c r="CF199" s="104"/>
      <c r="CG199" s="104"/>
      <c r="CH199" s="104"/>
      <c r="CI199" s="104"/>
      <c r="CJ199" s="104"/>
      <c r="CK199" s="104"/>
      <c r="CL199" s="104"/>
      <c r="CM199" s="104"/>
      <c r="CN199" s="104"/>
      <c r="CO199" s="104"/>
      <c r="CP199" s="104"/>
      <c r="CQ199" s="104"/>
      <c r="CR199" s="104"/>
      <c r="CS199" s="104"/>
      <c r="CT199" s="104"/>
      <c r="CU199" s="104"/>
    </row>
    <row r="200">
      <c r="A200" s="595"/>
      <c r="B200" s="202" t="s">
        <v>271</v>
      </c>
      <c r="C200" s="196" t="s">
        <v>271</v>
      </c>
      <c r="D200" s="197" t="s">
        <v>271</v>
      </c>
      <c r="E200" s="199" t="s">
        <v>271</v>
      </c>
      <c r="F200" s="201" t="s">
        <v>271</v>
      </c>
      <c r="G200" s="202" t="s">
        <v>271</v>
      </c>
      <c r="H200" s="609"/>
      <c r="I200" s="609"/>
      <c r="J200" s="104"/>
      <c r="K200" s="104"/>
      <c r="L200" s="104"/>
      <c r="M200" s="104"/>
      <c r="N200" s="104"/>
      <c r="O200" s="104"/>
      <c r="P200" s="104"/>
      <c r="Q200" s="104"/>
      <c r="R200" s="104"/>
      <c r="S200" s="104"/>
      <c r="T200" s="104"/>
      <c r="U200" s="104"/>
      <c r="V200" s="104"/>
      <c r="W200" s="104"/>
      <c r="X200" s="104"/>
      <c r="Y200" s="104"/>
      <c r="Z200" s="104"/>
      <c r="AA200" s="104"/>
      <c r="AB200" s="104"/>
      <c r="AC200" s="104"/>
      <c r="AD200" s="104"/>
      <c r="AE200" s="104"/>
      <c r="AF200" s="104"/>
      <c r="AG200" s="104"/>
      <c r="AH200" s="104"/>
      <c r="AI200" s="104"/>
      <c r="AJ200" s="104"/>
      <c r="AK200" s="104"/>
      <c r="AL200" s="104"/>
      <c r="AM200" s="104"/>
      <c r="AN200" s="104"/>
      <c r="AO200" s="104"/>
      <c r="AP200" s="104"/>
      <c r="AQ200" s="104"/>
      <c r="AR200" s="104"/>
      <c r="AS200" s="104"/>
      <c r="AT200" s="104"/>
      <c r="AU200" s="104"/>
      <c r="AV200" s="104"/>
      <c r="AW200" s="104"/>
      <c r="AX200" s="104"/>
      <c r="AY200" s="104"/>
      <c r="AZ200" s="104"/>
      <c r="BA200" s="104"/>
      <c r="BB200" s="104"/>
      <c r="BC200" s="104"/>
      <c r="BD200" s="104"/>
      <c r="BE200" s="104"/>
      <c r="BF200" s="104"/>
      <c r="BG200" s="104"/>
      <c r="BH200" s="104"/>
      <c r="BI200" s="104"/>
      <c r="BJ200" s="104"/>
      <c r="BK200" s="104"/>
      <c r="BL200" s="104"/>
      <c r="BM200" s="104"/>
      <c r="BN200" s="104"/>
      <c r="BO200" s="104"/>
      <c r="BP200" s="104"/>
      <c r="BQ200" s="104"/>
      <c r="BR200" s="104"/>
      <c r="BS200" s="104"/>
      <c r="BT200" s="104"/>
      <c r="BU200" s="104"/>
      <c r="BV200" s="104"/>
      <c r="BW200" s="122"/>
      <c r="BX200" s="122"/>
      <c r="BY200" s="104"/>
      <c r="BZ200" s="122"/>
      <c r="CA200" s="122"/>
      <c r="CB200" s="104"/>
      <c r="CC200" s="104"/>
      <c r="CD200" s="122"/>
      <c r="CE200" s="104"/>
      <c r="CF200" s="104"/>
      <c r="CG200" s="104"/>
      <c r="CH200" s="104"/>
      <c r="CI200" s="104"/>
      <c r="CJ200" s="104"/>
      <c r="CK200" s="104"/>
      <c r="CL200" s="104"/>
      <c r="CM200" s="104"/>
      <c r="CN200" s="104"/>
      <c r="CO200" s="104"/>
      <c r="CP200" s="104"/>
      <c r="CQ200" s="104"/>
      <c r="CR200" s="104"/>
      <c r="CS200" s="104"/>
      <c r="CT200" s="104"/>
      <c r="CU200" s="104"/>
    </row>
    <row r="201">
      <c r="A201" s="595"/>
      <c r="B201" s="202" t="s">
        <v>271</v>
      </c>
      <c r="C201" s="196" t="s">
        <v>271</v>
      </c>
      <c r="D201" s="197" t="s">
        <v>271</v>
      </c>
      <c r="E201" s="199" t="s">
        <v>271</v>
      </c>
      <c r="F201" s="201" t="s">
        <v>271</v>
      </c>
      <c r="G201" s="202" t="s">
        <v>271</v>
      </c>
      <c r="H201" s="609"/>
      <c r="I201" s="609"/>
      <c r="J201" s="104"/>
      <c r="K201" s="104"/>
      <c r="L201" s="104"/>
      <c r="M201" s="104"/>
      <c r="N201" s="104"/>
      <c r="O201" s="104"/>
      <c r="P201" s="104"/>
      <c r="Q201" s="104"/>
      <c r="R201" s="104"/>
      <c r="S201" s="104"/>
      <c r="T201" s="104"/>
      <c r="U201" s="104"/>
      <c r="V201" s="104"/>
      <c r="W201" s="104"/>
      <c r="X201" s="104"/>
      <c r="Y201" s="104"/>
      <c r="Z201" s="104"/>
      <c r="AA201" s="104"/>
      <c r="AB201" s="104"/>
      <c r="AC201" s="104"/>
      <c r="AD201" s="104"/>
      <c r="AE201" s="104"/>
      <c r="AF201" s="104"/>
      <c r="AG201" s="104"/>
      <c r="AH201" s="104"/>
      <c r="AI201" s="104"/>
      <c r="AJ201" s="104"/>
      <c r="AK201" s="104"/>
      <c r="AL201" s="104"/>
      <c r="AM201" s="104"/>
      <c r="AN201" s="104"/>
      <c r="AO201" s="104"/>
      <c r="AP201" s="104"/>
      <c r="AQ201" s="104"/>
      <c r="AR201" s="104"/>
      <c r="AS201" s="104"/>
      <c r="AT201" s="104"/>
      <c r="AU201" s="104"/>
      <c r="AV201" s="104"/>
      <c r="AW201" s="104"/>
      <c r="AX201" s="104"/>
      <c r="AY201" s="104"/>
      <c r="AZ201" s="104"/>
      <c r="BA201" s="104"/>
      <c r="BB201" s="104"/>
      <c r="BC201" s="104"/>
      <c r="BD201" s="104"/>
      <c r="BE201" s="104"/>
      <c r="BF201" s="104"/>
      <c r="BG201" s="104"/>
      <c r="BH201" s="104"/>
      <c r="BI201" s="104"/>
      <c r="BJ201" s="104"/>
      <c r="BK201" s="104"/>
      <c r="BL201" s="104"/>
      <c r="BM201" s="104"/>
      <c r="BN201" s="104"/>
      <c r="BO201" s="104"/>
      <c r="BP201" s="104"/>
      <c r="BQ201" s="104"/>
      <c r="BR201" s="104"/>
      <c r="BS201" s="104"/>
      <c r="BT201" s="104"/>
      <c r="BU201" s="104"/>
      <c r="BV201" s="104"/>
      <c r="BW201" s="122"/>
      <c r="BX201" s="122"/>
      <c r="BY201" s="104"/>
      <c r="BZ201" s="122"/>
      <c r="CA201" s="122"/>
      <c r="CB201" s="104"/>
      <c r="CC201" s="104"/>
      <c r="CD201" s="122"/>
      <c r="CE201" s="104"/>
      <c r="CF201" s="104"/>
      <c r="CG201" s="104"/>
      <c r="CH201" s="104"/>
      <c r="CI201" s="104"/>
      <c r="CJ201" s="104"/>
      <c r="CK201" s="104"/>
      <c r="CL201" s="104"/>
      <c r="CM201" s="104"/>
      <c r="CN201" s="104"/>
      <c r="CO201" s="104"/>
      <c r="CP201" s="104"/>
      <c r="CQ201" s="104"/>
      <c r="CR201" s="104"/>
      <c r="CS201" s="104"/>
      <c r="CT201" s="104"/>
      <c r="CU201" s="104"/>
    </row>
    <row r="202">
      <c r="A202" s="595"/>
      <c r="B202" s="202" t="s">
        <v>271</v>
      </c>
      <c r="C202" s="196" t="s">
        <v>271</v>
      </c>
      <c r="D202" s="197" t="s">
        <v>271</v>
      </c>
      <c r="E202" s="199" t="s">
        <v>271</v>
      </c>
      <c r="F202" s="201" t="s">
        <v>271</v>
      </c>
      <c r="G202" s="202" t="s">
        <v>271</v>
      </c>
      <c r="H202" s="609"/>
      <c r="I202" s="609"/>
      <c r="J202" s="104"/>
      <c r="K202" s="104"/>
      <c r="L202" s="104"/>
      <c r="M202" s="104"/>
      <c r="N202" s="104"/>
      <c r="O202" s="104"/>
      <c r="P202" s="104"/>
      <c r="Q202" s="104"/>
      <c r="R202" s="104"/>
      <c r="S202" s="104"/>
      <c r="T202" s="104"/>
      <c r="U202" s="104"/>
      <c r="V202" s="104"/>
      <c r="W202" s="104"/>
      <c r="X202" s="104"/>
      <c r="Y202" s="104"/>
      <c r="Z202" s="104"/>
      <c r="AA202" s="104"/>
      <c r="AB202" s="104"/>
      <c r="AC202" s="104"/>
      <c r="AD202" s="104"/>
      <c r="AE202" s="104"/>
      <c r="AF202" s="104"/>
      <c r="AG202" s="104"/>
      <c r="AH202" s="104"/>
      <c r="AI202" s="104"/>
      <c r="AJ202" s="104"/>
      <c r="AK202" s="104"/>
      <c r="AL202" s="104"/>
      <c r="AM202" s="104"/>
      <c r="AN202" s="104"/>
      <c r="AO202" s="104"/>
      <c r="AP202" s="104"/>
      <c r="AQ202" s="104"/>
      <c r="AR202" s="104"/>
      <c r="AS202" s="104"/>
      <c r="AT202" s="104"/>
      <c r="AU202" s="104"/>
      <c r="AV202" s="104"/>
      <c r="AW202" s="104"/>
      <c r="AX202" s="104"/>
      <c r="AY202" s="104"/>
      <c r="AZ202" s="104"/>
      <c r="BA202" s="104"/>
      <c r="BB202" s="104"/>
      <c r="BC202" s="104"/>
      <c r="BD202" s="104"/>
      <c r="BE202" s="104"/>
      <c r="BF202" s="104"/>
      <c r="BG202" s="104"/>
      <c r="BH202" s="104"/>
      <c r="BI202" s="104"/>
      <c r="BJ202" s="104"/>
      <c r="BK202" s="104"/>
      <c r="BL202" s="104"/>
      <c r="BM202" s="104"/>
      <c r="BN202" s="104"/>
      <c r="BO202" s="104"/>
      <c r="BP202" s="104"/>
      <c r="BQ202" s="104"/>
      <c r="BR202" s="104"/>
      <c r="BS202" s="104"/>
      <c r="BT202" s="104"/>
      <c r="BU202" s="104"/>
      <c r="BV202" s="104"/>
      <c r="BW202" s="122"/>
      <c r="BX202" s="122"/>
      <c r="BY202" s="104"/>
      <c r="BZ202" s="122"/>
      <c r="CA202" s="122"/>
      <c r="CB202" s="104"/>
      <c r="CC202" s="104"/>
      <c r="CD202" s="122"/>
      <c r="CE202" s="104"/>
      <c r="CF202" s="104"/>
      <c r="CG202" s="104"/>
      <c r="CH202" s="104"/>
      <c r="CI202" s="104"/>
      <c r="CJ202" s="104"/>
      <c r="CK202" s="104"/>
      <c r="CL202" s="104"/>
      <c r="CM202" s="104"/>
      <c r="CN202" s="104"/>
      <c r="CO202" s="104"/>
      <c r="CP202" s="104"/>
      <c r="CQ202" s="104"/>
      <c r="CR202" s="104"/>
      <c r="CS202" s="104"/>
      <c r="CT202" s="104"/>
      <c r="CU202" s="104"/>
    </row>
    <row r="203">
      <c r="A203" s="595"/>
      <c r="B203" s="202" t="s">
        <v>271</v>
      </c>
      <c r="C203" s="196" t="s">
        <v>271</v>
      </c>
      <c r="D203" s="197" t="s">
        <v>271</v>
      </c>
      <c r="E203" s="199" t="s">
        <v>271</v>
      </c>
      <c r="F203" s="201" t="s">
        <v>271</v>
      </c>
      <c r="G203" s="202" t="s">
        <v>271</v>
      </c>
      <c r="H203" s="609"/>
      <c r="I203" s="609"/>
      <c r="J203" s="104"/>
      <c r="K203" s="104"/>
      <c r="L203" s="104"/>
      <c r="M203" s="104"/>
      <c r="N203" s="104"/>
      <c r="O203" s="104"/>
      <c r="P203" s="104"/>
      <c r="Q203" s="104"/>
      <c r="R203" s="104"/>
      <c r="S203" s="104"/>
      <c r="T203" s="104"/>
      <c r="U203" s="104"/>
      <c r="V203" s="104"/>
      <c r="W203" s="104"/>
      <c r="X203" s="104"/>
      <c r="Y203" s="104"/>
      <c r="Z203" s="104"/>
      <c r="AA203" s="104"/>
      <c r="AB203" s="104"/>
      <c r="AC203" s="104"/>
      <c r="AD203" s="104"/>
      <c r="AE203" s="104"/>
      <c r="AF203" s="104"/>
      <c r="AG203" s="104"/>
      <c r="AH203" s="104"/>
      <c r="AI203" s="104"/>
      <c r="AJ203" s="104"/>
      <c r="AK203" s="104"/>
      <c r="AL203" s="104"/>
      <c r="AM203" s="104"/>
      <c r="AN203" s="104"/>
      <c r="AO203" s="104"/>
      <c r="AP203" s="104"/>
      <c r="AQ203" s="104"/>
      <c r="AR203" s="104"/>
      <c r="AS203" s="104"/>
      <c r="AT203" s="104"/>
      <c r="AU203" s="104"/>
      <c r="AV203" s="104"/>
      <c r="AW203" s="104"/>
      <c r="AX203" s="104"/>
      <c r="AY203" s="104"/>
      <c r="AZ203" s="104"/>
      <c r="BA203" s="104"/>
      <c r="BB203" s="104"/>
      <c r="BC203" s="104"/>
      <c r="BD203" s="104"/>
      <c r="BE203" s="104"/>
      <c r="BF203" s="104"/>
      <c r="BG203" s="104"/>
      <c r="BH203" s="104"/>
      <c r="BI203" s="104"/>
      <c r="BJ203" s="104"/>
      <c r="BK203" s="104"/>
      <c r="BL203" s="104"/>
      <c r="BM203" s="104"/>
      <c r="BN203" s="104"/>
      <c r="BO203" s="104"/>
      <c r="BP203" s="104"/>
      <c r="BQ203" s="104"/>
      <c r="BR203" s="104"/>
      <c r="BS203" s="104"/>
      <c r="BT203" s="104"/>
      <c r="BU203" s="104"/>
      <c r="BV203" s="104"/>
      <c r="BW203" s="122"/>
      <c r="BX203" s="122"/>
      <c r="BY203" s="104"/>
      <c r="BZ203" s="122"/>
      <c r="CA203" s="122"/>
      <c r="CB203" s="104"/>
      <c r="CC203" s="104"/>
      <c r="CD203" s="122"/>
      <c r="CE203" s="104"/>
      <c r="CF203" s="104"/>
      <c r="CG203" s="104"/>
      <c r="CH203" s="104"/>
      <c r="CI203" s="104"/>
      <c r="CJ203" s="104"/>
      <c r="CK203" s="104"/>
      <c r="CL203" s="104"/>
      <c r="CM203" s="104"/>
      <c r="CN203" s="104"/>
      <c r="CO203" s="104"/>
      <c r="CP203" s="104"/>
      <c r="CQ203" s="104"/>
      <c r="CR203" s="104"/>
      <c r="CS203" s="104"/>
      <c r="CT203" s="104"/>
      <c r="CU203" s="104"/>
    </row>
    <row r="204">
      <c r="A204" s="595"/>
      <c r="B204" s="202" t="s">
        <v>271</v>
      </c>
      <c r="C204" s="196" t="s">
        <v>271</v>
      </c>
      <c r="D204" s="197" t="s">
        <v>271</v>
      </c>
      <c r="E204" s="199" t="s">
        <v>271</v>
      </c>
      <c r="F204" s="201" t="s">
        <v>271</v>
      </c>
      <c r="G204" s="202" t="s">
        <v>271</v>
      </c>
      <c r="H204" s="609"/>
      <c r="I204" s="609"/>
      <c r="J204" s="104"/>
      <c r="K204" s="104"/>
      <c r="L204" s="104"/>
      <c r="M204" s="104"/>
      <c r="N204" s="104"/>
      <c r="O204" s="104"/>
      <c r="P204" s="104"/>
      <c r="Q204" s="104"/>
      <c r="R204" s="104"/>
      <c r="S204" s="104"/>
      <c r="T204" s="104"/>
      <c r="U204" s="104"/>
      <c r="V204" s="104"/>
      <c r="W204" s="104"/>
      <c r="X204" s="104"/>
      <c r="Y204" s="104"/>
      <c r="Z204" s="104"/>
      <c r="AA204" s="104"/>
      <c r="AB204" s="104"/>
      <c r="AC204" s="104"/>
      <c r="AD204" s="104"/>
      <c r="AE204" s="104"/>
      <c r="AF204" s="104"/>
      <c r="AG204" s="104"/>
      <c r="AH204" s="104"/>
      <c r="AI204" s="104"/>
      <c r="AJ204" s="104"/>
      <c r="AK204" s="104"/>
      <c r="AL204" s="104"/>
      <c r="AM204" s="104"/>
      <c r="AN204" s="104"/>
      <c r="AO204" s="104"/>
      <c r="AP204" s="104"/>
      <c r="AQ204" s="104"/>
      <c r="AR204" s="104"/>
      <c r="AS204" s="104"/>
      <c r="AT204" s="104"/>
      <c r="AU204" s="104"/>
      <c r="AV204" s="104"/>
      <c r="AW204" s="104"/>
      <c r="AX204" s="104"/>
      <c r="AY204" s="104"/>
      <c r="AZ204" s="104"/>
      <c r="BA204" s="104"/>
      <c r="BB204" s="104"/>
      <c r="BC204" s="104"/>
      <c r="BD204" s="104"/>
      <c r="BE204" s="104"/>
      <c r="BF204" s="104"/>
      <c r="BG204" s="104"/>
      <c r="BH204" s="104"/>
      <c r="BI204" s="104"/>
      <c r="BJ204" s="104"/>
      <c r="BK204" s="104"/>
      <c r="BL204" s="104"/>
      <c r="BM204" s="104"/>
      <c r="BN204" s="104"/>
      <c r="BO204" s="104"/>
      <c r="BP204" s="104"/>
      <c r="BQ204" s="104"/>
      <c r="BR204" s="104"/>
      <c r="BS204" s="104"/>
      <c r="BT204" s="104"/>
      <c r="BU204" s="104"/>
      <c r="BV204" s="104"/>
      <c r="BW204" s="122"/>
      <c r="BX204" s="122"/>
      <c r="BY204" s="104"/>
      <c r="BZ204" s="122"/>
      <c r="CA204" s="122"/>
      <c r="CB204" s="104"/>
      <c r="CC204" s="104"/>
      <c r="CD204" s="122"/>
      <c r="CE204" s="104"/>
      <c r="CF204" s="104"/>
      <c r="CG204" s="104"/>
      <c r="CH204" s="104"/>
      <c r="CI204" s="104"/>
      <c r="CJ204" s="104"/>
      <c r="CK204" s="104"/>
      <c r="CL204" s="104"/>
      <c r="CM204" s="104"/>
      <c r="CN204" s="104"/>
      <c r="CO204" s="104"/>
      <c r="CP204" s="104"/>
      <c r="CQ204" s="104"/>
      <c r="CR204" s="104"/>
      <c r="CS204" s="104"/>
      <c r="CT204" s="104"/>
      <c r="CU204" s="104"/>
    </row>
    <row r="205">
      <c r="A205" s="595"/>
      <c r="B205" s="202" t="s">
        <v>271</v>
      </c>
      <c r="C205" s="196" t="s">
        <v>271</v>
      </c>
      <c r="D205" s="197" t="s">
        <v>271</v>
      </c>
      <c r="E205" s="199" t="s">
        <v>271</v>
      </c>
      <c r="F205" s="201" t="s">
        <v>271</v>
      </c>
      <c r="G205" s="202" t="s">
        <v>271</v>
      </c>
      <c r="H205" s="609"/>
      <c r="I205" s="609"/>
      <c r="J205" s="104"/>
      <c r="K205" s="104"/>
      <c r="L205" s="104"/>
      <c r="M205" s="104"/>
      <c r="N205" s="104"/>
      <c r="O205" s="104"/>
      <c r="P205" s="104"/>
      <c r="Q205" s="104"/>
      <c r="R205" s="104"/>
      <c r="S205" s="104"/>
      <c r="T205" s="104"/>
      <c r="U205" s="104"/>
      <c r="V205" s="104"/>
      <c r="W205" s="104"/>
      <c r="X205" s="104"/>
      <c r="Y205" s="104"/>
      <c r="Z205" s="104"/>
      <c r="AA205" s="104"/>
      <c r="AB205" s="104"/>
      <c r="AC205" s="104"/>
      <c r="AD205" s="104"/>
      <c r="AE205" s="104"/>
      <c r="AF205" s="104"/>
      <c r="AG205" s="104"/>
      <c r="AH205" s="104"/>
      <c r="AI205" s="104"/>
      <c r="AJ205" s="104"/>
      <c r="AK205" s="104"/>
      <c r="AL205" s="104"/>
      <c r="AM205" s="104"/>
      <c r="AN205" s="104"/>
      <c r="AO205" s="104"/>
      <c r="AP205" s="104"/>
      <c r="AQ205" s="104"/>
      <c r="AR205" s="104"/>
      <c r="AS205" s="104"/>
      <c r="AT205" s="104"/>
      <c r="AU205" s="104"/>
      <c r="AV205" s="104"/>
      <c r="AW205" s="104"/>
      <c r="AX205" s="104"/>
      <c r="AY205" s="104"/>
      <c r="AZ205" s="104"/>
      <c r="BA205" s="104"/>
      <c r="BB205" s="104"/>
      <c r="BC205" s="104"/>
      <c r="BD205" s="104"/>
      <c r="BE205" s="104"/>
      <c r="BF205" s="104"/>
      <c r="BG205" s="104"/>
      <c r="BH205" s="104"/>
      <c r="BI205" s="104"/>
      <c r="BJ205" s="104"/>
      <c r="BK205" s="104"/>
      <c r="BL205" s="104"/>
      <c r="BM205" s="104"/>
      <c r="BN205" s="104"/>
      <c r="BO205" s="104"/>
      <c r="BP205" s="104"/>
      <c r="BQ205" s="104"/>
      <c r="BR205" s="104"/>
      <c r="BS205" s="104"/>
      <c r="BT205" s="104"/>
      <c r="BU205" s="104"/>
      <c r="BV205" s="104"/>
      <c r="BW205" s="122"/>
      <c r="BX205" s="122"/>
      <c r="BY205" s="104"/>
      <c r="BZ205" s="122"/>
      <c r="CA205" s="122"/>
      <c r="CB205" s="104"/>
      <c r="CC205" s="104"/>
      <c r="CD205" s="122"/>
      <c r="CE205" s="104"/>
      <c r="CF205" s="104"/>
      <c r="CG205" s="104"/>
      <c r="CH205" s="104"/>
      <c r="CI205" s="104"/>
      <c r="CJ205" s="104"/>
      <c r="CK205" s="104"/>
      <c r="CL205" s="104"/>
      <c r="CM205" s="104"/>
      <c r="CN205" s="104"/>
      <c r="CO205" s="104"/>
      <c r="CP205" s="104"/>
      <c r="CQ205" s="104"/>
      <c r="CR205" s="104"/>
      <c r="CS205" s="104"/>
      <c r="CT205" s="104"/>
      <c r="CU205" s="104"/>
    </row>
    <row r="206">
      <c r="A206" s="595"/>
      <c r="B206" s="202" t="s">
        <v>271</v>
      </c>
      <c r="C206" s="196" t="s">
        <v>271</v>
      </c>
      <c r="D206" s="197" t="s">
        <v>271</v>
      </c>
      <c r="E206" s="199" t="s">
        <v>271</v>
      </c>
      <c r="F206" s="201" t="s">
        <v>271</v>
      </c>
      <c r="G206" s="202" t="s">
        <v>271</v>
      </c>
      <c r="H206" s="609"/>
      <c r="I206" s="609"/>
      <c r="J206" s="104"/>
      <c r="K206" s="104"/>
      <c r="L206" s="104"/>
      <c r="M206" s="104"/>
      <c r="N206" s="104"/>
      <c r="O206" s="104"/>
      <c r="P206" s="104"/>
      <c r="Q206" s="104"/>
      <c r="R206" s="104"/>
      <c r="S206" s="104"/>
      <c r="T206" s="104"/>
      <c r="U206" s="104"/>
      <c r="V206" s="104"/>
      <c r="W206" s="104"/>
      <c r="X206" s="104"/>
      <c r="Y206" s="104"/>
      <c r="Z206" s="104"/>
      <c r="AA206" s="104"/>
      <c r="AB206" s="104"/>
      <c r="AC206" s="104"/>
      <c r="AD206" s="104"/>
      <c r="AE206" s="104"/>
      <c r="AF206" s="104"/>
      <c r="AG206" s="104"/>
      <c r="AH206" s="104"/>
      <c r="AI206" s="104"/>
      <c r="AJ206" s="104"/>
      <c r="AK206" s="104"/>
      <c r="AL206" s="104"/>
      <c r="AM206" s="104"/>
      <c r="AN206" s="104"/>
      <c r="AO206" s="104"/>
      <c r="AP206" s="104"/>
      <c r="AQ206" s="104"/>
      <c r="AR206" s="104"/>
      <c r="AS206" s="104"/>
      <c r="AT206" s="104"/>
      <c r="AU206" s="104"/>
      <c r="AV206" s="104"/>
      <c r="AW206" s="104"/>
      <c r="AX206" s="104"/>
      <c r="AY206" s="104"/>
      <c r="AZ206" s="104"/>
      <c r="BA206" s="104"/>
      <c r="BB206" s="104"/>
      <c r="BC206" s="104"/>
      <c r="BD206" s="104"/>
      <c r="BE206" s="104"/>
      <c r="BF206" s="104"/>
      <c r="BG206" s="104"/>
      <c r="BH206" s="104"/>
      <c r="BI206" s="104"/>
      <c r="BJ206" s="104"/>
      <c r="BK206" s="104"/>
      <c r="BL206" s="104"/>
      <c r="BM206" s="104"/>
      <c r="BN206" s="104"/>
      <c r="BO206" s="104"/>
      <c r="BP206" s="104"/>
      <c r="BQ206" s="104"/>
      <c r="BR206" s="104"/>
      <c r="BS206" s="104"/>
      <c r="BT206" s="104"/>
      <c r="BU206" s="104"/>
      <c r="BV206" s="104"/>
      <c r="BW206" s="122"/>
      <c r="BX206" s="122"/>
      <c r="BY206" s="104"/>
      <c r="BZ206" s="122"/>
      <c r="CA206" s="122"/>
      <c r="CB206" s="104"/>
      <c r="CC206" s="104"/>
      <c r="CD206" s="122"/>
      <c r="CE206" s="104"/>
      <c r="CF206" s="104"/>
      <c r="CG206" s="104"/>
      <c r="CH206" s="104"/>
      <c r="CI206" s="104"/>
      <c r="CJ206" s="104"/>
      <c r="CK206" s="104"/>
      <c r="CL206" s="104"/>
      <c r="CM206" s="104"/>
      <c r="CN206" s="104"/>
      <c r="CO206" s="104"/>
      <c r="CP206" s="104"/>
      <c r="CQ206" s="104"/>
      <c r="CR206" s="104"/>
      <c r="CS206" s="104"/>
      <c r="CT206" s="104"/>
      <c r="CU206" s="104"/>
    </row>
    <row r="207">
      <c r="A207" s="595"/>
      <c r="B207" s="202" t="s">
        <v>271</v>
      </c>
      <c r="C207" s="196" t="s">
        <v>271</v>
      </c>
      <c r="D207" s="197" t="s">
        <v>271</v>
      </c>
      <c r="E207" s="199" t="s">
        <v>271</v>
      </c>
      <c r="F207" s="201" t="s">
        <v>271</v>
      </c>
      <c r="G207" s="202" t="s">
        <v>271</v>
      </c>
      <c r="H207" s="609"/>
      <c r="I207" s="609"/>
      <c r="J207" s="104"/>
      <c r="K207" s="104"/>
      <c r="L207" s="104"/>
      <c r="M207" s="104"/>
      <c r="N207" s="104"/>
      <c r="O207" s="104"/>
      <c r="P207" s="104"/>
      <c r="Q207" s="104"/>
      <c r="R207" s="104"/>
      <c r="S207" s="104"/>
      <c r="T207" s="104"/>
      <c r="U207" s="104"/>
      <c r="V207" s="104"/>
      <c r="W207" s="104"/>
      <c r="X207" s="104"/>
      <c r="Y207" s="104"/>
      <c r="Z207" s="104"/>
      <c r="AA207" s="104"/>
      <c r="AB207" s="104"/>
      <c r="AC207" s="104"/>
      <c r="AD207" s="104"/>
      <c r="AE207" s="104"/>
      <c r="AF207" s="104"/>
      <c r="AG207" s="104"/>
      <c r="AH207" s="104"/>
      <c r="AI207" s="104"/>
      <c r="AJ207" s="104"/>
      <c r="AK207" s="104"/>
      <c r="AL207" s="104"/>
      <c r="AM207" s="104"/>
      <c r="AN207" s="104"/>
      <c r="AO207" s="104"/>
      <c r="AP207" s="104"/>
      <c r="AQ207" s="104"/>
      <c r="AR207" s="104"/>
      <c r="AS207" s="104"/>
      <c r="AT207" s="104"/>
      <c r="AU207" s="104"/>
      <c r="AV207" s="104"/>
      <c r="AW207" s="104"/>
      <c r="AX207" s="104"/>
      <c r="AY207" s="104"/>
      <c r="AZ207" s="104"/>
      <c r="BA207" s="104"/>
      <c r="BB207" s="104"/>
      <c r="BC207" s="104"/>
      <c r="BD207" s="104"/>
      <c r="BE207" s="104"/>
      <c r="BF207" s="104"/>
      <c r="BG207" s="104"/>
      <c r="BH207" s="104"/>
      <c r="BI207" s="104"/>
      <c r="BJ207" s="104"/>
      <c r="BK207" s="104"/>
      <c r="BL207" s="104"/>
      <c r="BM207" s="104"/>
      <c r="BN207" s="104"/>
      <c r="BO207" s="104"/>
      <c r="BP207" s="104"/>
      <c r="BQ207" s="104"/>
      <c r="BR207" s="104"/>
      <c r="BS207" s="104"/>
      <c r="BT207" s="104"/>
      <c r="BU207" s="104"/>
      <c r="BV207" s="104"/>
      <c r="BW207" s="122"/>
      <c r="BX207" s="122"/>
      <c r="BY207" s="104"/>
      <c r="BZ207" s="122"/>
      <c r="CA207" s="122"/>
      <c r="CB207" s="104"/>
      <c r="CC207" s="104"/>
      <c r="CD207" s="122"/>
      <c r="CE207" s="104"/>
      <c r="CF207" s="104"/>
      <c r="CG207" s="104"/>
      <c r="CH207" s="104"/>
      <c r="CI207" s="104"/>
      <c r="CJ207" s="104"/>
      <c r="CK207" s="104"/>
      <c r="CL207" s="104"/>
      <c r="CM207" s="104"/>
      <c r="CN207" s="104"/>
      <c r="CO207" s="104"/>
      <c r="CP207" s="104"/>
      <c r="CQ207" s="104"/>
      <c r="CR207" s="104"/>
      <c r="CS207" s="104"/>
      <c r="CT207" s="104"/>
      <c r="CU207" s="104"/>
    </row>
    <row r="208">
      <c r="A208" s="595"/>
      <c r="B208" s="202" t="s">
        <v>271</v>
      </c>
      <c r="C208" s="196" t="s">
        <v>271</v>
      </c>
      <c r="D208" s="197" t="s">
        <v>271</v>
      </c>
      <c r="E208" s="199" t="s">
        <v>271</v>
      </c>
      <c r="F208" s="201" t="s">
        <v>271</v>
      </c>
      <c r="G208" s="202" t="s">
        <v>271</v>
      </c>
      <c r="H208" s="609"/>
      <c r="I208" s="609"/>
      <c r="J208" s="104"/>
      <c r="K208" s="104"/>
      <c r="L208" s="104"/>
      <c r="M208" s="104"/>
      <c r="N208" s="104"/>
      <c r="O208" s="104"/>
      <c r="P208" s="104"/>
      <c r="Q208" s="104"/>
      <c r="R208" s="104"/>
      <c r="S208" s="104"/>
      <c r="T208" s="104"/>
      <c r="U208" s="104"/>
      <c r="V208" s="104"/>
      <c r="W208" s="104"/>
      <c r="X208" s="104"/>
      <c r="Y208" s="104"/>
      <c r="Z208" s="104"/>
      <c r="AA208" s="104"/>
      <c r="AB208" s="104"/>
      <c r="AC208" s="104"/>
      <c r="AD208" s="104"/>
      <c r="AE208" s="104"/>
      <c r="AF208" s="104"/>
      <c r="AG208" s="104"/>
      <c r="AH208" s="104"/>
      <c r="AI208" s="104"/>
      <c r="AJ208" s="104"/>
      <c r="AK208" s="104"/>
      <c r="AL208" s="104"/>
      <c r="AM208" s="104"/>
      <c r="AN208" s="104"/>
      <c r="AO208" s="104"/>
      <c r="AP208" s="104"/>
      <c r="AQ208" s="104"/>
      <c r="AR208" s="104"/>
      <c r="AS208" s="104"/>
      <c r="AT208" s="104"/>
      <c r="AU208" s="104"/>
      <c r="AV208" s="104"/>
      <c r="AW208" s="104"/>
      <c r="AX208" s="104"/>
      <c r="AY208" s="104"/>
      <c r="AZ208" s="104"/>
      <c r="BA208" s="104"/>
      <c r="BB208" s="104"/>
      <c r="BC208" s="104"/>
      <c r="BD208" s="104"/>
      <c r="BE208" s="104"/>
      <c r="BF208" s="104"/>
      <c r="BG208" s="104"/>
      <c r="BH208" s="104"/>
      <c r="BI208" s="104"/>
      <c r="BJ208" s="104"/>
      <c r="BK208" s="104"/>
      <c r="BL208" s="104"/>
      <c r="BM208" s="104"/>
      <c r="BN208" s="104"/>
      <c r="BO208" s="104"/>
      <c r="BP208" s="104"/>
      <c r="BQ208" s="104"/>
      <c r="BR208" s="104"/>
      <c r="BS208" s="104"/>
      <c r="BT208" s="104"/>
      <c r="BU208" s="104"/>
      <c r="BV208" s="104"/>
      <c r="BW208" s="122"/>
      <c r="BX208" s="122"/>
      <c r="BY208" s="104"/>
      <c r="BZ208" s="122"/>
      <c r="CA208" s="122"/>
      <c r="CB208" s="104"/>
      <c r="CC208" s="104"/>
      <c r="CD208" s="122"/>
      <c r="CE208" s="104"/>
      <c r="CF208" s="104"/>
      <c r="CG208" s="104"/>
      <c r="CH208" s="104"/>
      <c r="CI208" s="104"/>
      <c r="CJ208" s="104"/>
      <c r="CK208" s="104"/>
      <c r="CL208" s="104"/>
      <c r="CM208" s="104"/>
      <c r="CN208" s="104"/>
      <c r="CO208" s="104"/>
      <c r="CP208" s="104"/>
      <c r="CQ208" s="104"/>
      <c r="CR208" s="104"/>
      <c r="CS208" s="104"/>
      <c r="CT208" s="104"/>
      <c r="CU208" s="104"/>
    </row>
    <row r="209">
      <c r="A209" s="595"/>
      <c r="B209" s="202" t="s">
        <v>271</v>
      </c>
      <c r="C209" s="196" t="s">
        <v>271</v>
      </c>
      <c r="D209" s="197" t="s">
        <v>271</v>
      </c>
      <c r="E209" s="199" t="s">
        <v>271</v>
      </c>
      <c r="F209" s="201" t="s">
        <v>271</v>
      </c>
      <c r="G209" s="202" t="s">
        <v>271</v>
      </c>
      <c r="H209" s="609"/>
      <c r="I209" s="609"/>
      <c r="J209" s="104"/>
      <c r="K209" s="104"/>
      <c r="L209" s="104"/>
      <c r="M209" s="104"/>
      <c r="N209" s="104"/>
      <c r="O209" s="104"/>
      <c r="P209" s="104"/>
      <c r="Q209" s="104"/>
      <c r="R209" s="104"/>
      <c r="S209" s="104"/>
      <c r="T209" s="104"/>
      <c r="U209" s="104"/>
      <c r="V209" s="104"/>
      <c r="W209" s="104"/>
      <c r="X209" s="104"/>
      <c r="Y209" s="104"/>
      <c r="Z209" s="104"/>
      <c r="AA209" s="104"/>
      <c r="AB209" s="104"/>
      <c r="AC209" s="104"/>
      <c r="AD209" s="104"/>
      <c r="AE209" s="104"/>
      <c r="AF209" s="104"/>
      <c r="AG209" s="104"/>
      <c r="AH209" s="104"/>
      <c r="AI209" s="104"/>
      <c r="AJ209" s="104"/>
      <c r="AK209" s="104"/>
      <c r="AL209" s="104"/>
      <c r="AM209" s="104"/>
      <c r="AN209" s="104"/>
      <c r="AO209" s="104"/>
      <c r="AP209" s="104"/>
      <c r="AQ209" s="104"/>
      <c r="AR209" s="104"/>
      <c r="AS209" s="104"/>
      <c r="AT209" s="104"/>
      <c r="AU209" s="104"/>
      <c r="AV209" s="104"/>
      <c r="AW209" s="104"/>
      <c r="AX209" s="104"/>
      <c r="AY209" s="104"/>
      <c r="AZ209" s="104"/>
      <c r="BA209" s="104"/>
      <c r="BB209" s="104"/>
      <c r="BC209" s="104"/>
      <c r="BD209" s="104"/>
      <c r="BE209" s="104"/>
      <c r="BF209" s="104"/>
      <c r="BG209" s="104"/>
      <c r="BH209" s="104"/>
      <c r="BI209" s="104"/>
      <c r="BJ209" s="104"/>
      <c r="BK209" s="104"/>
      <c r="BL209" s="104"/>
      <c r="BM209" s="104"/>
      <c r="BN209" s="104"/>
      <c r="BO209" s="104"/>
      <c r="BP209" s="104"/>
      <c r="BQ209" s="104"/>
      <c r="BR209" s="104"/>
      <c r="BS209" s="104"/>
      <c r="BT209" s="104"/>
      <c r="BU209" s="104"/>
      <c r="BV209" s="104"/>
      <c r="BW209" s="122"/>
      <c r="BX209" s="122"/>
      <c r="BY209" s="104"/>
      <c r="BZ209" s="122"/>
      <c r="CA209" s="122"/>
      <c r="CB209" s="104"/>
      <c r="CC209" s="104"/>
      <c r="CD209" s="122"/>
      <c r="CE209" s="104"/>
      <c r="CF209" s="104"/>
      <c r="CG209" s="104"/>
      <c r="CH209" s="104"/>
      <c r="CI209" s="104"/>
      <c r="CJ209" s="104"/>
      <c r="CK209" s="104"/>
      <c r="CL209" s="104"/>
      <c r="CM209" s="104"/>
      <c r="CN209" s="104"/>
      <c r="CO209" s="104"/>
      <c r="CP209" s="104"/>
      <c r="CQ209" s="104"/>
      <c r="CR209" s="104"/>
      <c r="CS209" s="104"/>
      <c r="CT209" s="104"/>
      <c r="CU209" s="104"/>
    </row>
    <row r="210">
      <c r="A210" s="595"/>
      <c r="B210" s="202" t="s">
        <v>271</v>
      </c>
      <c r="C210" s="196" t="s">
        <v>271</v>
      </c>
      <c r="D210" s="197" t="s">
        <v>271</v>
      </c>
      <c r="E210" s="199" t="s">
        <v>271</v>
      </c>
      <c r="F210" s="201" t="s">
        <v>271</v>
      </c>
      <c r="G210" s="202" t="s">
        <v>271</v>
      </c>
      <c r="H210" s="609"/>
      <c r="I210" s="609"/>
      <c r="J210" s="104"/>
      <c r="K210" s="104"/>
      <c r="L210" s="104"/>
      <c r="M210" s="104"/>
      <c r="N210" s="104"/>
      <c r="O210" s="104"/>
      <c r="P210" s="104"/>
      <c r="Q210" s="104"/>
      <c r="R210" s="104"/>
      <c r="S210" s="104"/>
      <c r="T210" s="104"/>
      <c r="U210" s="104"/>
      <c r="V210" s="104"/>
      <c r="W210" s="104"/>
      <c r="X210" s="104"/>
      <c r="Y210" s="104"/>
      <c r="Z210" s="104"/>
      <c r="AA210" s="104"/>
      <c r="AB210" s="104"/>
      <c r="AC210" s="104"/>
      <c r="AD210" s="104"/>
      <c r="AE210" s="104"/>
      <c r="AF210" s="104"/>
      <c r="AG210" s="104"/>
      <c r="AH210" s="104"/>
      <c r="AI210" s="104"/>
      <c r="AJ210" s="104"/>
      <c r="AK210" s="104"/>
      <c r="AL210" s="104"/>
      <c r="AM210" s="104"/>
      <c r="AN210" s="104"/>
      <c r="AO210" s="104"/>
      <c r="AP210" s="104"/>
      <c r="AQ210" s="104"/>
      <c r="AR210" s="104"/>
      <c r="AS210" s="104"/>
      <c r="AT210" s="104"/>
      <c r="AU210" s="104"/>
      <c r="AV210" s="104"/>
      <c r="AW210" s="104"/>
      <c r="AX210" s="104"/>
      <c r="AY210" s="104"/>
      <c r="AZ210" s="104"/>
      <c r="BA210" s="104"/>
      <c r="BB210" s="104"/>
      <c r="BC210" s="104"/>
      <c r="BD210" s="104"/>
      <c r="BE210" s="104"/>
      <c r="BF210" s="104"/>
      <c r="BG210" s="104"/>
      <c r="BH210" s="104"/>
      <c r="BI210" s="104"/>
      <c r="BJ210" s="104"/>
      <c r="BK210" s="104"/>
      <c r="BL210" s="104"/>
      <c r="BM210" s="104"/>
      <c r="BN210" s="104"/>
      <c r="BO210" s="104"/>
      <c r="BP210" s="104"/>
      <c r="BQ210" s="104"/>
      <c r="BR210" s="104"/>
      <c r="BS210" s="104"/>
      <c r="BT210" s="104"/>
      <c r="BU210" s="104"/>
      <c r="BV210" s="104"/>
      <c r="BW210" s="122"/>
      <c r="BX210" s="122"/>
      <c r="BY210" s="104"/>
      <c r="BZ210" s="122"/>
      <c r="CA210" s="122"/>
      <c r="CB210" s="104"/>
      <c r="CC210" s="104"/>
      <c r="CD210" s="122"/>
      <c r="CE210" s="104"/>
      <c r="CF210" s="104"/>
      <c r="CG210" s="104"/>
      <c r="CH210" s="104"/>
      <c r="CI210" s="104"/>
      <c r="CJ210" s="104"/>
      <c r="CK210" s="104"/>
      <c r="CL210" s="104"/>
      <c r="CM210" s="104"/>
      <c r="CN210" s="104"/>
      <c r="CO210" s="104"/>
      <c r="CP210" s="104"/>
      <c r="CQ210" s="104"/>
      <c r="CR210" s="104"/>
      <c r="CS210" s="104"/>
      <c r="CT210" s="104"/>
      <c r="CU210" s="104"/>
    </row>
    <row r="211">
      <c r="A211" s="595"/>
      <c r="B211" s="202" t="s">
        <v>271</v>
      </c>
      <c r="C211" s="196" t="s">
        <v>271</v>
      </c>
      <c r="D211" s="197" t="s">
        <v>271</v>
      </c>
      <c r="E211" s="199" t="s">
        <v>271</v>
      </c>
      <c r="F211" s="201" t="s">
        <v>271</v>
      </c>
      <c r="G211" s="202" t="s">
        <v>271</v>
      </c>
      <c r="H211" s="609"/>
      <c r="I211" s="609"/>
      <c r="J211" s="104"/>
      <c r="K211" s="104"/>
      <c r="L211" s="104"/>
      <c r="M211" s="104"/>
      <c r="N211" s="104"/>
      <c r="O211" s="104"/>
      <c r="P211" s="104"/>
      <c r="Q211" s="104"/>
      <c r="R211" s="104"/>
      <c r="S211" s="104"/>
      <c r="T211" s="104"/>
      <c r="U211" s="104"/>
      <c r="V211" s="104"/>
      <c r="W211" s="104"/>
      <c r="X211" s="104"/>
      <c r="Y211" s="104"/>
      <c r="Z211" s="104"/>
      <c r="AA211" s="104"/>
      <c r="AB211" s="104"/>
      <c r="AC211" s="104"/>
      <c r="AD211" s="104"/>
      <c r="AE211" s="104"/>
      <c r="AF211" s="104"/>
      <c r="AG211" s="104"/>
      <c r="AH211" s="104"/>
      <c r="AI211" s="104"/>
      <c r="AJ211" s="104"/>
      <c r="AK211" s="104"/>
      <c r="AL211" s="104"/>
      <c r="AM211" s="104"/>
      <c r="AN211" s="104"/>
      <c r="AO211" s="104"/>
      <c r="AP211" s="104"/>
      <c r="AQ211" s="104"/>
      <c r="AR211" s="104"/>
      <c r="AS211" s="104"/>
      <c r="AT211" s="104"/>
      <c r="AU211" s="104"/>
      <c r="AV211" s="104"/>
      <c r="AW211" s="104"/>
      <c r="AX211" s="104"/>
      <c r="AY211" s="104"/>
      <c r="AZ211" s="104"/>
      <c r="BA211" s="104"/>
      <c r="BB211" s="104"/>
      <c r="BC211" s="104"/>
      <c r="BD211" s="104"/>
      <c r="BE211" s="104"/>
      <c r="BF211" s="104"/>
      <c r="BG211" s="104"/>
      <c r="BH211" s="104"/>
      <c r="BI211" s="104"/>
      <c r="BJ211" s="104"/>
      <c r="BK211" s="104"/>
      <c r="BL211" s="104"/>
      <c r="BM211" s="104"/>
      <c r="BN211" s="104"/>
      <c r="BO211" s="104"/>
      <c r="BP211" s="104"/>
      <c r="BQ211" s="104"/>
      <c r="BR211" s="104"/>
      <c r="BS211" s="104"/>
      <c r="BT211" s="104"/>
      <c r="BU211" s="104"/>
      <c r="BV211" s="104"/>
      <c r="BW211" s="122"/>
      <c r="BX211" s="122"/>
      <c r="BY211" s="104"/>
      <c r="BZ211" s="122"/>
      <c r="CA211" s="122"/>
      <c r="CB211" s="104"/>
      <c r="CC211" s="104"/>
      <c r="CD211" s="122"/>
      <c r="CE211" s="104"/>
      <c r="CF211" s="104"/>
      <c r="CG211" s="104"/>
      <c r="CH211" s="104"/>
      <c r="CI211" s="104"/>
      <c r="CJ211" s="104"/>
      <c r="CK211" s="104"/>
      <c r="CL211" s="104"/>
      <c r="CM211" s="104"/>
      <c r="CN211" s="104"/>
      <c r="CO211" s="104"/>
      <c r="CP211" s="104"/>
      <c r="CQ211" s="104"/>
      <c r="CR211" s="104"/>
      <c r="CS211" s="104"/>
      <c r="CT211" s="104"/>
      <c r="CU211" s="104"/>
    </row>
    <row r="212">
      <c r="A212" s="595"/>
      <c r="B212" s="202" t="s">
        <v>271</v>
      </c>
      <c r="C212" s="196" t="s">
        <v>271</v>
      </c>
      <c r="D212" s="197" t="s">
        <v>271</v>
      </c>
      <c r="E212" s="199" t="s">
        <v>271</v>
      </c>
      <c r="F212" s="201" t="s">
        <v>271</v>
      </c>
      <c r="G212" s="202" t="s">
        <v>271</v>
      </c>
      <c r="H212" s="609"/>
      <c r="I212" s="609"/>
      <c r="J212" s="104"/>
      <c r="K212" s="104"/>
      <c r="L212" s="104"/>
      <c r="M212" s="104"/>
      <c r="N212" s="104"/>
      <c r="O212" s="104"/>
      <c r="P212" s="104"/>
      <c r="Q212" s="104"/>
      <c r="R212" s="104"/>
      <c r="S212" s="104"/>
      <c r="T212" s="104"/>
      <c r="U212" s="104"/>
      <c r="V212" s="104"/>
      <c r="W212" s="104"/>
      <c r="X212" s="104"/>
      <c r="Y212" s="104"/>
      <c r="Z212" s="104"/>
      <c r="AA212" s="104"/>
      <c r="AB212" s="104"/>
      <c r="AC212" s="104"/>
      <c r="AD212" s="104"/>
      <c r="AE212" s="104"/>
      <c r="AF212" s="104"/>
      <c r="AG212" s="104"/>
      <c r="AH212" s="104"/>
      <c r="AI212" s="104"/>
      <c r="AJ212" s="104"/>
      <c r="AK212" s="104"/>
      <c r="AL212" s="104"/>
      <c r="AM212" s="104"/>
      <c r="AN212" s="104"/>
      <c r="AO212" s="104"/>
      <c r="AP212" s="104"/>
      <c r="AQ212" s="104"/>
      <c r="AR212" s="104"/>
      <c r="AS212" s="104"/>
      <c r="AT212" s="104"/>
      <c r="AU212" s="104"/>
      <c r="AV212" s="104"/>
      <c r="AW212" s="104"/>
      <c r="AX212" s="104"/>
      <c r="AY212" s="104"/>
      <c r="AZ212" s="104"/>
      <c r="BA212" s="104"/>
      <c r="BB212" s="104"/>
      <c r="BC212" s="104"/>
      <c r="BD212" s="104"/>
      <c r="BE212" s="104"/>
      <c r="BF212" s="104"/>
      <c r="BG212" s="104"/>
      <c r="BH212" s="104"/>
      <c r="BI212" s="104"/>
      <c r="BJ212" s="104"/>
      <c r="BK212" s="104"/>
      <c r="BL212" s="104"/>
      <c r="BM212" s="104"/>
      <c r="BN212" s="104"/>
      <c r="BO212" s="104"/>
      <c r="BP212" s="104"/>
      <c r="BQ212" s="104"/>
      <c r="BR212" s="104"/>
      <c r="BS212" s="104"/>
      <c r="BT212" s="104"/>
      <c r="BU212" s="104"/>
      <c r="BV212" s="104"/>
      <c r="BW212" s="122"/>
      <c r="BX212" s="122"/>
      <c r="BY212" s="104"/>
      <c r="BZ212" s="122"/>
      <c r="CA212" s="122"/>
      <c r="CB212" s="104"/>
      <c r="CC212" s="104"/>
      <c r="CD212" s="122"/>
      <c r="CE212" s="104"/>
      <c r="CF212" s="104"/>
      <c r="CG212" s="104"/>
      <c r="CH212" s="104"/>
      <c r="CI212" s="104"/>
      <c r="CJ212" s="104"/>
      <c r="CK212" s="104"/>
      <c r="CL212" s="104"/>
      <c r="CM212" s="104"/>
      <c r="CN212" s="104"/>
      <c r="CO212" s="104"/>
      <c r="CP212" s="104"/>
      <c r="CQ212" s="104"/>
      <c r="CR212" s="104"/>
      <c r="CS212" s="104"/>
      <c r="CT212" s="104"/>
      <c r="CU212" s="104"/>
    </row>
    <row r="213">
      <c r="A213" s="595"/>
      <c r="B213" s="202" t="s">
        <v>271</v>
      </c>
      <c r="C213" s="196" t="s">
        <v>271</v>
      </c>
      <c r="D213" s="197" t="s">
        <v>271</v>
      </c>
      <c r="E213" s="199" t="s">
        <v>271</v>
      </c>
      <c r="F213" s="201" t="s">
        <v>271</v>
      </c>
      <c r="G213" s="202" t="s">
        <v>271</v>
      </c>
      <c r="H213" s="609"/>
      <c r="I213" s="609"/>
      <c r="J213" s="104"/>
      <c r="K213" s="104"/>
      <c r="L213" s="104"/>
      <c r="M213" s="104"/>
      <c r="N213" s="104"/>
      <c r="O213" s="104"/>
      <c r="P213" s="104"/>
      <c r="Q213" s="104"/>
      <c r="R213" s="104"/>
      <c r="S213" s="104"/>
      <c r="T213" s="104"/>
      <c r="U213" s="104"/>
      <c r="V213" s="104"/>
      <c r="W213" s="104"/>
      <c r="X213" s="104"/>
      <c r="Y213" s="104"/>
      <c r="Z213" s="104"/>
      <c r="AA213" s="104"/>
      <c r="AB213" s="104"/>
      <c r="AC213" s="104"/>
      <c r="AD213" s="104"/>
      <c r="AE213" s="104"/>
      <c r="AF213" s="104"/>
      <c r="AG213" s="104"/>
      <c r="AH213" s="104"/>
      <c r="AI213" s="104"/>
      <c r="AJ213" s="104"/>
      <c r="AK213" s="104"/>
      <c r="AL213" s="104"/>
      <c r="AM213" s="104"/>
      <c r="AN213" s="104"/>
      <c r="AO213" s="104"/>
      <c r="AP213" s="104"/>
      <c r="AQ213" s="104"/>
      <c r="AR213" s="104"/>
      <c r="AS213" s="104"/>
      <c r="AT213" s="104"/>
      <c r="AU213" s="104"/>
      <c r="AV213" s="104"/>
      <c r="AW213" s="104"/>
      <c r="AX213" s="104"/>
      <c r="AY213" s="104"/>
      <c r="AZ213" s="104"/>
      <c r="BA213" s="104"/>
      <c r="BB213" s="104"/>
      <c r="BC213" s="104"/>
      <c r="BD213" s="104"/>
      <c r="BE213" s="104"/>
      <c r="BF213" s="104"/>
      <c r="BG213" s="104"/>
      <c r="BH213" s="104"/>
      <c r="BI213" s="104"/>
      <c r="BJ213" s="104"/>
      <c r="BK213" s="104"/>
      <c r="BL213" s="104"/>
      <c r="BM213" s="104"/>
      <c r="BN213" s="104"/>
      <c r="BO213" s="104"/>
      <c r="BP213" s="104"/>
      <c r="BQ213" s="104"/>
      <c r="BR213" s="104"/>
      <c r="BS213" s="104"/>
      <c r="BT213" s="104"/>
      <c r="BU213" s="104"/>
      <c r="BV213" s="104"/>
      <c r="BW213" s="122"/>
      <c r="BX213" s="122"/>
      <c r="BY213" s="104"/>
      <c r="BZ213" s="122"/>
      <c r="CA213" s="122"/>
      <c r="CB213" s="104"/>
      <c r="CC213" s="104"/>
      <c r="CD213" s="122"/>
      <c r="CE213" s="104"/>
      <c r="CF213" s="104"/>
      <c r="CG213" s="104"/>
      <c r="CH213" s="104"/>
      <c r="CI213" s="104"/>
      <c r="CJ213" s="104"/>
      <c r="CK213" s="104"/>
      <c r="CL213" s="104"/>
      <c r="CM213" s="104"/>
      <c r="CN213" s="104"/>
      <c r="CO213" s="104"/>
      <c r="CP213" s="104"/>
      <c r="CQ213" s="104"/>
      <c r="CR213" s="104"/>
      <c r="CS213" s="104"/>
      <c r="CT213" s="104"/>
      <c r="CU213" s="104"/>
    </row>
    <row r="214">
      <c r="A214" s="595"/>
      <c r="B214" s="202" t="s">
        <v>271</v>
      </c>
      <c r="C214" s="196" t="s">
        <v>271</v>
      </c>
      <c r="D214" s="197" t="s">
        <v>271</v>
      </c>
      <c r="E214" s="199" t="s">
        <v>271</v>
      </c>
      <c r="F214" s="201" t="s">
        <v>271</v>
      </c>
      <c r="G214" s="202" t="s">
        <v>271</v>
      </c>
      <c r="H214" s="609"/>
      <c r="I214" s="609"/>
      <c r="J214" s="104"/>
      <c r="K214" s="104"/>
      <c r="L214" s="104"/>
      <c r="M214" s="104"/>
      <c r="N214" s="104"/>
      <c r="O214" s="104"/>
      <c r="P214" s="104"/>
      <c r="Q214" s="104"/>
      <c r="R214" s="104"/>
      <c r="S214" s="104"/>
      <c r="T214" s="104"/>
      <c r="U214" s="104"/>
      <c r="V214" s="104"/>
      <c r="W214" s="104"/>
      <c r="X214" s="104"/>
      <c r="Y214" s="104"/>
      <c r="Z214" s="104"/>
      <c r="AA214" s="104"/>
      <c r="AB214" s="104"/>
      <c r="AC214" s="104"/>
      <c r="AD214" s="104"/>
      <c r="AE214" s="104"/>
      <c r="AF214" s="104"/>
      <c r="AG214" s="104"/>
      <c r="AH214" s="104"/>
      <c r="AI214" s="104"/>
      <c r="AJ214" s="104"/>
      <c r="AK214" s="104"/>
      <c r="AL214" s="104"/>
      <c r="AM214" s="104"/>
      <c r="AN214" s="104"/>
      <c r="AO214" s="104"/>
      <c r="AP214" s="104"/>
      <c r="AQ214" s="104"/>
      <c r="AR214" s="104"/>
      <c r="AS214" s="104"/>
      <c r="AT214" s="104"/>
      <c r="AU214" s="104"/>
      <c r="AV214" s="104"/>
      <c r="AW214" s="104"/>
      <c r="AX214" s="104"/>
      <c r="AY214" s="104"/>
      <c r="AZ214" s="104"/>
      <c r="BA214" s="104"/>
      <c r="BB214" s="104"/>
      <c r="BC214" s="104"/>
      <c r="BD214" s="104"/>
      <c r="BE214" s="104"/>
      <c r="BF214" s="104"/>
      <c r="BG214" s="104"/>
      <c r="BH214" s="104"/>
      <c r="BI214" s="104"/>
      <c r="BJ214" s="104"/>
      <c r="BK214" s="104"/>
      <c r="BL214" s="104"/>
      <c r="BM214" s="104"/>
      <c r="BN214" s="104"/>
      <c r="BO214" s="104"/>
      <c r="BP214" s="104"/>
      <c r="BQ214" s="104"/>
      <c r="BR214" s="104"/>
      <c r="BS214" s="104"/>
      <c r="BT214" s="104"/>
      <c r="BU214" s="104"/>
      <c r="BV214" s="104"/>
      <c r="BW214" s="122"/>
      <c r="BX214" s="122"/>
      <c r="BY214" s="104"/>
      <c r="BZ214" s="122"/>
      <c r="CA214" s="122"/>
      <c r="CB214" s="104"/>
      <c r="CC214" s="104"/>
      <c r="CD214" s="122"/>
      <c r="CE214" s="104"/>
      <c r="CF214" s="104"/>
      <c r="CG214" s="104"/>
      <c r="CH214" s="104"/>
      <c r="CI214" s="104"/>
      <c r="CJ214" s="104"/>
      <c r="CK214" s="104"/>
      <c r="CL214" s="104"/>
      <c r="CM214" s="104"/>
      <c r="CN214" s="104"/>
      <c r="CO214" s="104"/>
      <c r="CP214" s="104"/>
      <c r="CQ214" s="104"/>
      <c r="CR214" s="104"/>
      <c r="CS214" s="104"/>
      <c r="CT214" s="104"/>
      <c r="CU214" s="104"/>
    </row>
    <row r="215">
      <c r="A215" s="595"/>
      <c r="B215" s="202" t="s">
        <v>271</v>
      </c>
      <c r="C215" s="196" t="s">
        <v>271</v>
      </c>
      <c r="D215" s="197" t="s">
        <v>271</v>
      </c>
      <c r="E215" s="199" t="s">
        <v>271</v>
      </c>
      <c r="F215" s="201" t="s">
        <v>271</v>
      </c>
      <c r="G215" s="202" t="s">
        <v>271</v>
      </c>
      <c r="H215" s="609"/>
      <c r="I215" s="609"/>
      <c r="J215" s="104"/>
      <c r="K215" s="104"/>
      <c r="L215" s="104"/>
      <c r="M215" s="104"/>
      <c r="N215" s="104"/>
      <c r="O215" s="104"/>
      <c r="P215" s="104"/>
      <c r="Q215" s="104"/>
      <c r="R215" s="104"/>
      <c r="S215" s="104"/>
      <c r="T215" s="104"/>
      <c r="U215" s="104"/>
      <c r="V215" s="104"/>
      <c r="W215" s="104"/>
      <c r="X215" s="104"/>
      <c r="Y215" s="104"/>
      <c r="Z215" s="104"/>
      <c r="AA215" s="104"/>
      <c r="AB215" s="104"/>
      <c r="AC215" s="104"/>
      <c r="AD215" s="104"/>
      <c r="AE215" s="104"/>
      <c r="AF215" s="104"/>
      <c r="AG215" s="104"/>
      <c r="AH215" s="104"/>
      <c r="AI215" s="104"/>
      <c r="AJ215" s="104"/>
      <c r="AK215" s="104"/>
      <c r="AL215" s="104"/>
      <c r="AM215" s="104"/>
      <c r="AN215" s="104"/>
      <c r="AO215" s="104"/>
      <c r="AP215" s="104"/>
      <c r="AQ215" s="104"/>
      <c r="AR215" s="104"/>
      <c r="AS215" s="104"/>
      <c r="AT215" s="104"/>
      <c r="AU215" s="104"/>
      <c r="AV215" s="104"/>
      <c r="AW215" s="104"/>
      <c r="AX215" s="104"/>
      <c r="AY215" s="104"/>
      <c r="AZ215" s="104"/>
      <c r="BA215" s="104"/>
      <c r="BB215" s="104"/>
      <c r="BC215" s="104"/>
      <c r="BD215" s="104"/>
      <c r="BE215" s="104"/>
      <c r="BF215" s="104"/>
      <c r="BG215" s="104"/>
      <c r="BH215" s="104"/>
      <c r="BI215" s="104"/>
      <c r="BJ215" s="104"/>
      <c r="BK215" s="104"/>
      <c r="BL215" s="104"/>
      <c r="BM215" s="104"/>
      <c r="BN215" s="104"/>
      <c r="BO215" s="104"/>
      <c r="BP215" s="104"/>
      <c r="BQ215" s="104"/>
      <c r="BR215" s="104"/>
      <c r="BS215" s="104"/>
      <c r="BT215" s="104"/>
      <c r="BU215" s="104"/>
      <c r="BV215" s="104"/>
      <c r="BW215" s="122"/>
      <c r="BX215" s="122"/>
      <c r="BY215" s="104"/>
      <c r="BZ215" s="122"/>
      <c r="CA215" s="122"/>
      <c r="CB215" s="104"/>
      <c r="CC215" s="104"/>
      <c r="CD215" s="122"/>
      <c r="CE215" s="104"/>
      <c r="CF215" s="104"/>
      <c r="CG215" s="104"/>
      <c r="CH215" s="104"/>
      <c r="CI215" s="104"/>
      <c r="CJ215" s="104"/>
      <c r="CK215" s="104"/>
      <c r="CL215" s="104"/>
      <c r="CM215" s="104"/>
      <c r="CN215" s="104"/>
      <c r="CO215" s="104"/>
      <c r="CP215" s="104"/>
      <c r="CQ215" s="104"/>
      <c r="CR215" s="104"/>
      <c r="CS215" s="104"/>
      <c r="CT215" s="104"/>
      <c r="CU215" s="104"/>
    </row>
    <row r="216">
      <c r="A216" s="595"/>
      <c r="B216" s="202" t="s">
        <v>271</v>
      </c>
      <c r="C216" s="196" t="s">
        <v>271</v>
      </c>
      <c r="D216" s="197" t="s">
        <v>271</v>
      </c>
      <c r="E216" s="199" t="s">
        <v>271</v>
      </c>
      <c r="F216" s="201" t="s">
        <v>271</v>
      </c>
      <c r="G216" s="202" t="s">
        <v>271</v>
      </c>
      <c r="H216" s="609"/>
      <c r="I216" s="609"/>
      <c r="J216" s="104"/>
      <c r="K216" s="104"/>
      <c r="L216" s="104"/>
      <c r="M216" s="104"/>
      <c r="N216" s="104"/>
      <c r="O216" s="104"/>
      <c r="P216" s="104"/>
      <c r="Q216" s="104"/>
      <c r="R216" s="104"/>
      <c r="S216" s="104"/>
      <c r="T216" s="104"/>
      <c r="U216" s="104"/>
      <c r="V216" s="104"/>
      <c r="W216" s="104"/>
      <c r="X216" s="104"/>
      <c r="Y216" s="104"/>
      <c r="Z216" s="104"/>
      <c r="AA216" s="104"/>
      <c r="AB216" s="104"/>
      <c r="AC216" s="104"/>
      <c r="AD216" s="104"/>
      <c r="AE216" s="104"/>
      <c r="AF216" s="104"/>
      <c r="AG216" s="104"/>
      <c r="AH216" s="104"/>
      <c r="AI216" s="104"/>
      <c r="AJ216" s="104"/>
      <c r="AK216" s="104"/>
      <c r="AL216" s="104"/>
      <c r="AM216" s="104"/>
      <c r="AN216" s="104"/>
      <c r="AO216" s="104"/>
      <c r="AP216" s="104"/>
      <c r="AQ216" s="104"/>
      <c r="AR216" s="104"/>
      <c r="AS216" s="104"/>
      <c r="AT216" s="104"/>
      <c r="AU216" s="104"/>
      <c r="AV216" s="104"/>
      <c r="AW216" s="104"/>
      <c r="AX216" s="104"/>
      <c r="AY216" s="104"/>
      <c r="AZ216" s="104"/>
      <c r="BA216" s="104"/>
      <c r="BB216" s="104"/>
      <c r="BC216" s="104"/>
      <c r="BD216" s="104"/>
      <c r="BE216" s="104"/>
      <c r="BF216" s="104"/>
      <c r="BG216" s="104"/>
      <c r="BH216" s="104"/>
      <c r="BI216" s="104"/>
      <c r="BJ216" s="104"/>
      <c r="BK216" s="104"/>
      <c r="BL216" s="104"/>
      <c r="BM216" s="104"/>
      <c r="BN216" s="104"/>
      <c r="BO216" s="104"/>
      <c r="BP216" s="104"/>
      <c r="BQ216" s="104"/>
      <c r="BR216" s="104"/>
      <c r="BS216" s="104"/>
      <c r="BT216" s="104"/>
      <c r="BU216" s="104"/>
      <c r="BV216" s="104"/>
      <c r="BW216" s="122"/>
      <c r="BX216" s="122"/>
      <c r="BY216" s="104"/>
      <c r="BZ216" s="122"/>
      <c r="CA216" s="122"/>
      <c r="CB216" s="104"/>
      <c r="CC216" s="104"/>
      <c r="CD216" s="122"/>
      <c r="CE216" s="104"/>
      <c r="CF216" s="104"/>
      <c r="CG216" s="104"/>
      <c r="CH216" s="104"/>
      <c r="CI216" s="104"/>
      <c r="CJ216" s="104"/>
      <c r="CK216" s="104"/>
      <c r="CL216" s="104"/>
      <c r="CM216" s="104"/>
      <c r="CN216" s="104"/>
      <c r="CO216" s="104"/>
      <c r="CP216" s="104"/>
      <c r="CQ216" s="104"/>
      <c r="CR216" s="104"/>
      <c r="CS216" s="104"/>
      <c r="CT216" s="104"/>
      <c r="CU216" s="104"/>
    </row>
    <row r="217">
      <c r="A217" s="595"/>
      <c r="B217" s="202" t="s">
        <v>271</v>
      </c>
      <c r="C217" s="196" t="s">
        <v>271</v>
      </c>
      <c r="D217" s="197" t="s">
        <v>271</v>
      </c>
      <c r="E217" s="199" t="s">
        <v>271</v>
      </c>
      <c r="F217" s="201" t="s">
        <v>271</v>
      </c>
      <c r="G217" s="202" t="s">
        <v>271</v>
      </c>
      <c r="H217" s="609"/>
      <c r="I217" s="609"/>
      <c r="J217" s="104"/>
      <c r="K217" s="104"/>
      <c r="L217" s="104"/>
      <c r="M217" s="104"/>
      <c r="N217" s="104"/>
      <c r="O217" s="104"/>
      <c r="P217" s="104"/>
      <c r="Q217" s="104"/>
      <c r="R217" s="104"/>
      <c r="S217" s="104"/>
      <c r="T217" s="104"/>
      <c r="U217" s="104"/>
      <c r="V217" s="104"/>
      <c r="W217" s="104"/>
      <c r="X217" s="104"/>
      <c r="Y217" s="104"/>
      <c r="Z217" s="104"/>
      <c r="AA217" s="104"/>
      <c r="AB217" s="104"/>
      <c r="AC217" s="104"/>
      <c r="AD217" s="104"/>
      <c r="AE217" s="104"/>
      <c r="AF217" s="104"/>
      <c r="AG217" s="104"/>
      <c r="AH217" s="104"/>
      <c r="AI217" s="104"/>
      <c r="AJ217" s="104"/>
      <c r="AK217" s="104"/>
      <c r="AL217" s="104"/>
      <c r="AM217" s="104"/>
      <c r="AN217" s="104"/>
      <c r="AO217" s="104"/>
      <c r="AP217" s="104"/>
      <c r="AQ217" s="104"/>
      <c r="AR217" s="104"/>
      <c r="AS217" s="104"/>
      <c r="AT217" s="104"/>
      <c r="AU217" s="104"/>
      <c r="AV217" s="104"/>
      <c r="AW217" s="104"/>
      <c r="AX217" s="104"/>
      <c r="AY217" s="104"/>
      <c r="AZ217" s="104"/>
      <c r="BA217" s="104"/>
      <c r="BB217" s="104"/>
      <c r="BC217" s="104"/>
      <c r="BD217" s="104"/>
      <c r="BE217" s="104"/>
      <c r="BF217" s="104"/>
      <c r="BG217" s="104"/>
      <c r="BH217" s="104"/>
      <c r="BI217" s="104"/>
      <c r="BJ217" s="104"/>
      <c r="BK217" s="104"/>
      <c r="BL217" s="104"/>
      <c r="BM217" s="104"/>
      <c r="BN217" s="104"/>
      <c r="BO217" s="104"/>
      <c r="BP217" s="104"/>
      <c r="BQ217" s="104"/>
      <c r="BR217" s="104"/>
      <c r="BS217" s="104"/>
      <c r="BT217" s="104"/>
      <c r="BU217" s="104"/>
      <c r="BV217" s="104"/>
      <c r="BW217" s="122"/>
      <c r="BX217" s="122"/>
      <c r="BY217" s="104"/>
      <c r="BZ217" s="122"/>
      <c r="CA217" s="122"/>
      <c r="CB217" s="104"/>
      <c r="CC217" s="104"/>
      <c r="CD217" s="122"/>
      <c r="CE217" s="104"/>
      <c r="CF217" s="104"/>
      <c r="CG217" s="104"/>
      <c r="CH217" s="104"/>
      <c r="CI217" s="104"/>
      <c r="CJ217" s="104"/>
      <c r="CK217" s="104"/>
      <c r="CL217" s="104"/>
      <c r="CM217" s="104"/>
      <c r="CN217" s="104"/>
      <c r="CO217" s="104"/>
      <c r="CP217" s="104"/>
      <c r="CQ217" s="104"/>
      <c r="CR217" s="104"/>
      <c r="CS217" s="104"/>
      <c r="CT217" s="104"/>
      <c r="CU217" s="104"/>
    </row>
    <row r="218">
      <c r="A218" s="595"/>
      <c r="B218" s="202" t="s">
        <v>271</v>
      </c>
      <c r="C218" s="196" t="s">
        <v>271</v>
      </c>
      <c r="D218" s="197" t="s">
        <v>271</v>
      </c>
      <c r="E218" s="199" t="s">
        <v>271</v>
      </c>
      <c r="F218" s="201" t="s">
        <v>271</v>
      </c>
      <c r="G218" s="202" t="s">
        <v>271</v>
      </c>
      <c r="H218" s="609"/>
      <c r="I218" s="609"/>
      <c r="J218" s="104"/>
      <c r="K218" s="104"/>
      <c r="L218" s="104"/>
      <c r="M218" s="104"/>
      <c r="N218" s="104"/>
      <c r="O218" s="104"/>
      <c r="P218" s="104"/>
      <c r="Q218" s="104"/>
      <c r="R218" s="104"/>
      <c r="S218" s="104"/>
      <c r="T218" s="104"/>
      <c r="U218" s="104"/>
      <c r="V218" s="104"/>
      <c r="W218" s="104"/>
      <c r="X218" s="104"/>
      <c r="Y218" s="104"/>
      <c r="Z218" s="104"/>
      <c r="AA218" s="104"/>
      <c r="AB218" s="104"/>
      <c r="AC218" s="104"/>
      <c r="AD218" s="104"/>
      <c r="AE218" s="104"/>
      <c r="AF218" s="104"/>
      <c r="AG218" s="104"/>
      <c r="AH218" s="104"/>
      <c r="AI218" s="104"/>
      <c r="AJ218" s="104"/>
      <c r="AK218" s="104"/>
      <c r="AL218" s="104"/>
      <c r="AM218" s="104"/>
      <c r="AN218" s="104"/>
      <c r="AO218" s="104"/>
      <c r="AP218" s="104"/>
      <c r="AQ218" s="104"/>
      <c r="AR218" s="104"/>
      <c r="AS218" s="104"/>
      <c r="AT218" s="104"/>
      <c r="AU218" s="104"/>
      <c r="AV218" s="104"/>
      <c r="AW218" s="104"/>
      <c r="AX218" s="104"/>
      <c r="AY218" s="104"/>
      <c r="AZ218" s="104"/>
      <c r="BA218" s="104"/>
      <c r="BB218" s="104"/>
      <c r="BC218" s="104"/>
      <c r="BD218" s="104"/>
      <c r="BE218" s="104"/>
      <c r="BF218" s="104"/>
      <c r="BG218" s="104"/>
      <c r="BH218" s="104"/>
      <c r="BI218" s="104"/>
      <c r="BJ218" s="104"/>
      <c r="BK218" s="104"/>
      <c r="BL218" s="104"/>
      <c r="BM218" s="104"/>
      <c r="BN218" s="104"/>
      <c r="BO218" s="104"/>
      <c r="BP218" s="104"/>
      <c r="BQ218" s="104"/>
      <c r="BR218" s="104"/>
      <c r="BS218" s="104"/>
      <c r="BT218" s="104"/>
      <c r="BU218" s="104"/>
      <c r="BV218" s="104"/>
      <c r="BW218" s="122"/>
      <c r="BX218" s="122"/>
      <c r="BY218" s="104"/>
      <c r="BZ218" s="122"/>
      <c r="CA218" s="122"/>
      <c r="CB218" s="104"/>
      <c r="CC218" s="104"/>
      <c r="CD218" s="122"/>
      <c r="CE218" s="104"/>
      <c r="CF218" s="104"/>
      <c r="CG218" s="104"/>
      <c r="CH218" s="104"/>
      <c r="CI218" s="104"/>
      <c r="CJ218" s="104"/>
      <c r="CK218" s="104"/>
      <c r="CL218" s="104"/>
      <c r="CM218" s="104"/>
      <c r="CN218" s="104"/>
      <c r="CO218" s="104"/>
      <c r="CP218" s="104"/>
      <c r="CQ218" s="104"/>
      <c r="CR218" s="104"/>
      <c r="CS218" s="104"/>
      <c r="CT218" s="104"/>
      <c r="CU218" s="104"/>
    </row>
    <row r="219">
      <c r="A219" s="595"/>
      <c r="B219" s="202" t="s">
        <v>271</v>
      </c>
      <c r="C219" s="196" t="s">
        <v>271</v>
      </c>
      <c r="D219" s="197" t="s">
        <v>271</v>
      </c>
      <c r="E219" s="199" t="s">
        <v>271</v>
      </c>
      <c r="F219" s="201" t="s">
        <v>271</v>
      </c>
      <c r="G219" s="202" t="s">
        <v>271</v>
      </c>
      <c r="H219" s="609"/>
      <c r="I219" s="609"/>
      <c r="J219" s="104"/>
      <c r="K219" s="104"/>
      <c r="L219" s="104"/>
      <c r="M219" s="104"/>
      <c r="N219" s="104"/>
      <c r="O219" s="104"/>
      <c r="P219" s="104"/>
      <c r="Q219" s="104"/>
      <c r="R219" s="104"/>
      <c r="S219" s="104"/>
      <c r="T219" s="104"/>
      <c r="U219" s="104"/>
      <c r="V219" s="104"/>
      <c r="W219" s="104"/>
      <c r="X219" s="104"/>
      <c r="Y219" s="104"/>
      <c r="Z219" s="104"/>
      <c r="AA219" s="104"/>
      <c r="AB219" s="104"/>
      <c r="AC219" s="104"/>
      <c r="AD219" s="104"/>
      <c r="AE219" s="104"/>
      <c r="AF219" s="104"/>
      <c r="AG219" s="104"/>
      <c r="AH219" s="104"/>
      <c r="AI219" s="104"/>
      <c r="AJ219" s="104"/>
      <c r="AK219" s="104"/>
      <c r="AL219" s="104"/>
      <c r="AM219" s="104"/>
      <c r="AN219" s="104"/>
      <c r="AO219" s="104"/>
      <c r="AP219" s="104"/>
      <c r="AQ219" s="104"/>
      <c r="AR219" s="104"/>
      <c r="AS219" s="104"/>
      <c r="AT219" s="104"/>
      <c r="AU219" s="104"/>
      <c r="AV219" s="104"/>
      <c r="AW219" s="104"/>
      <c r="AX219" s="104"/>
      <c r="AY219" s="104"/>
      <c r="AZ219" s="104"/>
      <c r="BA219" s="104"/>
      <c r="BB219" s="104"/>
      <c r="BC219" s="104"/>
      <c r="BD219" s="104"/>
      <c r="BE219" s="104"/>
      <c r="BF219" s="104"/>
      <c r="BG219" s="104"/>
      <c r="BH219" s="104"/>
      <c r="BI219" s="104"/>
      <c r="BJ219" s="104"/>
      <c r="BK219" s="104"/>
      <c r="BL219" s="104"/>
      <c r="BM219" s="104"/>
      <c r="BN219" s="104"/>
      <c r="BO219" s="104"/>
      <c r="BP219" s="104"/>
      <c r="BQ219" s="104"/>
      <c r="BR219" s="104"/>
      <c r="BS219" s="104"/>
      <c r="BT219" s="104"/>
      <c r="BU219" s="104"/>
      <c r="BV219" s="104"/>
      <c r="BW219" s="122"/>
      <c r="BX219" s="122"/>
      <c r="BY219" s="104"/>
      <c r="BZ219" s="122"/>
      <c r="CA219" s="122"/>
      <c r="CB219" s="104"/>
      <c r="CC219" s="104"/>
      <c r="CD219" s="122"/>
      <c r="CE219" s="104"/>
      <c r="CF219" s="104"/>
      <c r="CG219" s="104"/>
      <c r="CH219" s="104"/>
      <c r="CI219" s="104"/>
      <c r="CJ219" s="104"/>
      <c r="CK219" s="104"/>
      <c r="CL219" s="104"/>
      <c r="CM219" s="104"/>
      <c r="CN219" s="104"/>
      <c r="CO219" s="104"/>
      <c r="CP219" s="104"/>
      <c r="CQ219" s="104"/>
      <c r="CR219" s="104"/>
      <c r="CS219" s="104"/>
      <c r="CT219" s="104"/>
      <c r="CU219" s="104"/>
    </row>
    <row r="220">
      <c r="A220" s="595"/>
      <c r="B220" s="202" t="s">
        <v>271</v>
      </c>
      <c r="C220" s="196" t="s">
        <v>271</v>
      </c>
      <c r="D220" s="197" t="s">
        <v>271</v>
      </c>
      <c r="E220" s="199" t="s">
        <v>271</v>
      </c>
      <c r="F220" s="201" t="s">
        <v>271</v>
      </c>
      <c r="G220" s="202" t="s">
        <v>271</v>
      </c>
      <c r="H220" s="609"/>
      <c r="I220" s="609"/>
      <c r="J220" s="104"/>
      <c r="K220" s="104"/>
      <c r="L220" s="104"/>
      <c r="M220" s="104"/>
      <c r="N220" s="104"/>
      <c r="O220" s="104"/>
      <c r="P220" s="104"/>
      <c r="Q220" s="104"/>
      <c r="R220" s="104"/>
      <c r="S220" s="104"/>
      <c r="T220" s="104"/>
      <c r="U220" s="104"/>
      <c r="V220" s="104"/>
      <c r="W220" s="104"/>
      <c r="X220" s="104"/>
      <c r="Y220" s="104"/>
      <c r="Z220" s="104"/>
      <c r="AA220" s="104"/>
      <c r="AB220" s="104"/>
      <c r="AC220" s="104"/>
      <c r="AD220" s="104"/>
      <c r="AE220" s="104"/>
      <c r="AF220" s="104"/>
      <c r="AG220" s="104"/>
      <c r="AH220" s="104"/>
      <c r="AI220" s="104"/>
      <c r="AJ220" s="104"/>
      <c r="AK220" s="104"/>
      <c r="AL220" s="104"/>
      <c r="AM220" s="104"/>
      <c r="AN220" s="104"/>
      <c r="AO220" s="104"/>
      <c r="AP220" s="104"/>
      <c r="AQ220" s="104"/>
      <c r="AR220" s="104"/>
      <c r="AS220" s="104"/>
      <c r="AT220" s="104"/>
      <c r="AU220" s="104"/>
      <c r="AV220" s="104"/>
      <c r="AW220" s="104"/>
      <c r="AX220" s="104"/>
      <c r="AY220" s="104"/>
      <c r="AZ220" s="104"/>
      <c r="BA220" s="104"/>
      <c r="BB220" s="104"/>
      <c r="BC220" s="104"/>
      <c r="BD220" s="104"/>
      <c r="BE220" s="104"/>
      <c r="BF220" s="104"/>
      <c r="BG220" s="104"/>
      <c r="BH220" s="104"/>
      <c r="BI220" s="104"/>
      <c r="BJ220" s="104"/>
      <c r="BK220" s="104"/>
      <c r="BL220" s="104"/>
      <c r="BM220" s="104"/>
      <c r="BN220" s="104"/>
      <c r="BO220" s="104"/>
      <c r="BP220" s="104"/>
      <c r="BQ220" s="104"/>
      <c r="BR220" s="104"/>
      <c r="BS220" s="104"/>
      <c r="BT220" s="104"/>
      <c r="BU220" s="104"/>
      <c r="BV220" s="104"/>
      <c r="BW220" s="122"/>
      <c r="BX220" s="122"/>
      <c r="BY220" s="104"/>
      <c r="BZ220" s="122"/>
      <c r="CA220" s="122"/>
      <c r="CB220" s="104"/>
      <c r="CC220" s="104"/>
      <c r="CD220" s="122"/>
      <c r="CE220" s="104"/>
      <c r="CF220" s="104"/>
      <c r="CG220" s="104"/>
      <c r="CH220" s="104"/>
      <c r="CI220" s="104"/>
      <c r="CJ220" s="104"/>
      <c r="CK220" s="104"/>
      <c r="CL220" s="104"/>
      <c r="CM220" s="104"/>
      <c r="CN220" s="104"/>
      <c r="CO220" s="104"/>
      <c r="CP220" s="104"/>
      <c r="CQ220" s="104"/>
      <c r="CR220" s="104"/>
      <c r="CS220" s="104"/>
      <c r="CT220" s="104"/>
      <c r="CU220" s="104"/>
    </row>
    <row r="221">
      <c r="A221" s="595"/>
      <c r="B221" s="202" t="s">
        <v>271</v>
      </c>
      <c r="C221" s="196" t="s">
        <v>271</v>
      </c>
      <c r="D221" s="197" t="s">
        <v>271</v>
      </c>
      <c r="E221" s="199" t="s">
        <v>271</v>
      </c>
      <c r="F221" s="201" t="s">
        <v>271</v>
      </c>
      <c r="G221" s="202" t="s">
        <v>271</v>
      </c>
      <c r="H221" s="609"/>
      <c r="I221" s="609"/>
      <c r="J221" s="104"/>
      <c r="K221" s="104"/>
      <c r="L221" s="104"/>
      <c r="M221" s="104"/>
      <c r="N221" s="104"/>
      <c r="O221" s="104"/>
      <c r="P221" s="104"/>
      <c r="Q221" s="104"/>
      <c r="R221" s="104"/>
      <c r="S221" s="104"/>
      <c r="T221" s="104"/>
      <c r="U221" s="104"/>
      <c r="V221" s="104"/>
      <c r="W221" s="104"/>
      <c r="X221" s="104"/>
      <c r="Y221" s="104"/>
      <c r="Z221" s="104"/>
      <c r="AA221" s="104"/>
      <c r="AB221" s="104"/>
      <c r="AC221" s="104"/>
      <c r="AD221" s="104"/>
      <c r="AE221" s="104"/>
      <c r="AF221" s="104"/>
      <c r="AG221" s="104"/>
      <c r="AH221" s="104"/>
      <c r="AI221" s="104"/>
      <c r="AJ221" s="104"/>
      <c r="AK221" s="104"/>
      <c r="AL221" s="104"/>
      <c r="AM221" s="104"/>
      <c r="AN221" s="104"/>
      <c r="AO221" s="104"/>
      <c r="AP221" s="104"/>
      <c r="AQ221" s="104"/>
      <c r="AR221" s="104"/>
      <c r="AS221" s="104"/>
      <c r="AT221" s="104"/>
      <c r="AU221" s="104"/>
      <c r="AV221" s="104"/>
      <c r="AW221" s="104"/>
      <c r="AX221" s="104"/>
      <c r="AY221" s="104"/>
      <c r="AZ221" s="104"/>
      <c r="BA221" s="104"/>
      <c r="BB221" s="104"/>
      <c r="BC221" s="104"/>
      <c r="BD221" s="104"/>
      <c r="BE221" s="104"/>
      <c r="BF221" s="104"/>
      <c r="BG221" s="104"/>
      <c r="BH221" s="104"/>
      <c r="BI221" s="104"/>
      <c r="BJ221" s="104"/>
      <c r="BK221" s="104"/>
      <c r="BL221" s="104"/>
      <c r="BM221" s="104"/>
      <c r="BN221" s="104"/>
      <c r="BO221" s="104"/>
      <c r="BP221" s="104"/>
      <c r="BQ221" s="104"/>
      <c r="BR221" s="104"/>
      <c r="BS221" s="104"/>
      <c r="BT221" s="104"/>
      <c r="BU221" s="104"/>
      <c r="BV221" s="104"/>
      <c r="BW221" s="122"/>
      <c r="BX221" s="122"/>
      <c r="BY221" s="104"/>
      <c r="BZ221" s="122"/>
      <c r="CA221" s="122"/>
      <c r="CB221" s="104"/>
      <c r="CC221" s="104"/>
      <c r="CD221" s="122"/>
      <c r="CE221" s="104"/>
      <c r="CF221" s="104"/>
      <c r="CG221" s="104"/>
      <c r="CH221" s="104"/>
      <c r="CI221" s="104"/>
      <c r="CJ221" s="104"/>
      <c r="CK221" s="104"/>
      <c r="CL221" s="104"/>
      <c r="CM221" s="104"/>
      <c r="CN221" s="104"/>
      <c r="CO221" s="104"/>
      <c r="CP221" s="104"/>
      <c r="CQ221" s="104"/>
      <c r="CR221" s="104"/>
      <c r="CS221" s="104"/>
      <c r="CT221" s="104"/>
      <c r="CU221" s="104"/>
    </row>
    <row r="222">
      <c r="A222" s="595"/>
      <c r="B222" s="202" t="s">
        <v>271</v>
      </c>
      <c r="C222" s="196" t="s">
        <v>271</v>
      </c>
      <c r="D222" s="197" t="s">
        <v>271</v>
      </c>
      <c r="E222" s="199" t="s">
        <v>271</v>
      </c>
      <c r="F222" s="201" t="s">
        <v>271</v>
      </c>
      <c r="G222" s="202" t="s">
        <v>271</v>
      </c>
      <c r="H222" s="609"/>
      <c r="I222" s="609"/>
      <c r="J222" s="104"/>
      <c r="K222" s="104"/>
      <c r="L222" s="104"/>
      <c r="M222" s="104"/>
      <c r="N222" s="104"/>
      <c r="O222" s="104"/>
      <c r="P222" s="104"/>
      <c r="Q222" s="104"/>
      <c r="R222" s="104"/>
      <c r="S222" s="104"/>
      <c r="T222" s="104"/>
      <c r="U222" s="104"/>
      <c r="V222" s="104"/>
      <c r="W222" s="104"/>
      <c r="X222" s="104"/>
      <c r="Y222" s="104"/>
      <c r="Z222" s="104"/>
      <c r="AA222" s="104"/>
      <c r="AB222" s="104"/>
      <c r="AC222" s="104"/>
      <c r="AD222" s="104"/>
      <c r="AE222" s="104"/>
      <c r="AF222" s="104"/>
      <c r="AG222" s="104"/>
      <c r="AH222" s="104"/>
      <c r="AI222" s="104"/>
      <c r="AJ222" s="104"/>
      <c r="AK222" s="104"/>
      <c r="AL222" s="104"/>
      <c r="AM222" s="104"/>
      <c r="AN222" s="104"/>
      <c r="AO222" s="104"/>
      <c r="AP222" s="104"/>
      <c r="AQ222" s="104"/>
      <c r="AR222" s="104"/>
      <c r="AS222" s="104"/>
      <c r="AT222" s="104"/>
      <c r="AU222" s="104"/>
      <c r="AV222" s="104"/>
      <c r="AW222" s="104"/>
      <c r="AX222" s="104"/>
      <c r="AY222" s="104"/>
      <c r="AZ222" s="104"/>
      <c r="BA222" s="104"/>
      <c r="BB222" s="104"/>
      <c r="BC222" s="104"/>
      <c r="BD222" s="104"/>
      <c r="BE222" s="104"/>
      <c r="BF222" s="104"/>
      <c r="BG222" s="104"/>
      <c r="BH222" s="104"/>
      <c r="BI222" s="104"/>
      <c r="BJ222" s="104"/>
      <c r="BK222" s="104"/>
      <c r="BL222" s="104"/>
      <c r="BM222" s="104"/>
      <c r="BN222" s="104"/>
      <c r="BO222" s="104"/>
      <c r="BP222" s="104"/>
      <c r="BQ222" s="104"/>
      <c r="BR222" s="104"/>
      <c r="BS222" s="104"/>
      <c r="BT222" s="104"/>
      <c r="BU222" s="104"/>
      <c r="BV222" s="104"/>
      <c r="BW222" s="122"/>
      <c r="BX222" s="122"/>
      <c r="BY222" s="104"/>
      <c r="BZ222" s="122"/>
      <c r="CA222" s="122"/>
      <c r="CB222" s="104"/>
      <c r="CC222" s="104"/>
      <c r="CD222" s="122"/>
      <c r="CE222" s="104"/>
      <c r="CF222" s="104"/>
      <c r="CG222" s="104"/>
      <c r="CH222" s="104"/>
      <c r="CI222" s="104"/>
      <c r="CJ222" s="104"/>
      <c r="CK222" s="104"/>
      <c r="CL222" s="104"/>
      <c r="CM222" s="104"/>
      <c r="CN222" s="104"/>
      <c r="CO222" s="104"/>
      <c r="CP222" s="104"/>
      <c r="CQ222" s="104"/>
      <c r="CR222" s="104"/>
      <c r="CS222" s="104"/>
      <c r="CT222" s="104"/>
      <c r="CU222" s="104"/>
    </row>
    <row r="223">
      <c r="A223" s="595"/>
      <c r="B223" s="202" t="s">
        <v>271</v>
      </c>
      <c r="C223" s="196" t="s">
        <v>271</v>
      </c>
      <c r="D223" s="197" t="s">
        <v>271</v>
      </c>
      <c r="E223" s="199" t="s">
        <v>271</v>
      </c>
      <c r="F223" s="201" t="s">
        <v>271</v>
      </c>
      <c r="G223" s="202" t="s">
        <v>271</v>
      </c>
      <c r="H223" s="609"/>
      <c r="I223" s="609"/>
      <c r="J223" s="104"/>
      <c r="K223" s="104"/>
      <c r="L223" s="104"/>
      <c r="M223" s="104"/>
      <c r="N223" s="104"/>
      <c r="O223" s="104"/>
      <c r="P223" s="104"/>
      <c r="Q223" s="104"/>
      <c r="R223" s="104"/>
      <c r="S223" s="104"/>
      <c r="T223" s="104"/>
      <c r="U223" s="104"/>
      <c r="V223" s="104"/>
      <c r="W223" s="104"/>
      <c r="X223" s="104"/>
      <c r="Y223" s="104"/>
      <c r="Z223" s="104"/>
      <c r="AA223" s="104"/>
      <c r="AB223" s="104"/>
      <c r="AC223" s="104"/>
      <c r="AD223" s="104"/>
      <c r="AE223" s="104"/>
      <c r="AF223" s="104"/>
      <c r="AG223" s="104"/>
      <c r="AH223" s="104"/>
      <c r="AI223" s="104"/>
      <c r="AJ223" s="104"/>
      <c r="AK223" s="104"/>
      <c r="AL223" s="104"/>
      <c r="AM223" s="104"/>
      <c r="AN223" s="104"/>
      <c r="AO223" s="104"/>
      <c r="AP223" s="104"/>
      <c r="AQ223" s="104"/>
      <c r="AR223" s="104"/>
      <c r="AS223" s="104"/>
      <c r="AT223" s="104"/>
      <c r="AU223" s="104"/>
      <c r="AV223" s="104"/>
      <c r="AW223" s="104"/>
      <c r="AX223" s="104"/>
      <c r="AY223" s="104"/>
      <c r="AZ223" s="104"/>
      <c r="BA223" s="104"/>
      <c r="BB223" s="104"/>
      <c r="BC223" s="104"/>
      <c r="BD223" s="104"/>
      <c r="BE223" s="104"/>
      <c r="BF223" s="104"/>
      <c r="BG223" s="104"/>
      <c r="BH223" s="104"/>
      <c r="BI223" s="104"/>
      <c r="BJ223" s="104"/>
      <c r="BK223" s="104"/>
      <c r="BL223" s="104"/>
      <c r="BM223" s="104"/>
      <c r="BN223" s="104"/>
      <c r="BO223" s="104"/>
      <c r="BP223" s="104"/>
      <c r="BQ223" s="104"/>
      <c r="BR223" s="104"/>
      <c r="BS223" s="104"/>
      <c r="BT223" s="104"/>
      <c r="BU223" s="104"/>
      <c r="BV223" s="104"/>
      <c r="BW223" s="122"/>
      <c r="BX223" s="122"/>
      <c r="BY223" s="104"/>
      <c r="BZ223" s="122"/>
      <c r="CA223" s="122"/>
      <c r="CB223" s="104"/>
      <c r="CC223" s="104"/>
      <c r="CD223" s="122"/>
      <c r="CE223" s="104"/>
      <c r="CF223" s="104"/>
      <c r="CG223" s="104"/>
      <c r="CH223" s="104"/>
      <c r="CI223" s="104"/>
      <c r="CJ223" s="104"/>
      <c r="CK223" s="104"/>
      <c r="CL223" s="104"/>
      <c r="CM223" s="104"/>
      <c r="CN223" s="104"/>
      <c r="CO223" s="104"/>
      <c r="CP223" s="104"/>
      <c r="CQ223" s="104"/>
      <c r="CR223" s="104"/>
      <c r="CS223" s="104"/>
      <c r="CT223" s="104"/>
      <c r="CU223" s="104"/>
    </row>
    <row r="224">
      <c r="A224" s="595"/>
      <c r="B224" s="202" t="s">
        <v>271</v>
      </c>
      <c r="C224" s="196" t="s">
        <v>271</v>
      </c>
      <c r="D224" s="197" t="s">
        <v>271</v>
      </c>
      <c r="E224" s="199" t="s">
        <v>271</v>
      </c>
      <c r="F224" s="201" t="s">
        <v>271</v>
      </c>
      <c r="G224" s="202" t="s">
        <v>271</v>
      </c>
      <c r="H224" s="609"/>
      <c r="I224" s="609"/>
      <c r="J224" s="104"/>
      <c r="K224" s="104"/>
      <c r="L224" s="104"/>
      <c r="M224" s="104"/>
      <c r="N224" s="104"/>
      <c r="O224" s="104"/>
      <c r="P224" s="104"/>
      <c r="Q224" s="104"/>
      <c r="R224" s="104"/>
      <c r="S224" s="104"/>
      <c r="T224" s="104"/>
      <c r="U224" s="104"/>
      <c r="V224" s="104"/>
      <c r="W224" s="104"/>
      <c r="X224" s="104"/>
      <c r="Y224" s="104"/>
      <c r="Z224" s="104"/>
      <c r="AA224" s="104"/>
      <c r="AB224" s="104"/>
      <c r="AC224" s="104"/>
      <c r="AD224" s="104"/>
      <c r="AE224" s="104"/>
      <c r="AF224" s="104"/>
      <c r="AG224" s="104"/>
      <c r="AH224" s="104"/>
      <c r="AI224" s="104"/>
      <c r="AJ224" s="104"/>
      <c r="AK224" s="104"/>
      <c r="AL224" s="104"/>
      <c r="AM224" s="104"/>
      <c r="AN224" s="104"/>
      <c r="AO224" s="104"/>
      <c r="AP224" s="104"/>
      <c r="AQ224" s="104"/>
      <c r="AR224" s="104"/>
      <c r="AS224" s="104"/>
      <c r="AT224" s="104"/>
      <c r="AU224" s="104"/>
      <c r="AV224" s="104"/>
      <c r="AW224" s="104"/>
      <c r="AX224" s="104"/>
      <c r="AY224" s="104"/>
      <c r="AZ224" s="104"/>
      <c r="BA224" s="104"/>
      <c r="BB224" s="104"/>
      <c r="BC224" s="104"/>
      <c r="BD224" s="104"/>
      <c r="BE224" s="104"/>
      <c r="BF224" s="104"/>
      <c r="BG224" s="104"/>
      <c r="BH224" s="104"/>
      <c r="BI224" s="104"/>
      <c r="BJ224" s="104"/>
      <c r="BK224" s="104"/>
      <c r="BL224" s="104"/>
      <c r="BM224" s="104"/>
      <c r="BN224" s="104"/>
      <c r="BO224" s="104"/>
      <c r="BP224" s="104"/>
      <c r="BQ224" s="104"/>
      <c r="BR224" s="104"/>
      <c r="BS224" s="104"/>
      <c r="BT224" s="104"/>
      <c r="BU224" s="104"/>
      <c r="BV224" s="104"/>
      <c r="BW224" s="122"/>
      <c r="BX224" s="122"/>
      <c r="BY224" s="104"/>
      <c r="BZ224" s="122"/>
      <c r="CA224" s="122"/>
      <c r="CB224" s="104"/>
      <c r="CC224" s="104"/>
      <c r="CD224" s="122"/>
      <c r="CE224" s="104"/>
      <c r="CF224" s="104"/>
      <c r="CG224" s="104"/>
      <c r="CH224" s="104"/>
      <c r="CI224" s="104"/>
      <c r="CJ224" s="104"/>
      <c r="CK224" s="104"/>
      <c r="CL224" s="104"/>
      <c r="CM224" s="104"/>
      <c r="CN224" s="104"/>
      <c r="CO224" s="104"/>
      <c r="CP224" s="104"/>
      <c r="CQ224" s="104"/>
      <c r="CR224" s="104"/>
      <c r="CS224" s="104"/>
      <c r="CT224" s="104"/>
      <c r="CU224" s="104"/>
    </row>
    <row r="225">
      <c r="A225" s="595"/>
      <c r="B225" s="202" t="s">
        <v>271</v>
      </c>
      <c r="C225" s="196" t="s">
        <v>271</v>
      </c>
      <c r="D225" s="197" t="s">
        <v>271</v>
      </c>
      <c r="E225" s="199" t="s">
        <v>271</v>
      </c>
      <c r="F225" s="201" t="s">
        <v>271</v>
      </c>
      <c r="G225" s="202" t="s">
        <v>271</v>
      </c>
      <c r="H225" s="609"/>
      <c r="I225" s="609"/>
      <c r="J225" s="104"/>
      <c r="K225" s="104"/>
      <c r="L225" s="104"/>
      <c r="M225" s="104"/>
      <c r="N225" s="104"/>
      <c r="O225" s="104"/>
      <c r="P225" s="104"/>
      <c r="Q225" s="104"/>
      <c r="R225" s="104"/>
      <c r="S225" s="104"/>
      <c r="T225" s="104"/>
      <c r="U225" s="104"/>
      <c r="V225" s="104"/>
      <c r="W225" s="104"/>
      <c r="X225" s="104"/>
      <c r="Y225" s="104"/>
      <c r="Z225" s="104"/>
      <c r="AA225" s="104"/>
      <c r="AB225" s="104"/>
      <c r="AC225" s="104"/>
      <c r="AD225" s="104"/>
      <c r="AE225" s="104"/>
      <c r="AF225" s="104"/>
      <c r="AG225" s="104"/>
      <c r="AH225" s="104"/>
      <c r="AI225" s="104"/>
      <c r="AJ225" s="104"/>
      <c r="AK225" s="104"/>
      <c r="AL225" s="104"/>
      <c r="AM225" s="104"/>
      <c r="AN225" s="104"/>
      <c r="AO225" s="104"/>
      <c r="AP225" s="104"/>
      <c r="AQ225" s="104"/>
      <c r="AR225" s="104"/>
      <c r="AS225" s="104"/>
      <c r="AT225" s="104"/>
      <c r="AU225" s="104"/>
      <c r="AV225" s="104"/>
      <c r="AW225" s="104"/>
      <c r="AX225" s="104"/>
      <c r="AY225" s="104"/>
      <c r="AZ225" s="104"/>
      <c r="BA225" s="104"/>
      <c r="BB225" s="104"/>
      <c r="BC225" s="104"/>
      <c r="BD225" s="104"/>
      <c r="BE225" s="104"/>
      <c r="BF225" s="104"/>
      <c r="BG225" s="104"/>
      <c r="BH225" s="104"/>
      <c r="BI225" s="104"/>
      <c r="BJ225" s="104"/>
      <c r="BK225" s="104"/>
      <c r="BL225" s="104"/>
      <c r="BM225" s="104"/>
      <c r="BN225" s="104"/>
      <c r="BO225" s="104"/>
      <c r="BP225" s="104"/>
      <c r="BQ225" s="104"/>
      <c r="BR225" s="104"/>
      <c r="BS225" s="104"/>
      <c r="BT225" s="104"/>
      <c r="BU225" s="104"/>
      <c r="BV225" s="104"/>
      <c r="BW225" s="122"/>
      <c r="BX225" s="122"/>
      <c r="BY225" s="104"/>
      <c r="BZ225" s="122"/>
      <c r="CA225" s="122"/>
      <c r="CB225" s="104"/>
      <c r="CC225" s="104"/>
      <c r="CD225" s="122"/>
      <c r="CE225" s="104"/>
      <c r="CF225" s="104"/>
      <c r="CG225" s="104"/>
      <c r="CH225" s="104"/>
      <c r="CI225" s="104"/>
      <c r="CJ225" s="104"/>
      <c r="CK225" s="104"/>
      <c r="CL225" s="104"/>
      <c r="CM225" s="104"/>
      <c r="CN225" s="104"/>
      <c r="CO225" s="104"/>
      <c r="CP225" s="104"/>
      <c r="CQ225" s="104"/>
      <c r="CR225" s="104"/>
      <c r="CS225" s="104"/>
      <c r="CT225" s="104"/>
      <c r="CU225" s="104"/>
    </row>
    <row r="226">
      <c r="A226" s="595"/>
      <c r="B226" s="202" t="s">
        <v>271</v>
      </c>
      <c r="C226" s="196" t="s">
        <v>271</v>
      </c>
      <c r="D226" s="197" t="s">
        <v>271</v>
      </c>
      <c r="E226" s="199" t="s">
        <v>271</v>
      </c>
      <c r="F226" s="201" t="s">
        <v>271</v>
      </c>
      <c r="G226" s="202" t="s">
        <v>271</v>
      </c>
      <c r="H226" s="609"/>
      <c r="I226" s="609"/>
      <c r="J226" s="104"/>
      <c r="K226" s="104"/>
      <c r="L226" s="104"/>
      <c r="M226" s="104"/>
      <c r="N226" s="104"/>
      <c r="O226" s="104"/>
      <c r="P226" s="104"/>
      <c r="Q226" s="104"/>
      <c r="R226" s="104"/>
      <c r="S226" s="104"/>
      <c r="T226" s="104"/>
      <c r="U226" s="104"/>
      <c r="V226" s="104"/>
      <c r="W226" s="104"/>
      <c r="X226" s="104"/>
      <c r="Y226" s="104"/>
      <c r="Z226" s="104"/>
      <c r="AA226" s="104"/>
      <c r="AB226" s="104"/>
      <c r="AC226" s="104"/>
      <c r="AD226" s="104"/>
      <c r="AE226" s="104"/>
      <c r="AF226" s="104"/>
      <c r="AG226" s="104"/>
      <c r="AH226" s="104"/>
      <c r="AI226" s="104"/>
      <c r="AJ226" s="104"/>
      <c r="AK226" s="104"/>
      <c r="AL226" s="104"/>
      <c r="AM226" s="104"/>
      <c r="AN226" s="104"/>
      <c r="AO226" s="104"/>
      <c r="AP226" s="104"/>
      <c r="AQ226" s="104"/>
      <c r="AR226" s="104"/>
      <c r="AS226" s="104"/>
      <c r="AT226" s="104"/>
      <c r="AU226" s="104"/>
      <c r="AV226" s="104"/>
      <c r="AW226" s="104"/>
      <c r="AX226" s="104"/>
      <c r="AY226" s="104"/>
      <c r="AZ226" s="104"/>
      <c r="BA226" s="104"/>
      <c r="BB226" s="104"/>
      <c r="BC226" s="104"/>
      <c r="BD226" s="104"/>
      <c r="BE226" s="104"/>
      <c r="BF226" s="104"/>
      <c r="BG226" s="104"/>
      <c r="BH226" s="104"/>
      <c r="BI226" s="104"/>
      <c r="BJ226" s="104"/>
      <c r="BK226" s="104"/>
      <c r="BL226" s="104"/>
      <c r="BM226" s="104"/>
      <c r="BN226" s="104"/>
      <c r="BO226" s="104"/>
      <c r="BP226" s="104"/>
      <c r="BQ226" s="104"/>
      <c r="BR226" s="104"/>
      <c r="BS226" s="104"/>
      <c r="BT226" s="104"/>
      <c r="BU226" s="104"/>
      <c r="BV226" s="104"/>
      <c r="BW226" s="122"/>
      <c r="BX226" s="122"/>
      <c r="BY226" s="104"/>
      <c r="BZ226" s="122"/>
      <c r="CA226" s="122"/>
      <c r="CB226" s="104"/>
      <c r="CC226" s="104"/>
      <c r="CD226" s="122"/>
      <c r="CE226" s="104"/>
      <c r="CF226" s="104"/>
      <c r="CG226" s="104"/>
      <c r="CH226" s="104"/>
      <c r="CI226" s="104"/>
      <c r="CJ226" s="104"/>
      <c r="CK226" s="104"/>
      <c r="CL226" s="104"/>
      <c r="CM226" s="104"/>
      <c r="CN226" s="104"/>
      <c r="CO226" s="104"/>
      <c r="CP226" s="104"/>
      <c r="CQ226" s="104"/>
      <c r="CR226" s="104"/>
      <c r="CS226" s="104"/>
      <c r="CT226" s="104"/>
      <c r="CU226" s="104"/>
    </row>
    <row r="227">
      <c r="A227" s="595"/>
      <c r="B227" s="202" t="s">
        <v>271</v>
      </c>
      <c r="C227" s="196" t="s">
        <v>271</v>
      </c>
      <c r="D227" s="197" t="s">
        <v>271</v>
      </c>
      <c r="E227" s="199" t="s">
        <v>271</v>
      </c>
      <c r="F227" s="201" t="s">
        <v>271</v>
      </c>
      <c r="G227" s="202" t="s">
        <v>271</v>
      </c>
      <c r="H227" s="609"/>
      <c r="I227" s="609"/>
      <c r="J227" s="104"/>
      <c r="K227" s="104"/>
      <c r="L227" s="104"/>
      <c r="M227" s="104"/>
      <c r="N227" s="104"/>
      <c r="O227" s="104"/>
      <c r="P227" s="104"/>
      <c r="Q227" s="104"/>
      <c r="R227" s="104"/>
      <c r="S227" s="104"/>
      <c r="T227" s="104"/>
      <c r="U227" s="104"/>
      <c r="V227" s="104"/>
      <c r="W227" s="104"/>
      <c r="X227" s="104"/>
      <c r="Y227" s="104"/>
      <c r="Z227" s="104"/>
      <c r="AA227" s="104"/>
      <c r="AB227" s="104"/>
      <c r="AC227" s="104"/>
      <c r="AD227" s="104"/>
      <c r="AE227" s="104"/>
      <c r="AF227" s="104"/>
      <c r="AG227" s="104"/>
      <c r="AH227" s="104"/>
      <c r="AI227" s="104"/>
      <c r="AJ227" s="104"/>
      <c r="AK227" s="104"/>
      <c r="AL227" s="104"/>
      <c r="AM227" s="104"/>
      <c r="AN227" s="104"/>
      <c r="AO227" s="104"/>
      <c r="AP227" s="104"/>
      <c r="AQ227" s="104"/>
      <c r="AR227" s="104"/>
      <c r="AS227" s="104"/>
      <c r="AT227" s="104"/>
      <c r="AU227" s="104"/>
      <c r="AV227" s="104"/>
      <c r="AW227" s="104"/>
      <c r="AX227" s="104"/>
      <c r="AY227" s="104"/>
      <c r="AZ227" s="104"/>
      <c r="BA227" s="104"/>
      <c r="BB227" s="104"/>
      <c r="BC227" s="104"/>
      <c r="BD227" s="104"/>
      <c r="BE227" s="104"/>
      <c r="BF227" s="104"/>
      <c r="BG227" s="104"/>
      <c r="BH227" s="104"/>
      <c r="BI227" s="104"/>
      <c r="BJ227" s="104"/>
      <c r="BK227" s="104"/>
      <c r="BL227" s="104"/>
      <c r="BM227" s="104"/>
      <c r="BN227" s="104"/>
      <c r="BO227" s="104"/>
      <c r="BP227" s="104"/>
      <c r="BQ227" s="104"/>
      <c r="BR227" s="104"/>
      <c r="BS227" s="104"/>
      <c r="BT227" s="104"/>
      <c r="BU227" s="104"/>
      <c r="BV227" s="104"/>
      <c r="BW227" s="122"/>
      <c r="BX227" s="122"/>
      <c r="BY227" s="104"/>
      <c r="BZ227" s="122"/>
      <c r="CA227" s="122"/>
      <c r="CB227" s="104"/>
      <c r="CC227" s="104"/>
      <c r="CD227" s="122"/>
      <c r="CE227" s="104"/>
      <c r="CF227" s="104"/>
      <c r="CG227" s="104"/>
      <c r="CH227" s="104"/>
      <c r="CI227" s="104"/>
      <c r="CJ227" s="104"/>
      <c r="CK227" s="104"/>
      <c r="CL227" s="104"/>
      <c r="CM227" s="104"/>
      <c r="CN227" s="104"/>
      <c r="CO227" s="104"/>
      <c r="CP227" s="104"/>
      <c r="CQ227" s="104"/>
      <c r="CR227" s="104"/>
      <c r="CS227" s="104"/>
      <c r="CT227" s="104"/>
      <c r="CU227" s="104"/>
    </row>
    <row r="228">
      <c r="A228" s="595"/>
      <c r="B228" s="202" t="s">
        <v>271</v>
      </c>
      <c r="C228" s="196" t="s">
        <v>271</v>
      </c>
      <c r="D228" s="197" t="s">
        <v>271</v>
      </c>
      <c r="E228" s="199" t="s">
        <v>271</v>
      </c>
      <c r="F228" s="201" t="s">
        <v>271</v>
      </c>
      <c r="G228" s="202" t="s">
        <v>271</v>
      </c>
      <c r="H228" s="609"/>
      <c r="I228" s="609"/>
      <c r="J228" s="104"/>
      <c r="K228" s="104"/>
      <c r="L228" s="104"/>
      <c r="M228" s="104"/>
      <c r="N228" s="104"/>
      <c r="O228" s="104"/>
      <c r="P228" s="104"/>
      <c r="Q228" s="104"/>
      <c r="R228" s="104"/>
      <c r="S228" s="104"/>
      <c r="T228" s="104"/>
      <c r="U228" s="104"/>
      <c r="V228" s="104"/>
      <c r="W228" s="104"/>
      <c r="X228" s="104"/>
      <c r="Y228" s="104"/>
      <c r="Z228" s="104"/>
      <c r="AA228" s="104"/>
      <c r="AB228" s="104"/>
      <c r="AC228" s="104"/>
      <c r="AD228" s="104"/>
      <c r="AE228" s="104"/>
      <c r="AF228" s="104"/>
      <c r="AG228" s="104"/>
      <c r="AH228" s="104"/>
      <c r="AI228" s="104"/>
      <c r="AJ228" s="104"/>
      <c r="AK228" s="104"/>
      <c r="AL228" s="104"/>
      <c r="AM228" s="104"/>
      <c r="AN228" s="104"/>
      <c r="AO228" s="104"/>
      <c r="AP228" s="104"/>
      <c r="AQ228" s="104"/>
      <c r="AR228" s="104"/>
      <c r="AS228" s="104"/>
      <c r="AT228" s="104"/>
      <c r="AU228" s="104"/>
      <c r="AV228" s="104"/>
      <c r="AW228" s="104"/>
      <c r="AX228" s="104"/>
      <c r="AY228" s="104"/>
      <c r="AZ228" s="104"/>
      <c r="BA228" s="104"/>
      <c r="BB228" s="104"/>
      <c r="BC228" s="104"/>
      <c r="BD228" s="104"/>
      <c r="BE228" s="104"/>
      <c r="BF228" s="104"/>
      <c r="BG228" s="104"/>
      <c r="BH228" s="104"/>
      <c r="BI228" s="104"/>
      <c r="BJ228" s="104"/>
      <c r="BK228" s="104"/>
      <c r="BL228" s="104"/>
      <c r="BM228" s="104"/>
      <c r="BN228" s="104"/>
      <c r="BO228" s="104"/>
      <c r="BP228" s="104"/>
      <c r="BQ228" s="104"/>
      <c r="BR228" s="104"/>
      <c r="BS228" s="104"/>
      <c r="BT228" s="104"/>
      <c r="BU228" s="104"/>
      <c r="BV228" s="104"/>
      <c r="BW228" s="122"/>
      <c r="BX228" s="122"/>
      <c r="BY228" s="104"/>
      <c r="BZ228" s="122"/>
      <c r="CA228" s="122"/>
      <c r="CB228" s="104"/>
      <c r="CC228" s="104"/>
      <c r="CD228" s="122"/>
      <c r="CE228" s="104"/>
      <c r="CF228" s="104"/>
      <c r="CG228" s="104"/>
      <c r="CH228" s="104"/>
      <c r="CI228" s="104"/>
      <c r="CJ228" s="104"/>
      <c r="CK228" s="104"/>
      <c r="CL228" s="104"/>
      <c r="CM228" s="104"/>
      <c r="CN228" s="104"/>
      <c r="CO228" s="104"/>
      <c r="CP228" s="104"/>
      <c r="CQ228" s="104"/>
      <c r="CR228" s="104"/>
      <c r="CS228" s="104"/>
      <c r="CT228" s="104"/>
      <c r="CU228" s="104"/>
    </row>
    <row r="229">
      <c r="A229" s="595"/>
      <c r="B229" s="202" t="s">
        <v>271</v>
      </c>
      <c r="C229" s="196" t="s">
        <v>271</v>
      </c>
      <c r="D229" s="197" t="s">
        <v>271</v>
      </c>
      <c r="E229" s="199" t="s">
        <v>271</v>
      </c>
      <c r="F229" s="201" t="s">
        <v>271</v>
      </c>
      <c r="G229" s="202" t="s">
        <v>271</v>
      </c>
      <c r="H229" s="609"/>
      <c r="I229" s="609"/>
      <c r="J229" s="104"/>
      <c r="K229" s="104"/>
      <c r="L229" s="104"/>
      <c r="M229" s="104"/>
      <c r="N229" s="104"/>
      <c r="O229" s="104"/>
      <c r="P229" s="104"/>
      <c r="Q229" s="104"/>
      <c r="R229" s="104"/>
      <c r="S229" s="104"/>
      <c r="T229" s="104"/>
      <c r="U229" s="104"/>
      <c r="V229" s="104"/>
      <c r="W229" s="104"/>
      <c r="X229" s="104"/>
      <c r="Y229" s="104"/>
      <c r="Z229" s="104"/>
      <c r="AA229" s="104"/>
      <c r="AB229" s="104"/>
      <c r="AC229" s="104"/>
      <c r="AD229" s="104"/>
      <c r="AE229" s="104"/>
      <c r="AF229" s="104"/>
      <c r="AG229" s="104"/>
      <c r="AH229" s="104"/>
      <c r="AI229" s="104"/>
      <c r="AJ229" s="104"/>
      <c r="AK229" s="104"/>
      <c r="AL229" s="104"/>
      <c r="AM229" s="104"/>
      <c r="AN229" s="104"/>
      <c r="AO229" s="104"/>
      <c r="AP229" s="104"/>
      <c r="AQ229" s="104"/>
      <c r="AR229" s="104"/>
      <c r="AS229" s="104"/>
      <c r="AT229" s="104"/>
      <c r="AU229" s="104"/>
      <c r="AV229" s="104"/>
      <c r="AW229" s="104"/>
      <c r="AX229" s="104"/>
      <c r="AY229" s="104"/>
      <c r="AZ229" s="104"/>
      <c r="BA229" s="104"/>
      <c r="BB229" s="104"/>
      <c r="BC229" s="104"/>
      <c r="BD229" s="104"/>
      <c r="BE229" s="104"/>
      <c r="BF229" s="104"/>
      <c r="BG229" s="104"/>
      <c r="BH229" s="104"/>
      <c r="BI229" s="104"/>
      <c r="BJ229" s="104"/>
      <c r="BK229" s="104"/>
      <c r="BL229" s="104"/>
      <c r="BM229" s="104"/>
      <c r="BN229" s="104"/>
      <c r="BO229" s="104"/>
      <c r="BP229" s="104"/>
      <c r="BQ229" s="104"/>
      <c r="BR229" s="104"/>
      <c r="BS229" s="104"/>
      <c r="BT229" s="104"/>
      <c r="BU229" s="104"/>
      <c r="BV229" s="104"/>
      <c r="BW229" s="122"/>
      <c r="BX229" s="122"/>
      <c r="BY229" s="104"/>
      <c r="BZ229" s="122"/>
      <c r="CA229" s="122"/>
      <c r="CB229" s="104"/>
      <c r="CC229" s="104"/>
      <c r="CD229" s="122"/>
      <c r="CE229" s="104"/>
      <c r="CF229" s="104"/>
      <c r="CG229" s="104"/>
      <c r="CH229" s="104"/>
      <c r="CI229" s="104"/>
      <c r="CJ229" s="104"/>
      <c r="CK229" s="104"/>
      <c r="CL229" s="104"/>
      <c r="CM229" s="104"/>
      <c r="CN229" s="104"/>
      <c r="CO229" s="104"/>
      <c r="CP229" s="104"/>
      <c r="CQ229" s="104"/>
      <c r="CR229" s="104"/>
      <c r="CS229" s="104"/>
      <c r="CT229" s="104"/>
      <c r="CU229" s="104"/>
    </row>
    <row r="230">
      <c r="A230" s="595"/>
      <c r="B230" s="202" t="s">
        <v>271</v>
      </c>
      <c r="C230" s="196" t="s">
        <v>271</v>
      </c>
      <c r="D230" s="197" t="s">
        <v>271</v>
      </c>
      <c r="E230" s="199" t="s">
        <v>271</v>
      </c>
      <c r="F230" s="201" t="s">
        <v>271</v>
      </c>
      <c r="G230" s="202" t="s">
        <v>271</v>
      </c>
      <c r="H230" s="609"/>
      <c r="I230" s="609"/>
      <c r="J230" s="104"/>
      <c r="K230" s="104"/>
      <c r="L230" s="104"/>
      <c r="M230" s="104"/>
      <c r="N230" s="104"/>
      <c r="O230" s="104"/>
      <c r="P230" s="104"/>
      <c r="Q230" s="104"/>
      <c r="R230" s="104"/>
      <c r="S230" s="104"/>
      <c r="T230" s="104"/>
      <c r="U230" s="104"/>
      <c r="V230" s="104"/>
      <c r="W230" s="104"/>
      <c r="X230" s="104"/>
      <c r="Y230" s="104"/>
      <c r="Z230" s="104"/>
      <c r="AA230" s="104"/>
      <c r="AB230" s="104"/>
      <c r="AC230" s="104"/>
      <c r="AD230" s="104"/>
      <c r="AE230" s="104"/>
      <c r="AF230" s="104"/>
      <c r="AG230" s="104"/>
      <c r="AH230" s="104"/>
      <c r="AI230" s="104"/>
      <c r="AJ230" s="104"/>
      <c r="AK230" s="104"/>
      <c r="AL230" s="104"/>
      <c r="AM230" s="104"/>
      <c r="AN230" s="104"/>
      <c r="AO230" s="104"/>
      <c r="AP230" s="104"/>
      <c r="AQ230" s="104"/>
      <c r="AR230" s="104"/>
      <c r="AS230" s="104"/>
      <c r="AT230" s="104"/>
      <c r="AU230" s="104"/>
      <c r="AV230" s="104"/>
      <c r="AW230" s="104"/>
      <c r="AX230" s="104"/>
      <c r="AY230" s="104"/>
      <c r="AZ230" s="104"/>
      <c r="BA230" s="104"/>
      <c r="BB230" s="104"/>
      <c r="BC230" s="104"/>
      <c r="BD230" s="104"/>
      <c r="BE230" s="104"/>
      <c r="BF230" s="104"/>
      <c r="BG230" s="104"/>
      <c r="BH230" s="104"/>
      <c r="BI230" s="104"/>
      <c r="BJ230" s="104"/>
      <c r="BK230" s="104"/>
      <c r="BL230" s="104"/>
      <c r="BM230" s="104"/>
      <c r="BN230" s="104"/>
      <c r="BO230" s="104"/>
      <c r="BP230" s="104"/>
      <c r="BQ230" s="104"/>
      <c r="BR230" s="104"/>
      <c r="BS230" s="104"/>
      <c r="BT230" s="104"/>
      <c r="BU230" s="104"/>
      <c r="BV230" s="104"/>
      <c r="BW230" s="122"/>
      <c r="BX230" s="122"/>
      <c r="BY230" s="104"/>
      <c r="BZ230" s="122"/>
      <c r="CA230" s="122"/>
      <c r="CB230" s="104"/>
      <c r="CC230" s="104"/>
      <c r="CD230" s="122"/>
      <c r="CE230" s="104"/>
      <c r="CF230" s="104"/>
      <c r="CG230" s="104"/>
      <c r="CH230" s="104"/>
      <c r="CI230" s="104"/>
      <c r="CJ230" s="104"/>
      <c r="CK230" s="104"/>
      <c r="CL230" s="104"/>
      <c r="CM230" s="104"/>
      <c r="CN230" s="104"/>
      <c r="CO230" s="104"/>
      <c r="CP230" s="104"/>
      <c r="CQ230" s="104"/>
      <c r="CR230" s="104"/>
      <c r="CS230" s="104"/>
      <c r="CT230" s="104"/>
      <c r="CU230" s="104"/>
    </row>
    <row r="231">
      <c r="A231" s="595"/>
      <c r="B231" s="202" t="s">
        <v>271</v>
      </c>
      <c r="C231" s="196" t="s">
        <v>271</v>
      </c>
      <c r="D231" s="197" t="s">
        <v>271</v>
      </c>
      <c r="E231" s="199" t="s">
        <v>271</v>
      </c>
      <c r="F231" s="201" t="s">
        <v>271</v>
      </c>
      <c r="G231" s="202" t="s">
        <v>271</v>
      </c>
      <c r="H231" s="609"/>
      <c r="I231" s="609"/>
      <c r="J231" s="104"/>
      <c r="K231" s="104"/>
      <c r="L231" s="104"/>
      <c r="M231" s="104"/>
      <c r="N231" s="104"/>
      <c r="O231" s="104"/>
      <c r="P231" s="104"/>
      <c r="Q231" s="104"/>
      <c r="R231" s="104"/>
      <c r="S231" s="104"/>
      <c r="T231" s="104"/>
      <c r="U231" s="104"/>
      <c r="V231" s="104"/>
      <c r="W231" s="104"/>
      <c r="X231" s="104"/>
      <c r="Y231" s="104"/>
      <c r="Z231" s="104"/>
      <c r="AA231" s="104"/>
      <c r="AB231" s="104"/>
      <c r="AC231" s="104"/>
      <c r="AD231" s="104"/>
      <c r="AE231" s="104"/>
      <c r="AF231" s="104"/>
      <c r="AG231" s="104"/>
      <c r="AH231" s="104"/>
      <c r="AI231" s="104"/>
      <c r="AJ231" s="104"/>
      <c r="AK231" s="104"/>
      <c r="AL231" s="104"/>
      <c r="AM231" s="104"/>
      <c r="AN231" s="104"/>
      <c r="AO231" s="104"/>
      <c r="AP231" s="104"/>
      <c r="AQ231" s="104"/>
      <c r="AR231" s="104"/>
      <c r="AS231" s="104"/>
      <c r="AT231" s="104"/>
      <c r="AU231" s="104"/>
      <c r="AV231" s="104"/>
      <c r="AW231" s="104"/>
      <c r="AX231" s="104"/>
      <c r="AY231" s="104"/>
      <c r="AZ231" s="104"/>
      <c r="BA231" s="104"/>
      <c r="BB231" s="104"/>
      <c r="BC231" s="104"/>
      <c r="BD231" s="104"/>
      <c r="BE231" s="104"/>
      <c r="BF231" s="104"/>
      <c r="BG231" s="104"/>
      <c r="BH231" s="104"/>
      <c r="BI231" s="104"/>
      <c r="BJ231" s="104"/>
      <c r="BK231" s="104"/>
      <c r="BL231" s="104"/>
      <c r="BM231" s="104"/>
      <c r="BN231" s="104"/>
      <c r="BO231" s="104"/>
      <c r="BP231" s="104"/>
      <c r="BQ231" s="104"/>
      <c r="BR231" s="104"/>
      <c r="BS231" s="104"/>
      <c r="BT231" s="104"/>
      <c r="BU231" s="104"/>
      <c r="BV231" s="104"/>
      <c r="BW231" s="122"/>
      <c r="BX231" s="122"/>
      <c r="BY231" s="104"/>
      <c r="BZ231" s="122"/>
      <c r="CA231" s="122"/>
      <c r="CB231" s="104"/>
      <c r="CC231" s="104"/>
      <c r="CD231" s="122"/>
      <c r="CE231" s="104"/>
      <c r="CF231" s="104"/>
      <c r="CG231" s="104"/>
      <c r="CH231" s="104"/>
      <c r="CI231" s="104"/>
      <c r="CJ231" s="104"/>
      <c r="CK231" s="104"/>
      <c r="CL231" s="104"/>
      <c r="CM231" s="104"/>
      <c r="CN231" s="104"/>
      <c r="CO231" s="104"/>
      <c r="CP231" s="104"/>
      <c r="CQ231" s="104"/>
      <c r="CR231" s="104"/>
      <c r="CS231" s="104"/>
      <c r="CT231" s="104"/>
      <c r="CU231" s="104"/>
    </row>
    <row r="232">
      <c r="A232" s="595"/>
      <c r="B232" s="202" t="s">
        <v>271</v>
      </c>
      <c r="C232" s="196" t="s">
        <v>271</v>
      </c>
      <c r="D232" s="197" t="s">
        <v>271</v>
      </c>
      <c r="E232" s="199" t="s">
        <v>271</v>
      </c>
      <c r="F232" s="201" t="s">
        <v>271</v>
      </c>
      <c r="G232" s="202" t="s">
        <v>271</v>
      </c>
      <c r="H232" s="609"/>
      <c r="I232" s="609"/>
      <c r="J232" s="104"/>
      <c r="K232" s="104"/>
      <c r="L232" s="104"/>
      <c r="M232" s="104"/>
      <c r="N232" s="104"/>
      <c r="O232" s="104"/>
      <c r="P232" s="104"/>
      <c r="Q232" s="104"/>
      <c r="R232" s="104"/>
      <c r="S232" s="104"/>
      <c r="T232" s="104"/>
      <c r="U232" s="104"/>
      <c r="V232" s="104"/>
      <c r="W232" s="104"/>
      <c r="X232" s="104"/>
      <c r="Y232" s="104"/>
      <c r="Z232" s="104"/>
      <c r="AA232" s="104"/>
      <c r="AB232" s="104"/>
      <c r="AC232" s="104"/>
      <c r="AD232" s="104"/>
      <c r="AE232" s="104"/>
      <c r="AF232" s="104"/>
      <c r="AG232" s="104"/>
      <c r="AH232" s="104"/>
      <c r="AI232" s="104"/>
      <c r="AJ232" s="104"/>
      <c r="AK232" s="104"/>
      <c r="AL232" s="104"/>
      <c r="AM232" s="104"/>
      <c r="AN232" s="104"/>
      <c r="AO232" s="104"/>
      <c r="AP232" s="104"/>
      <c r="AQ232" s="104"/>
      <c r="AR232" s="104"/>
      <c r="AS232" s="104"/>
      <c r="AT232" s="104"/>
      <c r="AU232" s="104"/>
      <c r="AV232" s="104"/>
      <c r="AW232" s="104"/>
      <c r="AX232" s="104"/>
      <c r="AY232" s="104"/>
      <c r="AZ232" s="104"/>
      <c r="BA232" s="104"/>
      <c r="BB232" s="104"/>
      <c r="BC232" s="104"/>
      <c r="BD232" s="104"/>
      <c r="BE232" s="104"/>
      <c r="BF232" s="104"/>
      <c r="BG232" s="104"/>
      <c r="BH232" s="104"/>
      <c r="BI232" s="104"/>
      <c r="BJ232" s="104"/>
      <c r="BK232" s="104"/>
      <c r="BL232" s="104"/>
      <c r="BM232" s="104"/>
      <c r="BN232" s="104"/>
      <c r="BO232" s="104"/>
      <c r="BP232" s="104"/>
      <c r="BQ232" s="104"/>
      <c r="BR232" s="104"/>
      <c r="BS232" s="104"/>
      <c r="BT232" s="104"/>
      <c r="BU232" s="104"/>
      <c r="BV232" s="104"/>
      <c r="BW232" s="122"/>
      <c r="BX232" s="122"/>
      <c r="BY232" s="104"/>
      <c r="BZ232" s="122"/>
      <c r="CA232" s="122"/>
      <c r="CB232" s="104"/>
      <c r="CC232" s="104"/>
      <c r="CD232" s="122"/>
      <c r="CE232" s="104"/>
      <c r="CF232" s="104"/>
      <c r="CG232" s="104"/>
      <c r="CH232" s="104"/>
      <c r="CI232" s="104"/>
      <c r="CJ232" s="104"/>
      <c r="CK232" s="104"/>
      <c r="CL232" s="104"/>
      <c r="CM232" s="104"/>
      <c r="CN232" s="104"/>
      <c r="CO232" s="104"/>
      <c r="CP232" s="104"/>
      <c r="CQ232" s="104"/>
      <c r="CR232" s="104"/>
      <c r="CS232" s="104"/>
      <c r="CT232" s="104"/>
      <c r="CU232" s="104"/>
    </row>
    <row r="233">
      <c r="A233" s="595"/>
      <c r="B233" s="202" t="s">
        <v>271</v>
      </c>
      <c r="C233" s="196" t="s">
        <v>271</v>
      </c>
      <c r="D233" s="197" t="s">
        <v>271</v>
      </c>
      <c r="E233" s="199" t="s">
        <v>271</v>
      </c>
      <c r="F233" s="201" t="s">
        <v>271</v>
      </c>
      <c r="G233" s="202" t="s">
        <v>271</v>
      </c>
      <c r="H233" s="609"/>
      <c r="I233" s="609"/>
      <c r="J233" s="104"/>
      <c r="K233" s="104"/>
      <c r="L233" s="104"/>
      <c r="M233" s="104"/>
      <c r="N233" s="104"/>
      <c r="O233" s="104"/>
      <c r="P233" s="104"/>
      <c r="Q233" s="104"/>
      <c r="R233" s="104"/>
      <c r="S233" s="104"/>
      <c r="T233" s="104"/>
      <c r="U233" s="104"/>
      <c r="V233" s="104"/>
      <c r="W233" s="104"/>
      <c r="X233" s="104"/>
      <c r="Y233" s="104"/>
      <c r="Z233" s="104"/>
      <c r="AA233" s="104"/>
      <c r="AB233" s="104"/>
      <c r="AC233" s="104"/>
      <c r="AD233" s="104"/>
      <c r="AE233" s="104"/>
      <c r="AF233" s="104"/>
      <c r="AG233" s="104"/>
      <c r="AH233" s="104"/>
      <c r="AI233" s="104"/>
      <c r="AJ233" s="104"/>
      <c r="AK233" s="104"/>
      <c r="AL233" s="104"/>
      <c r="AM233" s="104"/>
      <c r="AN233" s="104"/>
      <c r="AO233" s="104"/>
      <c r="AP233" s="104"/>
      <c r="AQ233" s="104"/>
      <c r="AR233" s="104"/>
      <c r="AS233" s="104"/>
      <c r="AT233" s="104"/>
      <c r="AU233" s="104"/>
      <c r="AV233" s="104"/>
      <c r="AW233" s="104"/>
      <c r="AX233" s="104"/>
      <c r="AY233" s="104"/>
      <c r="AZ233" s="104"/>
      <c r="BA233" s="104"/>
      <c r="BB233" s="104"/>
      <c r="BC233" s="104"/>
      <c r="BD233" s="104"/>
      <c r="BE233" s="104"/>
      <c r="BF233" s="104"/>
      <c r="BG233" s="104"/>
      <c r="BH233" s="104"/>
      <c r="BI233" s="104"/>
      <c r="BJ233" s="104"/>
      <c r="BK233" s="104"/>
      <c r="BL233" s="104"/>
      <c r="BM233" s="104"/>
      <c r="BN233" s="104"/>
      <c r="BO233" s="104"/>
      <c r="BP233" s="104"/>
      <c r="BQ233" s="104"/>
      <c r="BR233" s="104"/>
      <c r="BS233" s="104"/>
      <c r="BT233" s="104"/>
      <c r="BU233" s="104"/>
      <c r="BV233" s="104"/>
      <c r="BW233" s="122"/>
      <c r="BX233" s="122"/>
      <c r="BY233" s="104"/>
      <c r="BZ233" s="122"/>
      <c r="CA233" s="122"/>
      <c r="CB233" s="104"/>
      <c r="CC233" s="104"/>
      <c r="CD233" s="122"/>
      <c r="CE233" s="104"/>
      <c r="CF233" s="104"/>
      <c r="CG233" s="104"/>
      <c r="CH233" s="104"/>
      <c r="CI233" s="104"/>
      <c r="CJ233" s="104"/>
      <c r="CK233" s="104"/>
      <c r="CL233" s="104"/>
      <c r="CM233" s="104"/>
      <c r="CN233" s="104"/>
      <c r="CO233" s="104"/>
      <c r="CP233" s="104"/>
      <c r="CQ233" s="104"/>
      <c r="CR233" s="104"/>
      <c r="CS233" s="104"/>
      <c r="CT233" s="104"/>
      <c r="CU233" s="104"/>
    </row>
    <row r="234">
      <c r="A234" s="595"/>
      <c r="B234" s="202" t="s">
        <v>271</v>
      </c>
      <c r="C234" s="196" t="s">
        <v>271</v>
      </c>
      <c r="D234" s="197" t="s">
        <v>271</v>
      </c>
      <c r="E234" s="199" t="s">
        <v>271</v>
      </c>
      <c r="F234" s="201" t="s">
        <v>271</v>
      </c>
      <c r="G234" s="202" t="s">
        <v>271</v>
      </c>
      <c r="H234" s="609"/>
      <c r="I234" s="609"/>
      <c r="J234" s="104"/>
      <c r="K234" s="104"/>
      <c r="L234" s="104"/>
      <c r="M234" s="104"/>
      <c r="N234" s="104"/>
      <c r="O234" s="104"/>
      <c r="P234" s="104"/>
      <c r="Q234" s="104"/>
      <c r="R234" s="104"/>
      <c r="S234" s="104"/>
      <c r="T234" s="104"/>
      <c r="U234" s="104"/>
      <c r="V234" s="104"/>
      <c r="W234" s="104"/>
      <c r="X234" s="104"/>
      <c r="Y234" s="104"/>
      <c r="Z234" s="104"/>
      <c r="AA234" s="104"/>
      <c r="AB234" s="104"/>
      <c r="AC234" s="104"/>
      <c r="AD234" s="104"/>
      <c r="AE234" s="104"/>
      <c r="AF234" s="104"/>
      <c r="AG234" s="104"/>
      <c r="AH234" s="104"/>
      <c r="AI234" s="104"/>
      <c r="AJ234" s="104"/>
      <c r="AK234" s="104"/>
      <c r="AL234" s="104"/>
      <c r="AM234" s="104"/>
      <c r="AN234" s="104"/>
      <c r="AO234" s="104"/>
      <c r="AP234" s="104"/>
      <c r="AQ234" s="104"/>
      <c r="AR234" s="104"/>
      <c r="AS234" s="104"/>
      <c r="AT234" s="104"/>
      <c r="AU234" s="104"/>
      <c r="AV234" s="104"/>
      <c r="AW234" s="104"/>
      <c r="AX234" s="104"/>
      <c r="AY234" s="104"/>
      <c r="AZ234" s="104"/>
      <c r="BA234" s="104"/>
      <c r="BB234" s="104"/>
      <c r="BC234" s="104"/>
      <c r="BD234" s="104"/>
      <c r="BE234" s="104"/>
      <c r="BF234" s="104"/>
      <c r="BG234" s="104"/>
      <c r="BH234" s="104"/>
      <c r="BI234" s="104"/>
      <c r="BJ234" s="104"/>
      <c r="BK234" s="104"/>
      <c r="BL234" s="104"/>
      <c r="BM234" s="104"/>
      <c r="BN234" s="104"/>
      <c r="BO234" s="104"/>
      <c r="BP234" s="104"/>
      <c r="BQ234" s="104"/>
      <c r="BR234" s="104"/>
      <c r="BS234" s="104"/>
      <c r="BT234" s="104"/>
      <c r="BU234" s="104"/>
      <c r="BV234" s="104"/>
      <c r="BW234" s="122"/>
      <c r="BX234" s="122"/>
      <c r="BY234" s="104"/>
      <c r="BZ234" s="122"/>
      <c r="CA234" s="122"/>
      <c r="CB234" s="104"/>
      <c r="CC234" s="104"/>
      <c r="CD234" s="122"/>
      <c r="CE234" s="104"/>
      <c r="CF234" s="104"/>
      <c r="CG234" s="104"/>
      <c r="CH234" s="104"/>
      <c r="CI234" s="104"/>
      <c r="CJ234" s="104"/>
      <c r="CK234" s="104"/>
      <c r="CL234" s="104"/>
      <c r="CM234" s="104"/>
      <c r="CN234" s="104"/>
      <c r="CO234" s="104"/>
      <c r="CP234" s="104"/>
      <c r="CQ234" s="104"/>
      <c r="CR234" s="104"/>
      <c r="CS234" s="104"/>
      <c r="CT234" s="104"/>
      <c r="CU234" s="104"/>
    </row>
    <row r="235">
      <c r="A235" s="595"/>
      <c r="B235" s="202" t="s">
        <v>271</v>
      </c>
      <c r="C235" s="196" t="s">
        <v>271</v>
      </c>
      <c r="D235" s="197" t="s">
        <v>271</v>
      </c>
      <c r="E235" s="199" t="s">
        <v>271</v>
      </c>
      <c r="F235" s="201" t="s">
        <v>271</v>
      </c>
      <c r="G235" s="202" t="s">
        <v>271</v>
      </c>
      <c r="H235" s="609"/>
      <c r="I235" s="609"/>
      <c r="J235" s="104"/>
      <c r="K235" s="104"/>
      <c r="L235" s="104"/>
      <c r="M235" s="104"/>
      <c r="N235" s="104"/>
      <c r="O235" s="104"/>
      <c r="P235" s="104"/>
      <c r="Q235" s="104"/>
      <c r="R235" s="104"/>
      <c r="S235" s="104"/>
      <c r="T235" s="104"/>
      <c r="U235" s="104"/>
      <c r="V235" s="104"/>
      <c r="W235" s="104"/>
      <c r="X235" s="104"/>
      <c r="Y235" s="104"/>
      <c r="Z235" s="104"/>
      <c r="AA235" s="104"/>
      <c r="AB235" s="104"/>
      <c r="AC235" s="104"/>
      <c r="AD235" s="104"/>
      <c r="AE235" s="104"/>
      <c r="AF235" s="104"/>
      <c r="AG235" s="104"/>
      <c r="AH235" s="104"/>
      <c r="AI235" s="104"/>
      <c r="AJ235" s="104"/>
      <c r="AK235" s="104"/>
      <c r="AL235" s="104"/>
      <c r="AM235" s="104"/>
      <c r="AN235" s="104"/>
      <c r="AO235" s="104"/>
      <c r="AP235" s="104"/>
      <c r="AQ235" s="104"/>
      <c r="AR235" s="104"/>
      <c r="AS235" s="104"/>
      <c r="AT235" s="104"/>
      <c r="AU235" s="104"/>
      <c r="AV235" s="104"/>
      <c r="AW235" s="104"/>
      <c r="AX235" s="104"/>
      <c r="AY235" s="104"/>
      <c r="AZ235" s="104"/>
      <c r="BA235" s="104"/>
      <c r="BB235" s="104"/>
      <c r="BC235" s="104"/>
      <c r="BD235" s="104"/>
      <c r="BE235" s="104"/>
      <c r="BF235" s="104"/>
      <c r="BG235" s="104"/>
      <c r="BH235" s="104"/>
      <c r="BI235" s="104"/>
      <c r="BJ235" s="104"/>
      <c r="BK235" s="104"/>
      <c r="BL235" s="104"/>
      <c r="BM235" s="104"/>
      <c r="BN235" s="104"/>
      <c r="BO235" s="104"/>
      <c r="BP235" s="104"/>
      <c r="BQ235" s="104"/>
      <c r="BR235" s="104"/>
      <c r="BS235" s="104"/>
      <c r="BT235" s="104"/>
      <c r="BU235" s="104"/>
      <c r="BV235" s="104"/>
      <c r="BW235" s="122"/>
      <c r="BX235" s="122"/>
      <c r="BY235" s="104"/>
      <c r="BZ235" s="122"/>
      <c r="CA235" s="122"/>
      <c r="CB235" s="104"/>
      <c r="CC235" s="104"/>
      <c r="CD235" s="122"/>
      <c r="CE235" s="104"/>
      <c r="CF235" s="104"/>
      <c r="CG235" s="104"/>
      <c r="CH235" s="104"/>
      <c r="CI235" s="104"/>
      <c r="CJ235" s="104"/>
      <c r="CK235" s="104"/>
      <c r="CL235" s="104"/>
      <c r="CM235" s="104"/>
      <c r="CN235" s="104"/>
      <c r="CO235" s="104"/>
      <c r="CP235" s="104"/>
      <c r="CQ235" s="104"/>
      <c r="CR235" s="104"/>
      <c r="CS235" s="104"/>
      <c r="CT235" s="104"/>
      <c r="CU235" s="104"/>
    </row>
    <row r="236">
      <c r="A236" s="595"/>
      <c r="B236" s="202" t="s">
        <v>271</v>
      </c>
      <c r="C236" s="196" t="s">
        <v>271</v>
      </c>
      <c r="D236" s="197" t="s">
        <v>271</v>
      </c>
      <c r="E236" s="199" t="s">
        <v>271</v>
      </c>
      <c r="F236" s="201" t="s">
        <v>271</v>
      </c>
      <c r="G236" s="202" t="s">
        <v>271</v>
      </c>
      <c r="H236" s="609"/>
      <c r="I236" s="609"/>
      <c r="J236" s="104"/>
      <c r="K236" s="104"/>
      <c r="L236" s="104"/>
      <c r="M236" s="104"/>
      <c r="N236" s="104"/>
      <c r="O236" s="104"/>
      <c r="P236" s="104"/>
      <c r="Q236" s="104"/>
      <c r="R236" s="104"/>
      <c r="S236" s="104"/>
      <c r="T236" s="104"/>
      <c r="U236" s="104"/>
      <c r="V236" s="104"/>
      <c r="W236" s="104"/>
      <c r="X236" s="104"/>
      <c r="Y236" s="104"/>
      <c r="Z236" s="104"/>
      <c r="AA236" s="104"/>
      <c r="AB236" s="104"/>
      <c r="AC236" s="104"/>
      <c r="AD236" s="104"/>
      <c r="AE236" s="104"/>
      <c r="AF236" s="104"/>
      <c r="AG236" s="104"/>
      <c r="AH236" s="104"/>
      <c r="AI236" s="104"/>
      <c r="AJ236" s="104"/>
      <c r="AK236" s="104"/>
      <c r="AL236" s="104"/>
      <c r="AM236" s="104"/>
      <c r="AN236" s="104"/>
      <c r="AO236" s="104"/>
      <c r="AP236" s="104"/>
      <c r="AQ236" s="104"/>
      <c r="AR236" s="104"/>
      <c r="AS236" s="104"/>
      <c r="AT236" s="104"/>
      <c r="AU236" s="104"/>
      <c r="AV236" s="104"/>
      <c r="AW236" s="104"/>
      <c r="AX236" s="104"/>
      <c r="AY236" s="104"/>
      <c r="AZ236" s="104"/>
      <c r="BA236" s="104"/>
      <c r="BB236" s="104"/>
      <c r="BC236" s="104"/>
      <c r="BD236" s="104"/>
      <c r="BE236" s="104"/>
      <c r="BF236" s="104"/>
      <c r="BG236" s="104"/>
      <c r="BH236" s="104"/>
      <c r="BI236" s="104"/>
      <c r="BJ236" s="104"/>
      <c r="BK236" s="104"/>
      <c r="BL236" s="104"/>
      <c r="BM236" s="104"/>
      <c r="BN236" s="104"/>
      <c r="BO236" s="104"/>
      <c r="BP236" s="104"/>
      <c r="BQ236" s="104"/>
      <c r="BR236" s="104"/>
      <c r="BS236" s="104"/>
      <c r="BT236" s="104"/>
      <c r="BU236" s="104"/>
      <c r="BV236" s="104"/>
      <c r="BW236" s="122"/>
      <c r="BX236" s="122"/>
      <c r="BY236" s="104"/>
      <c r="BZ236" s="122"/>
      <c r="CA236" s="122"/>
      <c r="CB236" s="104"/>
      <c r="CC236" s="104"/>
      <c r="CD236" s="122"/>
      <c r="CE236" s="104"/>
      <c r="CF236" s="104"/>
      <c r="CG236" s="104"/>
      <c r="CH236" s="104"/>
      <c r="CI236" s="104"/>
      <c r="CJ236" s="104"/>
      <c r="CK236" s="104"/>
      <c r="CL236" s="104"/>
      <c r="CM236" s="104"/>
      <c r="CN236" s="104"/>
      <c r="CO236" s="104"/>
      <c r="CP236" s="104"/>
      <c r="CQ236" s="104"/>
      <c r="CR236" s="104"/>
      <c r="CS236" s="104"/>
      <c r="CT236" s="104"/>
      <c r="CU236" s="104"/>
    </row>
    <row r="237">
      <c r="A237" s="595"/>
      <c r="B237" s="202" t="s">
        <v>271</v>
      </c>
      <c r="C237" s="196" t="s">
        <v>271</v>
      </c>
      <c r="D237" s="197" t="s">
        <v>271</v>
      </c>
      <c r="E237" s="199" t="s">
        <v>271</v>
      </c>
      <c r="F237" s="201" t="s">
        <v>271</v>
      </c>
      <c r="G237" s="202" t="s">
        <v>271</v>
      </c>
      <c r="H237" s="609"/>
      <c r="I237" s="609"/>
      <c r="J237" s="104"/>
      <c r="K237" s="104"/>
      <c r="L237" s="104"/>
      <c r="M237" s="104"/>
      <c r="N237" s="104"/>
      <c r="O237" s="104"/>
      <c r="P237" s="104"/>
      <c r="Q237" s="104"/>
      <c r="R237" s="104"/>
      <c r="S237" s="104"/>
      <c r="T237" s="104"/>
      <c r="U237" s="104"/>
      <c r="V237" s="104"/>
      <c r="W237" s="104"/>
      <c r="X237" s="104"/>
      <c r="Y237" s="104"/>
      <c r="Z237" s="104"/>
      <c r="AA237" s="104"/>
      <c r="AB237" s="104"/>
      <c r="AC237" s="104"/>
      <c r="AD237" s="104"/>
      <c r="AE237" s="104"/>
      <c r="AF237" s="104"/>
      <c r="AG237" s="104"/>
      <c r="AH237" s="104"/>
      <c r="AI237" s="104"/>
      <c r="AJ237" s="104"/>
      <c r="AK237" s="104"/>
      <c r="AL237" s="104"/>
      <c r="AM237" s="104"/>
      <c r="AN237" s="104"/>
      <c r="AO237" s="104"/>
      <c r="AP237" s="104"/>
      <c r="AQ237" s="104"/>
      <c r="AR237" s="104"/>
      <c r="AS237" s="104"/>
      <c r="AT237" s="104"/>
      <c r="AU237" s="104"/>
      <c r="AV237" s="104"/>
      <c r="AW237" s="104"/>
      <c r="AX237" s="104"/>
      <c r="AY237" s="104"/>
      <c r="AZ237" s="104"/>
      <c r="BA237" s="104"/>
      <c r="BB237" s="104"/>
      <c r="BC237" s="104"/>
      <c r="BD237" s="104"/>
      <c r="BE237" s="104"/>
      <c r="BF237" s="104"/>
      <c r="BG237" s="104"/>
      <c r="BH237" s="104"/>
      <c r="BI237" s="104"/>
      <c r="BJ237" s="104"/>
      <c r="BK237" s="104"/>
      <c r="BL237" s="104"/>
      <c r="BM237" s="104"/>
      <c r="BN237" s="104"/>
      <c r="BO237" s="104"/>
      <c r="BP237" s="104"/>
      <c r="BQ237" s="104"/>
      <c r="BR237" s="104"/>
      <c r="BS237" s="104"/>
      <c r="BT237" s="104"/>
      <c r="BU237" s="104"/>
      <c r="BV237" s="104"/>
      <c r="BW237" s="122"/>
      <c r="BX237" s="122"/>
      <c r="BY237" s="104"/>
      <c r="BZ237" s="122"/>
      <c r="CA237" s="122"/>
      <c r="CB237" s="104"/>
      <c r="CC237" s="104"/>
      <c r="CD237" s="122"/>
      <c r="CE237" s="104"/>
      <c r="CF237" s="104"/>
      <c r="CG237" s="104"/>
      <c r="CH237" s="104"/>
      <c r="CI237" s="104"/>
      <c r="CJ237" s="104"/>
      <c r="CK237" s="104"/>
      <c r="CL237" s="104"/>
      <c r="CM237" s="104"/>
      <c r="CN237" s="104"/>
      <c r="CO237" s="104"/>
      <c r="CP237" s="104"/>
      <c r="CQ237" s="104"/>
      <c r="CR237" s="104"/>
      <c r="CS237" s="104"/>
      <c r="CT237" s="104"/>
      <c r="CU237" s="104"/>
    </row>
    <row r="238">
      <c r="A238" s="595"/>
      <c r="B238" s="202" t="s">
        <v>271</v>
      </c>
      <c r="C238" s="196" t="s">
        <v>271</v>
      </c>
      <c r="D238" s="197" t="s">
        <v>271</v>
      </c>
      <c r="E238" s="199" t="s">
        <v>271</v>
      </c>
      <c r="F238" s="201" t="s">
        <v>271</v>
      </c>
      <c r="G238" s="202" t="s">
        <v>271</v>
      </c>
      <c r="H238" s="609"/>
      <c r="I238" s="609"/>
      <c r="J238" s="104"/>
      <c r="K238" s="104"/>
      <c r="L238" s="104"/>
      <c r="M238" s="104"/>
      <c r="N238" s="104"/>
      <c r="O238" s="104"/>
      <c r="P238" s="104"/>
      <c r="Q238" s="104"/>
      <c r="R238" s="104"/>
      <c r="S238" s="104"/>
      <c r="T238" s="104"/>
      <c r="U238" s="104"/>
      <c r="V238" s="104"/>
      <c r="W238" s="104"/>
      <c r="X238" s="104"/>
      <c r="Y238" s="104"/>
      <c r="Z238" s="104"/>
      <c r="AA238" s="104"/>
      <c r="AB238" s="104"/>
      <c r="AC238" s="104"/>
      <c r="AD238" s="104"/>
      <c r="AE238" s="104"/>
      <c r="AF238" s="104"/>
      <c r="AG238" s="104"/>
      <c r="AH238" s="104"/>
      <c r="AI238" s="104"/>
      <c r="AJ238" s="104"/>
      <c r="AK238" s="104"/>
      <c r="AL238" s="104"/>
      <c r="AM238" s="104"/>
      <c r="AN238" s="104"/>
      <c r="AO238" s="104"/>
      <c r="AP238" s="104"/>
      <c r="AQ238" s="104"/>
      <c r="AR238" s="104"/>
      <c r="AS238" s="104"/>
      <c r="AT238" s="104"/>
      <c r="AU238" s="104"/>
      <c r="AV238" s="104"/>
      <c r="AW238" s="104"/>
      <c r="AX238" s="104"/>
      <c r="AY238" s="104"/>
      <c r="AZ238" s="104"/>
      <c r="BA238" s="104"/>
      <c r="BB238" s="104"/>
      <c r="BC238" s="104"/>
      <c r="BD238" s="104"/>
      <c r="BE238" s="104"/>
      <c r="BF238" s="104"/>
      <c r="BG238" s="104"/>
      <c r="BH238" s="104"/>
      <c r="BI238" s="104"/>
      <c r="BJ238" s="104"/>
      <c r="BK238" s="104"/>
      <c r="BL238" s="104"/>
      <c r="BM238" s="104"/>
      <c r="BN238" s="104"/>
      <c r="BO238" s="104"/>
      <c r="BP238" s="104"/>
      <c r="BQ238" s="104"/>
      <c r="BR238" s="104"/>
      <c r="BS238" s="104"/>
      <c r="BT238" s="104"/>
      <c r="BU238" s="104"/>
      <c r="BV238" s="104"/>
      <c r="BW238" s="122"/>
      <c r="BX238" s="122"/>
      <c r="BY238" s="104"/>
      <c r="BZ238" s="122"/>
      <c r="CA238" s="122"/>
      <c r="CB238" s="104"/>
      <c r="CC238" s="104"/>
      <c r="CD238" s="122"/>
      <c r="CE238" s="104"/>
      <c r="CF238" s="104"/>
      <c r="CG238" s="104"/>
      <c r="CH238" s="104"/>
      <c r="CI238" s="104"/>
      <c r="CJ238" s="104"/>
      <c r="CK238" s="104"/>
      <c r="CL238" s="104"/>
      <c r="CM238" s="104"/>
      <c r="CN238" s="104"/>
      <c r="CO238" s="104"/>
      <c r="CP238" s="104"/>
      <c r="CQ238" s="104"/>
      <c r="CR238" s="104"/>
      <c r="CS238" s="104"/>
      <c r="CT238" s="104"/>
      <c r="CU238" s="104"/>
    </row>
    <row r="239">
      <c r="A239" s="595"/>
      <c r="B239" s="202" t="s">
        <v>271</v>
      </c>
      <c r="C239" s="196" t="s">
        <v>271</v>
      </c>
      <c r="D239" s="197" t="s">
        <v>271</v>
      </c>
      <c r="E239" s="199" t="s">
        <v>271</v>
      </c>
      <c r="F239" s="201" t="s">
        <v>271</v>
      </c>
      <c r="G239" s="202" t="s">
        <v>271</v>
      </c>
      <c r="H239" s="609"/>
      <c r="I239" s="609"/>
      <c r="J239" s="104"/>
      <c r="K239" s="104"/>
      <c r="L239" s="104"/>
      <c r="M239" s="104"/>
      <c r="N239" s="104"/>
      <c r="O239" s="104"/>
      <c r="P239" s="104"/>
      <c r="Q239" s="104"/>
      <c r="R239" s="104"/>
      <c r="S239" s="104"/>
      <c r="T239" s="104"/>
      <c r="U239" s="104"/>
      <c r="V239" s="104"/>
      <c r="W239" s="104"/>
      <c r="X239" s="104"/>
      <c r="Y239" s="104"/>
      <c r="Z239" s="104"/>
      <c r="AA239" s="104"/>
      <c r="AB239" s="104"/>
      <c r="AC239" s="104"/>
      <c r="AD239" s="104"/>
      <c r="AE239" s="104"/>
      <c r="AF239" s="104"/>
      <c r="AG239" s="104"/>
      <c r="AH239" s="104"/>
      <c r="AI239" s="104"/>
      <c r="AJ239" s="104"/>
      <c r="AK239" s="104"/>
      <c r="AL239" s="104"/>
      <c r="AM239" s="104"/>
      <c r="AN239" s="104"/>
      <c r="AO239" s="104"/>
      <c r="AP239" s="104"/>
      <c r="AQ239" s="104"/>
      <c r="AR239" s="104"/>
      <c r="AS239" s="104"/>
      <c r="AT239" s="104"/>
      <c r="AU239" s="104"/>
      <c r="AV239" s="104"/>
      <c r="AW239" s="104"/>
      <c r="AX239" s="104"/>
      <c r="AY239" s="104"/>
      <c r="AZ239" s="104"/>
      <c r="BA239" s="104"/>
      <c r="BB239" s="104"/>
      <c r="BC239" s="104"/>
      <c r="BD239" s="104"/>
      <c r="BE239" s="104"/>
      <c r="BF239" s="104"/>
      <c r="BG239" s="104"/>
      <c r="BH239" s="104"/>
      <c r="BI239" s="104"/>
      <c r="BJ239" s="104"/>
      <c r="BK239" s="104"/>
      <c r="BL239" s="104"/>
      <c r="BM239" s="104"/>
      <c r="BN239" s="104"/>
      <c r="BO239" s="104"/>
      <c r="BP239" s="104"/>
      <c r="BQ239" s="104"/>
      <c r="BR239" s="104"/>
      <c r="BS239" s="104"/>
      <c r="BT239" s="104"/>
      <c r="BU239" s="104"/>
      <c r="BV239" s="104"/>
      <c r="BW239" s="122"/>
      <c r="BX239" s="122"/>
      <c r="BY239" s="104"/>
      <c r="BZ239" s="122"/>
      <c r="CA239" s="122"/>
      <c r="CB239" s="104"/>
      <c r="CC239" s="104"/>
      <c r="CD239" s="122"/>
      <c r="CE239" s="104"/>
      <c r="CF239" s="104"/>
      <c r="CG239" s="104"/>
      <c r="CH239" s="104"/>
      <c r="CI239" s="104"/>
      <c r="CJ239" s="104"/>
      <c r="CK239" s="104"/>
      <c r="CL239" s="104"/>
      <c r="CM239" s="104"/>
      <c r="CN239" s="104"/>
      <c r="CO239" s="104"/>
      <c r="CP239" s="104"/>
      <c r="CQ239" s="104"/>
      <c r="CR239" s="104"/>
      <c r="CS239" s="104"/>
      <c r="CT239" s="104"/>
      <c r="CU239" s="104"/>
    </row>
    <row r="240">
      <c r="A240" s="595"/>
      <c r="B240" s="202" t="s">
        <v>271</v>
      </c>
      <c r="C240" s="196" t="s">
        <v>271</v>
      </c>
      <c r="D240" s="197" t="s">
        <v>271</v>
      </c>
      <c r="E240" s="199" t="s">
        <v>271</v>
      </c>
      <c r="F240" s="201" t="s">
        <v>271</v>
      </c>
      <c r="G240" s="202" t="s">
        <v>271</v>
      </c>
      <c r="H240" s="609"/>
      <c r="I240" s="609"/>
      <c r="J240" s="104"/>
      <c r="K240" s="104"/>
      <c r="L240" s="104"/>
      <c r="M240" s="104"/>
      <c r="N240" s="104"/>
      <c r="O240" s="104"/>
      <c r="P240" s="104"/>
      <c r="Q240" s="104"/>
      <c r="R240" s="104"/>
      <c r="S240" s="104"/>
      <c r="T240" s="104"/>
      <c r="U240" s="104"/>
      <c r="V240" s="104"/>
      <c r="W240" s="104"/>
      <c r="X240" s="104"/>
      <c r="Y240" s="104"/>
      <c r="Z240" s="104"/>
      <c r="AA240" s="104"/>
      <c r="AB240" s="104"/>
      <c r="AC240" s="104"/>
      <c r="AD240" s="104"/>
      <c r="AE240" s="104"/>
      <c r="AF240" s="104"/>
      <c r="AG240" s="104"/>
      <c r="AH240" s="104"/>
      <c r="AI240" s="104"/>
      <c r="AJ240" s="104"/>
      <c r="AK240" s="104"/>
      <c r="AL240" s="104"/>
      <c r="AM240" s="104"/>
      <c r="AN240" s="104"/>
      <c r="AO240" s="104"/>
      <c r="AP240" s="104"/>
      <c r="AQ240" s="104"/>
      <c r="AR240" s="104"/>
      <c r="AS240" s="104"/>
      <c r="AT240" s="104"/>
      <c r="AU240" s="104"/>
      <c r="AV240" s="104"/>
      <c r="AW240" s="104"/>
      <c r="AX240" s="104"/>
      <c r="AY240" s="104"/>
      <c r="AZ240" s="104"/>
      <c r="BA240" s="104"/>
      <c r="BB240" s="104"/>
      <c r="BC240" s="104"/>
      <c r="BD240" s="104"/>
      <c r="BE240" s="104"/>
      <c r="BF240" s="104"/>
      <c r="BG240" s="104"/>
      <c r="BH240" s="104"/>
      <c r="BI240" s="104"/>
      <c r="BJ240" s="104"/>
      <c r="BK240" s="104"/>
      <c r="BL240" s="104"/>
      <c r="BM240" s="104"/>
      <c r="BN240" s="104"/>
      <c r="BO240" s="104"/>
      <c r="BP240" s="104"/>
      <c r="BQ240" s="104"/>
      <c r="BR240" s="104"/>
      <c r="BS240" s="104"/>
      <c r="BT240" s="104"/>
      <c r="BU240" s="104"/>
      <c r="BV240" s="104"/>
      <c r="BW240" s="122"/>
      <c r="BX240" s="122"/>
      <c r="BY240" s="104"/>
      <c r="BZ240" s="122"/>
      <c r="CA240" s="122"/>
      <c r="CB240" s="104"/>
      <c r="CC240" s="104"/>
      <c r="CD240" s="122"/>
      <c r="CE240" s="104"/>
      <c r="CF240" s="104"/>
      <c r="CG240" s="104"/>
      <c r="CH240" s="104"/>
      <c r="CI240" s="104"/>
      <c r="CJ240" s="104"/>
      <c r="CK240" s="104"/>
      <c r="CL240" s="104"/>
      <c r="CM240" s="104"/>
      <c r="CN240" s="104"/>
      <c r="CO240" s="104"/>
      <c r="CP240" s="104"/>
      <c r="CQ240" s="104"/>
      <c r="CR240" s="104"/>
      <c r="CS240" s="104"/>
      <c r="CT240" s="104"/>
      <c r="CU240" s="104"/>
    </row>
    <row r="241">
      <c r="A241" s="595"/>
      <c r="B241" s="202" t="s">
        <v>271</v>
      </c>
      <c r="C241" s="196" t="s">
        <v>271</v>
      </c>
      <c r="D241" s="197" t="s">
        <v>271</v>
      </c>
      <c r="E241" s="199" t="s">
        <v>271</v>
      </c>
      <c r="F241" s="201" t="s">
        <v>271</v>
      </c>
      <c r="G241" s="202" t="s">
        <v>271</v>
      </c>
      <c r="H241" s="609"/>
      <c r="I241" s="609"/>
      <c r="J241" s="104"/>
      <c r="K241" s="104"/>
      <c r="L241" s="104"/>
      <c r="M241" s="104"/>
      <c r="N241" s="104"/>
      <c r="O241" s="104"/>
      <c r="P241" s="104"/>
      <c r="Q241" s="104"/>
      <c r="R241" s="104"/>
      <c r="S241" s="104"/>
      <c r="T241" s="104"/>
      <c r="U241" s="104"/>
      <c r="V241" s="104"/>
      <c r="W241" s="104"/>
      <c r="X241" s="104"/>
      <c r="Y241" s="104"/>
      <c r="Z241" s="104"/>
      <c r="AA241" s="104"/>
      <c r="AB241" s="104"/>
      <c r="AC241" s="104"/>
      <c r="AD241" s="104"/>
      <c r="AE241" s="104"/>
      <c r="AF241" s="104"/>
      <c r="AG241" s="104"/>
      <c r="AH241" s="104"/>
      <c r="AI241" s="104"/>
      <c r="AJ241" s="104"/>
      <c r="AK241" s="104"/>
      <c r="AL241" s="104"/>
      <c r="AM241" s="104"/>
      <c r="AN241" s="104"/>
      <c r="AO241" s="104"/>
      <c r="AP241" s="104"/>
      <c r="AQ241" s="104"/>
      <c r="AR241" s="104"/>
      <c r="AS241" s="104"/>
      <c r="AT241" s="104"/>
      <c r="AU241" s="104"/>
      <c r="AV241" s="104"/>
      <c r="AW241" s="104"/>
      <c r="AX241" s="104"/>
      <c r="AY241" s="104"/>
      <c r="AZ241" s="104"/>
      <c r="BA241" s="104"/>
      <c r="BB241" s="104"/>
      <c r="BC241" s="104"/>
      <c r="BD241" s="104"/>
      <c r="BE241" s="104"/>
      <c r="BF241" s="104"/>
      <c r="BG241" s="104"/>
      <c r="BH241" s="104"/>
      <c r="BI241" s="104"/>
      <c r="BJ241" s="104"/>
      <c r="BK241" s="104"/>
      <c r="BL241" s="104"/>
      <c r="BM241" s="104"/>
      <c r="BN241" s="104"/>
      <c r="BO241" s="104"/>
      <c r="BP241" s="104"/>
      <c r="BQ241" s="104"/>
      <c r="BR241" s="104"/>
      <c r="BS241" s="104"/>
      <c r="BT241" s="104"/>
      <c r="BU241" s="104"/>
      <c r="BV241" s="104"/>
      <c r="BW241" s="122"/>
      <c r="BX241" s="122"/>
      <c r="BY241" s="104"/>
      <c r="BZ241" s="122"/>
      <c r="CA241" s="122"/>
      <c r="CB241" s="104"/>
      <c r="CC241" s="104"/>
      <c r="CD241" s="122"/>
      <c r="CE241" s="104"/>
      <c r="CF241" s="104"/>
      <c r="CG241" s="104"/>
      <c r="CH241" s="104"/>
      <c r="CI241" s="104"/>
      <c r="CJ241" s="104"/>
      <c r="CK241" s="104"/>
      <c r="CL241" s="104"/>
      <c r="CM241" s="104"/>
      <c r="CN241" s="104"/>
      <c r="CO241" s="104"/>
      <c r="CP241" s="104"/>
      <c r="CQ241" s="104"/>
      <c r="CR241" s="104"/>
      <c r="CS241" s="104"/>
      <c r="CT241" s="104"/>
      <c r="CU241" s="104"/>
    </row>
    <row r="242">
      <c r="A242" s="595"/>
      <c r="B242" s="202" t="s">
        <v>271</v>
      </c>
      <c r="C242" s="196" t="s">
        <v>271</v>
      </c>
      <c r="D242" s="197" t="s">
        <v>271</v>
      </c>
      <c r="E242" s="199" t="s">
        <v>271</v>
      </c>
      <c r="F242" s="201" t="s">
        <v>271</v>
      </c>
      <c r="G242" s="202" t="s">
        <v>271</v>
      </c>
      <c r="H242" s="609"/>
      <c r="I242" s="609"/>
      <c r="J242" s="104"/>
      <c r="K242" s="104"/>
      <c r="L242" s="104"/>
      <c r="M242" s="104"/>
      <c r="N242" s="104"/>
      <c r="O242" s="104"/>
      <c r="P242" s="104"/>
      <c r="Q242" s="104"/>
      <c r="R242" s="104"/>
      <c r="S242" s="104"/>
      <c r="T242" s="104"/>
      <c r="U242" s="104"/>
      <c r="V242" s="104"/>
      <c r="W242" s="104"/>
      <c r="X242" s="104"/>
      <c r="Y242" s="104"/>
      <c r="Z242" s="104"/>
      <c r="AA242" s="104"/>
      <c r="AB242" s="104"/>
      <c r="AC242" s="104"/>
      <c r="AD242" s="104"/>
      <c r="AE242" s="104"/>
      <c r="AF242" s="104"/>
      <c r="AG242" s="104"/>
      <c r="AH242" s="104"/>
      <c r="AI242" s="104"/>
      <c r="AJ242" s="104"/>
      <c r="AK242" s="104"/>
      <c r="AL242" s="104"/>
      <c r="AM242" s="104"/>
      <c r="AN242" s="104"/>
      <c r="AO242" s="104"/>
      <c r="AP242" s="104"/>
      <c r="AQ242" s="104"/>
      <c r="AR242" s="104"/>
      <c r="AS242" s="104"/>
      <c r="AT242" s="104"/>
      <c r="AU242" s="104"/>
      <c r="AV242" s="104"/>
      <c r="AW242" s="104"/>
      <c r="AX242" s="104"/>
      <c r="AY242" s="104"/>
      <c r="AZ242" s="104"/>
      <c r="BA242" s="104"/>
      <c r="BB242" s="104"/>
      <c r="BC242" s="104"/>
      <c r="BD242" s="104"/>
      <c r="BE242" s="104"/>
      <c r="BF242" s="104"/>
      <c r="BG242" s="104"/>
      <c r="BH242" s="104"/>
      <c r="BI242" s="104"/>
      <c r="BJ242" s="104"/>
      <c r="BK242" s="104"/>
      <c r="BL242" s="104"/>
      <c r="BM242" s="104"/>
      <c r="BN242" s="104"/>
      <c r="BO242" s="104"/>
      <c r="BP242" s="104"/>
      <c r="BQ242" s="104"/>
      <c r="BR242" s="104"/>
      <c r="BS242" s="104"/>
      <c r="BT242" s="104"/>
      <c r="BU242" s="104"/>
      <c r="BV242" s="104"/>
      <c r="BW242" s="122"/>
      <c r="BX242" s="122"/>
      <c r="BY242" s="104"/>
      <c r="BZ242" s="122"/>
      <c r="CA242" s="122"/>
      <c r="CB242" s="104"/>
      <c r="CC242" s="104"/>
      <c r="CD242" s="122"/>
      <c r="CE242" s="104"/>
      <c r="CF242" s="104"/>
      <c r="CG242" s="104"/>
      <c r="CH242" s="104"/>
      <c r="CI242" s="104"/>
      <c r="CJ242" s="104"/>
      <c r="CK242" s="104"/>
      <c r="CL242" s="104"/>
      <c r="CM242" s="104"/>
      <c r="CN242" s="104"/>
      <c r="CO242" s="104"/>
      <c r="CP242" s="104"/>
      <c r="CQ242" s="104"/>
      <c r="CR242" s="104"/>
      <c r="CS242" s="104"/>
      <c r="CT242" s="104"/>
      <c r="CU242" s="104"/>
    </row>
    <row r="243">
      <c r="A243" s="595"/>
      <c r="B243" s="202" t="s">
        <v>271</v>
      </c>
      <c r="C243" s="196" t="s">
        <v>271</v>
      </c>
      <c r="D243" s="197" t="s">
        <v>271</v>
      </c>
      <c r="E243" s="199" t="s">
        <v>271</v>
      </c>
      <c r="F243" s="201" t="s">
        <v>271</v>
      </c>
      <c r="G243" s="202" t="s">
        <v>271</v>
      </c>
      <c r="H243" s="609"/>
      <c r="I243" s="609"/>
      <c r="J243" s="104"/>
      <c r="K243" s="104"/>
      <c r="L243" s="104"/>
      <c r="M243" s="104"/>
      <c r="N243" s="104"/>
      <c r="O243" s="104"/>
      <c r="P243" s="104"/>
      <c r="Q243" s="104"/>
      <c r="R243" s="104"/>
      <c r="S243" s="104"/>
      <c r="T243" s="104"/>
      <c r="U243" s="104"/>
      <c r="V243" s="104"/>
      <c r="W243" s="104"/>
      <c r="X243" s="104"/>
      <c r="Y243" s="104"/>
      <c r="Z243" s="104"/>
      <c r="AA243" s="104"/>
      <c r="AB243" s="104"/>
      <c r="AC243" s="104"/>
      <c r="AD243" s="104"/>
      <c r="AE243" s="104"/>
      <c r="AF243" s="104"/>
      <c r="AG243" s="104"/>
      <c r="AH243" s="104"/>
      <c r="AI243" s="104"/>
      <c r="AJ243" s="104"/>
      <c r="AK243" s="104"/>
      <c r="AL243" s="104"/>
      <c r="AM243" s="104"/>
      <c r="AN243" s="104"/>
      <c r="AO243" s="104"/>
      <c r="AP243" s="104"/>
      <c r="AQ243" s="104"/>
      <c r="AR243" s="104"/>
      <c r="AS243" s="104"/>
      <c r="AT243" s="104"/>
      <c r="AU243" s="104"/>
      <c r="AV243" s="104"/>
      <c r="AW243" s="104"/>
      <c r="AX243" s="104"/>
      <c r="AY243" s="104"/>
      <c r="AZ243" s="104"/>
      <c r="BA243" s="104"/>
      <c r="BB243" s="104"/>
      <c r="BC243" s="104"/>
      <c r="BD243" s="104"/>
      <c r="BE243" s="104"/>
      <c r="BF243" s="104"/>
      <c r="BG243" s="104"/>
      <c r="BH243" s="104"/>
      <c r="BI243" s="104"/>
      <c r="BJ243" s="104"/>
      <c r="BK243" s="104"/>
      <c r="BL243" s="104"/>
      <c r="BM243" s="104"/>
      <c r="BN243" s="104"/>
      <c r="BO243" s="104"/>
      <c r="BP243" s="104"/>
      <c r="BQ243" s="104"/>
      <c r="BR243" s="104"/>
      <c r="BS243" s="104"/>
      <c r="BT243" s="104"/>
      <c r="BU243" s="104"/>
      <c r="BV243" s="104"/>
      <c r="BW243" s="122"/>
      <c r="BX243" s="122"/>
      <c r="BY243" s="104"/>
      <c r="BZ243" s="122"/>
      <c r="CA243" s="122"/>
      <c r="CB243" s="104"/>
      <c r="CC243" s="104"/>
      <c r="CD243" s="122"/>
      <c r="CE243" s="104"/>
      <c r="CF243" s="104"/>
      <c r="CG243" s="104"/>
      <c r="CH243" s="104"/>
      <c r="CI243" s="104"/>
      <c r="CJ243" s="104"/>
      <c r="CK243" s="104"/>
      <c r="CL243" s="104"/>
      <c r="CM243" s="104"/>
      <c r="CN243" s="104"/>
      <c r="CO243" s="104"/>
      <c r="CP243" s="104"/>
      <c r="CQ243" s="104"/>
      <c r="CR243" s="104"/>
      <c r="CS243" s="104"/>
      <c r="CT243" s="104"/>
      <c r="CU243" s="104"/>
    </row>
    <row r="244">
      <c r="A244" s="595"/>
      <c r="B244" s="202" t="s">
        <v>271</v>
      </c>
      <c r="C244" s="196" t="s">
        <v>271</v>
      </c>
      <c r="D244" s="197" t="s">
        <v>271</v>
      </c>
      <c r="E244" s="199" t="s">
        <v>271</v>
      </c>
      <c r="F244" s="201" t="s">
        <v>271</v>
      </c>
      <c r="G244" s="202" t="s">
        <v>271</v>
      </c>
      <c r="H244" s="609"/>
      <c r="I244" s="609"/>
      <c r="J244" s="104"/>
      <c r="K244" s="104"/>
      <c r="L244" s="104"/>
      <c r="M244" s="104"/>
      <c r="N244" s="104"/>
      <c r="O244" s="104"/>
      <c r="P244" s="104"/>
      <c r="Q244" s="104"/>
      <c r="R244" s="104"/>
      <c r="S244" s="104"/>
      <c r="T244" s="104"/>
      <c r="U244" s="104"/>
      <c r="V244" s="104"/>
      <c r="W244" s="104"/>
      <c r="X244" s="104"/>
      <c r="Y244" s="104"/>
      <c r="Z244" s="104"/>
      <c r="AA244" s="104"/>
      <c r="AB244" s="104"/>
      <c r="AC244" s="104"/>
      <c r="AD244" s="104"/>
      <c r="AE244" s="104"/>
      <c r="AF244" s="104"/>
      <c r="AG244" s="104"/>
      <c r="AH244" s="104"/>
      <c r="AI244" s="104"/>
      <c r="AJ244" s="104"/>
      <c r="AK244" s="104"/>
      <c r="AL244" s="104"/>
      <c r="AM244" s="104"/>
      <c r="AN244" s="104"/>
      <c r="AO244" s="104"/>
      <c r="AP244" s="104"/>
      <c r="AQ244" s="104"/>
      <c r="AR244" s="104"/>
      <c r="AS244" s="104"/>
      <c r="AT244" s="104"/>
      <c r="AU244" s="104"/>
      <c r="AV244" s="104"/>
      <c r="AW244" s="104"/>
      <c r="AX244" s="104"/>
      <c r="AY244" s="104"/>
      <c r="AZ244" s="104"/>
      <c r="BA244" s="104"/>
      <c r="BB244" s="104"/>
      <c r="BC244" s="104"/>
      <c r="BD244" s="104"/>
      <c r="BE244" s="104"/>
      <c r="BF244" s="104"/>
      <c r="BG244" s="104"/>
      <c r="BH244" s="104"/>
      <c r="BI244" s="104"/>
      <c r="BJ244" s="104"/>
      <c r="BK244" s="104"/>
      <c r="BL244" s="104"/>
      <c r="BM244" s="104"/>
      <c r="BN244" s="104"/>
      <c r="BO244" s="104"/>
      <c r="BP244" s="104"/>
      <c r="BQ244" s="104"/>
      <c r="BR244" s="104"/>
      <c r="BS244" s="104"/>
      <c r="BT244" s="104"/>
      <c r="BU244" s="104"/>
      <c r="BV244" s="104"/>
      <c r="BW244" s="122"/>
      <c r="BX244" s="122"/>
      <c r="BY244" s="104"/>
      <c r="BZ244" s="122"/>
      <c r="CA244" s="122"/>
      <c r="CB244" s="104"/>
      <c r="CC244" s="104"/>
      <c r="CD244" s="122"/>
      <c r="CE244" s="104"/>
      <c r="CF244" s="104"/>
      <c r="CG244" s="104"/>
      <c r="CH244" s="104"/>
      <c r="CI244" s="104"/>
      <c r="CJ244" s="104"/>
      <c r="CK244" s="104"/>
      <c r="CL244" s="104"/>
      <c r="CM244" s="104"/>
      <c r="CN244" s="104"/>
      <c r="CO244" s="104"/>
      <c r="CP244" s="104"/>
      <c r="CQ244" s="104"/>
      <c r="CR244" s="104"/>
      <c r="CS244" s="104"/>
      <c r="CT244" s="104"/>
      <c r="CU244" s="104"/>
    </row>
    <row r="245">
      <c r="A245" s="595"/>
      <c r="B245" s="202" t="s">
        <v>271</v>
      </c>
      <c r="C245" s="196" t="s">
        <v>271</v>
      </c>
      <c r="D245" s="197" t="s">
        <v>271</v>
      </c>
      <c r="E245" s="199" t="s">
        <v>271</v>
      </c>
      <c r="F245" s="201" t="s">
        <v>271</v>
      </c>
      <c r="G245" s="202" t="s">
        <v>271</v>
      </c>
      <c r="H245" s="609"/>
      <c r="I245" s="609"/>
      <c r="J245" s="104"/>
      <c r="K245" s="104"/>
      <c r="L245" s="104"/>
      <c r="M245" s="104"/>
      <c r="N245" s="104"/>
      <c r="O245" s="104"/>
      <c r="P245" s="104"/>
      <c r="Q245" s="104"/>
      <c r="R245" s="104"/>
      <c r="S245" s="104"/>
      <c r="T245" s="104"/>
      <c r="U245" s="104"/>
      <c r="V245" s="104"/>
      <c r="W245" s="104"/>
      <c r="X245" s="104"/>
      <c r="Y245" s="104"/>
      <c r="Z245" s="104"/>
      <c r="AA245" s="104"/>
      <c r="AB245" s="104"/>
      <c r="AC245" s="104"/>
      <c r="AD245" s="104"/>
      <c r="AE245" s="104"/>
      <c r="AF245" s="104"/>
      <c r="AG245" s="104"/>
      <c r="AH245" s="104"/>
      <c r="AI245" s="104"/>
      <c r="AJ245" s="104"/>
      <c r="AK245" s="104"/>
      <c r="AL245" s="104"/>
      <c r="AM245" s="104"/>
      <c r="AN245" s="104"/>
      <c r="AO245" s="104"/>
      <c r="AP245" s="104"/>
      <c r="AQ245" s="104"/>
      <c r="AR245" s="104"/>
      <c r="AS245" s="104"/>
      <c r="AT245" s="104"/>
      <c r="AU245" s="104"/>
      <c r="AV245" s="104"/>
      <c r="AW245" s="104"/>
      <c r="AX245" s="104"/>
      <c r="AY245" s="104"/>
      <c r="AZ245" s="104"/>
      <c r="BA245" s="104"/>
      <c r="BB245" s="104"/>
      <c r="BC245" s="104"/>
      <c r="BD245" s="104"/>
      <c r="BE245" s="104"/>
      <c r="BF245" s="104"/>
      <c r="BG245" s="104"/>
      <c r="BH245" s="104"/>
      <c r="BI245" s="104"/>
      <c r="BJ245" s="104"/>
      <c r="BK245" s="104"/>
      <c r="BL245" s="104"/>
      <c r="BM245" s="104"/>
      <c r="BN245" s="104"/>
      <c r="BO245" s="104"/>
      <c r="BP245" s="104"/>
      <c r="BQ245" s="104"/>
      <c r="BR245" s="104"/>
      <c r="BS245" s="104"/>
      <c r="BT245" s="104"/>
      <c r="BU245" s="104"/>
      <c r="BV245" s="104"/>
      <c r="BW245" s="122"/>
      <c r="BX245" s="122"/>
      <c r="BY245" s="104"/>
      <c r="BZ245" s="122"/>
      <c r="CA245" s="122"/>
      <c r="CB245" s="104"/>
      <c r="CC245" s="104"/>
      <c r="CD245" s="122"/>
      <c r="CE245" s="104"/>
      <c r="CF245" s="104"/>
      <c r="CG245" s="104"/>
      <c r="CH245" s="104"/>
      <c r="CI245" s="104"/>
      <c r="CJ245" s="104"/>
      <c r="CK245" s="104"/>
      <c r="CL245" s="104"/>
      <c r="CM245" s="104"/>
      <c r="CN245" s="104"/>
      <c r="CO245" s="104"/>
      <c r="CP245" s="104"/>
      <c r="CQ245" s="104"/>
      <c r="CR245" s="104"/>
      <c r="CS245" s="104"/>
      <c r="CT245" s="104"/>
      <c r="CU245" s="104"/>
    </row>
    <row r="246">
      <c r="A246" s="595"/>
      <c r="B246" s="202" t="s">
        <v>271</v>
      </c>
      <c r="C246" s="196" t="s">
        <v>271</v>
      </c>
      <c r="D246" s="197" t="s">
        <v>271</v>
      </c>
      <c r="E246" s="199" t="s">
        <v>271</v>
      </c>
      <c r="F246" s="201" t="s">
        <v>271</v>
      </c>
      <c r="G246" s="202" t="s">
        <v>271</v>
      </c>
      <c r="H246" s="609"/>
      <c r="I246" s="609"/>
      <c r="J246" s="104"/>
      <c r="K246" s="104"/>
      <c r="L246" s="104"/>
      <c r="M246" s="104"/>
      <c r="N246" s="104"/>
      <c r="O246" s="104"/>
      <c r="P246" s="104"/>
      <c r="Q246" s="104"/>
      <c r="R246" s="104"/>
      <c r="S246" s="104"/>
      <c r="T246" s="104"/>
      <c r="U246" s="104"/>
      <c r="V246" s="104"/>
      <c r="W246" s="104"/>
      <c r="X246" s="104"/>
      <c r="Y246" s="104"/>
      <c r="Z246" s="104"/>
      <c r="AA246" s="104"/>
      <c r="AB246" s="104"/>
      <c r="AC246" s="104"/>
      <c r="AD246" s="104"/>
      <c r="AE246" s="104"/>
      <c r="AF246" s="104"/>
      <c r="AG246" s="104"/>
      <c r="AH246" s="104"/>
      <c r="AI246" s="104"/>
      <c r="AJ246" s="104"/>
      <c r="AK246" s="104"/>
      <c r="AL246" s="104"/>
      <c r="AM246" s="104"/>
      <c r="AN246" s="104"/>
      <c r="AO246" s="104"/>
      <c r="AP246" s="104"/>
      <c r="AQ246" s="104"/>
      <c r="AR246" s="104"/>
      <c r="AS246" s="104"/>
      <c r="AT246" s="104"/>
      <c r="AU246" s="104"/>
      <c r="AV246" s="104"/>
      <c r="AW246" s="104"/>
      <c r="AX246" s="104"/>
      <c r="AY246" s="104"/>
      <c r="AZ246" s="104"/>
      <c r="BA246" s="104"/>
      <c r="BB246" s="104"/>
      <c r="BC246" s="104"/>
      <c r="BD246" s="104"/>
      <c r="BE246" s="104"/>
      <c r="BF246" s="104"/>
      <c r="BG246" s="104"/>
      <c r="BH246" s="104"/>
      <c r="BI246" s="104"/>
      <c r="BJ246" s="104"/>
      <c r="BK246" s="104"/>
      <c r="BL246" s="104"/>
      <c r="BM246" s="104"/>
      <c r="BN246" s="104"/>
      <c r="BO246" s="104"/>
      <c r="BP246" s="104"/>
      <c r="BQ246" s="104"/>
      <c r="BR246" s="104"/>
      <c r="BS246" s="104"/>
      <c r="BT246" s="104"/>
      <c r="BU246" s="104"/>
      <c r="BV246" s="104"/>
      <c r="BW246" s="122"/>
      <c r="BX246" s="122"/>
      <c r="BY246" s="104"/>
      <c r="BZ246" s="122"/>
      <c r="CA246" s="122"/>
      <c r="CB246" s="104"/>
      <c r="CC246" s="104"/>
      <c r="CD246" s="122"/>
      <c r="CE246" s="104"/>
      <c r="CF246" s="104"/>
      <c r="CG246" s="104"/>
      <c r="CH246" s="104"/>
      <c r="CI246" s="104"/>
      <c r="CJ246" s="104"/>
      <c r="CK246" s="104"/>
      <c r="CL246" s="104"/>
      <c r="CM246" s="104"/>
      <c r="CN246" s="104"/>
      <c r="CO246" s="104"/>
      <c r="CP246" s="104"/>
      <c r="CQ246" s="104"/>
      <c r="CR246" s="104"/>
      <c r="CS246" s="104"/>
      <c r="CT246" s="104"/>
      <c r="CU246" s="104"/>
    </row>
    <row r="247">
      <c r="A247" s="595"/>
      <c r="B247" s="202" t="s">
        <v>271</v>
      </c>
      <c r="C247" s="196" t="s">
        <v>271</v>
      </c>
      <c r="D247" s="197" t="s">
        <v>271</v>
      </c>
      <c r="E247" s="199" t="s">
        <v>271</v>
      </c>
      <c r="F247" s="201" t="s">
        <v>271</v>
      </c>
      <c r="G247" s="202" t="s">
        <v>271</v>
      </c>
      <c r="H247" s="609"/>
      <c r="I247" s="609"/>
      <c r="J247" s="104"/>
      <c r="K247" s="104"/>
      <c r="L247" s="104"/>
      <c r="M247" s="104"/>
      <c r="N247" s="104"/>
      <c r="O247" s="104"/>
      <c r="P247" s="104"/>
      <c r="Q247" s="104"/>
      <c r="R247" s="104"/>
      <c r="S247" s="104"/>
      <c r="T247" s="104"/>
      <c r="U247" s="104"/>
      <c r="V247" s="104"/>
      <c r="W247" s="104"/>
      <c r="X247" s="104"/>
      <c r="Y247" s="104"/>
      <c r="Z247" s="104"/>
      <c r="AA247" s="104"/>
      <c r="AB247" s="104"/>
      <c r="AC247" s="104"/>
      <c r="AD247" s="104"/>
      <c r="AE247" s="104"/>
      <c r="AF247" s="104"/>
      <c r="AG247" s="104"/>
      <c r="AH247" s="104"/>
      <c r="AI247" s="104"/>
      <c r="AJ247" s="104"/>
      <c r="AK247" s="104"/>
      <c r="AL247" s="104"/>
      <c r="AM247" s="104"/>
      <c r="AN247" s="104"/>
      <c r="AO247" s="104"/>
      <c r="AP247" s="104"/>
      <c r="AQ247" s="104"/>
      <c r="AR247" s="104"/>
      <c r="AS247" s="104"/>
      <c r="AT247" s="104"/>
      <c r="AU247" s="104"/>
      <c r="AV247" s="104"/>
      <c r="AW247" s="104"/>
      <c r="AX247" s="104"/>
      <c r="AY247" s="104"/>
      <c r="AZ247" s="104"/>
      <c r="BA247" s="104"/>
      <c r="BB247" s="104"/>
      <c r="BC247" s="104"/>
      <c r="BD247" s="104"/>
      <c r="BE247" s="104"/>
      <c r="BF247" s="104"/>
      <c r="BG247" s="104"/>
      <c r="BH247" s="104"/>
      <c r="BI247" s="104"/>
      <c r="BJ247" s="104"/>
      <c r="BK247" s="104"/>
      <c r="BL247" s="104"/>
      <c r="BM247" s="104"/>
      <c r="BN247" s="104"/>
      <c r="BO247" s="104"/>
      <c r="BP247" s="104"/>
      <c r="BQ247" s="104"/>
      <c r="BR247" s="104"/>
      <c r="BS247" s="104"/>
      <c r="BT247" s="104"/>
      <c r="BU247" s="104"/>
      <c r="BV247" s="104"/>
      <c r="BW247" s="122"/>
      <c r="BX247" s="122"/>
      <c r="BY247" s="104"/>
      <c r="BZ247" s="122"/>
      <c r="CA247" s="122"/>
      <c r="CB247" s="104"/>
      <c r="CC247" s="104"/>
      <c r="CD247" s="122"/>
      <c r="CE247" s="104"/>
      <c r="CF247" s="104"/>
      <c r="CG247" s="104"/>
      <c r="CH247" s="104"/>
      <c r="CI247" s="104"/>
      <c r="CJ247" s="104"/>
      <c r="CK247" s="104"/>
      <c r="CL247" s="104"/>
      <c r="CM247" s="104"/>
      <c r="CN247" s="104"/>
      <c r="CO247" s="104"/>
      <c r="CP247" s="104"/>
      <c r="CQ247" s="104"/>
      <c r="CR247" s="104"/>
      <c r="CS247" s="104"/>
      <c r="CT247" s="104"/>
      <c r="CU247" s="104"/>
    </row>
    <row r="248">
      <c r="A248" s="595"/>
      <c r="B248" s="202" t="s">
        <v>271</v>
      </c>
      <c r="C248" s="196" t="s">
        <v>271</v>
      </c>
      <c r="D248" s="197" t="s">
        <v>271</v>
      </c>
      <c r="E248" s="199" t="s">
        <v>271</v>
      </c>
      <c r="F248" s="201" t="s">
        <v>271</v>
      </c>
      <c r="G248" s="202" t="s">
        <v>271</v>
      </c>
      <c r="H248" s="609"/>
      <c r="I248" s="609"/>
      <c r="J248" s="104"/>
      <c r="K248" s="104"/>
      <c r="L248" s="104"/>
      <c r="M248" s="104"/>
      <c r="N248" s="104"/>
      <c r="O248" s="104"/>
      <c r="P248" s="104"/>
      <c r="Q248" s="104"/>
      <c r="R248" s="104"/>
      <c r="S248" s="104"/>
      <c r="T248" s="104"/>
      <c r="U248" s="104"/>
      <c r="V248" s="104"/>
      <c r="W248" s="104"/>
      <c r="X248" s="104"/>
      <c r="Y248" s="104"/>
      <c r="Z248" s="104"/>
      <c r="AA248" s="104"/>
      <c r="AB248" s="104"/>
      <c r="AC248" s="104"/>
      <c r="AD248" s="104"/>
      <c r="AE248" s="104"/>
      <c r="AF248" s="104"/>
      <c r="AG248" s="104"/>
      <c r="AH248" s="104"/>
      <c r="AI248" s="104"/>
      <c r="AJ248" s="104"/>
      <c r="AK248" s="104"/>
      <c r="AL248" s="104"/>
      <c r="AM248" s="104"/>
      <c r="AN248" s="104"/>
      <c r="AO248" s="104"/>
      <c r="AP248" s="104"/>
      <c r="AQ248" s="104"/>
      <c r="AR248" s="104"/>
      <c r="AS248" s="104"/>
      <c r="AT248" s="104"/>
      <c r="AU248" s="104"/>
      <c r="AV248" s="104"/>
      <c r="AW248" s="104"/>
      <c r="AX248" s="104"/>
      <c r="AY248" s="104"/>
      <c r="AZ248" s="104"/>
      <c r="BA248" s="104"/>
      <c r="BB248" s="104"/>
      <c r="BC248" s="104"/>
      <c r="BD248" s="104"/>
      <c r="BE248" s="104"/>
      <c r="BF248" s="104"/>
      <c r="BG248" s="104"/>
      <c r="BH248" s="104"/>
      <c r="BI248" s="104"/>
      <c r="BJ248" s="104"/>
      <c r="BK248" s="104"/>
      <c r="BL248" s="104"/>
      <c r="BM248" s="104"/>
      <c r="BN248" s="104"/>
      <c r="BO248" s="104"/>
      <c r="BP248" s="104"/>
      <c r="BQ248" s="104"/>
      <c r="BR248" s="104"/>
      <c r="BS248" s="104"/>
      <c r="BT248" s="104"/>
      <c r="BU248" s="104"/>
      <c r="BV248" s="104"/>
      <c r="BW248" s="122"/>
      <c r="BX248" s="122"/>
      <c r="BY248" s="104"/>
      <c r="BZ248" s="122"/>
      <c r="CA248" s="122"/>
      <c r="CB248" s="104"/>
      <c r="CC248" s="104"/>
      <c r="CD248" s="122"/>
      <c r="CE248" s="104"/>
      <c r="CF248" s="104"/>
      <c r="CG248" s="104"/>
      <c r="CH248" s="104"/>
      <c r="CI248" s="104"/>
      <c r="CJ248" s="104"/>
      <c r="CK248" s="104"/>
      <c r="CL248" s="104"/>
      <c r="CM248" s="104"/>
      <c r="CN248" s="104"/>
      <c r="CO248" s="104"/>
      <c r="CP248" s="104"/>
      <c r="CQ248" s="104"/>
      <c r="CR248" s="104"/>
      <c r="CS248" s="104"/>
      <c r="CT248" s="104"/>
      <c r="CU248" s="104"/>
    </row>
    <row r="249">
      <c r="A249" s="595"/>
      <c r="B249" s="202" t="s">
        <v>271</v>
      </c>
      <c r="C249" s="196" t="s">
        <v>271</v>
      </c>
      <c r="D249" s="197" t="s">
        <v>271</v>
      </c>
      <c r="E249" s="199" t="s">
        <v>271</v>
      </c>
      <c r="F249" s="201" t="s">
        <v>271</v>
      </c>
      <c r="G249" s="202" t="s">
        <v>271</v>
      </c>
      <c r="H249" s="609"/>
      <c r="I249" s="609"/>
      <c r="J249" s="104"/>
      <c r="K249" s="104"/>
      <c r="L249" s="104"/>
      <c r="M249" s="104"/>
      <c r="N249" s="104"/>
      <c r="O249" s="104"/>
      <c r="P249" s="104"/>
      <c r="Q249" s="104"/>
      <c r="R249" s="104"/>
      <c r="S249" s="104"/>
      <c r="T249" s="104"/>
      <c r="U249" s="104"/>
      <c r="V249" s="104"/>
      <c r="W249" s="104"/>
      <c r="X249" s="104"/>
      <c r="Y249" s="104"/>
      <c r="Z249" s="104"/>
      <c r="AA249" s="104"/>
      <c r="AB249" s="104"/>
      <c r="AC249" s="104"/>
      <c r="AD249" s="104"/>
      <c r="AE249" s="104"/>
      <c r="AF249" s="104"/>
      <c r="AG249" s="104"/>
      <c r="AH249" s="104"/>
      <c r="AI249" s="104"/>
      <c r="AJ249" s="104"/>
      <c r="AK249" s="104"/>
      <c r="AL249" s="104"/>
      <c r="AM249" s="104"/>
      <c r="AN249" s="104"/>
      <c r="AO249" s="104"/>
      <c r="AP249" s="104"/>
      <c r="AQ249" s="104"/>
      <c r="AR249" s="104"/>
      <c r="AS249" s="104"/>
      <c r="AT249" s="104"/>
      <c r="AU249" s="104"/>
      <c r="AV249" s="104"/>
      <c r="AW249" s="104"/>
      <c r="AX249" s="104"/>
      <c r="AY249" s="104"/>
      <c r="AZ249" s="104"/>
      <c r="BA249" s="104"/>
      <c r="BB249" s="104"/>
      <c r="BC249" s="104"/>
      <c r="BD249" s="104"/>
      <c r="BE249" s="104"/>
      <c r="BF249" s="104"/>
      <c r="BG249" s="104"/>
      <c r="BH249" s="104"/>
      <c r="BI249" s="104"/>
      <c r="BJ249" s="104"/>
      <c r="BK249" s="104"/>
      <c r="BL249" s="104"/>
      <c r="BM249" s="104"/>
      <c r="BN249" s="104"/>
      <c r="BO249" s="104"/>
      <c r="BP249" s="104"/>
      <c r="BQ249" s="104"/>
      <c r="BR249" s="104"/>
      <c r="BS249" s="104"/>
      <c r="BT249" s="104"/>
      <c r="BU249" s="104"/>
      <c r="BV249" s="104"/>
      <c r="BW249" s="122"/>
      <c r="BX249" s="122"/>
      <c r="BY249" s="104"/>
      <c r="BZ249" s="122"/>
      <c r="CA249" s="122"/>
      <c r="CB249" s="104"/>
      <c r="CC249" s="104"/>
      <c r="CD249" s="122"/>
      <c r="CE249" s="104"/>
      <c r="CF249" s="104"/>
      <c r="CG249" s="104"/>
      <c r="CH249" s="104"/>
      <c r="CI249" s="104"/>
      <c r="CJ249" s="104"/>
      <c r="CK249" s="104"/>
      <c r="CL249" s="104"/>
      <c r="CM249" s="104"/>
      <c r="CN249" s="104"/>
      <c r="CO249" s="104"/>
      <c r="CP249" s="104"/>
      <c r="CQ249" s="104"/>
      <c r="CR249" s="104"/>
      <c r="CS249" s="104"/>
      <c r="CT249" s="104"/>
      <c r="CU249" s="104"/>
    </row>
    <row r="250">
      <c r="A250" s="595"/>
      <c r="B250" s="202" t="s">
        <v>271</v>
      </c>
      <c r="C250" s="196" t="s">
        <v>271</v>
      </c>
      <c r="D250" s="197" t="s">
        <v>271</v>
      </c>
      <c r="E250" s="199" t="s">
        <v>271</v>
      </c>
      <c r="F250" s="201" t="s">
        <v>271</v>
      </c>
      <c r="G250" s="202" t="s">
        <v>271</v>
      </c>
      <c r="H250" s="609"/>
      <c r="I250" s="609"/>
      <c r="J250" s="104"/>
      <c r="K250" s="104"/>
      <c r="L250" s="104"/>
      <c r="M250" s="104"/>
      <c r="N250" s="104"/>
      <c r="O250" s="104"/>
      <c r="P250" s="104"/>
      <c r="Q250" s="104"/>
      <c r="R250" s="104"/>
      <c r="S250" s="104"/>
      <c r="T250" s="104"/>
      <c r="U250" s="104"/>
      <c r="V250" s="104"/>
      <c r="W250" s="104"/>
      <c r="X250" s="104"/>
      <c r="Y250" s="104"/>
      <c r="Z250" s="104"/>
      <c r="AA250" s="104"/>
      <c r="AB250" s="104"/>
      <c r="AC250" s="104"/>
      <c r="AD250" s="104"/>
      <c r="AE250" s="104"/>
      <c r="AF250" s="104"/>
      <c r="AG250" s="104"/>
      <c r="AH250" s="104"/>
      <c r="AI250" s="104"/>
      <c r="AJ250" s="104"/>
      <c r="AK250" s="104"/>
      <c r="AL250" s="104"/>
      <c r="AM250" s="104"/>
      <c r="AN250" s="104"/>
      <c r="AO250" s="104"/>
      <c r="AP250" s="104"/>
      <c r="AQ250" s="104"/>
      <c r="AR250" s="104"/>
      <c r="AS250" s="104"/>
      <c r="AT250" s="104"/>
      <c r="AU250" s="104"/>
      <c r="AV250" s="104"/>
      <c r="AW250" s="104"/>
      <c r="AX250" s="104"/>
      <c r="AY250" s="104"/>
      <c r="AZ250" s="104"/>
      <c r="BA250" s="104"/>
      <c r="BB250" s="104"/>
      <c r="BC250" s="104"/>
      <c r="BD250" s="104"/>
      <c r="BE250" s="104"/>
      <c r="BF250" s="104"/>
      <c r="BG250" s="104"/>
      <c r="BH250" s="104"/>
      <c r="BI250" s="104"/>
      <c r="BJ250" s="104"/>
      <c r="BK250" s="104"/>
      <c r="BL250" s="104"/>
      <c r="BM250" s="104"/>
      <c r="BN250" s="104"/>
      <c r="BO250" s="104"/>
      <c r="BP250" s="104"/>
      <c r="BQ250" s="104"/>
      <c r="BR250" s="104"/>
      <c r="BS250" s="104"/>
      <c r="BT250" s="104"/>
      <c r="BU250" s="104"/>
      <c r="BV250" s="104"/>
      <c r="BW250" s="122"/>
      <c r="BX250" s="122"/>
      <c r="BY250" s="104"/>
      <c r="BZ250" s="122"/>
      <c r="CA250" s="122"/>
      <c r="CB250" s="104"/>
      <c r="CC250" s="104"/>
      <c r="CD250" s="122"/>
      <c r="CE250" s="104"/>
      <c r="CF250" s="104"/>
      <c r="CG250" s="104"/>
      <c r="CH250" s="104"/>
      <c r="CI250" s="104"/>
      <c r="CJ250" s="104"/>
      <c r="CK250" s="104"/>
      <c r="CL250" s="104"/>
      <c r="CM250" s="104"/>
      <c r="CN250" s="104"/>
      <c r="CO250" s="104"/>
      <c r="CP250" s="104"/>
      <c r="CQ250" s="104"/>
      <c r="CR250" s="104"/>
      <c r="CS250" s="104"/>
      <c r="CT250" s="104"/>
      <c r="CU250" s="104"/>
    </row>
    <row r="251">
      <c r="A251" s="595"/>
      <c r="B251" s="202" t="s">
        <v>271</v>
      </c>
      <c r="C251" s="196" t="s">
        <v>271</v>
      </c>
      <c r="D251" s="197" t="s">
        <v>271</v>
      </c>
      <c r="E251" s="199" t="s">
        <v>271</v>
      </c>
      <c r="F251" s="201" t="s">
        <v>271</v>
      </c>
      <c r="G251" s="202" t="s">
        <v>271</v>
      </c>
      <c r="H251" s="609"/>
      <c r="I251" s="609"/>
      <c r="J251" s="104"/>
      <c r="K251" s="104"/>
      <c r="L251" s="104"/>
      <c r="M251" s="104"/>
      <c r="N251" s="104"/>
      <c r="O251" s="104"/>
      <c r="P251" s="104"/>
      <c r="Q251" s="104"/>
      <c r="R251" s="104"/>
      <c r="S251" s="104"/>
      <c r="T251" s="104"/>
      <c r="U251" s="104"/>
      <c r="V251" s="104"/>
      <c r="W251" s="104"/>
      <c r="X251" s="104"/>
      <c r="Y251" s="104"/>
      <c r="Z251" s="104"/>
      <c r="AA251" s="104"/>
      <c r="AB251" s="104"/>
      <c r="AC251" s="104"/>
      <c r="AD251" s="104"/>
      <c r="AE251" s="104"/>
      <c r="AF251" s="104"/>
      <c r="AG251" s="104"/>
      <c r="AH251" s="104"/>
      <c r="AI251" s="104"/>
      <c r="AJ251" s="104"/>
      <c r="AK251" s="104"/>
      <c r="AL251" s="104"/>
      <c r="AM251" s="104"/>
      <c r="AN251" s="104"/>
      <c r="AO251" s="104"/>
      <c r="AP251" s="104"/>
      <c r="AQ251" s="104"/>
      <c r="AR251" s="104"/>
      <c r="AS251" s="104"/>
      <c r="AT251" s="104"/>
      <c r="AU251" s="104"/>
      <c r="AV251" s="104"/>
      <c r="AW251" s="104"/>
      <c r="AX251" s="104"/>
      <c r="AY251" s="104"/>
      <c r="AZ251" s="104"/>
      <c r="BA251" s="104"/>
      <c r="BB251" s="104"/>
      <c r="BC251" s="104"/>
      <c r="BD251" s="104"/>
      <c r="BE251" s="104"/>
      <c r="BF251" s="104"/>
      <c r="BG251" s="104"/>
      <c r="BH251" s="104"/>
      <c r="BI251" s="104"/>
      <c r="BJ251" s="104"/>
      <c r="BK251" s="104"/>
      <c r="BL251" s="104"/>
      <c r="BM251" s="104"/>
      <c r="BN251" s="104"/>
      <c r="BO251" s="104"/>
      <c r="BP251" s="104"/>
      <c r="BQ251" s="104"/>
      <c r="BR251" s="104"/>
      <c r="BS251" s="104"/>
      <c r="BT251" s="104"/>
      <c r="BU251" s="104"/>
      <c r="BV251" s="104"/>
      <c r="BW251" s="122"/>
      <c r="BX251" s="122"/>
      <c r="BY251" s="104"/>
      <c r="BZ251" s="122"/>
      <c r="CA251" s="122"/>
      <c r="CB251" s="104"/>
      <c r="CC251" s="104"/>
      <c r="CD251" s="122"/>
      <c r="CE251" s="104"/>
      <c r="CF251" s="104"/>
      <c r="CG251" s="104"/>
      <c r="CH251" s="104"/>
      <c r="CI251" s="104"/>
      <c r="CJ251" s="104"/>
      <c r="CK251" s="104"/>
      <c r="CL251" s="104"/>
      <c r="CM251" s="104"/>
      <c r="CN251" s="104"/>
      <c r="CO251" s="104"/>
      <c r="CP251" s="104"/>
      <c r="CQ251" s="104"/>
      <c r="CR251" s="104"/>
      <c r="CS251" s="104"/>
      <c r="CT251" s="104"/>
      <c r="CU251" s="104"/>
    </row>
    <row r="252">
      <c r="A252" s="595"/>
      <c r="B252" s="202" t="s">
        <v>271</v>
      </c>
      <c r="C252" s="196" t="s">
        <v>271</v>
      </c>
      <c r="D252" s="197" t="s">
        <v>271</v>
      </c>
      <c r="E252" s="199" t="s">
        <v>271</v>
      </c>
      <c r="F252" s="201" t="s">
        <v>271</v>
      </c>
      <c r="G252" s="202" t="s">
        <v>271</v>
      </c>
      <c r="H252" s="609"/>
      <c r="I252" s="609"/>
      <c r="J252" s="104"/>
      <c r="K252" s="104"/>
      <c r="L252" s="104"/>
      <c r="M252" s="104"/>
      <c r="N252" s="104"/>
      <c r="O252" s="104"/>
      <c r="P252" s="104"/>
      <c r="Q252" s="104"/>
      <c r="R252" s="104"/>
      <c r="S252" s="104"/>
      <c r="T252" s="104"/>
      <c r="U252" s="104"/>
      <c r="V252" s="104"/>
      <c r="W252" s="104"/>
      <c r="X252" s="104"/>
      <c r="Y252" s="104"/>
      <c r="Z252" s="104"/>
      <c r="AA252" s="104"/>
      <c r="AB252" s="104"/>
      <c r="AC252" s="104"/>
      <c r="AD252" s="104"/>
      <c r="AE252" s="104"/>
      <c r="AF252" s="104"/>
      <c r="AG252" s="104"/>
      <c r="AH252" s="104"/>
      <c r="AI252" s="104"/>
      <c r="AJ252" s="104"/>
      <c r="AK252" s="104"/>
      <c r="AL252" s="104"/>
      <c r="AM252" s="104"/>
      <c r="AN252" s="104"/>
      <c r="AO252" s="104"/>
      <c r="AP252" s="104"/>
      <c r="AQ252" s="104"/>
      <c r="AR252" s="104"/>
      <c r="AS252" s="104"/>
      <c r="AT252" s="104"/>
      <c r="AU252" s="104"/>
      <c r="AV252" s="104"/>
      <c r="AW252" s="104"/>
      <c r="AX252" s="104"/>
      <c r="AY252" s="104"/>
      <c r="AZ252" s="104"/>
      <c r="BA252" s="104"/>
      <c r="BB252" s="104"/>
      <c r="BC252" s="104"/>
      <c r="BD252" s="104"/>
      <c r="BE252" s="104"/>
      <c r="BF252" s="104"/>
      <c r="BG252" s="104"/>
      <c r="BH252" s="104"/>
      <c r="BI252" s="104"/>
      <c r="BJ252" s="104"/>
      <c r="BK252" s="104"/>
      <c r="BL252" s="104"/>
      <c r="BM252" s="104"/>
      <c r="BN252" s="104"/>
      <c r="BO252" s="104"/>
      <c r="BP252" s="104"/>
      <c r="BQ252" s="104"/>
      <c r="BR252" s="104"/>
      <c r="BS252" s="104"/>
      <c r="BT252" s="104"/>
      <c r="BU252" s="104"/>
      <c r="BV252" s="104"/>
      <c r="BW252" s="122"/>
      <c r="BX252" s="122"/>
      <c r="BY252" s="104"/>
      <c r="BZ252" s="122"/>
      <c r="CA252" s="122"/>
      <c r="CB252" s="104"/>
      <c r="CC252" s="104"/>
      <c r="CD252" s="122"/>
      <c r="CE252" s="104"/>
      <c r="CF252" s="104"/>
      <c r="CG252" s="104"/>
      <c r="CH252" s="104"/>
      <c r="CI252" s="104"/>
      <c r="CJ252" s="104"/>
      <c r="CK252" s="104"/>
      <c r="CL252" s="104"/>
      <c r="CM252" s="104"/>
      <c r="CN252" s="104"/>
      <c r="CO252" s="104"/>
      <c r="CP252" s="104"/>
      <c r="CQ252" s="104"/>
      <c r="CR252" s="104"/>
      <c r="CS252" s="104"/>
      <c r="CT252" s="104"/>
      <c r="CU252" s="104"/>
    </row>
    <row r="253">
      <c r="A253" s="595"/>
      <c r="B253" s="202" t="s">
        <v>271</v>
      </c>
      <c r="C253" s="196" t="s">
        <v>271</v>
      </c>
      <c r="D253" s="197" t="s">
        <v>271</v>
      </c>
      <c r="E253" s="199" t="s">
        <v>271</v>
      </c>
      <c r="F253" s="201" t="s">
        <v>271</v>
      </c>
      <c r="G253" s="202" t="s">
        <v>271</v>
      </c>
      <c r="H253" s="609"/>
      <c r="I253" s="609"/>
      <c r="J253" s="104"/>
      <c r="K253" s="104"/>
      <c r="L253" s="104"/>
      <c r="M253" s="104"/>
      <c r="N253" s="104"/>
      <c r="O253" s="104"/>
      <c r="P253" s="104"/>
      <c r="Q253" s="104"/>
      <c r="R253" s="104"/>
      <c r="S253" s="104"/>
      <c r="T253" s="104"/>
      <c r="U253" s="104"/>
      <c r="V253" s="104"/>
      <c r="W253" s="104"/>
      <c r="X253" s="104"/>
      <c r="Y253" s="104"/>
      <c r="Z253" s="104"/>
      <c r="AA253" s="104"/>
      <c r="AB253" s="104"/>
      <c r="AC253" s="104"/>
      <c r="AD253" s="104"/>
      <c r="AE253" s="104"/>
      <c r="AF253" s="104"/>
      <c r="AG253" s="104"/>
      <c r="AH253" s="104"/>
      <c r="AI253" s="104"/>
      <c r="AJ253" s="104"/>
      <c r="AK253" s="104"/>
      <c r="AL253" s="104"/>
      <c r="AM253" s="104"/>
      <c r="AN253" s="104"/>
      <c r="AO253" s="104"/>
      <c r="AP253" s="104"/>
      <c r="AQ253" s="104"/>
      <c r="AR253" s="104"/>
      <c r="AS253" s="104"/>
      <c r="AT253" s="104"/>
      <c r="AU253" s="104"/>
      <c r="AV253" s="104"/>
      <c r="AW253" s="104"/>
      <c r="AX253" s="104"/>
      <c r="AY253" s="104"/>
      <c r="AZ253" s="104"/>
      <c r="BA253" s="104"/>
      <c r="BB253" s="104"/>
      <c r="BC253" s="104"/>
      <c r="BD253" s="104"/>
      <c r="BE253" s="104"/>
      <c r="BF253" s="104"/>
      <c r="BG253" s="104"/>
      <c r="BH253" s="104"/>
      <c r="BI253" s="104"/>
      <c r="BJ253" s="104"/>
      <c r="BK253" s="104"/>
      <c r="BL253" s="104"/>
      <c r="BM253" s="104"/>
      <c r="BN253" s="104"/>
      <c r="BO253" s="104"/>
      <c r="BP253" s="104"/>
      <c r="BQ253" s="104"/>
      <c r="BR253" s="104"/>
      <c r="BS253" s="104"/>
      <c r="BT253" s="104"/>
      <c r="BU253" s="104"/>
      <c r="BV253" s="104"/>
      <c r="BW253" s="122"/>
      <c r="BX253" s="122"/>
      <c r="BY253" s="104"/>
      <c r="BZ253" s="122"/>
      <c r="CA253" s="122"/>
      <c r="CB253" s="104"/>
      <c r="CC253" s="104"/>
      <c r="CD253" s="122"/>
      <c r="CE253" s="104"/>
      <c r="CF253" s="104"/>
      <c r="CG253" s="104"/>
      <c r="CH253" s="104"/>
      <c r="CI253" s="104"/>
      <c r="CJ253" s="104"/>
      <c r="CK253" s="104"/>
      <c r="CL253" s="104"/>
      <c r="CM253" s="104"/>
      <c r="CN253" s="104"/>
      <c r="CO253" s="104"/>
      <c r="CP253" s="104"/>
      <c r="CQ253" s="104"/>
      <c r="CR253" s="104"/>
      <c r="CS253" s="104"/>
      <c r="CT253" s="104"/>
      <c r="CU253" s="104"/>
    </row>
    <row r="254">
      <c r="A254" s="595"/>
      <c r="B254" s="202" t="s">
        <v>271</v>
      </c>
      <c r="C254" s="196" t="s">
        <v>271</v>
      </c>
      <c r="D254" s="197" t="s">
        <v>271</v>
      </c>
      <c r="E254" s="199" t="s">
        <v>271</v>
      </c>
      <c r="F254" s="201" t="s">
        <v>271</v>
      </c>
      <c r="G254" s="202" t="s">
        <v>271</v>
      </c>
      <c r="H254" s="609"/>
      <c r="I254" s="609"/>
      <c r="J254" s="104"/>
      <c r="K254" s="104"/>
      <c r="L254" s="104"/>
      <c r="M254" s="104"/>
      <c r="N254" s="104"/>
      <c r="O254" s="104"/>
      <c r="P254" s="104"/>
      <c r="Q254" s="104"/>
      <c r="R254" s="104"/>
      <c r="S254" s="104"/>
      <c r="T254" s="104"/>
      <c r="U254" s="104"/>
      <c r="V254" s="104"/>
      <c r="W254" s="104"/>
      <c r="X254" s="104"/>
      <c r="Y254" s="104"/>
      <c r="Z254" s="104"/>
      <c r="AA254" s="104"/>
      <c r="AB254" s="104"/>
      <c r="AC254" s="104"/>
      <c r="AD254" s="104"/>
      <c r="AE254" s="104"/>
      <c r="AF254" s="104"/>
      <c r="AG254" s="104"/>
      <c r="AH254" s="104"/>
      <c r="AI254" s="104"/>
      <c r="AJ254" s="104"/>
      <c r="AK254" s="104"/>
      <c r="AL254" s="104"/>
      <c r="AM254" s="104"/>
      <c r="AN254" s="104"/>
      <c r="AO254" s="104"/>
      <c r="AP254" s="104"/>
      <c r="AQ254" s="104"/>
      <c r="AR254" s="104"/>
      <c r="AS254" s="104"/>
      <c r="AT254" s="104"/>
      <c r="AU254" s="104"/>
      <c r="AV254" s="104"/>
      <c r="AW254" s="104"/>
      <c r="AX254" s="104"/>
      <c r="AY254" s="104"/>
      <c r="AZ254" s="104"/>
      <c r="BA254" s="104"/>
      <c r="BB254" s="104"/>
      <c r="BC254" s="104"/>
      <c r="BD254" s="104"/>
      <c r="BE254" s="104"/>
      <c r="BF254" s="104"/>
      <c r="BG254" s="104"/>
      <c r="BH254" s="104"/>
      <c r="BI254" s="104"/>
      <c r="BJ254" s="104"/>
      <c r="BK254" s="104"/>
      <c r="BL254" s="104"/>
      <c r="BM254" s="104"/>
      <c r="BN254" s="104"/>
      <c r="BO254" s="104"/>
      <c r="BP254" s="104"/>
      <c r="BQ254" s="104"/>
      <c r="BR254" s="104"/>
      <c r="BS254" s="104"/>
      <c r="BT254" s="104"/>
      <c r="BU254" s="104"/>
      <c r="BV254" s="104"/>
      <c r="BW254" s="122"/>
      <c r="BX254" s="122"/>
      <c r="BY254" s="104"/>
      <c r="BZ254" s="122"/>
      <c r="CA254" s="122"/>
      <c r="CB254" s="104"/>
      <c r="CC254" s="104"/>
      <c r="CD254" s="122"/>
      <c r="CE254" s="104"/>
      <c r="CF254" s="104"/>
      <c r="CG254" s="104"/>
      <c r="CH254" s="104"/>
      <c r="CI254" s="104"/>
      <c r="CJ254" s="104"/>
      <c r="CK254" s="104"/>
      <c r="CL254" s="104"/>
      <c r="CM254" s="104"/>
      <c r="CN254" s="104"/>
      <c r="CO254" s="104"/>
      <c r="CP254" s="104"/>
      <c r="CQ254" s="104"/>
      <c r="CR254" s="104"/>
      <c r="CS254" s="104"/>
      <c r="CT254" s="104"/>
      <c r="CU254" s="104"/>
    </row>
    <row r="255">
      <c r="A255" s="595"/>
      <c r="B255" s="202" t="s">
        <v>271</v>
      </c>
      <c r="C255" s="196" t="s">
        <v>271</v>
      </c>
      <c r="D255" s="197" t="s">
        <v>271</v>
      </c>
      <c r="E255" s="199" t="s">
        <v>271</v>
      </c>
      <c r="F255" s="201" t="s">
        <v>271</v>
      </c>
      <c r="G255" s="202" t="s">
        <v>271</v>
      </c>
      <c r="H255" s="609"/>
      <c r="I255" s="609"/>
      <c r="J255" s="104"/>
      <c r="K255" s="104"/>
      <c r="L255" s="104"/>
      <c r="M255" s="104"/>
      <c r="N255" s="104"/>
      <c r="O255" s="104"/>
      <c r="P255" s="104"/>
      <c r="Q255" s="104"/>
      <c r="R255" s="104"/>
      <c r="S255" s="104"/>
      <c r="T255" s="104"/>
      <c r="U255" s="104"/>
      <c r="V255" s="104"/>
      <c r="W255" s="104"/>
      <c r="X255" s="104"/>
      <c r="Y255" s="104"/>
      <c r="Z255" s="104"/>
      <c r="AA255" s="104"/>
      <c r="AB255" s="104"/>
      <c r="AC255" s="104"/>
      <c r="AD255" s="104"/>
      <c r="AE255" s="104"/>
      <c r="AF255" s="104"/>
      <c r="AG255" s="104"/>
      <c r="AH255" s="104"/>
      <c r="AI255" s="104"/>
      <c r="AJ255" s="104"/>
      <c r="AK255" s="104"/>
      <c r="AL255" s="104"/>
      <c r="AM255" s="104"/>
      <c r="AN255" s="104"/>
      <c r="AO255" s="104"/>
      <c r="AP255" s="104"/>
      <c r="AQ255" s="104"/>
      <c r="AR255" s="104"/>
      <c r="AS255" s="104"/>
      <c r="AT255" s="104"/>
      <c r="AU255" s="104"/>
      <c r="AV255" s="104"/>
      <c r="AW255" s="104"/>
      <c r="AX255" s="104"/>
      <c r="AY255" s="104"/>
      <c r="AZ255" s="104"/>
      <c r="BA255" s="104"/>
      <c r="BB255" s="104"/>
      <c r="BC255" s="104"/>
      <c r="BD255" s="104"/>
      <c r="BE255" s="104"/>
      <c r="BF255" s="104"/>
      <c r="BG255" s="104"/>
      <c r="BH255" s="104"/>
      <c r="BI255" s="104"/>
      <c r="BJ255" s="104"/>
      <c r="BK255" s="104"/>
      <c r="BL255" s="104"/>
      <c r="BM255" s="104"/>
      <c r="BN255" s="104"/>
      <c r="BO255" s="104"/>
      <c r="BP255" s="104"/>
      <c r="BQ255" s="104"/>
      <c r="BR255" s="104"/>
      <c r="BS255" s="104"/>
      <c r="BT255" s="104"/>
      <c r="BU255" s="104"/>
      <c r="BV255" s="104"/>
      <c r="BW255" s="122"/>
      <c r="BX255" s="122"/>
      <c r="BY255" s="104"/>
      <c r="BZ255" s="122"/>
      <c r="CA255" s="122"/>
      <c r="CB255" s="104"/>
      <c r="CC255" s="104"/>
      <c r="CD255" s="122"/>
      <c r="CE255" s="104"/>
      <c r="CF255" s="104"/>
      <c r="CG255" s="104"/>
      <c r="CH255" s="104"/>
      <c r="CI255" s="104"/>
      <c r="CJ255" s="104"/>
      <c r="CK255" s="104"/>
      <c r="CL255" s="104"/>
      <c r="CM255" s="104"/>
      <c r="CN255" s="104"/>
      <c r="CO255" s="104"/>
      <c r="CP255" s="104"/>
      <c r="CQ255" s="104"/>
      <c r="CR255" s="104"/>
      <c r="CS255" s="104"/>
      <c r="CT255" s="104"/>
      <c r="CU255" s="104"/>
    </row>
    <row r="256">
      <c r="A256" s="595"/>
      <c r="B256" s="202" t="s">
        <v>271</v>
      </c>
      <c r="C256" s="196" t="s">
        <v>271</v>
      </c>
      <c r="D256" s="197" t="s">
        <v>271</v>
      </c>
      <c r="E256" s="199" t="s">
        <v>271</v>
      </c>
      <c r="F256" s="201" t="s">
        <v>271</v>
      </c>
      <c r="G256" s="202" t="s">
        <v>271</v>
      </c>
      <c r="H256" s="609"/>
      <c r="I256" s="609"/>
      <c r="J256" s="104"/>
      <c r="K256" s="104"/>
      <c r="L256" s="104"/>
      <c r="M256" s="104"/>
      <c r="N256" s="104"/>
      <c r="O256" s="104"/>
      <c r="P256" s="104"/>
      <c r="Q256" s="104"/>
      <c r="R256" s="104"/>
      <c r="S256" s="104"/>
      <c r="T256" s="104"/>
      <c r="U256" s="104"/>
      <c r="V256" s="104"/>
      <c r="W256" s="104"/>
      <c r="X256" s="104"/>
      <c r="Y256" s="104"/>
      <c r="Z256" s="104"/>
      <c r="AA256" s="104"/>
      <c r="AB256" s="104"/>
      <c r="AC256" s="104"/>
      <c r="AD256" s="104"/>
      <c r="AE256" s="104"/>
      <c r="AF256" s="104"/>
      <c r="AG256" s="104"/>
      <c r="AH256" s="104"/>
      <c r="AI256" s="104"/>
      <c r="AJ256" s="104"/>
      <c r="AK256" s="104"/>
      <c r="AL256" s="104"/>
      <c r="AM256" s="104"/>
      <c r="AN256" s="104"/>
      <c r="AO256" s="104"/>
      <c r="AP256" s="104"/>
      <c r="AQ256" s="104"/>
      <c r="AR256" s="104"/>
      <c r="AS256" s="104"/>
      <c r="AT256" s="104"/>
      <c r="AU256" s="104"/>
      <c r="AV256" s="104"/>
      <c r="AW256" s="104"/>
      <c r="AX256" s="104"/>
      <c r="AY256" s="104"/>
      <c r="AZ256" s="104"/>
      <c r="BA256" s="104"/>
      <c r="BB256" s="104"/>
      <c r="BC256" s="104"/>
      <c r="BD256" s="104"/>
      <c r="BE256" s="104"/>
      <c r="BF256" s="104"/>
      <c r="BG256" s="104"/>
      <c r="BH256" s="104"/>
      <c r="BI256" s="104"/>
      <c r="BJ256" s="104"/>
      <c r="BK256" s="104"/>
      <c r="BL256" s="104"/>
      <c r="BM256" s="104"/>
      <c r="BN256" s="104"/>
      <c r="BO256" s="104"/>
      <c r="BP256" s="104"/>
      <c r="BQ256" s="104"/>
      <c r="BR256" s="104"/>
      <c r="BS256" s="104"/>
      <c r="BT256" s="104"/>
      <c r="BU256" s="104"/>
      <c r="BV256" s="104"/>
      <c r="BW256" s="122"/>
      <c r="BX256" s="122"/>
      <c r="BY256" s="104"/>
      <c r="BZ256" s="122"/>
      <c r="CA256" s="122"/>
      <c r="CB256" s="104"/>
      <c r="CC256" s="104"/>
      <c r="CD256" s="122"/>
      <c r="CE256" s="104"/>
      <c r="CF256" s="104"/>
      <c r="CG256" s="104"/>
      <c r="CH256" s="104"/>
      <c r="CI256" s="104"/>
      <c r="CJ256" s="104"/>
      <c r="CK256" s="104"/>
      <c r="CL256" s="104"/>
      <c r="CM256" s="104"/>
      <c r="CN256" s="104"/>
      <c r="CO256" s="104"/>
      <c r="CP256" s="104"/>
      <c r="CQ256" s="104"/>
      <c r="CR256" s="104"/>
      <c r="CS256" s="104"/>
      <c r="CT256" s="104"/>
      <c r="CU256" s="104"/>
    </row>
    <row r="257">
      <c r="A257" s="595"/>
      <c r="B257" s="202" t="s">
        <v>271</v>
      </c>
      <c r="C257" s="196" t="s">
        <v>271</v>
      </c>
      <c r="D257" s="197" t="s">
        <v>271</v>
      </c>
      <c r="E257" s="199" t="s">
        <v>271</v>
      </c>
      <c r="F257" s="201" t="s">
        <v>271</v>
      </c>
      <c r="G257" s="202" t="s">
        <v>271</v>
      </c>
      <c r="H257" s="609"/>
      <c r="I257" s="609"/>
      <c r="J257" s="104"/>
      <c r="K257" s="104"/>
      <c r="L257" s="104"/>
      <c r="M257" s="104"/>
      <c r="N257" s="104"/>
      <c r="O257" s="104"/>
      <c r="P257" s="104"/>
      <c r="Q257" s="104"/>
      <c r="R257" s="104"/>
      <c r="S257" s="104"/>
      <c r="T257" s="104"/>
      <c r="U257" s="104"/>
      <c r="V257" s="104"/>
      <c r="W257" s="104"/>
      <c r="X257" s="104"/>
      <c r="Y257" s="104"/>
      <c r="Z257" s="104"/>
      <c r="AA257" s="104"/>
      <c r="AB257" s="104"/>
      <c r="AC257" s="104"/>
      <c r="AD257" s="104"/>
      <c r="AE257" s="104"/>
      <c r="AF257" s="104"/>
      <c r="AG257" s="104"/>
      <c r="AH257" s="104"/>
      <c r="AI257" s="104"/>
      <c r="AJ257" s="104"/>
      <c r="AK257" s="104"/>
      <c r="AL257" s="104"/>
      <c r="AM257" s="104"/>
      <c r="AN257" s="104"/>
      <c r="AO257" s="104"/>
      <c r="AP257" s="104"/>
      <c r="AQ257" s="104"/>
      <c r="AR257" s="104"/>
      <c r="AS257" s="104"/>
      <c r="AT257" s="104"/>
      <c r="AU257" s="104"/>
      <c r="AV257" s="104"/>
      <c r="AW257" s="104"/>
      <c r="AX257" s="104"/>
      <c r="AY257" s="104"/>
      <c r="AZ257" s="104"/>
      <c r="BA257" s="104"/>
      <c r="BB257" s="104"/>
      <c r="BC257" s="104"/>
      <c r="BD257" s="104"/>
      <c r="BE257" s="104"/>
      <c r="BF257" s="104"/>
      <c r="BG257" s="104"/>
      <c r="BH257" s="104"/>
      <c r="BI257" s="104"/>
      <c r="BJ257" s="104"/>
      <c r="BK257" s="104"/>
      <c r="BL257" s="104"/>
      <c r="BM257" s="104"/>
      <c r="BN257" s="104"/>
      <c r="BO257" s="104"/>
      <c r="BP257" s="104"/>
      <c r="BQ257" s="104"/>
      <c r="BR257" s="104"/>
      <c r="BS257" s="104"/>
      <c r="BT257" s="104"/>
      <c r="BU257" s="104"/>
      <c r="BV257" s="104"/>
      <c r="BW257" s="122"/>
      <c r="BX257" s="122"/>
      <c r="BY257" s="104"/>
      <c r="BZ257" s="122"/>
      <c r="CA257" s="122"/>
      <c r="CB257" s="104"/>
      <c r="CC257" s="104"/>
      <c r="CD257" s="122"/>
      <c r="CE257" s="104"/>
      <c r="CF257" s="104"/>
      <c r="CG257" s="104"/>
      <c r="CH257" s="104"/>
      <c r="CI257" s="104"/>
      <c r="CJ257" s="104"/>
      <c r="CK257" s="104"/>
      <c r="CL257" s="104"/>
      <c r="CM257" s="104"/>
      <c r="CN257" s="104"/>
      <c r="CO257" s="104"/>
      <c r="CP257" s="104"/>
      <c r="CQ257" s="104"/>
      <c r="CR257" s="104"/>
      <c r="CS257" s="104"/>
      <c r="CT257" s="104"/>
      <c r="CU257" s="104"/>
    </row>
    <row r="258">
      <c r="A258" s="595"/>
      <c r="B258" s="202" t="s">
        <v>271</v>
      </c>
      <c r="C258" s="196" t="s">
        <v>271</v>
      </c>
      <c r="D258" s="197" t="s">
        <v>271</v>
      </c>
      <c r="E258" s="199" t="s">
        <v>271</v>
      </c>
      <c r="F258" s="201" t="s">
        <v>271</v>
      </c>
      <c r="G258" s="202" t="s">
        <v>271</v>
      </c>
      <c r="H258" s="609"/>
      <c r="I258" s="609"/>
      <c r="J258" s="104"/>
      <c r="K258" s="104"/>
      <c r="L258" s="104"/>
      <c r="M258" s="104"/>
      <c r="N258" s="104"/>
      <c r="O258" s="104"/>
      <c r="P258" s="104"/>
      <c r="Q258" s="104"/>
      <c r="R258" s="104"/>
      <c r="S258" s="104"/>
      <c r="T258" s="104"/>
      <c r="U258" s="104"/>
      <c r="V258" s="104"/>
      <c r="W258" s="104"/>
      <c r="X258" s="104"/>
      <c r="Y258" s="104"/>
      <c r="Z258" s="104"/>
      <c r="AA258" s="104"/>
      <c r="AB258" s="104"/>
      <c r="AC258" s="104"/>
      <c r="AD258" s="104"/>
      <c r="AE258" s="104"/>
      <c r="AF258" s="104"/>
      <c r="AG258" s="104"/>
      <c r="AH258" s="104"/>
      <c r="AI258" s="104"/>
      <c r="AJ258" s="104"/>
      <c r="AK258" s="104"/>
      <c r="AL258" s="104"/>
      <c r="AM258" s="104"/>
      <c r="AN258" s="104"/>
      <c r="AO258" s="104"/>
      <c r="AP258" s="104"/>
      <c r="AQ258" s="104"/>
      <c r="AR258" s="104"/>
      <c r="AS258" s="104"/>
      <c r="AT258" s="104"/>
      <c r="AU258" s="104"/>
      <c r="AV258" s="104"/>
      <c r="AW258" s="104"/>
      <c r="AX258" s="104"/>
      <c r="AY258" s="104"/>
      <c r="AZ258" s="104"/>
      <c r="BA258" s="104"/>
      <c r="BB258" s="104"/>
      <c r="BC258" s="104"/>
      <c r="BD258" s="104"/>
      <c r="BE258" s="104"/>
      <c r="BF258" s="104"/>
      <c r="BG258" s="104"/>
      <c r="BH258" s="104"/>
      <c r="BI258" s="104"/>
      <c r="BJ258" s="104"/>
      <c r="BK258" s="104"/>
      <c r="BL258" s="104"/>
      <c r="BM258" s="104"/>
      <c r="BN258" s="104"/>
      <c r="BO258" s="104"/>
      <c r="BP258" s="104"/>
      <c r="BQ258" s="104"/>
      <c r="BR258" s="104"/>
      <c r="BS258" s="104"/>
      <c r="BT258" s="104"/>
      <c r="BU258" s="104"/>
      <c r="BV258" s="104"/>
      <c r="BW258" s="122"/>
      <c r="BX258" s="122"/>
      <c r="BY258" s="104"/>
      <c r="BZ258" s="122"/>
      <c r="CA258" s="122"/>
      <c r="CB258" s="104"/>
      <c r="CC258" s="104"/>
      <c r="CD258" s="122"/>
      <c r="CE258" s="104"/>
      <c r="CF258" s="104"/>
      <c r="CG258" s="104"/>
      <c r="CH258" s="104"/>
      <c r="CI258" s="104"/>
      <c r="CJ258" s="104"/>
      <c r="CK258" s="104"/>
      <c r="CL258" s="104"/>
      <c r="CM258" s="104"/>
      <c r="CN258" s="104"/>
      <c r="CO258" s="104"/>
      <c r="CP258" s="104"/>
      <c r="CQ258" s="104"/>
      <c r="CR258" s="104"/>
      <c r="CS258" s="104"/>
      <c r="CT258" s="104"/>
      <c r="CU258" s="104"/>
    </row>
    <row r="259">
      <c r="A259" s="595"/>
      <c r="B259" s="202" t="s">
        <v>271</v>
      </c>
      <c r="C259" s="196" t="s">
        <v>271</v>
      </c>
      <c r="D259" s="197" t="s">
        <v>271</v>
      </c>
      <c r="E259" s="199" t="s">
        <v>271</v>
      </c>
      <c r="F259" s="201" t="s">
        <v>271</v>
      </c>
      <c r="G259" s="202" t="s">
        <v>271</v>
      </c>
      <c r="H259" s="609"/>
      <c r="I259" s="609"/>
      <c r="J259" s="104"/>
      <c r="K259" s="104"/>
      <c r="L259" s="104"/>
      <c r="M259" s="104"/>
      <c r="N259" s="104"/>
      <c r="O259" s="104"/>
      <c r="P259" s="104"/>
      <c r="Q259" s="104"/>
      <c r="R259" s="104"/>
      <c r="S259" s="104"/>
      <c r="T259" s="104"/>
      <c r="U259" s="104"/>
      <c r="V259" s="104"/>
      <c r="W259" s="104"/>
      <c r="X259" s="104"/>
      <c r="Y259" s="104"/>
      <c r="Z259" s="104"/>
      <c r="AA259" s="104"/>
      <c r="AB259" s="104"/>
      <c r="AC259" s="104"/>
      <c r="AD259" s="104"/>
      <c r="AE259" s="104"/>
      <c r="AF259" s="104"/>
      <c r="AG259" s="104"/>
      <c r="AH259" s="104"/>
      <c r="AI259" s="104"/>
      <c r="AJ259" s="104"/>
      <c r="AK259" s="104"/>
      <c r="AL259" s="104"/>
      <c r="AM259" s="104"/>
      <c r="AN259" s="104"/>
      <c r="AO259" s="104"/>
      <c r="AP259" s="104"/>
      <c r="AQ259" s="104"/>
      <c r="AR259" s="104"/>
      <c r="AS259" s="104"/>
      <c r="AT259" s="104"/>
      <c r="AU259" s="104"/>
      <c r="AV259" s="104"/>
      <c r="AW259" s="104"/>
      <c r="AX259" s="104"/>
      <c r="AY259" s="104"/>
      <c r="AZ259" s="104"/>
      <c r="BA259" s="104"/>
      <c r="BB259" s="104"/>
      <c r="BC259" s="104"/>
      <c r="BD259" s="104"/>
      <c r="BE259" s="104"/>
      <c r="BF259" s="104"/>
      <c r="BG259" s="104"/>
      <c r="BH259" s="104"/>
      <c r="BI259" s="104"/>
      <c r="BJ259" s="104"/>
      <c r="BK259" s="104"/>
      <c r="BL259" s="104"/>
      <c r="BM259" s="104"/>
      <c r="BN259" s="104"/>
      <c r="BO259" s="104"/>
      <c r="BP259" s="104"/>
      <c r="BQ259" s="104"/>
      <c r="BR259" s="104"/>
      <c r="BS259" s="104"/>
      <c r="BT259" s="104"/>
      <c r="BU259" s="104"/>
      <c r="BV259" s="104"/>
      <c r="BW259" s="122"/>
      <c r="BX259" s="122"/>
      <c r="BY259" s="104"/>
      <c r="BZ259" s="122"/>
      <c r="CA259" s="122"/>
      <c r="CB259" s="104"/>
      <c r="CC259" s="104"/>
      <c r="CD259" s="122"/>
      <c r="CE259" s="104"/>
      <c r="CF259" s="104"/>
      <c r="CG259" s="104"/>
      <c r="CH259" s="104"/>
      <c r="CI259" s="104"/>
      <c r="CJ259" s="104"/>
      <c r="CK259" s="104"/>
      <c r="CL259" s="104"/>
      <c r="CM259" s="104"/>
      <c r="CN259" s="104"/>
      <c r="CO259" s="104"/>
      <c r="CP259" s="104"/>
      <c r="CQ259" s="104"/>
      <c r="CR259" s="104"/>
      <c r="CS259" s="104"/>
      <c r="CT259" s="104"/>
      <c r="CU259" s="104"/>
    </row>
    <row r="260">
      <c r="A260" s="595"/>
      <c r="B260" s="202" t="s">
        <v>271</v>
      </c>
      <c r="C260" s="196" t="s">
        <v>271</v>
      </c>
      <c r="D260" s="197" t="s">
        <v>271</v>
      </c>
      <c r="E260" s="199" t="s">
        <v>271</v>
      </c>
      <c r="F260" s="201" t="s">
        <v>271</v>
      </c>
      <c r="G260" s="202" t="s">
        <v>271</v>
      </c>
      <c r="H260" s="609"/>
      <c r="I260" s="609"/>
      <c r="J260" s="104"/>
      <c r="K260" s="104"/>
      <c r="L260" s="104"/>
      <c r="M260" s="104"/>
      <c r="N260" s="104"/>
      <c r="O260" s="104"/>
      <c r="P260" s="104"/>
      <c r="Q260" s="104"/>
      <c r="R260" s="104"/>
      <c r="S260" s="104"/>
      <c r="T260" s="104"/>
      <c r="U260" s="104"/>
      <c r="V260" s="104"/>
      <c r="W260" s="104"/>
      <c r="X260" s="104"/>
      <c r="Y260" s="104"/>
      <c r="Z260" s="104"/>
      <c r="AA260" s="104"/>
      <c r="AB260" s="104"/>
      <c r="AC260" s="104"/>
      <c r="AD260" s="104"/>
      <c r="AE260" s="104"/>
      <c r="AF260" s="104"/>
      <c r="AG260" s="104"/>
      <c r="AH260" s="104"/>
      <c r="AI260" s="104"/>
      <c r="AJ260" s="104"/>
      <c r="AK260" s="104"/>
      <c r="AL260" s="104"/>
      <c r="AM260" s="104"/>
      <c r="AN260" s="104"/>
      <c r="AO260" s="104"/>
      <c r="AP260" s="104"/>
      <c r="AQ260" s="104"/>
      <c r="AR260" s="104"/>
      <c r="AS260" s="104"/>
      <c r="AT260" s="104"/>
      <c r="AU260" s="104"/>
      <c r="AV260" s="104"/>
      <c r="AW260" s="104"/>
      <c r="AX260" s="104"/>
      <c r="AY260" s="104"/>
      <c r="AZ260" s="104"/>
      <c r="BA260" s="104"/>
      <c r="BB260" s="104"/>
      <c r="BC260" s="104"/>
      <c r="BD260" s="104"/>
      <c r="BE260" s="104"/>
      <c r="BF260" s="104"/>
      <c r="BG260" s="104"/>
      <c r="BH260" s="104"/>
      <c r="BI260" s="104"/>
      <c r="BJ260" s="104"/>
      <c r="BK260" s="104"/>
      <c r="BL260" s="104"/>
      <c r="BM260" s="104"/>
      <c r="BN260" s="104"/>
      <c r="BO260" s="104"/>
      <c r="BP260" s="104"/>
      <c r="BQ260" s="104"/>
      <c r="BR260" s="104"/>
      <c r="BS260" s="104"/>
      <c r="BT260" s="104"/>
      <c r="BU260" s="104"/>
      <c r="BV260" s="104"/>
      <c r="BW260" s="122"/>
      <c r="BX260" s="122"/>
      <c r="BY260" s="104"/>
      <c r="BZ260" s="122"/>
      <c r="CA260" s="122"/>
      <c r="CB260" s="104"/>
      <c r="CC260" s="104"/>
      <c r="CD260" s="122"/>
      <c r="CE260" s="104"/>
      <c r="CF260" s="104"/>
      <c r="CG260" s="104"/>
      <c r="CH260" s="104"/>
      <c r="CI260" s="104"/>
      <c r="CJ260" s="104"/>
      <c r="CK260" s="104"/>
      <c r="CL260" s="104"/>
      <c r="CM260" s="104"/>
      <c r="CN260" s="104"/>
      <c r="CO260" s="104"/>
      <c r="CP260" s="104"/>
      <c r="CQ260" s="104"/>
      <c r="CR260" s="104"/>
      <c r="CS260" s="104"/>
      <c r="CT260" s="104"/>
      <c r="CU260" s="104"/>
    </row>
    <row r="261">
      <c r="A261" s="595"/>
      <c r="B261" s="202" t="s">
        <v>271</v>
      </c>
      <c r="C261" s="196" t="s">
        <v>271</v>
      </c>
      <c r="D261" s="197" t="s">
        <v>271</v>
      </c>
      <c r="E261" s="199" t="s">
        <v>271</v>
      </c>
      <c r="F261" s="201" t="s">
        <v>271</v>
      </c>
      <c r="G261" s="202" t="s">
        <v>271</v>
      </c>
      <c r="H261" s="609"/>
      <c r="I261" s="609"/>
      <c r="J261" s="104"/>
      <c r="K261" s="104"/>
      <c r="L261" s="104"/>
      <c r="M261" s="104"/>
      <c r="N261" s="104"/>
      <c r="O261" s="104"/>
      <c r="P261" s="104"/>
      <c r="Q261" s="104"/>
      <c r="R261" s="104"/>
      <c r="S261" s="104"/>
      <c r="T261" s="104"/>
      <c r="U261" s="104"/>
      <c r="V261" s="104"/>
      <c r="W261" s="104"/>
      <c r="X261" s="104"/>
      <c r="Y261" s="104"/>
      <c r="Z261" s="104"/>
      <c r="AA261" s="104"/>
      <c r="AB261" s="104"/>
      <c r="AC261" s="104"/>
      <c r="AD261" s="104"/>
      <c r="AE261" s="104"/>
      <c r="AF261" s="104"/>
      <c r="AG261" s="104"/>
      <c r="AH261" s="104"/>
      <c r="AI261" s="104"/>
      <c r="AJ261" s="104"/>
      <c r="AK261" s="104"/>
      <c r="AL261" s="104"/>
      <c r="AM261" s="104"/>
      <c r="AN261" s="104"/>
      <c r="AO261" s="104"/>
      <c r="AP261" s="104"/>
      <c r="AQ261" s="104"/>
      <c r="AR261" s="104"/>
      <c r="AS261" s="104"/>
      <c r="AT261" s="104"/>
      <c r="AU261" s="104"/>
      <c r="AV261" s="104"/>
      <c r="AW261" s="104"/>
      <c r="AX261" s="104"/>
      <c r="AY261" s="104"/>
      <c r="AZ261" s="104"/>
      <c r="BA261" s="104"/>
      <c r="BB261" s="104"/>
      <c r="BC261" s="104"/>
      <c r="BD261" s="104"/>
      <c r="BE261" s="104"/>
      <c r="BF261" s="104"/>
      <c r="BG261" s="104"/>
      <c r="BH261" s="104"/>
      <c r="BI261" s="104"/>
      <c r="BJ261" s="104"/>
      <c r="BK261" s="104"/>
      <c r="BL261" s="104"/>
      <c r="BM261" s="104"/>
      <c r="BN261" s="104"/>
      <c r="BO261" s="104"/>
      <c r="BP261" s="104"/>
      <c r="BQ261" s="104"/>
      <c r="BR261" s="104"/>
      <c r="BS261" s="104"/>
      <c r="BT261" s="104"/>
      <c r="BU261" s="104"/>
      <c r="BV261" s="104"/>
      <c r="BW261" s="122"/>
      <c r="BX261" s="122"/>
      <c r="BY261" s="104"/>
      <c r="BZ261" s="122"/>
      <c r="CA261" s="122"/>
      <c r="CB261" s="104"/>
      <c r="CC261" s="104"/>
      <c r="CD261" s="122"/>
      <c r="CE261" s="104"/>
      <c r="CF261" s="104"/>
      <c r="CG261" s="104"/>
      <c r="CH261" s="104"/>
      <c r="CI261" s="104"/>
      <c r="CJ261" s="104"/>
      <c r="CK261" s="104"/>
      <c r="CL261" s="104"/>
      <c r="CM261" s="104"/>
      <c r="CN261" s="104"/>
      <c r="CO261" s="104"/>
      <c r="CP261" s="104"/>
      <c r="CQ261" s="104"/>
      <c r="CR261" s="104"/>
      <c r="CS261" s="104"/>
      <c r="CT261" s="104"/>
      <c r="CU261" s="104"/>
    </row>
    <row r="262">
      <c r="A262" s="595"/>
      <c r="B262" s="202" t="s">
        <v>271</v>
      </c>
      <c r="C262" s="196" t="s">
        <v>271</v>
      </c>
      <c r="D262" s="197" t="s">
        <v>271</v>
      </c>
      <c r="E262" s="199" t="s">
        <v>271</v>
      </c>
      <c r="F262" s="201" t="s">
        <v>271</v>
      </c>
      <c r="G262" s="202" t="s">
        <v>271</v>
      </c>
      <c r="H262" s="609"/>
      <c r="I262" s="609"/>
      <c r="J262" s="104"/>
      <c r="K262" s="104"/>
      <c r="L262" s="104"/>
      <c r="M262" s="104"/>
      <c r="N262" s="104"/>
      <c r="O262" s="104"/>
      <c r="P262" s="104"/>
      <c r="Q262" s="104"/>
      <c r="R262" s="104"/>
      <c r="S262" s="104"/>
      <c r="T262" s="104"/>
      <c r="U262" s="104"/>
      <c r="V262" s="104"/>
      <c r="W262" s="104"/>
      <c r="X262" s="104"/>
      <c r="Y262" s="104"/>
      <c r="Z262" s="104"/>
      <c r="AA262" s="104"/>
      <c r="AB262" s="104"/>
      <c r="AC262" s="104"/>
      <c r="AD262" s="104"/>
      <c r="AE262" s="104"/>
      <c r="AF262" s="104"/>
      <c r="AG262" s="104"/>
      <c r="AH262" s="104"/>
      <c r="AI262" s="104"/>
      <c r="AJ262" s="104"/>
      <c r="AK262" s="104"/>
      <c r="AL262" s="104"/>
      <c r="AM262" s="104"/>
      <c r="AN262" s="104"/>
      <c r="AO262" s="104"/>
      <c r="AP262" s="104"/>
      <c r="AQ262" s="104"/>
      <c r="AR262" s="104"/>
      <c r="AS262" s="104"/>
      <c r="AT262" s="104"/>
      <c r="AU262" s="104"/>
      <c r="AV262" s="104"/>
      <c r="AW262" s="104"/>
      <c r="AX262" s="104"/>
      <c r="AY262" s="104"/>
      <c r="AZ262" s="104"/>
      <c r="BA262" s="104"/>
      <c r="BB262" s="104"/>
      <c r="BC262" s="104"/>
      <c r="BD262" s="104"/>
      <c r="BE262" s="104"/>
      <c r="BF262" s="104"/>
      <c r="BG262" s="104"/>
      <c r="BH262" s="104"/>
      <c r="BI262" s="104"/>
      <c r="BJ262" s="104"/>
      <c r="BK262" s="104"/>
      <c r="BL262" s="104"/>
      <c r="BM262" s="104"/>
      <c r="BN262" s="104"/>
      <c r="BO262" s="104"/>
      <c r="BP262" s="104"/>
      <c r="BQ262" s="104"/>
      <c r="BR262" s="104"/>
      <c r="BS262" s="104"/>
      <c r="BT262" s="104"/>
      <c r="BU262" s="104"/>
      <c r="BV262" s="104"/>
      <c r="BW262" s="122"/>
      <c r="BX262" s="122"/>
      <c r="BY262" s="104"/>
      <c r="BZ262" s="122"/>
      <c r="CA262" s="122"/>
      <c r="CB262" s="104"/>
      <c r="CC262" s="104"/>
      <c r="CD262" s="122"/>
      <c r="CE262" s="104"/>
      <c r="CF262" s="104"/>
      <c r="CG262" s="104"/>
      <c r="CH262" s="104"/>
      <c r="CI262" s="104"/>
      <c r="CJ262" s="104"/>
      <c r="CK262" s="104"/>
      <c r="CL262" s="104"/>
      <c r="CM262" s="104"/>
      <c r="CN262" s="104"/>
      <c r="CO262" s="104"/>
      <c r="CP262" s="104"/>
      <c r="CQ262" s="104"/>
      <c r="CR262" s="104"/>
      <c r="CS262" s="104"/>
      <c r="CT262" s="104"/>
      <c r="CU262" s="104"/>
    </row>
    <row r="263">
      <c r="A263" s="595"/>
      <c r="B263" s="202" t="s">
        <v>271</v>
      </c>
      <c r="C263" s="196" t="s">
        <v>271</v>
      </c>
      <c r="D263" s="197" t="s">
        <v>271</v>
      </c>
      <c r="E263" s="199" t="s">
        <v>271</v>
      </c>
      <c r="F263" s="201" t="s">
        <v>271</v>
      </c>
      <c r="G263" s="202" t="s">
        <v>271</v>
      </c>
      <c r="H263" s="609"/>
      <c r="I263" s="609"/>
      <c r="J263" s="104"/>
      <c r="K263" s="104"/>
      <c r="L263" s="104"/>
      <c r="M263" s="104"/>
      <c r="N263" s="104"/>
      <c r="O263" s="104"/>
      <c r="P263" s="104"/>
      <c r="Q263" s="104"/>
      <c r="R263" s="104"/>
      <c r="S263" s="104"/>
      <c r="T263" s="104"/>
      <c r="U263" s="104"/>
      <c r="V263" s="104"/>
      <c r="W263" s="104"/>
      <c r="X263" s="104"/>
      <c r="Y263" s="104"/>
      <c r="Z263" s="104"/>
      <c r="AA263" s="104"/>
      <c r="AB263" s="104"/>
      <c r="AC263" s="104"/>
      <c r="AD263" s="104"/>
      <c r="AE263" s="104"/>
      <c r="AF263" s="104"/>
      <c r="AG263" s="104"/>
      <c r="AH263" s="104"/>
      <c r="AI263" s="104"/>
      <c r="AJ263" s="104"/>
      <c r="AK263" s="104"/>
      <c r="AL263" s="104"/>
      <c r="AM263" s="104"/>
      <c r="AN263" s="104"/>
      <c r="AO263" s="104"/>
      <c r="AP263" s="104"/>
      <c r="AQ263" s="104"/>
      <c r="AR263" s="104"/>
      <c r="AS263" s="104"/>
      <c r="AT263" s="104"/>
      <c r="AU263" s="104"/>
      <c r="AV263" s="104"/>
      <c r="AW263" s="104"/>
      <c r="AX263" s="104"/>
      <c r="AY263" s="104"/>
      <c r="AZ263" s="104"/>
      <c r="BA263" s="104"/>
      <c r="BB263" s="104"/>
      <c r="BC263" s="104"/>
      <c r="BD263" s="104"/>
      <c r="BE263" s="104"/>
      <c r="BF263" s="104"/>
      <c r="BG263" s="104"/>
      <c r="BH263" s="104"/>
      <c r="BI263" s="104"/>
      <c r="BJ263" s="104"/>
      <c r="BK263" s="104"/>
      <c r="BL263" s="104"/>
      <c r="BM263" s="104"/>
      <c r="BN263" s="104"/>
      <c r="BO263" s="104"/>
      <c r="BP263" s="104"/>
      <c r="BQ263" s="104"/>
      <c r="BR263" s="104"/>
      <c r="BS263" s="104"/>
      <c r="BT263" s="104"/>
      <c r="BU263" s="104"/>
      <c r="BV263" s="104"/>
      <c r="BW263" s="122"/>
      <c r="BX263" s="122"/>
      <c r="BY263" s="104"/>
      <c r="BZ263" s="122"/>
      <c r="CA263" s="122"/>
      <c r="CB263" s="104"/>
      <c r="CC263" s="104"/>
      <c r="CD263" s="122"/>
      <c r="CE263" s="104"/>
      <c r="CF263" s="104"/>
      <c r="CG263" s="104"/>
      <c r="CH263" s="104"/>
      <c r="CI263" s="104"/>
      <c r="CJ263" s="104"/>
      <c r="CK263" s="104"/>
      <c r="CL263" s="104"/>
      <c r="CM263" s="104"/>
      <c r="CN263" s="104"/>
      <c r="CO263" s="104"/>
      <c r="CP263" s="104"/>
      <c r="CQ263" s="104"/>
      <c r="CR263" s="104"/>
      <c r="CS263" s="104"/>
      <c r="CT263" s="104"/>
      <c r="CU263" s="104"/>
    </row>
    <row r="264">
      <c r="A264" s="595"/>
      <c r="B264" s="202" t="s">
        <v>271</v>
      </c>
      <c r="C264" s="196" t="s">
        <v>271</v>
      </c>
      <c r="D264" s="197" t="s">
        <v>271</v>
      </c>
      <c r="E264" s="199" t="s">
        <v>271</v>
      </c>
      <c r="F264" s="201" t="s">
        <v>271</v>
      </c>
      <c r="G264" s="202" t="s">
        <v>271</v>
      </c>
      <c r="H264" s="609"/>
      <c r="I264" s="609"/>
      <c r="J264" s="104"/>
      <c r="K264" s="104"/>
      <c r="L264" s="104"/>
      <c r="M264" s="104"/>
      <c r="N264" s="104"/>
      <c r="O264" s="104"/>
      <c r="P264" s="104"/>
      <c r="Q264" s="104"/>
      <c r="R264" s="104"/>
      <c r="S264" s="104"/>
      <c r="T264" s="104"/>
      <c r="U264" s="104"/>
      <c r="V264" s="104"/>
      <c r="W264" s="104"/>
      <c r="X264" s="104"/>
      <c r="Y264" s="104"/>
      <c r="Z264" s="104"/>
      <c r="AA264" s="104"/>
      <c r="AB264" s="104"/>
      <c r="AC264" s="104"/>
      <c r="AD264" s="104"/>
      <c r="AE264" s="104"/>
      <c r="AF264" s="104"/>
      <c r="AG264" s="104"/>
      <c r="AH264" s="104"/>
      <c r="AI264" s="104"/>
      <c r="AJ264" s="104"/>
      <c r="AK264" s="104"/>
      <c r="AL264" s="104"/>
      <c r="AM264" s="104"/>
      <c r="AN264" s="104"/>
      <c r="AO264" s="104"/>
      <c r="AP264" s="104"/>
      <c r="AQ264" s="104"/>
      <c r="AR264" s="104"/>
      <c r="AS264" s="104"/>
      <c r="AT264" s="104"/>
      <c r="AU264" s="104"/>
      <c r="AV264" s="104"/>
      <c r="AW264" s="104"/>
      <c r="AX264" s="104"/>
      <c r="AY264" s="104"/>
      <c r="AZ264" s="104"/>
      <c r="BA264" s="104"/>
      <c r="BB264" s="104"/>
      <c r="BC264" s="104"/>
      <c r="BD264" s="104"/>
      <c r="BE264" s="104"/>
      <c r="BF264" s="104"/>
      <c r="BG264" s="104"/>
      <c r="BH264" s="104"/>
      <c r="BI264" s="104"/>
      <c r="BJ264" s="104"/>
      <c r="BK264" s="104"/>
      <c r="BL264" s="104"/>
      <c r="BM264" s="104"/>
      <c r="BN264" s="104"/>
      <c r="BO264" s="104"/>
      <c r="BP264" s="104"/>
      <c r="BQ264" s="104"/>
      <c r="BR264" s="104"/>
      <c r="BS264" s="104"/>
      <c r="BT264" s="104"/>
      <c r="BU264" s="104"/>
      <c r="BV264" s="104"/>
      <c r="BW264" s="122"/>
      <c r="BX264" s="122"/>
      <c r="BY264" s="104"/>
      <c r="BZ264" s="122"/>
      <c r="CA264" s="122"/>
      <c r="CB264" s="104"/>
      <c r="CC264" s="104"/>
      <c r="CD264" s="122"/>
      <c r="CE264" s="104"/>
      <c r="CF264" s="104"/>
      <c r="CG264" s="104"/>
      <c r="CH264" s="104"/>
      <c r="CI264" s="104"/>
      <c r="CJ264" s="104"/>
      <c r="CK264" s="104"/>
      <c r="CL264" s="104"/>
      <c r="CM264" s="104"/>
      <c r="CN264" s="104"/>
      <c r="CO264" s="104"/>
      <c r="CP264" s="104"/>
      <c r="CQ264" s="104"/>
      <c r="CR264" s="104"/>
      <c r="CS264" s="104"/>
      <c r="CT264" s="104"/>
      <c r="CU264" s="104"/>
    </row>
    <row r="265">
      <c r="A265" s="595"/>
      <c r="B265" s="202" t="s">
        <v>271</v>
      </c>
      <c r="C265" s="196" t="s">
        <v>271</v>
      </c>
      <c r="D265" s="197" t="s">
        <v>271</v>
      </c>
      <c r="E265" s="199" t="s">
        <v>271</v>
      </c>
      <c r="F265" s="201" t="s">
        <v>271</v>
      </c>
      <c r="G265" s="202" t="s">
        <v>271</v>
      </c>
      <c r="H265" s="609"/>
      <c r="I265" s="609"/>
      <c r="J265" s="104"/>
      <c r="K265" s="104"/>
      <c r="L265" s="104"/>
      <c r="M265" s="104"/>
      <c r="N265" s="104"/>
      <c r="O265" s="104"/>
      <c r="P265" s="104"/>
      <c r="Q265" s="104"/>
      <c r="R265" s="104"/>
      <c r="S265" s="104"/>
      <c r="T265" s="104"/>
      <c r="U265" s="104"/>
      <c r="V265" s="104"/>
      <c r="W265" s="104"/>
      <c r="X265" s="104"/>
      <c r="Y265" s="104"/>
      <c r="Z265" s="104"/>
      <c r="AA265" s="104"/>
      <c r="AB265" s="104"/>
      <c r="AC265" s="104"/>
      <c r="AD265" s="104"/>
      <c r="AE265" s="104"/>
      <c r="AF265" s="104"/>
      <c r="AG265" s="104"/>
      <c r="AH265" s="104"/>
      <c r="AI265" s="104"/>
      <c r="AJ265" s="104"/>
      <c r="AK265" s="104"/>
      <c r="AL265" s="104"/>
      <c r="AM265" s="104"/>
      <c r="AN265" s="104"/>
      <c r="AO265" s="104"/>
      <c r="AP265" s="104"/>
      <c r="AQ265" s="104"/>
      <c r="AR265" s="104"/>
      <c r="AS265" s="104"/>
      <c r="AT265" s="104"/>
      <c r="AU265" s="104"/>
      <c r="AV265" s="104"/>
      <c r="AW265" s="104"/>
      <c r="AX265" s="104"/>
      <c r="AY265" s="104"/>
      <c r="AZ265" s="104"/>
      <c r="BA265" s="104"/>
      <c r="BB265" s="104"/>
      <c r="BC265" s="104"/>
      <c r="BD265" s="104"/>
      <c r="BE265" s="104"/>
      <c r="BF265" s="104"/>
      <c r="BG265" s="104"/>
      <c r="BH265" s="104"/>
      <c r="BI265" s="104"/>
      <c r="BJ265" s="104"/>
      <c r="BK265" s="104"/>
      <c r="BL265" s="104"/>
      <c r="BM265" s="104"/>
      <c r="BN265" s="104"/>
      <c r="BO265" s="104"/>
      <c r="BP265" s="104"/>
      <c r="BQ265" s="104"/>
      <c r="BR265" s="104"/>
      <c r="BS265" s="104"/>
      <c r="BT265" s="104"/>
      <c r="BU265" s="104"/>
      <c r="BV265" s="104"/>
      <c r="BW265" s="122"/>
      <c r="BX265" s="122"/>
      <c r="BY265" s="104"/>
      <c r="BZ265" s="122"/>
      <c r="CA265" s="122"/>
      <c r="CB265" s="104"/>
      <c r="CC265" s="104"/>
      <c r="CD265" s="122"/>
      <c r="CE265" s="104"/>
      <c r="CF265" s="104"/>
      <c r="CG265" s="104"/>
      <c r="CH265" s="104"/>
      <c r="CI265" s="104"/>
      <c r="CJ265" s="104"/>
      <c r="CK265" s="104"/>
      <c r="CL265" s="104"/>
      <c r="CM265" s="104"/>
      <c r="CN265" s="104"/>
      <c r="CO265" s="104"/>
      <c r="CP265" s="104"/>
      <c r="CQ265" s="104"/>
      <c r="CR265" s="104"/>
      <c r="CS265" s="104"/>
      <c r="CT265" s="104"/>
      <c r="CU265" s="104"/>
    </row>
    <row r="266">
      <c r="A266" s="595"/>
      <c r="B266" s="202" t="s">
        <v>271</v>
      </c>
      <c r="C266" s="196" t="s">
        <v>271</v>
      </c>
      <c r="D266" s="197" t="s">
        <v>271</v>
      </c>
      <c r="E266" s="199" t="s">
        <v>271</v>
      </c>
      <c r="F266" s="201" t="s">
        <v>271</v>
      </c>
      <c r="G266" s="202" t="s">
        <v>271</v>
      </c>
      <c r="H266" s="609"/>
      <c r="I266" s="609"/>
      <c r="J266" s="104"/>
      <c r="K266" s="104"/>
      <c r="L266" s="104"/>
      <c r="M266" s="104"/>
      <c r="N266" s="104"/>
      <c r="O266" s="104"/>
      <c r="P266" s="104"/>
      <c r="Q266" s="104"/>
      <c r="R266" s="104"/>
      <c r="S266" s="104"/>
      <c r="T266" s="104"/>
      <c r="U266" s="104"/>
      <c r="V266" s="104"/>
      <c r="W266" s="104"/>
      <c r="X266" s="104"/>
      <c r="Y266" s="104"/>
      <c r="Z266" s="104"/>
      <c r="AA266" s="104"/>
      <c r="AB266" s="104"/>
      <c r="AC266" s="104"/>
      <c r="AD266" s="104"/>
      <c r="AE266" s="104"/>
      <c r="AF266" s="104"/>
      <c r="AG266" s="104"/>
      <c r="AH266" s="104"/>
      <c r="AI266" s="104"/>
      <c r="AJ266" s="104"/>
      <c r="AK266" s="104"/>
      <c r="AL266" s="104"/>
      <c r="AM266" s="104"/>
      <c r="AN266" s="104"/>
      <c r="AO266" s="104"/>
      <c r="AP266" s="104"/>
      <c r="AQ266" s="104"/>
      <c r="AR266" s="104"/>
      <c r="AS266" s="104"/>
      <c r="AT266" s="104"/>
      <c r="AU266" s="104"/>
      <c r="AV266" s="104"/>
      <c r="AW266" s="104"/>
      <c r="AX266" s="104"/>
      <c r="AY266" s="104"/>
      <c r="AZ266" s="104"/>
      <c r="BA266" s="104"/>
      <c r="BB266" s="104"/>
      <c r="BC266" s="104"/>
      <c r="BD266" s="104"/>
      <c r="BE266" s="104"/>
      <c r="BF266" s="104"/>
      <c r="BG266" s="104"/>
      <c r="BH266" s="104"/>
      <c r="BI266" s="104"/>
      <c r="BJ266" s="104"/>
      <c r="BK266" s="104"/>
      <c r="BL266" s="104"/>
      <c r="BM266" s="104"/>
      <c r="BN266" s="104"/>
      <c r="BO266" s="104"/>
      <c r="BP266" s="104"/>
      <c r="BQ266" s="104"/>
      <c r="BR266" s="104"/>
      <c r="BS266" s="104"/>
      <c r="BT266" s="104"/>
      <c r="BU266" s="104"/>
      <c r="BV266" s="104"/>
      <c r="BW266" s="122"/>
      <c r="BX266" s="122"/>
      <c r="BY266" s="104"/>
      <c r="BZ266" s="122"/>
      <c r="CA266" s="122"/>
      <c r="CB266" s="104"/>
      <c r="CC266" s="104"/>
      <c r="CD266" s="122"/>
      <c r="CE266" s="104"/>
      <c r="CF266" s="104"/>
      <c r="CG266" s="104"/>
      <c r="CH266" s="104"/>
      <c r="CI266" s="104"/>
      <c r="CJ266" s="104"/>
      <c r="CK266" s="104"/>
      <c r="CL266" s="104"/>
      <c r="CM266" s="104"/>
      <c r="CN266" s="104"/>
      <c r="CO266" s="104"/>
      <c r="CP266" s="104"/>
      <c r="CQ266" s="104"/>
      <c r="CR266" s="104"/>
      <c r="CS266" s="104"/>
      <c r="CT266" s="104"/>
      <c r="CU266" s="104"/>
    </row>
    <row r="267">
      <c r="A267" s="595"/>
      <c r="B267" s="202" t="s">
        <v>271</v>
      </c>
      <c r="C267" s="196" t="s">
        <v>271</v>
      </c>
      <c r="D267" s="197" t="s">
        <v>271</v>
      </c>
      <c r="E267" s="199" t="s">
        <v>271</v>
      </c>
      <c r="F267" s="201" t="s">
        <v>271</v>
      </c>
      <c r="G267" s="202" t="s">
        <v>271</v>
      </c>
      <c r="H267" s="609"/>
      <c r="I267" s="609"/>
      <c r="J267" s="104"/>
      <c r="K267" s="104"/>
      <c r="L267" s="104"/>
      <c r="M267" s="104"/>
      <c r="N267" s="104"/>
      <c r="O267" s="104"/>
      <c r="P267" s="104"/>
      <c r="Q267" s="104"/>
      <c r="R267" s="104"/>
      <c r="S267" s="104"/>
      <c r="T267" s="104"/>
      <c r="U267" s="104"/>
      <c r="V267" s="104"/>
      <c r="W267" s="104"/>
      <c r="X267" s="104"/>
      <c r="Y267" s="104"/>
      <c r="Z267" s="104"/>
      <c r="AA267" s="104"/>
      <c r="AB267" s="104"/>
      <c r="AC267" s="104"/>
      <c r="AD267" s="104"/>
      <c r="AE267" s="104"/>
      <c r="AF267" s="104"/>
      <c r="AG267" s="104"/>
      <c r="AH267" s="104"/>
      <c r="AI267" s="104"/>
      <c r="AJ267" s="104"/>
      <c r="AK267" s="104"/>
      <c r="AL267" s="104"/>
      <c r="AM267" s="104"/>
      <c r="AN267" s="104"/>
      <c r="AO267" s="104"/>
      <c r="AP267" s="104"/>
      <c r="AQ267" s="104"/>
      <c r="AR267" s="104"/>
      <c r="AS267" s="104"/>
      <c r="AT267" s="104"/>
      <c r="AU267" s="104"/>
      <c r="AV267" s="104"/>
      <c r="AW267" s="104"/>
      <c r="AX267" s="104"/>
      <c r="AY267" s="104"/>
      <c r="AZ267" s="104"/>
      <c r="BA267" s="104"/>
      <c r="BB267" s="104"/>
      <c r="BC267" s="104"/>
      <c r="BD267" s="104"/>
      <c r="BE267" s="104"/>
      <c r="BF267" s="104"/>
      <c r="BG267" s="104"/>
      <c r="BH267" s="104"/>
      <c r="BI267" s="104"/>
      <c r="BJ267" s="104"/>
      <c r="BK267" s="104"/>
      <c r="BL267" s="104"/>
      <c r="BM267" s="104"/>
      <c r="BN267" s="104"/>
      <c r="BO267" s="104"/>
      <c r="BP267" s="104"/>
      <c r="BQ267" s="104"/>
      <c r="BR267" s="104"/>
      <c r="BS267" s="104"/>
      <c r="BT267" s="104"/>
      <c r="BU267" s="104"/>
      <c r="BV267" s="104"/>
      <c r="BW267" s="122"/>
      <c r="BX267" s="122"/>
      <c r="BY267" s="104"/>
      <c r="BZ267" s="122"/>
      <c r="CA267" s="122"/>
      <c r="CB267" s="104"/>
      <c r="CC267" s="104"/>
      <c r="CD267" s="122"/>
      <c r="CE267" s="104"/>
      <c r="CF267" s="104"/>
      <c r="CG267" s="104"/>
      <c r="CH267" s="104"/>
      <c r="CI267" s="104"/>
      <c r="CJ267" s="104"/>
      <c r="CK267" s="104"/>
      <c r="CL267" s="104"/>
      <c r="CM267" s="104"/>
      <c r="CN267" s="104"/>
      <c r="CO267" s="104"/>
      <c r="CP267" s="104"/>
      <c r="CQ267" s="104"/>
      <c r="CR267" s="104"/>
      <c r="CS267" s="104"/>
      <c r="CT267" s="104"/>
      <c r="CU267" s="104"/>
    </row>
    <row r="268">
      <c r="A268" s="595"/>
      <c r="B268" s="202" t="s">
        <v>271</v>
      </c>
      <c r="C268" s="196" t="s">
        <v>271</v>
      </c>
      <c r="D268" s="197" t="s">
        <v>271</v>
      </c>
      <c r="E268" s="199" t="s">
        <v>271</v>
      </c>
      <c r="F268" s="201" t="s">
        <v>271</v>
      </c>
      <c r="G268" s="202" t="s">
        <v>271</v>
      </c>
      <c r="H268" s="609"/>
      <c r="I268" s="609"/>
      <c r="J268" s="104"/>
      <c r="K268" s="104"/>
      <c r="L268" s="104"/>
      <c r="M268" s="104"/>
      <c r="N268" s="104"/>
      <c r="O268" s="104"/>
      <c r="P268" s="104"/>
      <c r="Q268" s="104"/>
      <c r="R268" s="104"/>
      <c r="S268" s="104"/>
      <c r="T268" s="104"/>
      <c r="U268" s="104"/>
      <c r="V268" s="104"/>
      <c r="W268" s="104"/>
      <c r="X268" s="104"/>
      <c r="Y268" s="104"/>
      <c r="Z268" s="104"/>
      <c r="AA268" s="104"/>
      <c r="AB268" s="104"/>
      <c r="AC268" s="104"/>
      <c r="AD268" s="104"/>
      <c r="AE268" s="104"/>
      <c r="AF268" s="104"/>
      <c r="AG268" s="104"/>
      <c r="AH268" s="104"/>
      <c r="AI268" s="104"/>
      <c r="AJ268" s="104"/>
      <c r="AK268" s="104"/>
      <c r="AL268" s="104"/>
      <c r="AM268" s="104"/>
      <c r="AN268" s="104"/>
      <c r="AO268" s="104"/>
      <c r="AP268" s="104"/>
      <c r="AQ268" s="104"/>
      <c r="AR268" s="104"/>
      <c r="AS268" s="104"/>
      <c r="AT268" s="104"/>
      <c r="AU268" s="104"/>
      <c r="AV268" s="104"/>
      <c r="AW268" s="104"/>
      <c r="AX268" s="104"/>
      <c r="AY268" s="104"/>
      <c r="AZ268" s="104"/>
      <c r="BA268" s="104"/>
      <c r="BB268" s="104"/>
      <c r="BC268" s="104"/>
      <c r="BD268" s="104"/>
      <c r="BE268" s="104"/>
      <c r="BF268" s="104"/>
      <c r="BG268" s="104"/>
      <c r="BH268" s="104"/>
      <c r="BI268" s="104"/>
      <c r="BJ268" s="104"/>
      <c r="BK268" s="104"/>
      <c r="BL268" s="104"/>
      <c r="BM268" s="104"/>
      <c r="BN268" s="104"/>
      <c r="BO268" s="104"/>
      <c r="BP268" s="104"/>
      <c r="BQ268" s="104"/>
      <c r="BR268" s="104"/>
      <c r="BS268" s="104"/>
      <c r="BT268" s="104"/>
      <c r="BU268" s="104"/>
      <c r="BV268" s="104"/>
      <c r="BW268" s="122"/>
      <c r="BX268" s="122"/>
      <c r="BY268" s="104"/>
      <c r="BZ268" s="122"/>
      <c r="CA268" s="122"/>
      <c r="CB268" s="104"/>
      <c r="CC268" s="104"/>
      <c r="CD268" s="122"/>
      <c r="CE268" s="104"/>
      <c r="CF268" s="104"/>
      <c r="CG268" s="104"/>
      <c r="CH268" s="104"/>
      <c r="CI268" s="104"/>
      <c r="CJ268" s="104"/>
      <c r="CK268" s="104"/>
      <c r="CL268" s="104"/>
      <c r="CM268" s="104"/>
      <c r="CN268" s="104"/>
      <c r="CO268" s="104"/>
      <c r="CP268" s="104"/>
      <c r="CQ268" s="104"/>
      <c r="CR268" s="104"/>
      <c r="CS268" s="104"/>
      <c r="CT268" s="104"/>
      <c r="CU268" s="104"/>
    </row>
    <row r="269">
      <c r="A269" s="595"/>
      <c r="B269" s="202" t="s">
        <v>271</v>
      </c>
      <c r="C269" s="196" t="s">
        <v>271</v>
      </c>
      <c r="D269" s="197" t="s">
        <v>271</v>
      </c>
      <c r="E269" s="199" t="s">
        <v>271</v>
      </c>
      <c r="F269" s="201" t="s">
        <v>271</v>
      </c>
      <c r="G269" s="202" t="s">
        <v>271</v>
      </c>
      <c r="H269" s="609"/>
      <c r="I269" s="609"/>
      <c r="J269" s="104"/>
      <c r="K269" s="104"/>
      <c r="L269" s="104"/>
      <c r="M269" s="104"/>
      <c r="N269" s="104"/>
      <c r="O269" s="104"/>
      <c r="P269" s="104"/>
      <c r="Q269" s="104"/>
      <c r="R269" s="104"/>
      <c r="S269" s="104"/>
      <c r="T269" s="104"/>
      <c r="U269" s="104"/>
      <c r="V269" s="104"/>
      <c r="W269" s="104"/>
      <c r="X269" s="104"/>
      <c r="Y269" s="104"/>
      <c r="Z269" s="104"/>
      <c r="AA269" s="104"/>
      <c r="AB269" s="104"/>
      <c r="AC269" s="104"/>
      <c r="AD269" s="104"/>
      <c r="AE269" s="104"/>
      <c r="AF269" s="104"/>
      <c r="AG269" s="104"/>
      <c r="AH269" s="104"/>
      <c r="AI269" s="104"/>
      <c r="AJ269" s="104"/>
      <c r="AK269" s="104"/>
      <c r="AL269" s="104"/>
      <c r="AM269" s="104"/>
      <c r="AN269" s="104"/>
      <c r="AO269" s="104"/>
      <c r="AP269" s="104"/>
      <c r="AQ269" s="104"/>
      <c r="AR269" s="104"/>
      <c r="AS269" s="104"/>
      <c r="AT269" s="104"/>
      <c r="AU269" s="104"/>
      <c r="AV269" s="104"/>
      <c r="AW269" s="104"/>
      <c r="AX269" s="104"/>
      <c r="AY269" s="104"/>
      <c r="AZ269" s="104"/>
      <c r="BA269" s="104"/>
      <c r="BB269" s="104"/>
      <c r="BC269" s="104"/>
      <c r="BD269" s="104"/>
      <c r="BE269" s="104"/>
      <c r="BF269" s="104"/>
      <c r="BG269" s="104"/>
      <c r="BH269" s="104"/>
      <c r="BI269" s="104"/>
      <c r="BJ269" s="104"/>
      <c r="BK269" s="104"/>
      <c r="BL269" s="104"/>
      <c r="BM269" s="104"/>
      <c r="BN269" s="104"/>
      <c r="BO269" s="104"/>
      <c r="BP269" s="104"/>
      <c r="BQ269" s="104"/>
      <c r="BR269" s="104"/>
      <c r="BS269" s="104"/>
      <c r="BT269" s="104"/>
      <c r="BU269" s="104"/>
      <c r="BV269" s="104"/>
      <c r="BW269" s="122"/>
      <c r="BX269" s="122"/>
      <c r="BY269" s="104"/>
      <c r="BZ269" s="122"/>
      <c r="CA269" s="122"/>
      <c r="CB269" s="104"/>
      <c r="CC269" s="104"/>
      <c r="CD269" s="122"/>
      <c r="CE269" s="104"/>
      <c r="CF269" s="104"/>
      <c r="CG269" s="104"/>
      <c r="CH269" s="104"/>
      <c r="CI269" s="104"/>
      <c r="CJ269" s="104"/>
      <c r="CK269" s="104"/>
      <c r="CL269" s="104"/>
      <c r="CM269" s="104"/>
      <c r="CN269" s="104"/>
      <c r="CO269" s="104"/>
      <c r="CP269" s="104"/>
      <c r="CQ269" s="104"/>
      <c r="CR269" s="104"/>
      <c r="CS269" s="104"/>
      <c r="CT269" s="104"/>
      <c r="CU269" s="104"/>
    </row>
    <row r="270">
      <c r="A270" s="595"/>
      <c r="B270" s="202" t="s">
        <v>271</v>
      </c>
      <c r="C270" s="196" t="s">
        <v>271</v>
      </c>
      <c r="D270" s="197" t="s">
        <v>271</v>
      </c>
      <c r="E270" s="199" t="s">
        <v>271</v>
      </c>
      <c r="F270" s="201" t="s">
        <v>271</v>
      </c>
      <c r="G270" s="202" t="s">
        <v>271</v>
      </c>
      <c r="H270" s="609"/>
      <c r="I270" s="609"/>
      <c r="J270" s="104"/>
      <c r="K270" s="104"/>
      <c r="L270" s="104"/>
      <c r="M270" s="104"/>
      <c r="N270" s="104"/>
      <c r="O270" s="104"/>
      <c r="P270" s="104"/>
      <c r="Q270" s="104"/>
      <c r="R270" s="104"/>
      <c r="S270" s="104"/>
      <c r="T270" s="104"/>
      <c r="U270" s="104"/>
      <c r="V270" s="104"/>
      <c r="W270" s="104"/>
      <c r="X270" s="104"/>
      <c r="Y270" s="104"/>
      <c r="Z270" s="104"/>
      <c r="AA270" s="104"/>
      <c r="AB270" s="104"/>
      <c r="AC270" s="104"/>
      <c r="AD270" s="104"/>
      <c r="AE270" s="104"/>
      <c r="AF270" s="104"/>
      <c r="AG270" s="104"/>
      <c r="AH270" s="104"/>
      <c r="AI270" s="104"/>
      <c r="AJ270" s="104"/>
      <c r="AK270" s="104"/>
      <c r="AL270" s="104"/>
      <c r="AM270" s="104"/>
      <c r="AN270" s="104"/>
      <c r="AO270" s="104"/>
      <c r="AP270" s="104"/>
      <c r="AQ270" s="104"/>
      <c r="AR270" s="104"/>
      <c r="AS270" s="104"/>
      <c r="AT270" s="104"/>
      <c r="AU270" s="104"/>
      <c r="AV270" s="104"/>
      <c r="AW270" s="104"/>
      <c r="AX270" s="104"/>
      <c r="AY270" s="104"/>
      <c r="AZ270" s="104"/>
      <c r="BA270" s="104"/>
      <c r="BB270" s="104"/>
      <c r="BC270" s="104"/>
      <c r="BD270" s="104"/>
      <c r="BE270" s="104"/>
      <c r="BF270" s="104"/>
      <c r="BG270" s="104"/>
      <c r="BH270" s="104"/>
      <c r="BI270" s="104"/>
      <c r="BJ270" s="104"/>
      <c r="BK270" s="104"/>
      <c r="BL270" s="104"/>
      <c r="BM270" s="104"/>
      <c r="BN270" s="104"/>
      <c r="BO270" s="104"/>
      <c r="BP270" s="104"/>
      <c r="BQ270" s="104"/>
      <c r="BR270" s="104"/>
      <c r="BS270" s="104"/>
      <c r="BT270" s="104"/>
      <c r="BU270" s="104"/>
      <c r="BV270" s="104"/>
      <c r="BW270" s="122"/>
      <c r="BX270" s="122"/>
      <c r="BY270" s="104"/>
      <c r="BZ270" s="122"/>
      <c r="CA270" s="122"/>
      <c r="CB270" s="104"/>
      <c r="CC270" s="104"/>
      <c r="CD270" s="122"/>
      <c r="CE270" s="104"/>
      <c r="CF270" s="104"/>
      <c r="CG270" s="104"/>
      <c r="CH270" s="104"/>
      <c r="CI270" s="104"/>
      <c r="CJ270" s="104"/>
      <c r="CK270" s="104"/>
      <c r="CL270" s="104"/>
      <c r="CM270" s="104"/>
      <c r="CN270" s="104"/>
      <c r="CO270" s="104"/>
      <c r="CP270" s="104"/>
      <c r="CQ270" s="104"/>
      <c r="CR270" s="104"/>
      <c r="CS270" s="104"/>
      <c r="CT270" s="104"/>
      <c r="CU270" s="104"/>
    </row>
    <row r="271">
      <c r="A271" s="595"/>
      <c r="B271" s="202" t="s">
        <v>271</v>
      </c>
      <c r="C271" s="196" t="s">
        <v>271</v>
      </c>
      <c r="D271" s="197" t="s">
        <v>271</v>
      </c>
      <c r="E271" s="199" t="s">
        <v>271</v>
      </c>
      <c r="F271" s="201" t="s">
        <v>271</v>
      </c>
      <c r="G271" s="202" t="s">
        <v>271</v>
      </c>
      <c r="H271" s="609"/>
      <c r="I271" s="609"/>
      <c r="J271" s="104"/>
      <c r="K271" s="104"/>
      <c r="L271" s="104"/>
      <c r="M271" s="104"/>
      <c r="N271" s="104"/>
      <c r="O271" s="104"/>
      <c r="P271" s="104"/>
      <c r="Q271" s="104"/>
      <c r="R271" s="104"/>
      <c r="S271" s="104"/>
      <c r="T271" s="104"/>
      <c r="U271" s="104"/>
      <c r="V271" s="104"/>
      <c r="W271" s="104"/>
      <c r="X271" s="104"/>
      <c r="Y271" s="104"/>
      <c r="Z271" s="104"/>
      <c r="AA271" s="104"/>
      <c r="AB271" s="104"/>
      <c r="AC271" s="104"/>
      <c r="AD271" s="104"/>
      <c r="AE271" s="104"/>
      <c r="AF271" s="104"/>
      <c r="AG271" s="104"/>
      <c r="AH271" s="104"/>
      <c r="AI271" s="104"/>
      <c r="AJ271" s="104"/>
      <c r="AK271" s="104"/>
      <c r="AL271" s="104"/>
      <c r="AM271" s="104"/>
      <c r="AN271" s="104"/>
      <c r="AO271" s="104"/>
      <c r="AP271" s="104"/>
      <c r="AQ271" s="104"/>
      <c r="AR271" s="104"/>
      <c r="AS271" s="104"/>
      <c r="AT271" s="104"/>
      <c r="AU271" s="104"/>
      <c r="AV271" s="104"/>
      <c r="AW271" s="104"/>
      <c r="AX271" s="104"/>
      <c r="AY271" s="104"/>
      <c r="AZ271" s="104"/>
      <c r="BA271" s="104"/>
      <c r="BB271" s="104"/>
      <c r="BC271" s="104"/>
      <c r="BD271" s="104"/>
      <c r="BE271" s="104"/>
      <c r="BF271" s="104"/>
      <c r="BG271" s="104"/>
      <c r="BH271" s="104"/>
      <c r="BI271" s="104"/>
      <c r="BJ271" s="104"/>
      <c r="BK271" s="104"/>
      <c r="BL271" s="104"/>
      <c r="BM271" s="104"/>
      <c r="BN271" s="104"/>
      <c r="BO271" s="104"/>
      <c r="BP271" s="104"/>
      <c r="BQ271" s="104"/>
      <c r="BR271" s="104"/>
      <c r="BS271" s="104"/>
      <c r="BT271" s="104"/>
      <c r="BU271" s="104"/>
      <c r="BV271" s="104"/>
      <c r="BW271" s="122"/>
      <c r="BX271" s="122"/>
      <c r="BY271" s="104"/>
      <c r="BZ271" s="122"/>
      <c r="CA271" s="122"/>
      <c r="CB271" s="104"/>
      <c r="CC271" s="104"/>
      <c r="CD271" s="122"/>
      <c r="CE271" s="104"/>
      <c r="CF271" s="104"/>
      <c r="CG271" s="104"/>
      <c r="CH271" s="104"/>
      <c r="CI271" s="104"/>
      <c r="CJ271" s="104"/>
      <c r="CK271" s="104"/>
      <c r="CL271" s="104"/>
      <c r="CM271" s="104"/>
      <c r="CN271" s="104"/>
      <c r="CO271" s="104"/>
      <c r="CP271" s="104"/>
      <c r="CQ271" s="104"/>
      <c r="CR271" s="104"/>
      <c r="CS271" s="104"/>
      <c r="CT271" s="104"/>
      <c r="CU271" s="104"/>
    </row>
    <row r="272">
      <c r="A272" s="595"/>
      <c r="B272" s="202" t="s">
        <v>271</v>
      </c>
      <c r="C272" s="196" t="s">
        <v>271</v>
      </c>
      <c r="D272" s="197" t="s">
        <v>271</v>
      </c>
      <c r="E272" s="199" t="s">
        <v>271</v>
      </c>
      <c r="F272" s="201" t="s">
        <v>271</v>
      </c>
      <c r="G272" s="202" t="s">
        <v>271</v>
      </c>
      <c r="H272" s="609"/>
      <c r="I272" s="609"/>
      <c r="J272" s="104"/>
      <c r="K272" s="104"/>
      <c r="L272" s="104"/>
      <c r="M272" s="104"/>
      <c r="N272" s="104"/>
      <c r="O272" s="104"/>
      <c r="P272" s="104"/>
      <c r="Q272" s="104"/>
      <c r="R272" s="104"/>
      <c r="S272" s="104"/>
      <c r="T272" s="104"/>
      <c r="U272" s="104"/>
      <c r="V272" s="104"/>
      <c r="W272" s="104"/>
      <c r="X272" s="104"/>
      <c r="Y272" s="104"/>
      <c r="Z272" s="104"/>
      <c r="AA272" s="104"/>
      <c r="AB272" s="104"/>
      <c r="AC272" s="104"/>
      <c r="AD272" s="104"/>
      <c r="AE272" s="104"/>
      <c r="AF272" s="104"/>
      <c r="AG272" s="104"/>
      <c r="AH272" s="104"/>
      <c r="AI272" s="104"/>
      <c r="AJ272" s="104"/>
      <c r="AK272" s="104"/>
      <c r="AL272" s="104"/>
      <c r="AM272" s="104"/>
      <c r="AN272" s="104"/>
      <c r="AO272" s="104"/>
      <c r="AP272" s="104"/>
      <c r="AQ272" s="104"/>
      <c r="AR272" s="104"/>
      <c r="AS272" s="104"/>
      <c r="AT272" s="104"/>
      <c r="AU272" s="104"/>
      <c r="AV272" s="104"/>
      <c r="AW272" s="104"/>
      <c r="AX272" s="104"/>
      <c r="AY272" s="104"/>
      <c r="AZ272" s="104"/>
      <c r="BA272" s="104"/>
      <c r="BB272" s="104"/>
      <c r="BC272" s="104"/>
      <c r="BD272" s="104"/>
      <c r="BE272" s="104"/>
      <c r="BF272" s="104"/>
      <c r="BG272" s="104"/>
      <c r="BH272" s="104"/>
      <c r="BI272" s="104"/>
      <c r="BJ272" s="104"/>
      <c r="BK272" s="104"/>
      <c r="BL272" s="104"/>
      <c r="BM272" s="104"/>
      <c r="BN272" s="104"/>
      <c r="BO272" s="104"/>
      <c r="BP272" s="104"/>
      <c r="BQ272" s="104"/>
      <c r="BR272" s="104"/>
      <c r="BS272" s="104"/>
      <c r="BT272" s="104"/>
      <c r="BU272" s="104"/>
      <c r="BV272" s="104"/>
      <c r="BW272" s="122"/>
      <c r="BX272" s="122"/>
      <c r="BY272" s="104"/>
      <c r="BZ272" s="122"/>
      <c r="CA272" s="122"/>
      <c r="CB272" s="104"/>
      <c r="CC272" s="104"/>
      <c r="CD272" s="122"/>
      <c r="CE272" s="104"/>
      <c r="CF272" s="104"/>
      <c r="CG272" s="104"/>
      <c r="CH272" s="104"/>
      <c r="CI272" s="104"/>
      <c r="CJ272" s="104"/>
      <c r="CK272" s="104"/>
      <c r="CL272" s="104"/>
      <c r="CM272" s="104"/>
      <c r="CN272" s="104"/>
      <c r="CO272" s="104"/>
      <c r="CP272" s="104"/>
      <c r="CQ272" s="104"/>
      <c r="CR272" s="104"/>
      <c r="CS272" s="104"/>
      <c r="CT272" s="104"/>
      <c r="CU272" s="104"/>
    </row>
    <row r="273">
      <c r="A273" s="595"/>
      <c r="B273" s="202" t="s">
        <v>271</v>
      </c>
      <c r="C273" s="196" t="s">
        <v>271</v>
      </c>
      <c r="D273" s="197" t="s">
        <v>271</v>
      </c>
      <c r="E273" s="199" t="s">
        <v>271</v>
      </c>
      <c r="F273" s="201" t="s">
        <v>271</v>
      </c>
      <c r="G273" s="202" t="s">
        <v>271</v>
      </c>
      <c r="H273" s="609"/>
      <c r="I273" s="609"/>
      <c r="J273" s="104"/>
      <c r="K273" s="104"/>
      <c r="L273" s="104"/>
      <c r="M273" s="104"/>
      <c r="N273" s="104"/>
      <c r="O273" s="104"/>
      <c r="P273" s="104"/>
      <c r="Q273" s="104"/>
      <c r="R273" s="104"/>
      <c r="S273" s="104"/>
      <c r="T273" s="104"/>
      <c r="U273" s="104"/>
      <c r="V273" s="104"/>
      <c r="W273" s="104"/>
      <c r="X273" s="104"/>
      <c r="Y273" s="104"/>
      <c r="Z273" s="104"/>
      <c r="AA273" s="104"/>
      <c r="AB273" s="104"/>
      <c r="AC273" s="104"/>
      <c r="AD273" s="104"/>
      <c r="AE273" s="104"/>
      <c r="AF273" s="104"/>
      <c r="AG273" s="104"/>
      <c r="AH273" s="104"/>
      <c r="AI273" s="104"/>
      <c r="AJ273" s="104"/>
      <c r="AK273" s="104"/>
      <c r="AL273" s="104"/>
      <c r="AM273" s="104"/>
      <c r="AN273" s="104"/>
      <c r="AO273" s="104"/>
      <c r="AP273" s="104"/>
      <c r="AQ273" s="104"/>
      <c r="AR273" s="104"/>
      <c r="AS273" s="104"/>
      <c r="AT273" s="104"/>
      <c r="AU273" s="104"/>
      <c r="AV273" s="104"/>
      <c r="AW273" s="104"/>
      <c r="AX273" s="104"/>
      <c r="AY273" s="104"/>
      <c r="AZ273" s="104"/>
      <c r="BA273" s="104"/>
      <c r="BB273" s="104"/>
      <c r="BC273" s="104"/>
      <c r="BD273" s="104"/>
      <c r="BE273" s="104"/>
      <c r="BF273" s="104"/>
      <c r="BG273" s="104"/>
      <c r="BH273" s="104"/>
      <c r="BI273" s="104"/>
      <c r="BJ273" s="104"/>
      <c r="BK273" s="104"/>
      <c r="BL273" s="104"/>
      <c r="BM273" s="104"/>
      <c r="BN273" s="104"/>
      <c r="BO273" s="104"/>
      <c r="BP273" s="104"/>
      <c r="BQ273" s="104"/>
      <c r="BR273" s="104"/>
      <c r="BS273" s="104"/>
      <c r="BT273" s="104"/>
      <c r="BU273" s="104"/>
      <c r="BV273" s="104"/>
      <c r="BW273" s="122"/>
      <c r="BX273" s="122"/>
      <c r="BY273" s="104"/>
      <c r="BZ273" s="122"/>
      <c r="CA273" s="122"/>
      <c r="CB273" s="104"/>
      <c r="CC273" s="104"/>
      <c r="CD273" s="122"/>
      <c r="CE273" s="104"/>
      <c r="CF273" s="104"/>
      <c r="CG273" s="104"/>
      <c r="CH273" s="104"/>
      <c r="CI273" s="104"/>
      <c r="CJ273" s="104"/>
      <c r="CK273" s="104"/>
      <c r="CL273" s="104"/>
      <c r="CM273" s="104"/>
      <c r="CN273" s="104"/>
      <c r="CO273" s="104"/>
      <c r="CP273" s="104"/>
      <c r="CQ273" s="104"/>
      <c r="CR273" s="104"/>
      <c r="CS273" s="104"/>
      <c r="CT273" s="104"/>
      <c r="CU273" s="104"/>
    </row>
    <row r="274">
      <c r="A274" s="595"/>
      <c r="B274" s="202" t="s">
        <v>271</v>
      </c>
      <c r="C274" s="196" t="s">
        <v>271</v>
      </c>
      <c r="D274" s="197" t="s">
        <v>271</v>
      </c>
      <c r="E274" s="199" t="s">
        <v>271</v>
      </c>
      <c r="F274" s="201" t="s">
        <v>271</v>
      </c>
      <c r="G274" s="202" t="s">
        <v>271</v>
      </c>
      <c r="H274" s="609"/>
      <c r="I274" s="609"/>
      <c r="J274" s="104"/>
      <c r="K274" s="104"/>
      <c r="L274" s="104"/>
      <c r="M274" s="104"/>
      <c r="N274" s="104"/>
      <c r="O274" s="104"/>
      <c r="P274" s="104"/>
      <c r="Q274" s="104"/>
      <c r="R274" s="104"/>
      <c r="S274" s="104"/>
      <c r="T274" s="104"/>
      <c r="U274" s="104"/>
      <c r="V274" s="104"/>
      <c r="W274" s="104"/>
      <c r="X274" s="104"/>
      <c r="Y274" s="104"/>
      <c r="Z274" s="104"/>
      <c r="AA274" s="104"/>
      <c r="AB274" s="104"/>
      <c r="AC274" s="104"/>
      <c r="AD274" s="104"/>
      <c r="AE274" s="104"/>
      <c r="AF274" s="104"/>
      <c r="AG274" s="104"/>
      <c r="AH274" s="104"/>
      <c r="AI274" s="104"/>
      <c r="AJ274" s="104"/>
      <c r="AK274" s="104"/>
      <c r="AL274" s="104"/>
      <c r="AM274" s="104"/>
      <c r="AN274" s="104"/>
      <c r="AO274" s="104"/>
      <c r="AP274" s="104"/>
      <c r="AQ274" s="104"/>
      <c r="AR274" s="104"/>
      <c r="AS274" s="104"/>
      <c r="AT274" s="104"/>
      <c r="AU274" s="104"/>
      <c r="AV274" s="104"/>
      <c r="AW274" s="104"/>
      <c r="AX274" s="104"/>
      <c r="AY274" s="104"/>
      <c r="AZ274" s="104"/>
      <c r="BA274" s="104"/>
      <c r="BB274" s="104"/>
      <c r="BC274" s="104"/>
      <c r="BD274" s="104"/>
      <c r="BE274" s="104"/>
      <c r="BF274" s="104"/>
      <c r="BG274" s="104"/>
      <c r="BH274" s="104"/>
      <c r="BI274" s="104"/>
      <c r="BJ274" s="104"/>
      <c r="BK274" s="104"/>
      <c r="BL274" s="104"/>
      <c r="BM274" s="104"/>
      <c r="BN274" s="104"/>
      <c r="BO274" s="104"/>
      <c r="BP274" s="104"/>
      <c r="BQ274" s="104"/>
      <c r="BR274" s="104"/>
      <c r="BS274" s="104"/>
      <c r="BT274" s="104"/>
      <c r="BU274" s="104"/>
      <c r="BV274" s="104"/>
      <c r="BW274" s="122"/>
      <c r="BX274" s="122"/>
      <c r="BY274" s="104"/>
      <c r="BZ274" s="122"/>
      <c r="CA274" s="122"/>
      <c r="CB274" s="104"/>
      <c r="CC274" s="104"/>
      <c r="CD274" s="122"/>
      <c r="CE274" s="104"/>
      <c r="CF274" s="104"/>
      <c r="CG274" s="104"/>
      <c r="CH274" s="104"/>
      <c r="CI274" s="104"/>
      <c r="CJ274" s="104"/>
      <c r="CK274" s="104"/>
      <c r="CL274" s="104"/>
      <c r="CM274" s="104"/>
      <c r="CN274" s="104"/>
      <c r="CO274" s="104"/>
      <c r="CP274" s="104"/>
      <c r="CQ274" s="104"/>
      <c r="CR274" s="104"/>
      <c r="CS274" s="104"/>
      <c r="CT274" s="104"/>
      <c r="CU274" s="104"/>
    </row>
    <row r="275">
      <c r="A275" s="595"/>
      <c r="B275" s="202" t="s">
        <v>271</v>
      </c>
      <c r="C275" s="196" t="s">
        <v>271</v>
      </c>
      <c r="D275" s="197" t="s">
        <v>271</v>
      </c>
      <c r="E275" s="199" t="s">
        <v>271</v>
      </c>
      <c r="F275" s="201" t="s">
        <v>271</v>
      </c>
      <c r="G275" s="202" t="s">
        <v>271</v>
      </c>
      <c r="H275" s="609"/>
      <c r="I275" s="609"/>
      <c r="J275" s="104"/>
      <c r="K275" s="104"/>
      <c r="L275" s="104"/>
      <c r="M275" s="104"/>
      <c r="N275" s="104"/>
      <c r="O275" s="104"/>
      <c r="P275" s="104"/>
      <c r="Q275" s="104"/>
      <c r="R275" s="104"/>
      <c r="S275" s="104"/>
      <c r="T275" s="104"/>
      <c r="U275" s="104"/>
      <c r="V275" s="104"/>
      <c r="W275" s="104"/>
      <c r="X275" s="104"/>
      <c r="Y275" s="104"/>
      <c r="Z275" s="104"/>
      <c r="AA275" s="104"/>
      <c r="AB275" s="104"/>
      <c r="AC275" s="104"/>
      <c r="AD275" s="104"/>
      <c r="AE275" s="104"/>
      <c r="AF275" s="104"/>
      <c r="AG275" s="104"/>
      <c r="AH275" s="104"/>
      <c r="AI275" s="104"/>
      <c r="AJ275" s="104"/>
      <c r="AK275" s="104"/>
      <c r="AL275" s="104"/>
      <c r="AM275" s="104"/>
      <c r="AN275" s="104"/>
      <c r="AO275" s="104"/>
      <c r="AP275" s="104"/>
      <c r="AQ275" s="104"/>
      <c r="AR275" s="104"/>
      <c r="AS275" s="104"/>
      <c r="AT275" s="104"/>
      <c r="AU275" s="104"/>
      <c r="AV275" s="104"/>
      <c r="AW275" s="104"/>
      <c r="AX275" s="104"/>
      <c r="AY275" s="104"/>
      <c r="AZ275" s="104"/>
      <c r="BA275" s="104"/>
      <c r="BB275" s="104"/>
      <c r="BC275" s="104"/>
      <c r="BD275" s="104"/>
      <c r="BE275" s="104"/>
      <c r="BF275" s="104"/>
      <c r="BG275" s="104"/>
      <c r="BH275" s="104"/>
      <c r="BI275" s="104"/>
      <c r="BJ275" s="104"/>
      <c r="BK275" s="104"/>
      <c r="BL275" s="104"/>
      <c r="BM275" s="104"/>
      <c r="BN275" s="104"/>
      <c r="BO275" s="104"/>
      <c r="BP275" s="104"/>
      <c r="BQ275" s="104"/>
      <c r="BR275" s="104"/>
      <c r="BS275" s="104"/>
      <c r="BT275" s="104"/>
      <c r="BU275" s="104"/>
      <c r="BV275" s="104"/>
      <c r="BW275" s="122"/>
      <c r="BX275" s="122"/>
      <c r="BY275" s="104"/>
      <c r="BZ275" s="122"/>
      <c r="CA275" s="122"/>
      <c r="CB275" s="104"/>
      <c r="CC275" s="104"/>
      <c r="CD275" s="122"/>
      <c r="CE275" s="104"/>
      <c r="CF275" s="104"/>
      <c r="CG275" s="104"/>
      <c r="CH275" s="104"/>
      <c r="CI275" s="104"/>
      <c r="CJ275" s="104"/>
      <c r="CK275" s="104"/>
      <c r="CL275" s="104"/>
      <c r="CM275" s="104"/>
      <c r="CN275" s="104"/>
      <c r="CO275" s="104"/>
      <c r="CP275" s="104"/>
      <c r="CQ275" s="104"/>
      <c r="CR275" s="104"/>
      <c r="CS275" s="104"/>
      <c r="CT275" s="104"/>
      <c r="CU275" s="104"/>
    </row>
    <row r="276">
      <c r="A276" s="595"/>
      <c r="B276" s="202" t="s">
        <v>271</v>
      </c>
      <c r="C276" s="196" t="s">
        <v>271</v>
      </c>
      <c r="D276" s="197" t="s">
        <v>271</v>
      </c>
      <c r="E276" s="199" t="s">
        <v>271</v>
      </c>
      <c r="F276" s="201" t="s">
        <v>271</v>
      </c>
      <c r="G276" s="202" t="s">
        <v>271</v>
      </c>
      <c r="H276" s="609"/>
      <c r="I276" s="609"/>
      <c r="J276" s="104"/>
      <c r="K276" s="104"/>
      <c r="L276" s="104"/>
      <c r="M276" s="104"/>
      <c r="N276" s="104"/>
      <c r="O276" s="104"/>
      <c r="P276" s="104"/>
      <c r="Q276" s="104"/>
      <c r="R276" s="104"/>
      <c r="S276" s="104"/>
      <c r="T276" s="104"/>
      <c r="U276" s="104"/>
      <c r="V276" s="104"/>
      <c r="W276" s="104"/>
      <c r="X276" s="104"/>
      <c r="Y276" s="104"/>
      <c r="Z276" s="104"/>
      <c r="AA276" s="104"/>
      <c r="AB276" s="104"/>
      <c r="AC276" s="104"/>
      <c r="AD276" s="104"/>
      <c r="AE276" s="104"/>
      <c r="AF276" s="104"/>
      <c r="AG276" s="104"/>
      <c r="AH276" s="104"/>
      <c r="AI276" s="104"/>
      <c r="AJ276" s="104"/>
      <c r="AK276" s="104"/>
      <c r="AL276" s="104"/>
      <c r="AM276" s="104"/>
      <c r="AN276" s="104"/>
      <c r="AO276" s="104"/>
      <c r="AP276" s="104"/>
      <c r="AQ276" s="104"/>
      <c r="AR276" s="104"/>
      <c r="AS276" s="104"/>
      <c r="AT276" s="104"/>
      <c r="AU276" s="104"/>
      <c r="AV276" s="104"/>
      <c r="AW276" s="104"/>
      <c r="AX276" s="104"/>
      <c r="AY276" s="104"/>
      <c r="AZ276" s="104"/>
      <c r="BA276" s="104"/>
      <c r="BB276" s="104"/>
      <c r="BC276" s="104"/>
      <c r="BD276" s="104"/>
      <c r="BE276" s="104"/>
      <c r="BF276" s="104"/>
      <c r="BG276" s="104"/>
      <c r="BH276" s="104"/>
      <c r="BI276" s="104"/>
      <c r="BJ276" s="104"/>
      <c r="BK276" s="104"/>
      <c r="BL276" s="104"/>
      <c r="BM276" s="104"/>
      <c r="BN276" s="104"/>
      <c r="BO276" s="104"/>
      <c r="BP276" s="104"/>
      <c r="BQ276" s="104"/>
      <c r="BR276" s="104"/>
      <c r="BS276" s="104"/>
      <c r="BT276" s="104"/>
      <c r="BU276" s="104"/>
      <c r="BV276" s="104"/>
      <c r="BW276" s="122"/>
      <c r="BX276" s="122"/>
      <c r="BY276" s="104"/>
      <c r="BZ276" s="122"/>
      <c r="CA276" s="122"/>
      <c r="CB276" s="104"/>
      <c r="CC276" s="104"/>
      <c r="CD276" s="122"/>
      <c r="CE276" s="104"/>
      <c r="CF276" s="104"/>
      <c r="CG276" s="104"/>
      <c r="CH276" s="104"/>
      <c r="CI276" s="104"/>
      <c r="CJ276" s="104"/>
      <c r="CK276" s="104"/>
      <c r="CL276" s="104"/>
      <c r="CM276" s="104"/>
      <c r="CN276" s="104"/>
      <c r="CO276" s="104"/>
      <c r="CP276" s="104"/>
      <c r="CQ276" s="104"/>
      <c r="CR276" s="104"/>
      <c r="CS276" s="104"/>
      <c r="CT276" s="104"/>
      <c r="CU276" s="104"/>
    </row>
    <row r="277">
      <c r="A277" s="595"/>
      <c r="B277" s="202" t="s">
        <v>271</v>
      </c>
      <c r="C277" s="196" t="s">
        <v>271</v>
      </c>
      <c r="D277" s="197" t="s">
        <v>271</v>
      </c>
      <c r="E277" s="199" t="s">
        <v>271</v>
      </c>
      <c r="F277" s="201" t="s">
        <v>271</v>
      </c>
      <c r="G277" s="202" t="s">
        <v>271</v>
      </c>
      <c r="H277" s="609"/>
      <c r="I277" s="609"/>
      <c r="J277" s="104"/>
      <c r="K277" s="104"/>
      <c r="L277" s="104"/>
      <c r="M277" s="104"/>
      <c r="N277" s="104"/>
      <c r="O277" s="104"/>
      <c r="P277" s="104"/>
      <c r="Q277" s="104"/>
      <c r="R277" s="104"/>
      <c r="S277" s="104"/>
      <c r="T277" s="104"/>
      <c r="U277" s="104"/>
      <c r="V277" s="104"/>
      <c r="W277" s="104"/>
      <c r="X277" s="104"/>
      <c r="Y277" s="104"/>
      <c r="Z277" s="104"/>
      <c r="AA277" s="104"/>
      <c r="AB277" s="104"/>
      <c r="AC277" s="104"/>
      <c r="AD277" s="104"/>
      <c r="AE277" s="104"/>
      <c r="AF277" s="104"/>
      <c r="AG277" s="104"/>
      <c r="AH277" s="104"/>
      <c r="AI277" s="104"/>
      <c r="AJ277" s="104"/>
      <c r="AK277" s="104"/>
      <c r="AL277" s="104"/>
      <c r="AM277" s="104"/>
      <c r="AN277" s="104"/>
      <c r="AO277" s="104"/>
      <c r="AP277" s="104"/>
      <c r="AQ277" s="104"/>
      <c r="AR277" s="104"/>
      <c r="AS277" s="104"/>
      <c r="AT277" s="104"/>
      <c r="AU277" s="104"/>
      <c r="AV277" s="104"/>
      <c r="AW277" s="104"/>
      <c r="AX277" s="104"/>
      <c r="AY277" s="104"/>
      <c r="AZ277" s="104"/>
      <c r="BA277" s="104"/>
      <c r="BB277" s="104"/>
      <c r="BC277" s="104"/>
      <c r="BD277" s="104"/>
      <c r="BE277" s="104"/>
      <c r="BF277" s="104"/>
      <c r="BG277" s="104"/>
      <c r="BH277" s="104"/>
      <c r="BI277" s="104"/>
      <c r="BJ277" s="104"/>
      <c r="BK277" s="104"/>
      <c r="BL277" s="104"/>
      <c r="BM277" s="104"/>
      <c r="BN277" s="104"/>
      <c r="BO277" s="104"/>
      <c r="BP277" s="104"/>
      <c r="BQ277" s="104"/>
      <c r="BR277" s="104"/>
      <c r="BS277" s="104"/>
      <c r="BT277" s="104"/>
      <c r="BU277" s="104"/>
      <c r="BV277" s="104"/>
      <c r="BW277" s="122"/>
      <c r="BX277" s="122"/>
      <c r="BY277" s="104"/>
      <c r="BZ277" s="122"/>
      <c r="CA277" s="122"/>
      <c r="CB277" s="104"/>
      <c r="CC277" s="104"/>
      <c r="CD277" s="122"/>
      <c r="CE277" s="104"/>
      <c r="CF277" s="104"/>
      <c r="CG277" s="104"/>
      <c r="CH277" s="104"/>
      <c r="CI277" s="104"/>
      <c r="CJ277" s="104"/>
      <c r="CK277" s="104"/>
      <c r="CL277" s="104"/>
      <c r="CM277" s="104"/>
      <c r="CN277" s="104"/>
      <c r="CO277" s="104"/>
      <c r="CP277" s="104"/>
      <c r="CQ277" s="104"/>
      <c r="CR277" s="104"/>
      <c r="CS277" s="104"/>
      <c r="CT277" s="104"/>
      <c r="CU277" s="104"/>
    </row>
    <row r="278">
      <c r="A278" s="595"/>
      <c r="B278" s="202" t="s">
        <v>271</v>
      </c>
      <c r="C278" s="196" t="s">
        <v>271</v>
      </c>
      <c r="D278" s="197" t="s">
        <v>271</v>
      </c>
      <c r="E278" s="199" t="s">
        <v>271</v>
      </c>
      <c r="F278" s="201" t="s">
        <v>271</v>
      </c>
      <c r="G278" s="202" t="s">
        <v>271</v>
      </c>
      <c r="H278" s="609"/>
      <c r="I278" s="609"/>
      <c r="J278" s="104"/>
      <c r="K278" s="104"/>
      <c r="L278" s="104"/>
      <c r="M278" s="104"/>
      <c r="N278" s="104"/>
      <c r="O278" s="104"/>
      <c r="P278" s="104"/>
      <c r="Q278" s="104"/>
      <c r="R278" s="104"/>
      <c r="S278" s="104"/>
      <c r="T278" s="104"/>
      <c r="U278" s="104"/>
      <c r="V278" s="104"/>
      <c r="W278" s="104"/>
      <c r="X278" s="104"/>
      <c r="Y278" s="104"/>
      <c r="Z278" s="104"/>
      <c r="AA278" s="104"/>
      <c r="AB278" s="104"/>
      <c r="AC278" s="104"/>
      <c r="AD278" s="104"/>
      <c r="AE278" s="104"/>
      <c r="AF278" s="104"/>
      <c r="AG278" s="104"/>
      <c r="AH278" s="104"/>
      <c r="AI278" s="104"/>
      <c r="AJ278" s="104"/>
      <c r="AK278" s="104"/>
      <c r="AL278" s="104"/>
      <c r="AM278" s="104"/>
      <c r="AN278" s="104"/>
      <c r="AO278" s="104"/>
      <c r="AP278" s="104"/>
      <c r="AQ278" s="104"/>
      <c r="AR278" s="104"/>
      <c r="AS278" s="104"/>
      <c r="AT278" s="104"/>
      <c r="AU278" s="104"/>
      <c r="AV278" s="104"/>
      <c r="AW278" s="104"/>
      <c r="AX278" s="104"/>
      <c r="AY278" s="104"/>
      <c r="AZ278" s="104"/>
      <c r="BA278" s="104"/>
      <c r="BB278" s="104"/>
      <c r="BC278" s="104"/>
      <c r="BD278" s="104"/>
      <c r="BE278" s="104"/>
      <c r="BF278" s="104"/>
      <c r="BG278" s="104"/>
      <c r="BH278" s="104"/>
      <c r="BI278" s="104"/>
      <c r="BJ278" s="104"/>
      <c r="BK278" s="104"/>
      <c r="BL278" s="104"/>
      <c r="BM278" s="104"/>
      <c r="BN278" s="104"/>
      <c r="BO278" s="104"/>
      <c r="BP278" s="104"/>
      <c r="BQ278" s="104"/>
      <c r="BR278" s="104"/>
      <c r="BS278" s="104"/>
      <c r="BT278" s="104"/>
      <c r="BU278" s="104"/>
      <c r="BV278" s="104"/>
      <c r="BW278" s="122"/>
      <c r="BX278" s="122"/>
      <c r="BY278" s="104"/>
      <c r="BZ278" s="122"/>
      <c r="CA278" s="122"/>
      <c r="CB278" s="104"/>
      <c r="CC278" s="104"/>
      <c r="CD278" s="122"/>
      <c r="CE278" s="104"/>
      <c r="CF278" s="104"/>
      <c r="CG278" s="104"/>
      <c r="CH278" s="104"/>
      <c r="CI278" s="104"/>
      <c r="CJ278" s="104"/>
      <c r="CK278" s="104"/>
      <c r="CL278" s="104"/>
      <c r="CM278" s="104"/>
      <c r="CN278" s="104"/>
      <c r="CO278" s="104"/>
      <c r="CP278" s="104"/>
      <c r="CQ278" s="104"/>
      <c r="CR278" s="104"/>
      <c r="CS278" s="104"/>
      <c r="CT278" s="104"/>
      <c r="CU278" s="104"/>
    </row>
    <row r="279">
      <c r="A279" s="595"/>
      <c r="B279" s="202" t="s">
        <v>271</v>
      </c>
      <c r="C279" s="196" t="s">
        <v>271</v>
      </c>
      <c r="D279" s="197" t="s">
        <v>271</v>
      </c>
      <c r="E279" s="199" t="s">
        <v>271</v>
      </c>
      <c r="F279" s="201" t="s">
        <v>271</v>
      </c>
      <c r="G279" s="202" t="s">
        <v>271</v>
      </c>
      <c r="H279" s="609"/>
      <c r="I279" s="609"/>
      <c r="J279" s="104"/>
      <c r="K279" s="104"/>
      <c r="L279" s="104"/>
      <c r="M279" s="104"/>
      <c r="N279" s="104"/>
      <c r="O279" s="104"/>
      <c r="P279" s="104"/>
      <c r="Q279" s="104"/>
      <c r="R279" s="104"/>
      <c r="S279" s="104"/>
      <c r="T279" s="104"/>
      <c r="U279" s="104"/>
      <c r="V279" s="104"/>
      <c r="W279" s="104"/>
      <c r="X279" s="104"/>
      <c r="Y279" s="104"/>
      <c r="Z279" s="104"/>
      <c r="AA279" s="104"/>
      <c r="AB279" s="104"/>
      <c r="AC279" s="104"/>
      <c r="AD279" s="104"/>
      <c r="AE279" s="104"/>
      <c r="AF279" s="104"/>
      <c r="AG279" s="104"/>
      <c r="AH279" s="104"/>
      <c r="AI279" s="104"/>
      <c r="AJ279" s="104"/>
      <c r="AK279" s="104"/>
      <c r="AL279" s="104"/>
      <c r="AM279" s="104"/>
      <c r="AN279" s="104"/>
      <c r="AO279" s="104"/>
      <c r="AP279" s="104"/>
      <c r="AQ279" s="104"/>
      <c r="AR279" s="104"/>
      <c r="AS279" s="104"/>
      <c r="AT279" s="104"/>
      <c r="AU279" s="104"/>
      <c r="AV279" s="104"/>
      <c r="AW279" s="104"/>
      <c r="AX279" s="104"/>
      <c r="AY279" s="104"/>
      <c r="AZ279" s="104"/>
      <c r="BA279" s="104"/>
      <c r="BB279" s="104"/>
      <c r="BC279" s="104"/>
      <c r="BD279" s="104"/>
      <c r="BE279" s="104"/>
      <c r="BF279" s="104"/>
      <c r="BG279" s="104"/>
      <c r="BH279" s="104"/>
      <c r="BI279" s="104"/>
      <c r="BJ279" s="104"/>
      <c r="BK279" s="104"/>
      <c r="BL279" s="104"/>
      <c r="BM279" s="104"/>
      <c r="BN279" s="104"/>
      <c r="BO279" s="104"/>
      <c r="BP279" s="104"/>
      <c r="BQ279" s="104"/>
      <c r="BR279" s="104"/>
      <c r="BS279" s="104"/>
      <c r="BT279" s="104"/>
      <c r="BU279" s="104"/>
      <c r="BV279" s="104"/>
      <c r="BW279" s="122"/>
      <c r="BX279" s="122"/>
      <c r="BY279" s="104"/>
      <c r="BZ279" s="122"/>
      <c r="CA279" s="122"/>
      <c r="CB279" s="104"/>
      <c r="CC279" s="104"/>
      <c r="CD279" s="122"/>
      <c r="CE279" s="104"/>
      <c r="CF279" s="104"/>
      <c r="CG279" s="104"/>
      <c r="CH279" s="104"/>
      <c r="CI279" s="104"/>
      <c r="CJ279" s="104"/>
      <c r="CK279" s="104"/>
      <c r="CL279" s="104"/>
      <c r="CM279" s="104"/>
      <c r="CN279" s="104"/>
      <c r="CO279" s="104"/>
      <c r="CP279" s="104"/>
      <c r="CQ279" s="104"/>
      <c r="CR279" s="104"/>
      <c r="CS279" s="104"/>
      <c r="CT279" s="104"/>
      <c r="CU279" s="104"/>
    </row>
    <row r="280">
      <c r="A280" s="595"/>
      <c r="B280" s="202" t="s">
        <v>271</v>
      </c>
      <c r="C280" s="196" t="s">
        <v>271</v>
      </c>
      <c r="D280" s="197" t="s">
        <v>271</v>
      </c>
      <c r="E280" s="199" t="s">
        <v>271</v>
      </c>
      <c r="F280" s="201" t="s">
        <v>271</v>
      </c>
      <c r="G280" s="202" t="s">
        <v>271</v>
      </c>
      <c r="H280" s="609"/>
      <c r="I280" s="609"/>
      <c r="J280" s="104"/>
      <c r="K280" s="104"/>
      <c r="L280" s="104"/>
      <c r="M280" s="104"/>
      <c r="N280" s="104"/>
      <c r="O280" s="104"/>
      <c r="P280" s="104"/>
      <c r="Q280" s="104"/>
      <c r="R280" s="104"/>
      <c r="S280" s="104"/>
      <c r="T280" s="104"/>
      <c r="U280" s="104"/>
      <c r="V280" s="104"/>
      <c r="W280" s="104"/>
      <c r="X280" s="104"/>
      <c r="Y280" s="104"/>
      <c r="Z280" s="104"/>
      <c r="AA280" s="104"/>
      <c r="AB280" s="104"/>
      <c r="AC280" s="104"/>
      <c r="AD280" s="104"/>
      <c r="AE280" s="104"/>
      <c r="AF280" s="104"/>
      <c r="AG280" s="104"/>
      <c r="AH280" s="104"/>
      <c r="AI280" s="104"/>
      <c r="AJ280" s="104"/>
      <c r="AK280" s="104"/>
      <c r="AL280" s="104"/>
      <c r="AM280" s="104"/>
      <c r="AN280" s="104"/>
      <c r="AO280" s="104"/>
      <c r="AP280" s="104"/>
      <c r="AQ280" s="104"/>
      <c r="AR280" s="104"/>
      <c r="AS280" s="104"/>
      <c r="AT280" s="104"/>
      <c r="AU280" s="104"/>
      <c r="AV280" s="104"/>
      <c r="AW280" s="104"/>
      <c r="AX280" s="104"/>
      <c r="AY280" s="104"/>
      <c r="AZ280" s="104"/>
      <c r="BA280" s="104"/>
      <c r="BB280" s="104"/>
      <c r="BC280" s="104"/>
      <c r="BD280" s="104"/>
      <c r="BE280" s="104"/>
      <c r="BF280" s="104"/>
      <c r="BG280" s="104"/>
      <c r="BH280" s="104"/>
      <c r="BI280" s="104"/>
      <c r="BJ280" s="104"/>
      <c r="BK280" s="104"/>
      <c r="BL280" s="104"/>
      <c r="BM280" s="104"/>
      <c r="BN280" s="104"/>
      <c r="BO280" s="104"/>
      <c r="BP280" s="104"/>
      <c r="BQ280" s="104"/>
      <c r="BR280" s="104"/>
      <c r="BS280" s="104"/>
      <c r="BT280" s="104"/>
      <c r="BU280" s="104"/>
      <c r="BV280" s="104"/>
      <c r="BW280" s="122"/>
      <c r="BX280" s="122"/>
      <c r="BY280" s="104"/>
      <c r="BZ280" s="122"/>
      <c r="CA280" s="122"/>
      <c r="CB280" s="104"/>
      <c r="CC280" s="104"/>
      <c r="CD280" s="122"/>
      <c r="CE280" s="104"/>
      <c r="CF280" s="104"/>
      <c r="CG280" s="104"/>
      <c r="CH280" s="104"/>
      <c r="CI280" s="104"/>
      <c r="CJ280" s="104"/>
      <c r="CK280" s="104"/>
      <c r="CL280" s="104"/>
      <c r="CM280" s="104"/>
      <c r="CN280" s="104"/>
      <c r="CO280" s="104"/>
      <c r="CP280" s="104"/>
      <c r="CQ280" s="104"/>
      <c r="CR280" s="104"/>
      <c r="CS280" s="104"/>
      <c r="CT280" s="104"/>
      <c r="CU280" s="104"/>
    </row>
    <row r="281">
      <c r="A281" s="595"/>
      <c r="B281" s="202" t="s">
        <v>271</v>
      </c>
      <c r="C281" s="196" t="s">
        <v>271</v>
      </c>
      <c r="D281" s="197" t="s">
        <v>271</v>
      </c>
      <c r="E281" s="199" t="s">
        <v>271</v>
      </c>
      <c r="F281" s="201" t="s">
        <v>271</v>
      </c>
      <c r="G281" s="202" t="s">
        <v>271</v>
      </c>
      <c r="H281" s="609"/>
      <c r="I281" s="609"/>
      <c r="J281" s="104"/>
      <c r="K281" s="104"/>
      <c r="L281" s="104"/>
      <c r="M281" s="104"/>
      <c r="N281" s="104"/>
      <c r="O281" s="104"/>
      <c r="P281" s="104"/>
      <c r="Q281" s="104"/>
      <c r="R281" s="104"/>
      <c r="S281" s="104"/>
      <c r="T281" s="104"/>
      <c r="U281" s="104"/>
      <c r="V281" s="104"/>
      <c r="W281" s="104"/>
      <c r="X281" s="104"/>
      <c r="Y281" s="104"/>
      <c r="Z281" s="104"/>
      <c r="AA281" s="104"/>
      <c r="AB281" s="104"/>
      <c r="AC281" s="104"/>
      <c r="AD281" s="104"/>
      <c r="AE281" s="104"/>
      <c r="AF281" s="104"/>
      <c r="AG281" s="104"/>
      <c r="AH281" s="104"/>
      <c r="AI281" s="104"/>
      <c r="AJ281" s="104"/>
      <c r="AK281" s="104"/>
      <c r="AL281" s="104"/>
      <c r="AM281" s="104"/>
      <c r="AN281" s="104"/>
      <c r="AO281" s="104"/>
      <c r="AP281" s="104"/>
      <c r="AQ281" s="104"/>
      <c r="AR281" s="104"/>
      <c r="AS281" s="104"/>
      <c r="AT281" s="104"/>
      <c r="AU281" s="104"/>
      <c r="AV281" s="104"/>
      <c r="AW281" s="104"/>
      <c r="AX281" s="104"/>
      <c r="AY281" s="104"/>
      <c r="AZ281" s="104"/>
      <c r="BA281" s="104"/>
      <c r="BB281" s="104"/>
      <c r="BC281" s="104"/>
      <c r="BD281" s="104"/>
      <c r="BE281" s="104"/>
      <c r="BF281" s="104"/>
      <c r="BG281" s="104"/>
      <c r="BH281" s="104"/>
      <c r="BI281" s="104"/>
      <c r="BJ281" s="104"/>
      <c r="BK281" s="104"/>
      <c r="BL281" s="104"/>
      <c r="BM281" s="104"/>
      <c r="BN281" s="104"/>
      <c r="BO281" s="104"/>
      <c r="BP281" s="104"/>
      <c r="BQ281" s="104"/>
      <c r="BR281" s="104"/>
      <c r="BS281" s="104"/>
      <c r="BT281" s="104"/>
      <c r="BU281" s="104"/>
      <c r="BV281" s="104"/>
      <c r="BW281" s="122"/>
      <c r="BX281" s="122"/>
      <c r="BY281" s="104"/>
      <c r="BZ281" s="122"/>
      <c r="CA281" s="122"/>
      <c r="CB281" s="104"/>
      <c r="CC281" s="104"/>
      <c r="CD281" s="122"/>
      <c r="CE281" s="104"/>
      <c r="CF281" s="104"/>
      <c r="CG281" s="104"/>
      <c r="CH281" s="104"/>
      <c r="CI281" s="104"/>
      <c r="CJ281" s="104"/>
      <c r="CK281" s="104"/>
      <c r="CL281" s="104"/>
      <c r="CM281" s="104"/>
      <c r="CN281" s="104"/>
      <c r="CO281" s="104"/>
      <c r="CP281" s="104"/>
      <c r="CQ281" s="104"/>
      <c r="CR281" s="104"/>
      <c r="CS281" s="104"/>
      <c r="CT281" s="104"/>
      <c r="CU281" s="104"/>
    </row>
    <row r="282">
      <c r="A282" s="595"/>
      <c r="B282" s="202" t="s">
        <v>271</v>
      </c>
      <c r="C282" s="196" t="s">
        <v>271</v>
      </c>
      <c r="D282" s="197" t="s">
        <v>271</v>
      </c>
      <c r="E282" s="199" t="s">
        <v>271</v>
      </c>
      <c r="F282" s="201" t="s">
        <v>271</v>
      </c>
      <c r="G282" s="202" t="s">
        <v>271</v>
      </c>
      <c r="H282" s="609"/>
      <c r="I282" s="609"/>
      <c r="J282" s="104"/>
      <c r="K282" s="104"/>
      <c r="L282" s="104"/>
      <c r="M282" s="104"/>
      <c r="N282" s="104"/>
      <c r="O282" s="104"/>
      <c r="P282" s="104"/>
      <c r="Q282" s="104"/>
      <c r="R282" s="104"/>
      <c r="S282" s="104"/>
      <c r="T282" s="104"/>
      <c r="U282" s="104"/>
      <c r="V282" s="104"/>
      <c r="W282" s="104"/>
      <c r="X282" s="104"/>
      <c r="Y282" s="104"/>
      <c r="Z282" s="104"/>
      <c r="AA282" s="104"/>
      <c r="AB282" s="104"/>
      <c r="AC282" s="104"/>
      <c r="AD282" s="104"/>
      <c r="AE282" s="104"/>
      <c r="AF282" s="104"/>
      <c r="AG282" s="104"/>
      <c r="AH282" s="104"/>
      <c r="AI282" s="104"/>
      <c r="AJ282" s="104"/>
      <c r="AK282" s="104"/>
      <c r="AL282" s="104"/>
      <c r="AM282" s="104"/>
      <c r="AN282" s="104"/>
      <c r="AO282" s="104"/>
      <c r="AP282" s="104"/>
      <c r="AQ282" s="104"/>
      <c r="AR282" s="104"/>
      <c r="AS282" s="104"/>
      <c r="AT282" s="104"/>
      <c r="AU282" s="104"/>
      <c r="AV282" s="104"/>
      <c r="AW282" s="104"/>
      <c r="AX282" s="104"/>
      <c r="AY282" s="104"/>
      <c r="AZ282" s="104"/>
      <c r="BA282" s="104"/>
      <c r="BB282" s="104"/>
      <c r="BC282" s="104"/>
      <c r="BD282" s="104"/>
      <c r="BE282" s="104"/>
      <c r="BF282" s="104"/>
      <c r="BG282" s="104"/>
      <c r="BH282" s="104"/>
      <c r="BI282" s="104"/>
      <c r="BJ282" s="104"/>
      <c r="BK282" s="104"/>
      <c r="BL282" s="104"/>
      <c r="BM282" s="104"/>
      <c r="BN282" s="104"/>
      <c r="BO282" s="104"/>
      <c r="BP282" s="104"/>
      <c r="BQ282" s="104"/>
      <c r="BR282" s="104"/>
      <c r="BS282" s="104"/>
      <c r="BT282" s="104"/>
      <c r="BU282" s="104"/>
      <c r="BV282" s="104"/>
      <c r="BW282" s="122"/>
      <c r="BX282" s="122"/>
      <c r="BY282" s="104"/>
      <c r="BZ282" s="122"/>
      <c r="CA282" s="122"/>
      <c r="CB282" s="104"/>
      <c r="CC282" s="104"/>
      <c r="CD282" s="122"/>
      <c r="CE282" s="104"/>
      <c r="CF282" s="104"/>
      <c r="CG282" s="104"/>
      <c r="CH282" s="104"/>
      <c r="CI282" s="104"/>
      <c r="CJ282" s="104"/>
      <c r="CK282" s="104"/>
      <c r="CL282" s="104"/>
      <c r="CM282" s="104"/>
      <c r="CN282" s="104"/>
      <c r="CO282" s="104"/>
      <c r="CP282" s="104"/>
      <c r="CQ282" s="104"/>
      <c r="CR282" s="104"/>
      <c r="CS282" s="104"/>
      <c r="CT282" s="104"/>
      <c r="CU282" s="104"/>
    </row>
    <row r="283">
      <c r="A283" s="595"/>
      <c r="B283" s="202" t="s">
        <v>271</v>
      </c>
      <c r="C283" s="196" t="s">
        <v>271</v>
      </c>
      <c r="D283" s="197" t="s">
        <v>271</v>
      </c>
      <c r="E283" s="199" t="s">
        <v>271</v>
      </c>
      <c r="F283" s="201" t="s">
        <v>271</v>
      </c>
      <c r="G283" s="202" t="s">
        <v>271</v>
      </c>
      <c r="H283" s="609"/>
      <c r="I283" s="609"/>
      <c r="J283" s="104"/>
      <c r="K283" s="104"/>
      <c r="L283" s="104"/>
      <c r="M283" s="104"/>
      <c r="N283" s="104"/>
      <c r="O283" s="104"/>
      <c r="P283" s="104"/>
      <c r="Q283" s="104"/>
      <c r="R283" s="104"/>
      <c r="S283" s="104"/>
      <c r="T283" s="104"/>
      <c r="U283" s="104"/>
      <c r="V283" s="104"/>
      <c r="W283" s="104"/>
      <c r="X283" s="104"/>
      <c r="Y283" s="104"/>
      <c r="Z283" s="104"/>
      <c r="AA283" s="104"/>
      <c r="AB283" s="104"/>
      <c r="AC283" s="104"/>
      <c r="AD283" s="104"/>
      <c r="AE283" s="104"/>
      <c r="AF283" s="104"/>
      <c r="AG283" s="104"/>
      <c r="AH283" s="104"/>
      <c r="AI283" s="104"/>
      <c r="AJ283" s="104"/>
      <c r="AK283" s="104"/>
      <c r="AL283" s="104"/>
      <c r="AM283" s="104"/>
      <c r="AN283" s="104"/>
      <c r="AO283" s="104"/>
      <c r="AP283" s="104"/>
      <c r="AQ283" s="104"/>
      <c r="AR283" s="104"/>
      <c r="AS283" s="104"/>
      <c r="AT283" s="104"/>
      <c r="AU283" s="104"/>
      <c r="AV283" s="104"/>
      <c r="AW283" s="104"/>
      <c r="AX283" s="104"/>
      <c r="AY283" s="104"/>
      <c r="AZ283" s="104"/>
      <c r="BA283" s="104"/>
      <c r="BB283" s="104"/>
      <c r="BC283" s="104"/>
      <c r="BD283" s="104"/>
      <c r="BE283" s="104"/>
      <c r="BF283" s="104"/>
      <c r="BG283" s="104"/>
      <c r="BH283" s="104"/>
      <c r="BI283" s="104"/>
      <c r="BJ283" s="104"/>
      <c r="BK283" s="104"/>
      <c r="BL283" s="104"/>
      <c r="BM283" s="104"/>
      <c r="BN283" s="104"/>
      <c r="BO283" s="104"/>
      <c r="BP283" s="104"/>
      <c r="BQ283" s="104"/>
      <c r="BR283" s="104"/>
      <c r="BS283" s="104"/>
      <c r="BT283" s="104"/>
      <c r="BU283" s="104"/>
      <c r="BV283" s="104"/>
      <c r="BW283" s="122"/>
      <c r="BX283" s="122"/>
      <c r="BY283" s="104"/>
      <c r="BZ283" s="122"/>
      <c r="CA283" s="122"/>
      <c r="CB283" s="104"/>
      <c r="CC283" s="104"/>
      <c r="CD283" s="122"/>
      <c r="CE283" s="104"/>
      <c r="CF283" s="104"/>
      <c r="CG283" s="104"/>
      <c r="CH283" s="104"/>
      <c r="CI283" s="104"/>
      <c r="CJ283" s="104"/>
      <c r="CK283" s="104"/>
      <c r="CL283" s="104"/>
      <c r="CM283" s="104"/>
      <c r="CN283" s="104"/>
      <c r="CO283" s="104"/>
      <c r="CP283" s="104"/>
      <c r="CQ283" s="104"/>
      <c r="CR283" s="104"/>
      <c r="CS283" s="104"/>
      <c r="CT283" s="104"/>
      <c r="CU283" s="104"/>
    </row>
    <row r="284">
      <c r="A284" s="595"/>
      <c r="B284" s="202" t="s">
        <v>271</v>
      </c>
      <c r="C284" s="196" t="s">
        <v>271</v>
      </c>
      <c r="D284" s="197" t="s">
        <v>271</v>
      </c>
      <c r="E284" s="199" t="s">
        <v>271</v>
      </c>
      <c r="F284" s="201" t="s">
        <v>271</v>
      </c>
      <c r="G284" s="202" t="s">
        <v>271</v>
      </c>
      <c r="H284" s="609"/>
      <c r="I284" s="609"/>
      <c r="J284" s="104"/>
      <c r="K284" s="104"/>
      <c r="L284" s="104"/>
      <c r="M284" s="104"/>
      <c r="N284" s="104"/>
      <c r="O284" s="104"/>
      <c r="P284" s="104"/>
      <c r="Q284" s="104"/>
      <c r="R284" s="104"/>
      <c r="S284" s="104"/>
      <c r="T284" s="104"/>
      <c r="U284" s="104"/>
      <c r="V284" s="104"/>
      <c r="W284" s="104"/>
      <c r="X284" s="104"/>
      <c r="Y284" s="104"/>
      <c r="Z284" s="104"/>
      <c r="AA284" s="104"/>
      <c r="AB284" s="104"/>
      <c r="AC284" s="104"/>
      <c r="AD284" s="104"/>
      <c r="AE284" s="104"/>
      <c r="AF284" s="104"/>
      <c r="AG284" s="104"/>
      <c r="AH284" s="104"/>
      <c r="AI284" s="104"/>
      <c r="AJ284" s="104"/>
      <c r="AK284" s="104"/>
      <c r="AL284" s="104"/>
      <c r="AM284" s="104"/>
      <c r="AN284" s="104"/>
      <c r="AO284" s="104"/>
      <c r="AP284" s="104"/>
      <c r="AQ284" s="104"/>
      <c r="AR284" s="104"/>
      <c r="AS284" s="104"/>
      <c r="AT284" s="104"/>
      <c r="AU284" s="104"/>
      <c r="AV284" s="104"/>
      <c r="AW284" s="104"/>
      <c r="AX284" s="104"/>
      <c r="AY284" s="104"/>
      <c r="AZ284" s="104"/>
      <c r="BA284" s="104"/>
      <c r="BB284" s="104"/>
      <c r="BC284" s="104"/>
      <c r="BD284" s="104"/>
      <c r="BE284" s="104"/>
      <c r="BF284" s="104"/>
      <c r="BG284" s="104"/>
      <c r="BH284" s="104"/>
      <c r="BI284" s="104"/>
      <c r="BJ284" s="104"/>
      <c r="BK284" s="104"/>
      <c r="BL284" s="104"/>
      <c r="BM284" s="104"/>
      <c r="BN284" s="104"/>
      <c r="BO284" s="104"/>
      <c r="BP284" s="104"/>
      <c r="BQ284" s="104"/>
      <c r="BR284" s="104"/>
      <c r="BS284" s="104"/>
      <c r="BT284" s="104"/>
      <c r="BU284" s="104"/>
      <c r="BV284" s="104"/>
      <c r="BW284" s="122"/>
      <c r="BX284" s="122"/>
      <c r="BY284" s="104"/>
      <c r="BZ284" s="122"/>
      <c r="CA284" s="122"/>
      <c r="CB284" s="104"/>
      <c r="CC284" s="104"/>
      <c r="CD284" s="122"/>
      <c r="CE284" s="104"/>
      <c r="CF284" s="104"/>
      <c r="CG284" s="104"/>
      <c r="CH284" s="104"/>
      <c r="CI284" s="104"/>
      <c r="CJ284" s="104"/>
      <c r="CK284" s="104"/>
      <c r="CL284" s="104"/>
      <c r="CM284" s="104"/>
      <c r="CN284" s="104"/>
      <c r="CO284" s="104"/>
      <c r="CP284" s="104"/>
      <c r="CQ284" s="104"/>
      <c r="CR284" s="104"/>
      <c r="CS284" s="104"/>
      <c r="CT284" s="104"/>
      <c r="CU284" s="104"/>
    </row>
    <row r="285">
      <c r="A285" s="595"/>
      <c r="B285" s="202" t="s">
        <v>271</v>
      </c>
      <c r="C285" s="196" t="s">
        <v>271</v>
      </c>
      <c r="D285" s="197" t="s">
        <v>271</v>
      </c>
      <c r="E285" s="199" t="s">
        <v>271</v>
      </c>
      <c r="F285" s="201" t="s">
        <v>271</v>
      </c>
      <c r="G285" s="202" t="s">
        <v>271</v>
      </c>
      <c r="H285" s="609"/>
      <c r="I285" s="609"/>
      <c r="J285" s="104"/>
      <c r="K285" s="104"/>
      <c r="L285" s="104"/>
      <c r="M285" s="104"/>
      <c r="N285" s="104"/>
      <c r="O285" s="104"/>
      <c r="P285" s="104"/>
      <c r="Q285" s="104"/>
      <c r="R285" s="104"/>
      <c r="S285" s="104"/>
      <c r="T285" s="104"/>
      <c r="U285" s="104"/>
      <c r="V285" s="104"/>
      <c r="W285" s="104"/>
      <c r="X285" s="104"/>
      <c r="Y285" s="104"/>
      <c r="Z285" s="104"/>
      <c r="AA285" s="104"/>
      <c r="AB285" s="104"/>
      <c r="AC285" s="104"/>
      <c r="AD285" s="104"/>
      <c r="AE285" s="104"/>
      <c r="AF285" s="104"/>
      <c r="AG285" s="104"/>
      <c r="AH285" s="104"/>
      <c r="AI285" s="104"/>
      <c r="AJ285" s="104"/>
      <c r="AK285" s="104"/>
      <c r="AL285" s="104"/>
      <c r="AM285" s="104"/>
      <c r="AN285" s="104"/>
      <c r="AO285" s="104"/>
      <c r="AP285" s="104"/>
      <c r="AQ285" s="104"/>
      <c r="AR285" s="104"/>
      <c r="AS285" s="104"/>
      <c r="AT285" s="104"/>
      <c r="AU285" s="104"/>
      <c r="AV285" s="104"/>
      <c r="AW285" s="104"/>
      <c r="AX285" s="104"/>
      <c r="AY285" s="104"/>
      <c r="AZ285" s="104"/>
      <c r="BA285" s="104"/>
      <c r="BB285" s="104"/>
      <c r="BC285" s="104"/>
      <c r="BD285" s="104"/>
      <c r="BE285" s="104"/>
      <c r="BF285" s="104"/>
      <c r="BG285" s="104"/>
      <c r="BH285" s="104"/>
      <c r="BI285" s="104"/>
      <c r="BJ285" s="104"/>
      <c r="BK285" s="104"/>
      <c r="BL285" s="104"/>
      <c r="BM285" s="104"/>
      <c r="BN285" s="104"/>
      <c r="BO285" s="104"/>
      <c r="BP285" s="104"/>
      <c r="BQ285" s="104"/>
      <c r="BR285" s="104"/>
      <c r="BS285" s="104"/>
      <c r="BT285" s="104"/>
      <c r="BU285" s="104"/>
      <c r="BV285" s="104"/>
      <c r="BW285" s="122"/>
      <c r="BX285" s="122"/>
      <c r="BY285" s="104"/>
      <c r="BZ285" s="122"/>
      <c r="CA285" s="122"/>
      <c r="CB285" s="104"/>
      <c r="CC285" s="104"/>
      <c r="CD285" s="122"/>
      <c r="CE285" s="104"/>
      <c r="CF285" s="104"/>
      <c r="CG285" s="104"/>
      <c r="CH285" s="104"/>
      <c r="CI285" s="104"/>
      <c r="CJ285" s="104"/>
      <c r="CK285" s="104"/>
      <c r="CL285" s="104"/>
      <c r="CM285" s="104"/>
      <c r="CN285" s="104"/>
      <c r="CO285" s="104"/>
      <c r="CP285" s="104"/>
      <c r="CQ285" s="104"/>
      <c r="CR285" s="104"/>
      <c r="CS285" s="104"/>
      <c r="CT285" s="104"/>
      <c r="CU285" s="104"/>
    </row>
    <row r="286">
      <c r="A286" s="595"/>
      <c r="B286" s="202" t="s">
        <v>271</v>
      </c>
      <c r="C286" s="196" t="s">
        <v>271</v>
      </c>
      <c r="D286" s="197" t="s">
        <v>271</v>
      </c>
      <c r="E286" s="199" t="s">
        <v>271</v>
      </c>
      <c r="F286" s="201" t="s">
        <v>271</v>
      </c>
      <c r="G286" s="202" t="s">
        <v>271</v>
      </c>
      <c r="H286" s="609"/>
      <c r="I286" s="609"/>
      <c r="J286" s="104"/>
      <c r="K286" s="104"/>
      <c r="L286" s="104"/>
      <c r="M286" s="104"/>
      <c r="N286" s="104"/>
      <c r="O286" s="104"/>
      <c r="P286" s="104"/>
      <c r="Q286" s="104"/>
      <c r="R286" s="104"/>
      <c r="S286" s="104"/>
      <c r="T286" s="104"/>
      <c r="U286" s="104"/>
      <c r="V286" s="104"/>
      <c r="W286" s="104"/>
      <c r="X286" s="104"/>
      <c r="Y286" s="104"/>
      <c r="Z286" s="104"/>
      <c r="AA286" s="104"/>
      <c r="AB286" s="104"/>
      <c r="AC286" s="104"/>
      <c r="AD286" s="104"/>
      <c r="AE286" s="104"/>
      <c r="AF286" s="104"/>
      <c r="AG286" s="104"/>
      <c r="AH286" s="104"/>
      <c r="AI286" s="104"/>
      <c r="AJ286" s="104"/>
      <c r="AK286" s="104"/>
      <c r="AL286" s="104"/>
      <c r="AM286" s="104"/>
      <c r="AN286" s="104"/>
      <c r="AO286" s="104"/>
      <c r="AP286" s="104"/>
      <c r="AQ286" s="104"/>
      <c r="AR286" s="104"/>
      <c r="AS286" s="104"/>
      <c r="AT286" s="104"/>
      <c r="AU286" s="104"/>
      <c r="AV286" s="104"/>
      <c r="AW286" s="104"/>
      <c r="AX286" s="104"/>
      <c r="AY286" s="104"/>
      <c r="AZ286" s="104"/>
      <c r="BA286" s="104"/>
      <c r="BB286" s="104"/>
      <c r="BC286" s="104"/>
      <c r="BD286" s="104"/>
      <c r="BE286" s="104"/>
      <c r="BF286" s="104"/>
      <c r="BG286" s="104"/>
      <c r="BH286" s="104"/>
      <c r="BI286" s="104"/>
      <c r="BJ286" s="104"/>
      <c r="BK286" s="104"/>
      <c r="BL286" s="104"/>
      <c r="BM286" s="104"/>
      <c r="BN286" s="104"/>
      <c r="BO286" s="104"/>
      <c r="BP286" s="104"/>
      <c r="BQ286" s="104"/>
      <c r="BR286" s="104"/>
      <c r="BS286" s="104"/>
      <c r="BT286" s="104"/>
      <c r="BU286" s="104"/>
      <c r="BV286" s="104"/>
      <c r="BW286" s="122"/>
      <c r="BX286" s="122"/>
      <c r="BY286" s="104"/>
      <c r="BZ286" s="122"/>
      <c r="CA286" s="122"/>
      <c r="CB286" s="104"/>
      <c r="CC286" s="104"/>
      <c r="CD286" s="122"/>
      <c r="CE286" s="104"/>
      <c r="CF286" s="104"/>
      <c r="CG286" s="104"/>
      <c r="CH286" s="104"/>
      <c r="CI286" s="104"/>
      <c r="CJ286" s="104"/>
      <c r="CK286" s="104"/>
      <c r="CL286" s="104"/>
      <c r="CM286" s="104"/>
      <c r="CN286" s="104"/>
      <c r="CO286" s="104"/>
      <c r="CP286" s="104"/>
      <c r="CQ286" s="104"/>
      <c r="CR286" s="104"/>
      <c r="CS286" s="104"/>
      <c r="CT286" s="104"/>
      <c r="CU286" s="104"/>
    </row>
    <row r="287">
      <c r="A287" s="595"/>
      <c r="B287" s="202" t="s">
        <v>271</v>
      </c>
      <c r="C287" s="196" t="s">
        <v>271</v>
      </c>
      <c r="D287" s="197" t="s">
        <v>271</v>
      </c>
      <c r="E287" s="199" t="s">
        <v>271</v>
      </c>
      <c r="F287" s="201" t="s">
        <v>271</v>
      </c>
      <c r="G287" s="202" t="s">
        <v>271</v>
      </c>
      <c r="H287" s="609"/>
      <c r="I287" s="609"/>
      <c r="J287" s="104"/>
      <c r="K287" s="104"/>
      <c r="L287" s="104"/>
      <c r="M287" s="104"/>
      <c r="N287" s="104"/>
      <c r="O287" s="104"/>
      <c r="P287" s="104"/>
      <c r="Q287" s="104"/>
      <c r="R287" s="104"/>
      <c r="S287" s="104"/>
      <c r="T287" s="104"/>
      <c r="U287" s="104"/>
      <c r="V287" s="104"/>
      <c r="W287" s="104"/>
      <c r="X287" s="104"/>
      <c r="Y287" s="104"/>
      <c r="Z287" s="104"/>
      <c r="AA287" s="104"/>
      <c r="AB287" s="104"/>
      <c r="AC287" s="104"/>
      <c r="AD287" s="104"/>
      <c r="AE287" s="104"/>
      <c r="AF287" s="104"/>
      <c r="AG287" s="104"/>
      <c r="AH287" s="104"/>
      <c r="AI287" s="104"/>
      <c r="AJ287" s="104"/>
      <c r="AK287" s="104"/>
      <c r="AL287" s="104"/>
      <c r="AM287" s="104"/>
      <c r="AN287" s="104"/>
      <c r="AO287" s="104"/>
      <c r="AP287" s="104"/>
      <c r="AQ287" s="104"/>
      <c r="AR287" s="104"/>
      <c r="AS287" s="104"/>
      <c r="AT287" s="104"/>
      <c r="AU287" s="104"/>
      <c r="AV287" s="104"/>
      <c r="AW287" s="104"/>
      <c r="AX287" s="104"/>
      <c r="AY287" s="104"/>
      <c r="AZ287" s="104"/>
      <c r="BA287" s="104"/>
      <c r="BB287" s="104"/>
      <c r="BC287" s="104"/>
      <c r="BD287" s="104"/>
      <c r="BE287" s="104"/>
      <c r="BF287" s="104"/>
      <c r="BG287" s="104"/>
      <c r="BH287" s="104"/>
      <c r="BI287" s="104"/>
      <c r="BJ287" s="104"/>
      <c r="BK287" s="104"/>
      <c r="BL287" s="104"/>
      <c r="BM287" s="104"/>
      <c r="BN287" s="104"/>
      <c r="BO287" s="104"/>
      <c r="BP287" s="104"/>
      <c r="BQ287" s="104"/>
      <c r="BR287" s="104"/>
      <c r="BS287" s="104"/>
      <c r="BT287" s="104"/>
      <c r="BU287" s="104"/>
      <c r="BV287" s="104"/>
      <c r="BW287" s="122"/>
      <c r="BX287" s="122"/>
      <c r="BY287" s="104"/>
      <c r="BZ287" s="122"/>
      <c r="CA287" s="122"/>
      <c r="CB287" s="104"/>
      <c r="CC287" s="104"/>
      <c r="CD287" s="122"/>
      <c r="CE287" s="104"/>
      <c r="CF287" s="104"/>
      <c r="CG287" s="104"/>
      <c r="CH287" s="104"/>
      <c r="CI287" s="104"/>
      <c r="CJ287" s="104"/>
      <c r="CK287" s="104"/>
      <c r="CL287" s="104"/>
      <c r="CM287" s="104"/>
      <c r="CN287" s="104"/>
      <c r="CO287" s="104"/>
      <c r="CP287" s="104"/>
      <c r="CQ287" s="104"/>
      <c r="CR287" s="104"/>
      <c r="CS287" s="104"/>
      <c r="CT287" s="104"/>
      <c r="CU287" s="104"/>
    </row>
    <row r="288">
      <c r="A288" s="595"/>
      <c r="B288" s="202" t="s">
        <v>271</v>
      </c>
      <c r="C288" s="196" t="s">
        <v>271</v>
      </c>
      <c r="D288" s="197" t="s">
        <v>271</v>
      </c>
      <c r="E288" s="199" t="s">
        <v>271</v>
      </c>
      <c r="F288" s="201" t="s">
        <v>271</v>
      </c>
      <c r="G288" s="202" t="s">
        <v>271</v>
      </c>
      <c r="H288" s="609"/>
      <c r="I288" s="609"/>
      <c r="J288" s="104"/>
      <c r="K288" s="104"/>
      <c r="L288" s="104"/>
      <c r="M288" s="104"/>
      <c r="N288" s="104"/>
      <c r="O288" s="104"/>
      <c r="P288" s="104"/>
      <c r="Q288" s="104"/>
      <c r="R288" s="104"/>
      <c r="S288" s="104"/>
      <c r="T288" s="104"/>
      <c r="U288" s="104"/>
      <c r="V288" s="104"/>
      <c r="W288" s="104"/>
      <c r="X288" s="104"/>
      <c r="Y288" s="104"/>
      <c r="Z288" s="104"/>
      <c r="AA288" s="104"/>
      <c r="AB288" s="104"/>
      <c r="AC288" s="104"/>
      <c r="AD288" s="104"/>
      <c r="AE288" s="104"/>
      <c r="AF288" s="104"/>
      <c r="AG288" s="104"/>
      <c r="AH288" s="104"/>
      <c r="AI288" s="104"/>
      <c r="AJ288" s="104"/>
      <c r="AK288" s="104"/>
      <c r="AL288" s="104"/>
      <c r="AM288" s="104"/>
      <c r="AN288" s="104"/>
      <c r="AO288" s="104"/>
      <c r="AP288" s="104"/>
      <c r="AQ288" s="104"/>
      <c r="AR288" s="104"/>
      <c r="AS288" s="104"/>
      <c r="AT288" s="104"/>
      <c r="AU288" s="104"/>
      <c r="AV288" s="104"/>
      <c r="AW288" s="104"/>
      <c r="AX288" s="104"/>
      <c r="AY288" s="104"/>
      <c r="AZ288" s="104"/>
      <c r="BA288" s="104"/>
      <c r="BB288" s="104"/>
      <c r="BC288" s="104"/>
      <c r="BD288" s="104"/>
      <c r="BE288" s="104"/>
      <c r="BF288" s="104"/>
      <c r="BG288" s="104"/>
      <c r="BH288" s="104"/>
      <c r="BI288" s="104"/>
      <c r="BJ288" s="104"/>
      <c r="BK288" s="104"/>
      <c r="BL288" s="104"/>
      <c r="BM288" s="104"/>
      <c r="BN288" s="104"/>
      <c r="BO288" s="104"/>
      <c r="BP288" s="104"/>
      <c r="BQ288" s="104"/>
      <c r="BR288" s="104"/>
      <c r="BS288" s="104"/>
      <c r="BT288" s="104"/>
      <c r="BU288" s="104"/>
      <c r="BV288" s="104"/>
      <c r="BW288" s="122"/>
      <c r="BX288" s="122"/>
      <c r="BY288" s="104"/>
      <c r="BZ288" s="122"/>
      <c r="CA288" s="122"/>
      <c r="CB288" s="104"/>
      <c r="CC288" s="104"/>
      <c r="CD288" s="122"/>
      <c r="CE288" s="104"/>
      <c r="CF288" s="104"/>
      <c r="CG288" s="104"/>
      <c r="CH288" s="104"/>
      <c r="CI288" s="104"/>
      <c r="CJ288" s="104"/>
      <c r="CK288" s="104"/>
      <c r="CL288" s="104"/>
      <c r="CM288" s="104"/>
      <c r="CN288" s="104"/>
      <c r="CO288" s="104"/>
      <c r="CP288" s="104"/>
      <c r="CQ288" s="104"/>
      <c r="CR288" s="104"/>
      <c r="CS288" s="104"/>
      <c r="CT288" s="104"/>
      <c r="CU288" s="104"/>
    </row>
    <row r="289">
      <c r="A289" s="595"/>
      <c r="B289" s="202" t="s">
        <v>271</v>
      </c>
      <c r="C289" s="196" t="s">
        <v>271</v>
      </c>
      <c r="D289" s="197" t="s">
        <v>271</v>
      </c>
      <c r="E289" s="199" t="s">
        <v>271</v>
      </c>
      <c r="F289" s="201" t="s">
        <v>271</v>
      </c>
      <c r="G289" s="202" t="s">
        <v>271</v>
      </c>
      <c r="H289" s="609"/>
      <c r="I289" s="609"/>
      <c r="J289" s="104"/>
      <c r="K289" s="104"/>
      <c r="L289" s="104"/>
      <c r="M289" s="104"/>
      <c r="N289" s="104"/>
      <c r="O289" s="104"/>
      <c r="P289" s="104"/>
      <c r="Q289" s="104"/>
      <c r="R289" s="104"/>
      <c r="S289" s="104"/>
      <c r="T289" s="104"/>
      <c r="U289" s="104"/>
      <c r="V289" s="104"/>
      <c r="W289" s="104"/>
      <c r="X289" s="104"/>
      <c r="Y289" s="104"/>
      <c r="Z289" s="104"/>
      <c r="AA289" s="104"/>
      <c r="AB289" s="104"/>
      <c r="AC289" s="104"/>
      <c r="AD289" s="104"/>
      <c r="AE289" s="104"/>
      <c r="AF289" s="104"/>
      <c r="AG289" s="104"/>
      <c r="AH289" s="104"/>
      <c r="AI289" s="104"/>
      <c r="AJ289" s="104"/>
      <c r="AK289" s="104"/>
      <c r="AL289" s="104"/>
      <c r="AM289" s="104"/>
      <c r="AN289" s="104"/>
      <c r="AO289" s="104"/>
      <c r="AP289" s="104"/>
      <c r="AQ289" s="104"/>
      <c r="AR289" s="104"/>
      <c r="AS289" s="104"/>
      <c r="AT289" s="104"/>
      <c r="AU289" s="104"/>
      <c r="AV289" s="104"/>
      <c r="AW289" s="104"/>
      <c r="AX289" s="104"/>
      <c r="AY289" s="104"/>
      <c r="AZ289" s="104"/>
      <c r="BA289" s="104"/>
      <c r="BB289" s="104"/>
      <c r="BC289" s="104"/>
      <c r="BD289" s="104"/>
      <c r="BE289" s="104"/>
      <c r="BF289" s="104"/>
      <c r="BG289" s="104"/>
      <c r="BH289" s="104"/>
      <c r="BI289" s="104"/>
      <c r="BJ289" s="104"/>
      <c r="BK289" s="104"/>
      <c r="BL289" s="104"/>
      <c r="BM289" s="104"/>
      <c r="BN289" s="104"/>
      <c r="BO289" s="104"/>
      <c r="BP289" s="104"/>
      <c r="BQ289" s="104"/>
      <c r="BR289" s="104"/>
      <c r="BS289" s="104"/>
      <c r="BT289" s="104"/>
      <c r="BU289" s="104"/>
      <c r="BV289" s="104"/>
      <c r="BW289" s="122"/>
      <c r="BX289" s="122"/>
      <c r="BY289" s="104"/>
      <c r="BZ289" s="122"/>
      <c r="CA289" s="122"/>
      <c r="CB289" s="104"/>
      <c r="CC289" s="104"/>
      <c r="CD289" s="122"/>
      <c r="CE289" s="104"/>
      <c r="CF289" s="104"/>
      <c r="CG289" s="104"/>
      <c r="CH289" s="104"/>
      <c r="CI289" s="104"/>
      <c r="CJ289" s="104"/>
      <c r="CK289" s="104"/>
      <c r="CL289" s="104"/>
      <c r="CM289" s="104"/>
      <c r="CN289" s="104"/>
      <c r="CO289" s="104"/>
      <c r="CP289" s="104"/>
      <c r="CQ289" s="104"/>
      <c r="CR289" s="104"/>
      <c r="CS289" s="104"/>
      <c r="CT289" s="104"/>
      <c r="CU289" s="104"/>
    </row>
    <row r="290">
      <c r="A290" s="595"/>
      <c r="B290" s="202" t="s">
        <v>271</v>
      </c>
      <c r="C290" s="196" t="s">
        <v>271</v>
      </c>
      <c r="D290" s="197" t="s">
        <v>271</v>
      </c>
      <c r="E290" s="199" t="s">
        <v>271</v>
      </c>
      <c r="F290" s="201" t="s">
        <v>271</v>
      </c>
      <c r="G290" s="202" t="s">
        <v>271</v>
      </c>
      <c r="H290" s="609"/>
      <c r="I290" s="609"/>
      <c r="J290" s="104"/>
      <c r="K290" s="104"/>
      <c r="L290" s="104"/>
      <c r="M290" s="104"/>
      <c r="N290" s="104"/>
      <c r="O290" s="104"/>
      <c r="P290" s="104"/>
      <c r="Q290" s="104"/>
      <c r="R290" s="104"/>
      <c r="S290" s="104"/>
      <c r="T290" s="104"/>
      <c r="U290" s="104"/>
      <c r="V290" s="104"/>
      <c r="W290" s="104"/>
      <c r="X290" s="104"/>
      <c r="Y290" s="104"/>
      <c r="Z290" s="104"/>
      <c r="AA290" s="104"/>
      <c r="AB290" s="104"/>
      <c r="AC290" s="104"/>
      <c r="AD290" s="104"/>
      <c r="AE290" s="104"/>
      <c r="AF290" s="104"/>
      <c r="AG290" s="104"/>
      <c r="AH290" s="104"/>
      <c r="AI290" s="104"/>
      <c r="AJ290" s="104"/>
      <c r="AK290" s="104"/>
      <c r="AL290" s="104"/>
      <c r="AM290" s="104"/>
      <c r="AN290" s="104"/>
      <c r="AO290" s="104"/>
      <c r="AP290" s="104"/>
      <c r="AQ290" s="104"/>
      <c r="AR290" s="104"/>
      <c r="AS290" s="104"/>
      <c r="AT290" s="104"/>
      <c r="AU290" s="104"/>
      <c r="AV290" s="104"/>
      <c r="AW290" s="104"/>
      <c r="AX290" s="104"/>
      <c r="AY290" s="104"/>
      <c r="AZ290" s="104"/>
      <c r="BA290" s="104"/>
      <c r="BB290" s="104"/>
      <c r="BC290" s="104"/>
      <c r="BD290" s="104"/>
      <c r="BE290" s="104"/>
      <c r="BF290" s="104"/>
      <c r="BG290" s="104"/>
      <c r="BH290" s="104"/>
      <c r="BI290" s="104"/>
      <c r="BJ290" s="104"/>
      <c r="BK290" s="104"/>
      <c r="BL290" s="104"/>
      <c r="BM290" s="104"/>
      <c r="BN290" s="104"/>
      <c r="BO290" s="104"/>
      <c r="BP290" s="104"/>
      <c r="BQ290" s="104"/>
      <c r="BR290" s="104"/>
      <c r="BS290" s="104"/>
      <c r="BT290" s="104"/>
      <c r="BU290" s="104"/>
      <c r="BV290" s="104"/>
      <c r="BW290" s="122"/>
      <c r="BX290" s="122"/>
      <c r="BY290" s="104"/>
      <c r="BZ290" s="122"/>
      <c r="CA290" s="122"/>
      <c r="CB290" s="104"/>
      <c r="CC290" s="104"/>
      <c r="CD290" s="122"/>
      <c r="CE290" s="104"/>
      <c r="CF290" s="104"/>
      <c r="CG290" s="104"/>
      <c r="CH290" s="104"/>
      <c r="CI290" s="104"/>
      <c r="CJ290" s="104"/>
      <c r="CK290" s="104"/>
      <c r="CL290" s="104"/>
      <c r="CM290" s="104"/>
      <c r="CN290" s="104"/>
      <c r="CO290" s="104"/>
      <c r="CP290" s="104"/>
      <c r="CQ290" s="104"/>
      <c r="CR290" s="104"/>
      <c r="CS290" s="104"/>
      <c r="CT290" s="104"/>
      <c r="CU290" s="104"/>
    </row>
    <row r="291">
      <c r="A291" s="595"/>
      <c r="B291" s="202" t="s">
        <v>271</v>
      </c>
      <c r="C291" s="196" t="s">
        <v>271</v>
      </c>
      <c r="D291" s="197" t="s">
        <v>271</v>
      </c>
      <c r="E291" s="199" t="s">
        <v>271</v>
      </c>
      <c r="F291" s="201" t="s">
        <v>271</v>
      </c>
      <c r="G291" s="202" t="s">
        <v>271</v>
      </c>
      <c r="H291" s="609"/>
      <c r="I291" s="609"/>
      <c r="J291" s="104"/>
      <c r="K291" s="104"/>
      <c r="L291" s="104"/>
      <c r="M291" s="104"/>
      <c r="N291" s="104"/>
      <c r="O291" s="104"/>
      <c r="P291" s="104"/>
      <c r="Q291" s="104"/>
      <c r="R291" s="104"/>
      <c r="S291" s="104"/>
      <c r="T291" s="104"/>
      <c r="U291" s="104"/>
      <c r="V291" s="104"/>
      <c r="W291" s="104"/>
      <c r="X291" s="104"/>
      <c r="Y291" s="104"/>
      <c r="Z291" s="104"/>
      <c r="AA291" s="104"/>
      <c r="AB291" s="104"/>
      <c r="AC291" s="104"/>
      <c r="AD291" s="104"/>
      <c r="AE291" s="104"/>
      <c r="AF291" s="104"/>
      <c r="AG291" s="104"/>
      <c r="AH291" s="104"/>
      <c r="AI291" s="104"/>
      <c r="AJ291" s="104"/>
      <c r="AK291" s="104"/>
      <c r="AL291" s="104"/>
      <c r="AM291" s="104"/>
      <c r="AN291" s="104"/>
      <c r="AO291" s="104"/>
      <c r="AP291" s="104"/>
      <c r="AQ291" s="104"/>
      <c r="AR291" s="104"/>
      <c r="AS291" s="104"/>
      <c r="AT291" s="104"/>
      <c r="AU291" s="104"/>
      <c r="AV291" s="104"/>
      <c r="AW291" s="104"/>
      <c r="AX291" s="104"/>
      <c r="AY291" s="104"/>
      <c r="AZ291" s="104"/>
      <c r="BA291" s="104"/>
      <c r="BB291" s="104"/>
      <c r="BC291" s="104"/>
      <c r="BD291" s="104"/>
      <c r="BE291" s="104"/>
      <c r="BF291" s="104"/>
      <c r="BG291" s="104"/>
      <c r="BH291" s="104"/>
      <c r="BI291" s="104"/>
      <c r="BJ291" s="104"/>
      <c r="BK291" s="104"/>
      <c r="BL291" s="104"/>
      <c r="BM291" s="104"/>
      <c r="BN291" s="104"/>
      <c r="BO291" s="104"/>
      <c r="BP291" s="104"/>
      <c r="BQ291" s="104"/>
      <c r="BR291" s="104"/>
      <c r="BS291" s="104"/>
      <c r="BT291" s="104"/>
      <c r="BU291" s="104"/>
      <c r="BV291" s="104"/>
      <c r="BW291" s="122"/>
      <c r="BX291" s="122"/>
      <c r="BY291" s="104"/>
      <c r="BZ291" s="122"/>
      <c r="CA291" s="122"/>
      <c r="CB291" s="104"/>
      <c r="CC291" s="104"/>
      <c r="CD291" s="122"/>
      <c r="CE291" s="104"/>
      <c r="CF291" s="104"/>
      <c r="CG291" s="104"/>
      <c r="CH291" s="104"/>
      <c r="CI291" s="104"/>
      <c r="CJ291" s="104"/>
      <c r="CK291" s="104"/>
      <c r="CL291" s="104"/>
      <c r="CM291" s="104"/>
      <c r="CN291" s="104"/>
      <c r="CO291" s="104"/>
      <c r="CP291" s="104"/>
      <c r="CQ291" s="104"/>
      <c r="CR291" s="104"/>
      <c r="CS291" s="104"/>
      <c r="CT291" s="104"/>
      <c r="CU291" s="104"/>
    </row>
    <row r="292">
      <c r="A292" s="595"/>
      <c r="B292" s="202" t="s">
        <v>271</v>
      </c>
      <c r="C292" s="196" t="s">
        <v>271</v>
      </c>
      <c r="D292" s="197" t="s">
        <v>271</v>
      </c>
      <c r="E292" s="199" t="s">
        <v>271</v>
      </c>
      <c r="F292" s="201" t="s">
        <v>271</v>
      </c>
      <c r="G292" s="202" t="s">
        <v>271</v>
      </c>
      <c r="H292" s="609"/>
      <c r="I292" s="609"/>
      <c r="J292" s="104"/>
      <c r="K292" s="104"/>
      <c r="L292" s="104"/>
      <c r="M292" s="104"/>
      <c r="N292" s="104"/>
      <c r="O292" s="104"/>
      <c r="P292" s="104"/>
      <c r="Q292" s="104"/>
      <c r="R292" s="104"/>
      <c r="S292" s="104"/>
      <c r="T292" s="104"/>
      <c r="U292" s="104"/>
      <c r="V292" s="104"/>
      <c r="W292" s="104"/>
      <c r="X292" s="104"/>
      <c r="Y292" s="104"/>
      <c r="Z292" s="104"/>
      <c r="AA292" s="104"/>
      <c r="AB292" s="104"/>
      <c r="AC292" s="104"/>
      <c r="AD292" s="104"/>
      <c r="AE292" s="104"/>
      <c r="AF292" s="104"/>
      <c r="AG292" s="104"/>
      <c r="AH292" s="104"/>
      <c r="AI292" s="104"/>
      <c r="AJ292" s="104"/>
      <c r="AK292" s="104"/>
      <c r="AL292" s="104"/>
      <c r="AM292" s="104"/>
      <c r="AN292" s="104"/>
      <c r="AO292" s="104"/>
      <c r="AP292" s="104"/>
      <c r="AQ292" s="104"/>
      <c r="AR292" s="104"/>
      <c r="AS292" s="104"/>
      <c r="AT292" s="104"/>
      <c r="AU292" s="104"/>
      <c r="AV292" s="104"/>
      <c r="AW292" s="104"/>
      <c r="AX292" s="104"/>
      <c r="AY292" s="104"/>
      <c r="AZ292" s="104"/>
      <c r="BA292" s="104"/>
      <c r="BB292" s="104"/>
      <c r="BC292" s="104"/>
      <c r="BD292" s="104"/>
      <c r="BE292" s="104"/>
      <c r="BF292" s="104"/>
      <c r="BG292" s="104"/>
      <c r="BH292" s="104"/>
      <c r="BI292" s="104"/>
      <c r="BJ292" s="104"/>
      <c r="BK292" s="104"/>
      <c r="BL292" s="104"/>
      <c r="BM292" s="104"/>
      <c r="BN292" s="104"/>
      <c r="BO292" s="104"/>
      <c r="BP292" s="104"/>
      <c r="BQ292" s="104"/>
      <c r="BR292" s="104"/>
      <c r="BS292" s="104"/>
      <c r="BT292" s="104"/>
      <c r="BU292" s="104"/>
      <c r="BV292" s="104"/>
      <c r="BW292" s="122"/>
      <c r="BX292" s="122"/>
      <c r="BY292" s="104"/>
      <c r="BZ292" s="122"/>
      <c r="CA292" s="122"/>
      <c r="CB292" s="104"/>
      <c r="CC292" s="104"/>
      <c r="CD292" s="122"/>
      <c r="CE292" s="104"/>
      <c r="CF292" s="104"/>
      <c r="CG292" s="104"/>
      <c r="CH292" s="104"/>
      <c r="CI292" s="104"/>
      <c r="CJ292" s="104"/>
      <c r="CK292" s="104"/>
      <c r="CL292" s="104"/>
      <c r="CM292" s="104"/>
      <c r="CN292" s="104"/>
      <c r="CO292" s="104"/>
      <c r="CP292" s="104"/>
      <c r="CQ292" s="104"/>
      <c r="CR292" s="104"/>
      <c r="CS292" s="104"/>
      <c r="CT292" s="104"/>
      <c r="CU292" s="104"/>
    </row>
    <row r="293">
      <c r="A293" s="595"/>
      <c r="B293" s="202" t="s">
        <v>271</v>
      </c>
      <c r="C293" s="196" t="s">
        <v>271</v>
      </c>
      <c r="D293" s="197" t="s">
        <v>271</v>
      </c>
      <c r="E293" s="199" t="s">
        <v>271</v>
      </c>
      <c r="F293" s="201" t="s">
        <v>271</v>
      </c>
      <c r="G293" s="202" t="s">
        <v>271</v>
      </c>
      <c r="H293" s="609"/>
      <c r="I293" s="609"/>
      <c r="J293" s="104"/>
      <c r="K293" s="104"/>
      <c r="L293" s="104"/>
      <c r="M293" s="104"/>
      <c r="N293" s="104"/>
      <c r="O293" s="104"/>
      <c r="P293" s="104"/>
      <c r="Q293" s="104"/>
      <c r="R293" s="104"/>
      <c r="S293" s="104"/>
      <c r="T293" s="104"/>
      <c r="U293" s="104"/>
      <c r="V293" s="104"/>
      <c r="W293" s="104"/>
      <c r="X293" s="104"/>
      <c r="Y293" s="104"/>
      <c r="Z293" s="104"/>
      <c r="AA293" s="104"/>
      <c r="AB293" s="104"/>
      <c r="AC293" s="104"/>
      <c r="AD293" s="104"/>
      <c r="AE293" s="104"/>
      <c r="AF293" s="104"/>
      <c r="AG293" s="104"/>
      <c r="AH293" s="104"/>
      <c r="AI293" s="104"/>
      <c r="AJ293" s="104"/>
      <c r="AK293" s="104"/>
      <c r="AL293" s="104"/>
      <c r="AM293" s="104"/>
      <c r="AN293" s="104"/>
      <c r="AO293" s="104"/>
      <c r="AP293" s="104"/>
      <c r="AQ293" s="104"/>
      <c r="AR293" s="104"/>
      <c r="AS293" s="104"/>
      <c r="AT293" s="104"/>
      <c r="AU293" s="104"/>
      <c r="AV293" s="104"/>
      <c r="AW293" s="104"/>
      <c r="AX293" s="104"/>
      <c r="AY293" s="104"/>
      <c r="AZ293" s="104"/>
      <c r="BA293" s="104"/>
      <c r="BB293" s="104"/>
      <c r="BC293" s="104"/>
      <c r="BD293" s="104"/>
      <c r="BE293" s="104"/>
      <c r="BF293" s="104"/>
      <c r="BG293" s="104"/>
      <c r="BH293" s="104"/>
      <c r="BI293" s="104"/>
      <c r="BJ293" s="104"/>
      <c r="BK293" s="104"/>
      <c r="BL293" s="104"/>
      <c r="BM293" s="104"/>
      <c r="BN293" s="104"/>
      <c r="BO293" s="104"/>
      <c r="BP293" s="104"/>
      <c r="BQ293" s="104"/>
      <c r="BR293" s="104"/>
      <c r="BS293" s="104"/>
      <c r="BT293" s="104"/>
      <c r="BU293" s="104"/>
      <c r="BV293" s="104"/>
      <c r="BW293" s="122"/>
      <c r="BX293" s="122"/>
      <c r="BY293" s="104"/>
      <c r="BZ293" s="122"/>
      <c r="CA293" s="122"/>
      <c r="CB293" s="104"/>
      <c r="CC293" s="104"/>
      <c r="CD293" s="122"/>
      <c r="CE293" s="104"/>
      <c r="CF293" s="104"/>
      <c r="CG293" s="104"/>
      <c r="CH293" s="104"/>
      <c r="CI293" s="104"/>
      <c r="CJ293" s="104"/>
      <c r="CK293" s="104"/>
      <c r="CL293" s="104"/>
      <c r="CM293" s="104"/>
      <c r="CN293" s="104"/>
      <c r="CO293" s="104"/>
      <c r="CP293" s="104"/>
      <c r="CQ293" s="104"/>
      <c r="CR293" s="104"/>
      <c r="CS293" s="104"/>
      <c r="CT293" s="104"/>
      <c r="CU293" s="104"/>
    </row>
    <row r="294">
      <c r="A294" s="595"/>
      <c r="B294" s="202" t="s">
        <v>271</v>
      </c>
      <c r="C294" s="196" t="s">
        <v>271</v>
      </c>
      <c r="D294" s="197" t="s">
        <v>271</v>
      </c>
      <c r="E294" s="199" t="s">
        <v>271</v>
      </c>
      <c r="F294" s="201" t="s">
        <v>271</v>
      </c>
      <c r="G294" s="202" t="s">
        <v>271</v>
      </c>
      <c r="H294" s="609"/>
      <c r="I294" s="609"/>
      <c r="J294" s="104"/>
      <c r="K294" s="104"/>
      <c r="L294" s="104"/>
      <c r="M294" s="104"/>
      <c r="N294" s="104"/>
      <c r="O294" s="104"/>
      <c r="P294" s="104"/>
      <c r="Q294" s="104"/>
      <c r="R294" s="104"/>
      <c r="S294" s="104"/>
      <c r="T294" s="104"/>
      <c r="U294" s="104"/>
      <c r="V294" s="104"/>
      <c r="W294" s="104"/>
      <c r="X294" s="104"/>
      <c r="Y294" s="104"/>
      <c r="Z294" s="104"/>
      <c r="AA294" s="104"/>
      <c r="AB294" s="104"/>
      <c r="AC294" s="104"/>
      <c r="AD294" s="104"/>
      <c r="AE294" s="104"/>
      <c r="AF294" s="104"/>
      <c r="AG294" s="104"/>
      <c r="AH294" s="104"/>
      <c r="AI294" s="104"/>
      <c r="AJ294" s="104"/>
      <c r="AK294" s="104"/>
      <c r="AL294" s="104"/>
      <c r="AM294" s="104"/>
      <c r="AN294" s="104"/>
      <c r="AO294" s="104"/>
      <c r="AP294" s="104"/>
      <c r="AQ294" s="104"/>
      <c r="AR294" s="104"/>
      <c r="AS294" s="104"/>
      <c r="AT294" s="104"/>
      <c r="AU294" s="104"/>
      <c r="AV294" s="104"/>
      <c r="AW294" s="104"/>
      <c r="AX294" s="104"/>
      <c r="AY294" s="104"/>
      <c r="AZ294" s="104"/>
      <c r="BA294" s="104"/>
      <c r="BB294" s="104"/>
      <c r="BC294" s="104"/>
      <c r="BD294" s="104"/>
      <c r="BE294" s="104"/>
      <c r="BF294" s="104"/>
      <c r="BG294" s="104"/>
      <c r="BH294" s="104"/>
      <c r="BI294" s="104"/>
      <c r="BJ294" s="104"/>
      <c r="BK294" s="104"/>
      <c r="BL294" s="104"/>
      <c r="BM294" s="104"/>
      <c r="BN294" s="104"/>
      <c r="BO294" s="104"/>
      <c r="BP294" s="104"/>
      <c r="BQ294" s="104"/>
      <c r="BR294" s="104"/>
      <c r="BS294" s="104"/>
      <c r="BT294" s="104"/>
      <c r="BU294" s="104"/>
      <c r="BV294" s="104"/>
      <c r="BW294" s="122"/>
      <c r="BX294" s="122"/>
      <c r="BY294" s="104"/>
      <c r="BZ294" s="122"/>
      <c r="CA294" s="122"/>
      <c r="CB294" s="104"/>
      <c r="CC294" s="104"/>
      <c r="CD294" s="122"/>
      <c r="CE294" s="104"/>
      <c r="CF294" s="104"/>
      <c r="CG294" s="104"/>
      <c r="CH294" s="104"/>
      <c r="CI294" s="104"/>
      <c r="CJ294" s="104"/>
      <c r="CK294" s="104"/>
      <c r="CL294" s="104"/>
      <c r="CM294" s="104"/>
      <c r="CN294" s="104"/>
      <c r="CO294" s="104"/>
      <c r="CP294" s="104"/>
      <c r="CQ294" s="104"/>
      <c r="CR294" s="104"/>
      <c r="CS294" s="104"/>
      <c r="CT294" s="104"/>
      <c r="CU294" s="104"/>
    </row>
    <row r="295">
      <c r="A295" s="595"/>
      <c r="B295" s="202" t="s">
        <v>271</v>
      </c>
      <c r="C295" s="196" t="s">
        <v>271</v>
      </c>
      <c r="D295" s="197" t="s">
        <v>271</v>
      </c>
      <c r="E295" s="199" t="s">
        <v>271</v>
      </c>
      <c r="F295" s="201" t="s">
        <v>271</v>
      </c>
      <c r="G295" s="202" t="s">
        <v>271</v>
      </c>
      <c r="H295" s="609"/>
      <c r="I295" s="609"/>
      <c r="J295" s="104"/>
      <c r="K295" s="104"/>
      <c r="L295" s="104"/>
      <c r="M295" s="104"/>
      <c r="N295" s="104"/>
      <c r="O295" s="104"/>
      <c r="P295" s="104"/>
      <c r="Q295" s="104"/>
      <c r="R295" s="104"/>
      <c r="S295" s="104"/>
      <c r="T295" s="104"/>
      <c r="U295" s="104"/>
      <c r="V295" s="104"/>
      <c r="W295" s="104"/>
      <c r="X295" s="104"/>
      <c r="Y295" s="104"/>
      <c r="Z295" s="104"/>
      <c r="AA295" s="104"/>
      <c r="AB295" s="104"/>
      <c r="AC295" s="104"/>
      <c r="AD295" s="104"/>
      <c r="AE295" s="104"/>
      <c r="AF295" s="104"/>
      <c r="AG295" s="104"/>
      <c r="AH295" s="104"/>
      <c r="AI295" s="104"/>
      <c r="AJ295" s="104"/>
      <c r="AK295" s="104"/>
      <c r="AL295" s="104"/>
      <c r="AM295" s="104"/>
      <c r="AN295" s="104"/>
      <c r="AO295" s="104"/>
      <c r="AP295" s="104"/>
      <c r="AQ295" s="104"/>
      <c r="AR295" s="104"/>
      <c r="AS295" s="104"/>
      <c r="AT295" s="104"/>
      <c r="AU295" s="104"/>
      <c r="AV295" s="104"/>
      <c r="AW295" s="104"/>
      <c r="AX295" s="104"/>
      <c r="AY295" s="104"/>
      <c r="AZ295" s="104"/>
      <c r="BA295" s="104"/>
      <c r="BB295" s="104"/>
      <c r="BC295" s="104"/>
      <c r="BD295" s="104"/>
      <c r="BE295" s="104"/>
      <c r="BF295" s="104"/>
      <c r="BG295" s="104"/>
      <c r="BH295" s="104"/>
      <c r="BI295" s="104"/>
      <c r="BJ295" s="104"/>
      <c r="BK295" s="104"/>
      <c r="BL295" s="104"/>
      <c r="BM295" s="104"/>
      <c r="BN295" s="104"/>
      <c r="BO295" s="104"/>
      <c r="BP295" s="104"/>
      <c r="BQ295" s="104"/>
      <c r="BR295" s="104"/>
      <c r="BS295" s="104"/>
      <c r="BT295" s="104"/>
      <c r="BU295" s="104"/>
      <c r="BV295" s="104"/>
      <c r="BW295" s="122"/>
      <c r="BX295" s="122"/>
      <c r="BY295" s="104"/>
      <c r="BZ295" s="122"/>
      <c r="CA295" s="122"/>
      <c r="CB295" s="104"/>
      <c r="CC295" s="104"/>
      <c r="CD295" s="122"/>
      <c r="CE295" s="104"/>
      <c r="CF295" s="104"/>
      <c r="CG295" s="104"/>
      <c r="CH295" s="104"/>
      <c r="CI295" s="104"/>
      <c r="CJ295" s="104"/>
      <c r="CK295" s="104"/>
      <c r="CL295" s="104"/>
      <c r="CM295" s="104"/>
      <c r="CN295" s="104"/>
      <c r="CO295" s="104"/>
      <c r="CP295" s="104"/>
      <c r="CQ295" s="104"/>
      <c r="CR295" s="104"/>
      <c r="CS295" s="104"/>
      <c r="CT295" s="104"/>
      <c r="CU295" s="104"/>
    </row>
    <row r="296">
      <c r="A296" s="595"/>
      <c r="B296" s="202" t="s">
        <v>271</v>
      </c>
      <c r="C296" s="196" t="s">
        <v>271</v>
      </c>
      <c r="D296" s="197" t="s">
        <v>271</v>
      </c>
      <c r="E296" s="199" t="s">
        <v>271</v>
      </c>
      <c r="F296" s="201" t="s">
        <v>271</v>
      </c>
      <c r="G296" s="202" t="s">
        <v>271</v>
      </c>
      <c r="H296" s="609"/>
      <c r="I296" s="609"/>
      <c r="J296" s="104"/>
      <c r="K296" s="104"/>
      <c r="L296" s="104"/>
      <c r="M296" s="104"/>
      <c r="N296" s="104"/>
      <c r="O296" s="104"/>
      <c r="P296" s="104"/>
      <c r="Q296" s="104"/>
      <c r="R296" s="104"/>
      <c r="S296" s="104"/>
      <c r="T296" s="104"/>
      <c r="U296" s="104"/>
      <c r="V296" s="104"/>
      <c r="W296" s="104"/>
      <c r="X296" s="104"/>
      <c r="Y296" s="104"/>
      <c r="Z296" s="104"/>
      <c r="AA296" s="104"/>
      <c r="AB296" s="104"/>
      <c r="AC296" s="104"/>
      <c r="AD296" s="104"/>
      <c r="AE296" s="104"/>
      <c r="AF296" s="104"/>
      <c r="AG296" s="104"/>
      <c r="AH296" s="104"/>
      <c r="AI296" s="104"/>
      <c r="AJ296" s="104"/>
      <c r="AK296" s="104"/>
      <c r="AL296" s="104"/>
      <c r="AM296" s="104"/>
      <c r="AN296" s="104"/>
      <c r="AO296" s="104"/>
      <c r="AP296" s="104"/>
      <c r="AQ296" s="104"/>
      <c r="AR296" s="104"/>
      <c r="AS296" s="104"/>
      <c r="AT296" s="104"/>
      <c r="AU296" s="104"/>
      <c r="AV296" s="104"/>
      <c r="AW296" s="104"/>
      <c r="AX296" s="104"/>
      <c r="AY296" s="104"/>
      <c r="AZ296" s="104"/>
      <c r="BA296" s="104"/>
      <c r="BB296" s="104"/>
      <c r="BC296" s="104"/>
      <c r="BD296" s="104"/>
      <c r="BE296" s="104"/>
      <c r="BF296" s="104"/>
      <c r="BG296" s="104"/>
      <c r="BH296" s="104"/>
      <c r="BI296" s="104"/>
      <c r="BJ296" s="104"/>
      <c r="BK296" s="104"/>
      <c r="BL296" s="104"/>
      <c r="BM296" s="104"/>
      <c r="BN296" s="104"/>
      <c r="BO296" s="104"/>
      <c r="BP296" s="104"/>
      <c r="BQ296" s="104"/>
      <c r="BR296" s="104"/>
      <c r="BS296" s="104"/>
      <c r="BT296" s="104"/>
      <c r="BU296" s="104"/>
      <c r="BV296" s="104"/>
      <c r="BW296" s="122"/>
      <c r="BX296" s="122"/>
      <c r="BY296" s="104"/>
      <c r="BZ296" s="122"/>
      <c r="CA296" s="122"/>
      <c r="CB296" s="104"/>
      <c r="CC296" s="104"/>
      <c r="CD296" s="122"/>
      <c r="CE296" s="104"/>
      <c r="CF296" s="104"/>
      <c r="CG296" s="104"/>
      <c r="CH296" s="104"/>
      <c r="CI296" s="104"/>
      <c r="CJ296" s="104"/>
      <c r="CK296" s="104"/>
      <c r="CL296" s="104"/>
      <c r="CM296" s="104"/>
      <c r="CN296" s="104"/>
      <c r="CO296" s="104"/>
      <c r="CP296" s="104"/>
      <c r="CQ296" s="104"/>
      <c r="CR296" s="104"/>
      <c r="CS296" s="104"/>
      <c r="CT296" s="104"/>
      <c r="CU296" s="104"/>
    </row>
    <row r="297">
      <c r="A297" s="595"/>
      <c r="B297" s="202" t="s">
        <v>271</v>
      </c>
      <c r="C297" s="196" t="s">
        <v>271</v>
      </c>
      <c r="D297" s="197" t="s">
        <v>271</v>
      </c>
      <c r="E297" s="199" t="s">
        <v>271</v>
      </c>
      <c r="F297" s="201" t="s">
        <v>271</v>
      </c>
      <c r="G297" s="202" t="s">
        <v>271</v>
      </c>
      <c r="H297" s="609"/>
      <c r="I297" s="609"/>
      <c r="J297" s="104"/>
      <c r="K297" s="104"/>
      <c r="L297" s="104"/>
      <c r="M297" s="104"/>
      <c r="N297" s="104"/>
      <c r="O297" s="104"/>
      <c r="P297" s="104"/>
      <c r="Q297" s="104"/>
      <c r="R297" s="104"/>
      <c r="S297" s="104"/>
      <c r="T297" s="104"/>
      <c r="U297" s="104"/>
      <c r="V297" s="104"/>
      <c r="W297" s="104"/>
      <c r="X297" s="104"/>
      <c r="Y297" s="104"/>
      <c r="Z297" s="104"/>
      <c r="AA297" s="104"/>
      <c r="AB297" s="104"/>
      <c r="AC297" s="104"/>
      <c r="AD297" s="104"/>
      <c r="AE297" s="104"/>
      <c r="AF297" s="104"/>
      <c r="AG297" s="104"/>
      <c r="AH297" s="104"/>
      <c r="AI297" s="104"/>
      <c r="AJ297" s="104"/>
      <c r="AK297" s="104"/>
      <c r="AL297" s="104"/>
      <c r="AM297" s="104"/>
      <c r="AN297" s="104"/>
      <c r="AO297" s="104"/>
      <c r="AP297" s="104"/>
      <c r="AQ297" s="104"/>
      <c r="AR297" s="104"/>
      <c r="AS297" s="104"/>
      <c r="AT297" s="104"/>
      <c r="AU297" s="104"/>
      <c r="AV297" s="104"/>
      <c r="AW297" s="104"/>
      <c r="AX297" s="104"/>
      <c r="AY297" s="104"/>
      <c r="AZ297" s="104"/>
      <c r="BA297" s="104"/>
      <c r="BB297" s="104"/>
      <c r="BC297" s="104"/>
      <c r="BD297" s="104"/>
      <c r="BE297" s="104"/>
      <c r="BF297" s="104"/>
      <c r="BG297" s="104"/>
      <c r="BH297" s="104"/>
      <c r="BI297" s="104"/>
      <c r="BJ297" s="104"/>
      <c r="BK297" s="104"/>
      <c r="BL297" s="104"/>
      <c r="BM297" s="104"/>
      <c r="BN297" s="104"/>
      <c r="BO297" s="104"/>
      <c r="BP297" s="104"/>
      <c r="BQ297" s="104"/>
      <c r="BR297" s="104"/>
      <c r="BS297" s="104"/>
      <c r="BT297" s="104"/>
      <c r="BU297" s="104"/>
      <c r="BV297" s="104"/>
      <c r="BW297" s="122"/>
      <c r="BX297" s="122"/>
      <c r="BY297" s="104"/>
      <c r="BZ297" s="122"/>
      <c r="CA297" s="122"/>
      <c r="CB297" s="104"/>
      <c r="CC297" s="104"/>
      <c r="CD297" s="122"/>
      <c r="CE297" s="104"/>
      <c r="CF297" s="104"/>
      <c r="CG297" s="104"/>
      <c r="CH297" s="104"/>
      <c r="CI297" s="104"/>
      <c r="CJ297" s="104"/>
      <c r="CK297" s="104"/>
      <c r="CL297" s="104"/>
      <c r="CM297" s="104"/>
      <c r="CN297" s="104"/>
      <c r="CO297" s="104"/>
      <c r="CP297" s="104"/>
      <c r="CQ297" s="104"/>
      <c r="CR297" s="104"/>
      <c r="CS297" s="104"/>
      <c r="CT297" s="104"/>
      <c r="CU297" s="104"/>
    </row>
    <row r="298">
      <c r="A298" s="595"/>
      <c r="B298" s="202" t="s">
        <v>271</v>
      </c>
      <c r="C298" s="196" t="s">
        <v>271</v>
      </c>
      <c r="D298" s="197" t="s">
        <v>271</v>
      </c>
      <c r="E298" s="199" t="s">
        <v>271</v>
      </c>
      <c r="F298" s="201" t="s">
        <v>271</v>
      </c>
      <c r="G298" s="202" t="s">
        <v>271</v>
      </c>
      <c r="H298" s="609"/>
      <c r="I298" s="609"/>
      <c r="J298" s="104"/>
      <c r="K298" s="104"/>
      <c r="L298" s="104"/>
      <c r="M298" s="104"/>
      <c r="N298" s="104"/>
      <c r="O298" s="104"/>
      <c r="P298" s="104"/>
      <c r="Q298" s="104"/>
      <c r="R298" s="104"/>
      <c r="S298" s="104"/>
      <c r="T298" s="104"/>
      <c r="U298" s="104"/>
      <c r="V298" s="104"/>
      <c r="W298" s="104"/>
      <c r="X298" s="104"/>
      <c r="Y298" s="104"/>
      <c r="Z298" s="104"/>
      <c r="AA298" s="104"/>
      <c r="AB298" s="104"/>
      <c r="AC298" s="104"/>
      <c r="AD298" s="104"/>
      <c r="AE298" s="104"/>
      <c r="AF298" s="104"/>
      <c r="AG298" s="104"/>
      <c r="AH298" s="104"/>
      <c r="AI298" s="104"/>
      <c r="AJ298" s="104"/>
      <c r="AK298" s="104"/>
      <c r="AL298" s="104"/>
      <c r="AM298" s="104"/>
      <c r="AN298" s="104"/>
      <c r="AO298" s="104"/>
      <c r="AP298" s="104"/>
      <c r="AQ298" s="104"/>
      <c r="AR298" s="104"/>
      <c r="AS298" s="104"/>
      <c r="AT298" s="104"/>
      <c r="AU298" s="104"/>
      <c r="AV298" s="104"/>
      <c r="AW298" s="104"/>
      <c r="AX298" s="104"/>
      <c r="AY298" s="104"/>
      <c r="AZ298" s="104"/>
      <c r="BA298" s="104"/>
      <c r="BB298" s="104"/>
      <c r="BC298" s="104"/>
      <c r="BD298" s="104"/>
      <c r="BE298" s="104"/>
      <c r="BF298" s="104"/>
      <c r="BG298" s="104"/>
      <c r="BH298" s="104"/>
      <c r="BI298" s="104"/>
      <c r="BJ298" s="104"/>
      <c r="BK298" s="104"/>
      <c r="BL298" s="104"/>
      <c r="BM298" s="104"/>
      <c r="BN298" s="104"/>
      <c r="BO298" s="104"/>
      <c r="BP298" s="104"/>
      <c r="BQ298" s="104"/>
      <c r="BR298" s="104"/>
      <c r="BS298" s="104"/>
      <c r="BT298" s="104"/>
      <c r="BU298" s="104"/>
      <c r="BV298" s="104"/>
      <c r="BW298" s="122"/>
      <c r="BX298" s="122"/>
      <c r="BY298" s="104"/>
      <c r="BZ298" s="122"/>
      <c r="CA298" s="122"/>
      <c r="CB298" s="104"/>
      <c r="CC298" s="104"/>
      <c r="CD298" s="122"/>
      <c r="CE298" s="104"/>
      <c r="CF298" s="104"/>
      <c r="CG298" s="104"/>
      <c r="CH298" s="104"/>
      <c r="CI298" s="104"/>
      <c r="CJ298" s="104"/>
      <c r="CK298" s="104"/>
      <c r="CL298" s="104"/>
      <c r="CM298" s="104"/>
      <c r="CN298" s="104"/>
      <c r="CO298" s="104"/>
      <c r="CP298" s="104"/>
      <c r="CQ298" s="104"/>
      <c r="CR298" s="104"/>
      <c r="CS298" s="104"/>
      <c r="CT298" s="104"/>
      <c r="CU298" s="104"/>
    </row>
    <row r="299">
      <c r="A299" s="595"/>
      <c r="B299" s="202" t="s">
        <v>271</v>
      </c>
      <c r="C299" s="196" t="s">
        <v>271</v>
      </c>
      <c r="D299" s="197" t="s">
        <v>271</v>
      </c>
      <c r="E299" s="199" t="s">
        <v>271</v>
      </c>
      <c r="F299" s="201" t="s">
        <v>271</v>
      </c>
      <c r="G299" s="202" t="s">
        <v>271</v>
      </c>
      <c r="H299" s="609"/>
      <c r="I299" s="609"/>
      <c r="J299" s="104"/>
      <c r="K299" s="104"/>
      <c r="L299" s="104"/>
      <c r="M299" s="104"/>
      <c r="N299" s="104"/>
      <c r="O299" s="104"/>
      <c r="P299" s="104"/>
      <c r="Q299" s="104"/>
      <c r="R299" s="104"/>
      <c r="S299" s="104"/>
      <c r="T299" s="104"/>
      <c r="U299" s="104"/>
      <c r="V299" s="104"/>
      <c r="W299" s="104"/>
      <c r="X299" s="104"/>
      <c r="Y299" s="104"/>
      <c r="Z299" s="104"/>
      <c r="AA299" s="104"/>
      <c r="AB299" s="104"/>
      <c r="AC299" s="104"/>
      <c r="AD299" s="104"/>
      <c r="AE299" s="104"/>
      <c r="AF299" s="104"/>
      <c r="AG299" s="104"/>
      <c r="AH299" s="104"/>
      <c r="AI299" s="104"/>
      <c r="AJ299" s="104"/>
      <c r="AK299" s="104"/>
      <c r="AL299" s="104"/>
      <c r="AM299" s="104"/>
      <c r="AN299" s="104"/>
      <c r="AO299" s="104"/>
      <c r="AP299" s="104"/>
      <c r="AQ299" s="104"/>
      <c r="AR299" s="104"/>
      <c r="AS299" s="104"/>
      <c r="AT299" s="104"/>
      <c r="AU299" s="104"/>
      <c r="AV299" s="104"/>
      <c r="AW299" s="104"/>
      <c r="AX299" s="104"/>
      <c r="AY299" s="104"/>
      <c r="AZ299" s="104"/>
      <c r="BA299" s="104"/>
      <c r="BB299" s="104"/>
      <c r="BC299" s="104"/>
      <c r="BD299" s="104"/>
      <c r="BE299" s="104"/>
      <c r="BF299" s="104"/>
      <c r="BG299" s="104"/>
      <c r="BH299" s="104"/>
      <c r="BI299" s="104"/>
      <c r="BJ299" s="104"/>
      <c r="BK299" s="104"/>
      <c r="BL299" s="104"/>
      <c r="BM299" s="104"/>
      <c r="BN299" s="104"/>
      <c r="BO299" s="104"/>
      <c r="BP299" s="104"/>
      <c r="BQ299" s="104"/>
      <c r="BR299" s="104"/>
      <c r="BS299" s="104"/>
      <c r="BT299" s="104"/>
      <c r="BU299" s="104"/>
      <c r="BV299" s="104"/>
      <c r="BW299" s="122"/>
      <c r="BX299" s="122"/>
      <c r="BY299" s="104"/>
      <c r="BZ299" s="122"/>
      <c r="CA299" s="122"/>
      <c r="CB299" s="104"/>
      <c r="CC299" s="104"/>
      <c r="CD299" s="122"/>
      <c r="CE299" s="104"/>
      <c r="CF299" s="104"/>
      <c r="CG299" s="104"/>
      <c r="CH299" s="104"/>
      <c r="CI299" s="104"/>
      <c r="CJ299" s="104"/>
      <c r="CK299" s="104"/>
      <c r="CL299" s="104"/>
      <c r="CM299" s="104"/>
      <c r="CN299" s="104"/>
      <c r="CO299" s="104"/>
      <c r="CP299" s="104"/>
      <c r="CQ299" s="104"/>
      <c r="CR299" s="104"/>
      <c r="CS299" s="104"/>
      <c r="CT299" s="104"/>
      <c r="CU299" s="104"/>
    </row>
    <row r="300">
      <c r="A300" s="595"/>
      <c r="B300" s="202" t="s">
        <v>271</v>
      </c>
      <c r="C300" s="196" t="s">
        <v>271</v>
      </c>
      <c r="D300" s="197" t="s">
        <v>271</v>
      </c>
      <c r="E300" s="199" t="s">
        <v>271</v>
      </c>
      <c r="F300" s="201" t="s">
        <v>271</v>
      </c>
      <c r="G300" s="202" t="s">
        <v>271</v>
      </c>
      <c r="H300" s="609"/>
      <c r="I300" s="609"/>
      <c r="J300" s="104"/>
      <c r="K300" s="104"/>
      <c r="L300" s="104"/>
      <c r="M300" s="104"/>
      <c r="N300" s="104"/>
      <c r="O300" s="104"/>
      <c r="P300" s="104"/>
      <c r="Q300" s="104"/>
      <c r="R300" s="104"/>
      <c r="S300" s="104"/>
      <c r="T300" s="104"/>
      <c r="U300" s="104"/>
      <c r="V300" s="104"/>
      <c r="W300" s="104"/>
      <c r="X300" s="104"/>
      <c r="Y300" s="104"/>
      <c r="Z300" s="104"/>
      <c r="AA300" s="104"/>
      <c r="AB300" s="104"/>
      <c r="AC300" s="104"/>
      <c r="AD300" s="104"/>
      <c r="AE300" s="104"/>
      <c r="AF300" s="104"/>
      <c r="AG300" s="104"/>
      <c r="AH300" s="104"/>
      <c r="AI300" s="104"/>
      <c r="AJ300" s="104"/>
      <c r="AK300" s="104"/>
      <c r="AL300" s="104"/>
      <c r="AM300" s="104"/>
      <c r="AN300" s="104"/>
      <c r="AO300" s="104"/>
      <c r="AP300" s="104"/>
      <c r="AQ300" s="104"/>
      <c r="AR300" s="104"/>
      <c r="AS300" s="104"/>
      <c r="AT300" s="104"/>
      <c r="AU300" s="104"/>
      <c r="AV300" s="104"/>
      <c r="AW300" s="104"/>
      <c r="AX300" s="104"/>
      <c r="AY300" s="104"/>
      <c r="AZ300" s="104"/>
      <c r="BA300" s="104"/>
      <c r="BB300" s="104"/>
      <c r="BC300" s="104"/>
      <c r="BD300" s="104"/>
      <c r="BE300" s="104"/>
      <c r="BF300" s="104"/>
      <c r="BG300" s="104"/>
      <c r="BH300" s="104"/>
      <c r="BI300" s="104"/>
      <c r="BJ300" s="104"/>
      <c r="BK300" s="104"/>
      <c r="BL300" s="104"/>
      <c r="BM300" s="104"/>
      <c r="BN300" s="104"/>
      <c r="BO300" s="104"/>
      <c r="BP300" s="104"/>
      <c r="BQ300" s="104"/>
      <c r="BR300" s="104"/>
      <c r="BS300" s="104"/>
      <c r="BT300" s="104"/>
      <c r="BU300" s="104"/>
      <c r="BV300" s="104"/>
      <c r="BW300" s="122"/>
      <c r="BX300" s="122"/>
      <c r="BY300" s="104"/>
      <c r="BZ300" s="122"/>
      <c r="CA300" s="122"/>
      <c r="CB300" s="104"/>
      <c r="CC300" s="104"/>
      <c r="CD300" s="122"/>
      <c r="CE300" s="104"/>
      <c r="CF300" s="104"/>
      <c r="CG300" s="104"/>
      <c r="CH300" s="104"/>
      <c r="CI300" s="104"/>
      <c r="CJ300" s="104"/>
      <c r="CK300" s="104"/>
      <c r="CL300" s="104"/>
      <c r="CM300" s="104"/>
      <c r="CN300" s="104"/>
      <c r="CO300" s="104"/>
      <c r="CP300" s="104"/>
      <c r="CQ300" s="104"/>
      <c r="CR300" s="104"/>
      <c r="CS300" s="104"/>
      <c r="CT300" s="104"/>
      <c r="CU300" s="104"/>
    </row>
    <row r="301">
      <c r="A301" s="595"/>
      <c r="B301" s="202" t="s">
        <v>271</v>
      </c>
      <c r="C301" s="196" t="s">
        <v>271</v>
      </c>
      <c r="D301" s="197" t="s">
        <v>271</v>
      </c>
      <c r="E301" s="199" t="s">
        <v>271</v>
      </c>
      <c r="F301" s="201" t="s">
        <v>271</v>
      </c>
      <c r="G301" s="202" t="s">
        <v>271</v>
      </c>
      <c r="H301" s="609"/>
      <c r="I301" s="609"/>
      <c r="J301" s="104"/>
      <c r="K301" s="104"/>
      <c r="L301" s="104"/>
      <c r="M301" s="104"/>
      <c r="N301" s="104"/>
      <c r="O301" s="104"/>
      <c r="P301" s="104"/>
      <c r="Q301" s="104"/>
      <c r="R301" s="104"/>
      <c r="S301" s="104"/>
      <c r="T301" s="104"/>
      <c r="U301" s="104"/>
      <c r="V301" s="104"/>
      <c r="W301" s="104"/>
      <c r="X301" s="104"/>
      <c r="Y301" s="104"/>
      <c r="Z301" s="104"/>
      <c r="AA301" s="104"/>
      <c r="AB301" s="104"/>
      <c r="AC301" s="104"/>
      <c r="AD301" s="104"/>
      <c r="AE301" s="104"/>
      <c r="AF301" s="104"/>
      <c r="AG301" s="104"/>
      <c r="AH301" s="104"/>
      <c r="AI301" s="104"/>
      <c r="AJ301" s="104"/>
      <c r="AK301" s="104"/>
      <c r="AL301" s="104"/>
      <c r="AM301" s="104"/>
      <c r="AN301" s="104"/>
      <c r="AO301" s="104"/>
      <c r="AP301" s="104"/>
      <c r="AQ301" s="104"/>
      <c r="AR301" s="104"/>
      <c r="AS301" s="104"/>
      <c r="AT301" s="104"/>
      <c r="AU301" s="104"/>
      <c r="AV301" s="104"/>
      <c r="AW301" s="104"/>
      <c r="AX301" s="104"/>
      <c r="AY301" s="104"/>
      <c r="AZ301" s="104"/>
      <c r="BA301" s="104"/>
      <c r="BB301" s="104"/>
      <c r="BC301" s="104"/>
      <c r="BD301" s="104"/>
      <c r="BE301" s="104"/>
      <c r="BF301" s="104"/>
      <c r="BG301" s="104"/>
      <c r="BH301" s="104"/>
      <c r="BI301" s="104"/>
      <c r="BJ301" s="104"/>
      <c r="BK301" s="104"/>
      <c r="BL301" s="104"/>
      <c r="BM301" s="104"/>
      <c r="BN301" s="104"/>
      <c r="BO301" s="104"/>
      <c r="BP301" s="104"/>
      <c r="BQ301" s="104"/>
      <c r="BR301" s="104"/>
      <c r="BS301" s="104"/>
      <c r="BT301" s="104"/>
      <c r="BU301" s="104"/>
      <c r="BV301" s="104"/>
      <c r="BW301" s="122"/>
      <c r="BX301" s="122"/>
      <c r="BY301" s="104"/>
      <c r="BZ301" s="122"/>
      <c r="CA301" s="122"/>
      <c r="CB301" s="104"/>
      <c r="CC301" s="104"/>
      <c r="CD301" s="122"/>
      <c r="CE301" s="104"/>
      <c r="CF301" s="104"/>
      <c r="CG301" s="104"/>
      <c r="CH301" s="104"/>
      <c r="CI301" s="104"/>
      <c r="CJ301" s="104"/>
      <c r="CK301" s="104"/>
      <c r="CL301" s="104"/>
      <c r="CM301" s="104"/>
      <c r="CN301" s="104"/>
      <c r="CO301" s="104"/>
      <c r="CP301" s="104"/>
      <c r="CQ301" s="104"/>
      <c r="CR301" s="104"/>
      <c r="CS301" s="104"/>
      <c r="CT301" s="104"/>
      <c r="CU301" s="104"/>
    </row>
    <row r="302">
      <c r="A302" s="595"/>
      <c r="B302" s="202" t="s">
        <v>271</v>
      </c>
      <c r="C302" s="196" t="s">
        <v>271</v>
      </c>
      <c r="D302" s="197" t="s">
        <v>271</v>
      </c>
      <c r="E302" s="199" t="s">
        <v>271</v>
      </c>
      <c r="F302" s="201" t="s">
        <v>271</v>
      </c>
      <c r="G302" s="202" t="s">
        <v>271</v>
      </c>
      <c r="H302" s="609"/>
      <c r="I302" s="609"/>
      <c r="J302" s="104"/>
      <c r="K302" s="104"/>
      <c r="L302" s="104"/>
      <c r="M302" s="104"/>
      <c r="N302" s="104"/>
      <c r="O302" s="104"/>
      <c r="P302" s="104"/>
      <c r="Q302" s="104"/>
      <c r="R302" s="104"/>
      <c r="S302" s="104"/>
      <c r="T302" s="104"/>
      <c r="U302" s="104"/>
      <c r="V302" s="104"/>
      <c r="W302" s="104"/>
      <c r="X302" s="104"/>
      <c r="Y302" s="104"/>
      <c r="Z302" s="104"/>
      <c r="AA302" s="104"/>
      <c r="AB302" s="104"/>
      <c r="AC302" s="104"/>
      <c r="AD302" s="104"/>
      <c r="AE302" s="104"/>
      <c r="AF302" s="104"/>
      <c r="AG302" s="104"/>
      <c r="AH302" s="104"/>
      <c r="AI302" s="104"/>
      <c r="AJ302" s="104"/>
      <c r="AK302" s="104"/>
      <c r="AL302" s="104"/>
      <c r="AM302" s="104"/>
      <c r="AN302" s="104"/>
      <c r="AO302" s="104"/>
      <c r="AP302" s="104"/>
      <c r="AQ302" s="104"/>
      <c r="AR302" s="104"/>
      <c r="AS302" s="104"/>
      <c r="AT302" s="104"/>
      <c r="AU302" s="104"/>
      <c r="AV302" s="104"/>
      <c r="AW302" s="104"/>
      <c r="AX302" s="104"/>
      <c r="AY302" s="104"/>
      <c r="AZ302" s="104"/>
      <c r="BA302" s="104"/>
      <c r="BB302" s="104"/>
      <c r="BC302" s="104"/>
      <c r="BD302" s="104"/>
      <c r="BE302" s="104"/>
      <c r="BF302" s="104"/>
      <c r="BG302" s="104"/>
      <c r="BH302" s="104"/>
      <c r="BI302" s="104"/>
      <c r="BJ302" s="104"/>
      <c r="BK302" s="104"/>
      <c r="BL302" s="104"/>
      <c r="BM302" s="104"/>
      <c r="BN302" s="104"/>
      <c r="BO302" s="104"/>
      <c r="BP302" s="104"/>
      <c r="BQ302" s="104"/>
      <c r="BR302" s="104"/>
      <c r="BS302" s="104"/>
      <c r="BT302" s="104"/>
      <c r="BU302" s="104"/>
      <c r="BV302" s="104"/>
      <c r="BW302" s="122"/>
      <c r="BX302" s="122"/>
      <c r="BY302" s="104"/>
      <c r="BZ302" s="122"/>
      <c r="CA302" s="122"/>
      <c r="CB302" s="104"/>
      <c r="CC302" s="104"/>
      <c r="CD302" s="122"/>
      <c r="CE302" s="104"/>
      <c r="CF302" s="104"/>
      <c r="CG302" s="104"/>
      <c r="CH302" s="104"/>
      <c r="CI302" s="104"/>
      <c r="CJ302" s="104"/>
      <c r="CK302" s="104"/>
      <c r="CL302" s="104"/>
      <c r="CM302" s="104"/>
      <c r="CN302" s="104"/>
      <c r="CO302" s="104"/>
      <c r="CP302" s="104"/>
      <c r="CQ302" s="104"/>
      <c r="CR302" s="104"/>
      <c r="CS302" s="104"/>
      <c r="CT302" s="104"/>
      <c r="CU302" s="104"/>
    </row>
    <row r="303">
      <c r="A303" s="595"/>
      <c r="B303" s="202"/>
      <c r="C303" s="196"/>
      <c r="D303" s="197"/>
      <c r="E303" s="199"/>
      <c r="F303" s="201"/>
      <c r="G303" s="202"/>
      <c r="H303" s="197"/>
      <c r="I303" s="609"/>
      <c r="J303" s="122"/>
      <c r="K303" s="122"/>
      <c r="L303" s="122"/>
      <c r="M303" s="122"/>
      <c r="N303" s="122"/>
      <c r="O303" s="104"/>
      <c r="P303" s="122"/>
      <c r="Q303" s="122"/>
      <c r="R303" s="122"/>
      <c r="S303" s="104"/>
      <c r="T303" s="122"/>
      <c r="U303" s="122"/>
      <c r="V303" s="122"/>
      <c r="W303" s="104"/>
      <c r="X303" s="122"/>
      <c r="Y303" s="122"/>
      <c r="Z303" s="122"/>
      <c r="AA303" s="122"/>
      <c r="AB303" s="122"/>
      <c r="AC303" s="122"/>
      <c r="AD303" s="122"/>
      <c r="AE303" s="122"/>
      <c r="AF303" s="104"/>
      <c r="AG303" s="122"/>
      <c r="AH303" s="122"/>
      <c r="AI303" s="122"/>
      <c r="AJ303" s="122"/>
      <c r="AK303" s="122"/>
      <c r="AL303" s="122"/>
      <c r="AM303" s="122"/>
      <c r="AN303" s="122"/>
      <c r="AO303" s="122"/>
      <c r="AP303" s="122"/>
      <c r="AQ303" s="104"/>
      <c r="AR303" s="122"/>
      <c r="AS303" s="122"/>
      <c r="AT303" s="122"/>
      <c r="AU303" s="122"/>
      <c r="AV303" s="122"/>
      <c r="AW303" s="122"/>
      <c r="AX303" s="122"/>
      <c r="AY303" s="122"/>
      <c r="AZ303" s="122"/>
      <c r="BA303" s="122"/>
      <c r="BB303" s="104"/>
      <c r="BC303" s="122"/>
      <c r="BD303" s="122"/>
      <c r="BE303" s="122"/>
      <c r="BF303" s="122"/>
      <c r="BG303" s="122"/>
      <c r="BH303" s="122"/>
      <c r="BI303" s="122"/>
      <c r="BJ303" s="122"/>
      <c r="BK303" s="122"/>
      <c r="BL303" s="122"/>
      <c r="BM303" s="122"/>
      <c r="BN303" s="122"/>
      <c r="BO303" s="122"/>
      <c r="BP303" s="122"/>
      <c r="BQ303" s="122"/>
      <c r="BR303" s="122"/>
      <c r="BS303" s="122"/>
      <c r="BT303" s="122"/>
      <c r="BU303" s="122"/>
      <c r="BV303" s="122"/>
      <c r="BW303" s="122"/>
      <c r="BX303" s="122"/>
      <c r="BY303" s="122"/>
      <c r="BZ303" s="122"/>
      <c r="CA303" s="122"/>
      <c r="CB303" s="122"/>
      <c r="CC303" s="122"/>
      <c r="CD303" s="122"/>
      <c r="CE303" s="122"/>
      <c r="CF303" s="122"/>
      <c r="CG303" s="122"/>
      <c r="CH303" s="122"/>
      <c r="CI303" s="122"/>
      <c r="CJ303" s="122"/>
      <c r="CK303" s="122"/>
      <c r="CL303" s="122"/>
      <c r="CM303" s="122"/>
      <c r="CN303" s="104"/>
      <c r="CO303" s="122"/>
      <c r="CP303" s="122"/>
      <c r="CQ303" s="122"/>
      <c r="CR303" s="122"/>
      <c r="CS303" s="122"/>
      <c r="CT303" s="122"/>
      <c r="CU303" s="122"/>
    </row>
    <row r="304">
      <c r="A304" s="595"/>
      <c r="B304" s="202"/>
      <c r="C304" s="196"/>
      <c r="D304" s="197"/>
      <c r="E304" s="199"/>
      <c r="F304" s="201"/>
      <c r="G304" s="202"/>
      <c r="H304" s="197"/>
      <c r="I304" s="609"/>
      <c r="J304" s="122"/>
      <c r="K304" s="122"/>
      <c r="L304" s="122"/>
      <c r="M304" s="122"/>
      <c r="N304" s="122"/>
      <c r="O304" s="104"/>
      <c r="P304" s="122"/>
      <c r="Q304" s="122"/>
      <c r="R304" s="122"/>
      <c r="S304" s="104"/>
      <c r="T304" s="122"/>
      <c r="U304" s="122"/>
      <c r="V304" s="122"/>
      <c r="W304" s="104"/>
      <c r="X304" s="122"/>
      <c r="Y304" s="122"/>
      <c r="Z304" s="122"/>
      <c r="AA304" s="122"/>
      <c r="AB304" s="122"/>
      <c r="AC304" s="122"/>
      <c r="AD304" s="122"/>
      <c r="AE304" s="122"/>
      <c r="AF304" s="104"/>
      <c r="AG304" s="122"/>
      <c r="AH304" s="122"/>
      <c r="AI304" s="122"/>
      <c r="AJ304" s="122"/>
      <c r="AK304" s="122"/>
      <c r="AL304" s="122"/>
      <c r="AM304" s="122"/>
      <c r="AN304" s="122"/>
      <c r="AO304" s="122"/>
      <c r="AP304" s="122"/>
      <c r="AQ304" s="104"/>
      <c r="AR304" s="122"/>
      <c r="AS304" s="122"/>
      <c r="AT304" s="122"/>
      <c r="AU304" s="122"/>
      <c r="AV304" s="122"/>
      <c r="AW304" s="122"/>
      <c r="AX304" s="122"/>
      <c r="AY304" s="122"/>
      <c r="AZ304" s="122"/>
      <c r="BA304" s="122"/>
      <c r="BB304" s="104"/>
      <c r="BC304" s="122"/>
      <c r="BD304" s="122"/>
      <c r="BE304" s="122"/>
      <c r="BF304" s="122"/>
      <c r="BG304" s="122"/>
      <c r="BH304" s="122"/>
      <c r="BI304" s="122"/>
      <c r="BJ304" s="122"/>
      <c r="BK304" s="122"/>
      <c r="BL304" s="122"/>
      <c r="BM304" s="122"/>
      <c r="BN304" s="122"/>
      <c r="BO304" s="122"/>
      <c r="BP304" s="122"/>
      <c r="BQ304" s="122"/>
      <c r="BR304" s="122"/>
      <c r="BS304" s="122"/>
      <c r="BT304" s="122"/>
      <c r="BU304" s="122"/>
      <c r="BV304" s="122"/>
      <c r="BW304" s="122"/>
      <c r="BX304" s="122"/>
      <c r="BY304" s="122"/>
      <c r="BZ304" s="122"/>
      <c r="CA304" s="122"/>
      <c r="CB304" s="122"/>
      <c r="CC304" s="122"/>
      <c r="CD304" s="122"/>
      <c r="CE304" s="122"/>
      <c r="CF304" s="122"/>
      <c r="CG304" s="122"/>
      <c r="CH304" s="122"/>
      <c r="CI304" s="122"/>
      <c r="CJ304" s="122"/>
      <c r="CK304" s="122"/>
      <c r="CL304" s="122"/>
      <c r="CM304" s="122"/>
      <c r="CN304" s="104"/>
      <c r="CO304" s="122"/>
      <c r="CP304" s="122"/>
      <c r="CQ304" s="122"/>
      <c r="CR304" s="122"/>
      <c r="CS304" s="122"/>
      <c r="CT304" s="122"/>
      <c r="CU304" s="12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0" t="s">
        <v>34</v>
      </c>
      <c r="B1" s="941" t="s">
        <v>4919</v>
      </c>
      <c r="C1" s="942" t="s">
        <v>4921</v>
      </c>
      <c r="D1" s="943" t="s">
        <v>4922</v>
      </c>
      <c r="E1" s="943" t="s">
        <v>1276</v>
      </c>
      <c r="F1" s="943" t="s">
        <v>1277</v>
      </c>
      <c r="G1" s="943" t="s">
        <v>4923</v>
      </c>
      <c r="H1" s="944" t="s">
        <v>4924</v>
      </c>
      <c r="I1" s="944" t="s">
        <v>4925</v>
      </c>
      <c r="J1" s="946" t="s">
        <v>1293</v>
      </c>
      <c r="K1" s="946" t="s">
        <v>4927</v>
      </c>
      <c r="L1" s="946" t="s">
        <v>4928</v>
      </c>
      <c r="M1" s="946" t="s">
        <v>4930</v>
      </c>
      <c r="N1" s="946" t="s">
        <v>1381</v>
      </c>
      <c r="O1" s="946" t="s">
        <v>4931</v>
      </c>
      <c r="P1" s="946" t="s">
        <v>4932</v>
      </c>
      <c r="Q1" s="947" t="s">
        <v>4933</v>
      </c>
      <c r="R1" s="947" t="s">
        <v>1287</v>
      </c>
      <c r="S1" s="947" t="s">
        <v>4935</v>
      </c>
      <c r="T1" s="947" t="s">
        <v>4936</v>
      </c>
      <c r="U1" s="947" t="s">
        <v>4937</v>
      </c>
      <c r="V1" s="947" t="s">
        <v>4938</v>
      </c>
      <c r="W1" s="948" t="s">
        <v>1280</v>
      </c>
      <c r="X1" s="948" t="s">
        <v>1281</v>
      </c>
      <c r="Y1" s="948" t="s">
        <v>4940</v>
      </c>
      <c r="Z1" s="948" t="s">
        <v>4941</v>
      </c>
      <c r="AA1" s="948" t="s">
        <v>1283</v>
      </c>
      <c r="AB1" s="948" t="s">
        <v>4942</v>
      </c>
      <c r="AC1" s="948" t="s">
        <v>4944</v>
      </c>
      <c r="AD1" s="943" t="s">
        <v>4945</v>
      </c>
      <c r="AE1" s="943" t="s">
        <v>4946</v>
      </c>
      <c r="AF1" s="949" t="s">
        <v>1288</v>
      </c>
      <c r="AG1" s="949" t="s">
        <v>4947</v>
      </c>
      <c r="AH1" s="949" t="s">
        <v>4948</v>
      </c>
      <c r="AI1" s="949" t="s">
        <v>1289</v>
      </c>
      <c r="AJ1" s="949" t="s">
        <v>4949</v>
      </c>
      <c r="AK1" s="949" t="s">
        <v>4950</v>
      </c>
      <c r="AL1" s="949" t="s">
        <v>4951</v>
      </c>
      <c r="AM1" s="950" t="s">
        <v>1291</v>
      </c>
      <c r="AN1" s="950" t="s">
        <v>4952</v>
      </c>
      <c r="AO1" s="950" t="s">
        <v>4953</v>
      </c>
      <c r="AP1" s="950" t="s">
        <v>4954</v>
      </c>
      <c r="AQ1" s="950" t="s">
        <v>4955</v>
      </c>
      <c r="AR1" s="950" t="s">
        <v>4957</v>
      </c>
      <c r="AS1" s="950" t="s">
        <v>4958</v>
      </c>
      <c r="AT1" s="951" t="s">
        <v>4959</v>
      </c>
      <c r="AU1" s="952" t="s">
        <v>4960</v>
      </c>
      <c r="AV1" s="953" t="s">
        <v>4961</v>
      </c>
      <c r="AW1" s="954" t="s">
        <v>4962</v>
      </c>
    </row>
    <row r="2" ht="15.75" customHeight="1">
      <c r="A2" s="955" t="s">
        <v>4963</v>
      </c>
      <c r="B2" s="956" t="s">
        <v>4964</v>
      </c>
      <c r="C2" s="957">
        <v>0.04877291666666666</v>
      </c>
      <c r="D2" s="958" t="s">
        <v>4965</v>
      </c>
      <c r="E2" s="958" t="s">
        <v>4966</v>
      </c>
      <c r="F2" s="959" t="s">
        <v>4967</v>
      </c>
      <c r="G2" s="958" t="s">
        <v>4968</v>
      </c>
      <c r="H2" s="960" t="s">
        <v>4969</v>
      </c>
      <c r="I2" s="960" t="s">
        <v>4971</v>
      </c>
      <c r="J2" s="961" t="s">
        <v>4972</v>
      </c>
      <c r="K2" s="962" t="s">
        <v>4973</v>
      </c>
      <c r="L2" s="962" t="s">
        <v>612</v>
      </c>
      <c r="M2" s="962" t="s">
        <v>4974</v>
      </c>
      <c r="N2" s="962" t="s">
        <v>4975</v>
      </c>
      <c r="O2" s="962" t="s">
        <v>4976</v>
      </c>
      <c r="P2" s="962" t="s">
        <v>4977</v>
      </c>
      <c r="Q2" s="963" t="s">
        <v>4979</v>
      </c>
      <c r="R2" s="964" t="s">
        <v>4980</v>
      </c>
      <c r="S2" s="963" t="s">
        <v>250</v>
      </c>
      <c r="T2" s="964" t="s">
        <v>4981</v>
      </c>
      <c r="U2" s="963" t="s">
        <v>775</v>
      </c>
      <c r="V2" s="963" t="s">
        <v>4982</v>
      </c>
      <c r="W2" s="965" t="s">
        <v>4983</v>
      </c>
      <c r="X2" s="966" t="s">
        <v>4984</v>
      </c>
      <c r="Y2" s="966" t="s">
        <v>1316</v>
      </c>
      <c r="Z2" s="967" t="s">
        <v>1258</v>
      </c>
      <c r="AA2" s="966" t="s">
        <v>2321</v>
      </c>
      <c r="AB2" s="966" t="s">
        <v>4985</v>
      </c>
      <c r="AC2" s="967" t="s">
        <v>4986</v>
      </c>
      <c r="AD2" s="968" t="s">
        <v>4987</v>
      </c>
      <c r="AE2" s="969" t="s">
        <v>4988</v>
      </c>
      <c r="AF2" s="970" t="s">
        <v>4989</v>
      </c>
      <c r="AG2" s="970" t="s">
        <v>2937</v>
      </c>
      <c r="AH2" s="970" t="s">
        <v>4990</v>
      </c>
      <c r="AI2" s="971" t="s">
        <v>4992</v>
      </c>
      <c r="AJ2" s="971" t="s">
        <v>4993</v>
      </c>
      <c r="AK2" s="971" t="s">
        <v>4994</v>
      </c>
      <c r="AL2" s="971" t="s">
        <v>4995</v>
      </c>
      <c r="AM2" s="972" t="s">
        <v>4996</v>
      </c>
      <c r="AN2" s="973" t="s">
        <v>4998</v>
      </c>
      <c r="AO2" s="973" t="s">
        <v>2283</v>
      </c>
      <c r="AP2" s="974" t="s">
        <v>4999</v>
      </c>
      <c r="AQ2" s="972" t="s">
        <v>5000</v>
      </c>
      <c r="AR2" s="973" t="s">
        <v>5001</v>
      </c>
      <c r="AS2" s="972" t="s">
        <v>4639</v>
      </c>
      <c r="AT2" s="976" t="s">
        <v>5002</v>
      </c>
      <c r="AU2" s="977" t="s">
        <v>5003</v>
      </c>
      <c r="AV2" s="977" t="str">
        <f t="shared" ref="AV2:AV101" si="1">TEXT(AU2-C2,"m:ss")</f>
        <v>2:09</v>
      </c>
      <c r="AW2" s="978"/>
    </row>
    <row r="3" ht="15.75" customHeight="1">
      <c r="A3" s="979" t="s">
        <v>5004</v>
      </c>
      <c r="B3" s="980" t="s">
        <v>5005</v>
      </c>
      <c r="C3" s="981">
        <v>0.04930289351851852</v>
      </c>
      <c r="D3" s="982" t="s">
        <v>5006</v>
      </c>
      <c r="E3" s="982" t="s">
        <v>592</v>
      </c>
      <c r="F3" s="982" t="s">
        <v>5007</v>
      </c>
      <c r="G3" s="982" t="s">
        <v>5008</v>
      </c>
      <c r="H3" s="983" t="s">
        <v>5009</v>
      </c>
      <c r="I3" s="983" t="s">
        <v>5010</v>
      </c>
      <c r="J3" s="984" t="s">
        <v>5011</v>
      </c>
      <c r="K3" s="984" t="s">
        <v>2698</v>
      </c>
      <c r="L3" s="984" t="s">
        <v>2282</v>
      </c>
      <c r="M3" s="984" t="s">
        <v>5012</v>
      </c>
      <c r="N3" s="984" t="s">
        <v>5013</v>
      </c>
      <c r="O3" s="984" t="s">
        <v>5014</v>
      </c>
      <c r="P3" s="984" t="s">
        <v>1054</v>
      </c>
      <c r="Q3" s="985" t="s">
        <v>5015</v>
      </c>
      <c r="R3" s="985" t="s">
        <v>5016</v>
      </c>
      <c r="S3" s="985" t="s">
        <v>5017</v>
      </c>
      <c r="T3" s="985" t="s">
        <v>5019</v>
      </c>
      <c r="U3" s="986" t="s">
        <v>3154</v>
      </c>
      <c r="V3" s="985" t="s">
        <v>5021</v>
      </c>
      <c r="W3" s="987" t="s">
        <v>5022</v>
      </c>
      <c r="X3" s="987" t="s">
        <v>1245</v>
      </c>
      <c r="Y3" s="988" t="s">
        <v>5023</v>
      </c>
      <c r="Z3" s="988" t="s">
        <v>843</v>
      </c>
      <c r="AA3" s="988" t="s">
        <v>5024</v>
      </c>
      <c r="AB3" s="987" t="s">
        <v>1166</v>
      </c>
      <c r="AC3" s="988" t="s">
        <v>5026</v>
      </c>
      <c r="AD3" s="982" t="s">
        <v>5027</v>
      </c>
      <c r="AE3" s="982" t="s">
        <v>2693</v>
      </c>
      <c r="AF3" s="989" t="s">
        <v>5028</v>
      </c>
      <c r="AG3" s="990" t="s">
        <v>2127</v>
      </c>
      <c r="AH3" s="990" t="s">
        <v>5029</v>
      </c>
      <c r="AI3" s="990" t="s">
        <v>5030</v>
      </c>
      <c r="AJ3" s="989" t="s">
        <v>5031</v>
      </c>
      <c r="AK3" s="990" t="s">
        <v>1460</v>
      </c>
      <c r="AL3" s="990" t="s">
        <v>5032</v>
      </c>
      <c r="AM3" s="991" t="s">
        <v>5033</v>
      </c>
      <c r="AN3" s="991" t="s">
        <v>5034</v>
      </c>
      <c r="AO3" s="992" t="s">
        <v>2901</v>
      </c>
      <c r="AP3" s="992" t="s">
        <v>5036</v>
      </c>
      <c r="AQ3" s="992" t="s">
        <v>5037</v>
      </c>
      <c r="AR3" s="992" t="s">
        <v>5038</v>
      </c>
      <c r="AS3" s="991" t="s">
        <v>5039</v>
      </c>
      <c r="AT3" s="984" t="s">
        <v>5040</v>
      </c>
      <c r="AU3" s="993" t="s">
        <v>5041</v>
      </c>
      <c r="AV3" s="993" t="str">
        <f t="shared" si="1"/>
        <v>3:51</v>
      </c>
      <c r="AW3" s="994"/>
    </row>
    <row r="4" ht="15.75" customHeight="1">
      <c r="A4" s="995" t="s">
        <v>5042</v>
      </c>
      <c r="B4" s="996" t="s">
        <v>5043</v>
      </c>
      <c r="C4" s="997">
        <v>0.050637731481481485</v>
      </c>
      <c r="D4" s="998" t="s">
        <v>5044</v>
      </c>
      <c r="E4" s="998" t="s">
        <v>5045</v>
      </c>
      <c r="F4" s="998" t="s">
        <v>5046</v>
      </c>
      <c r="G4" s="998" t="s">
        <v>5047</v>
      </c>
      <c r="H4" s="999" t="s">
        <v>5048</v>
      </c>
      <c r="I4" s="999" t="s">
        <v>1063</v>
      </c>
      <c r="J4" s="1000" t="s">
        <v>5049</v>
      </c>
      <c r="K4" s="1000" t="s">
        <v>5050</v>
      </c>
      <c r="L4" s="1000" t="s">
        <v>5051</v>
      </c>
      <c r="M4" s="1000" t="s">
        <v>5052</v>
      </c>
      <c r="N4" s="1000" t="s">
        <v>4996</v>
      </c>
      <c r="O4" s="1000" t="s">
        <v>5053</v>
      </c>
      <c r="P4" s="1000" t="s">
        <v>3706</v>
      </c>
      <c r="Q4" s="1001" t="s">
        <v>5054</v>
      </c>
      <c r="R4" s="1001" t="s">
        <v>5057</v>
      </c>
      <c r="S4" s="1001" t="s">
        <v>5058</v>
      </c>
      <c r="T4" s="1001" t="s">
        <v>5059</v>
      </c>
      <c r="U4" s="1001" t="s">
        <v>5060</v>
      </c>
      <c r="V4" s="1001" t="s">
        <v>5061</v>
      </c>
      <c r="W4" s="1002" t="s">
        <v>5062</v>
      </c>
      <c r="X4" s="1002" t="s">
        <v>5063</v>
      </c>
      <c r="Y4" s="1002">
        <v>47.93</v>
      </c>
      <c r="Z4" s="1002" t="s">
        <v>5064</v>
      </c>
      <c r="AA4" s="1002" t="s">
        <v>5065</v>
      </c>
      <c r="AB4" s="1002" t="s">
        <v>5066</v>
      </c>
      <c r="AC4" s="1002">
        <v>49.24</v>
      </c>
      <c r="AD4" s="1003" t="s">
        <v>5067</v>
      </c>
      <c r="AE4" s="1004" t="s">
        <v>5068</v>
      </c>
      <c r="AF4" s="1005" t="s">
        <v>5069</v>
      </c>
      <c r="AG4" s="1005" t="s">
        <v>5070</v>
      </c>
      <c r="AH4" s="1005" t="s">
        <v>5071</v>
      </c>
      <c r="AI4" s="1005" t="s">
        <v>5072</v>
      </c>
      <c r="AJ4" s="1005" t="s">
        <v>5073</v>
      </c>
      <c r="AK4" s="1005" t="s">
        <v>3768</v>
      </c>
      <c r="AL4" s="1005" t="s">
        <v>5074</v>
      </c>
      <c r="AM4" s="1007" t="s">
        <v>5075</v>
      </c>
      <c r="AN4" s="1008" t="s">
        <v>5076</v>
      </c>
      <c r="AO4" s="1007" t="s">
        <v>5078</v>
      </c>
      <c r="AP4" s="1008" t="s">
        <v>5079</v>
      </c>
      <c r="AQ4" s="1007" t="s">
        <v>5081</v>
      </c>
      <c r="AR4" s="1007" t="s">
        <v>241</v>
      </c>
      <c r="AS4" s="1007" t="s">
        <v>2518</v>
      </c>
      <c r="AT4" s="1009" t="s">
        <v>5082</v>
      </c>
      <c r="AU4" s="1010" t="s">
        <v>5083</v>
      </c>
      <c r="AV4" s="1011" t="str">
        <f t="shared" si="1"/>
        <v>2:49</v>
      </c>
      <c r="AW4" s="978"/>
    </row>
    <row r="5" ht="15.75" customHeight="1">
      <c r="A5" s="1012" t="s">
        <v>39</v>
      </c>
      <c r="B5" s="1013" t="s">
        <v>4964</v>
      </c>
      <c r="C5" s="1014">
        <v>0.04894675925925926</v>
      </c>
      <c r="D5" s="1015" t="s">
        <v>4965</v>
      </c>
      <c r="E5" s="1015" t="s">
        <v>4966</v>
      </c>
      <c r="F5" s="1017" t="s">
        <v>5086</v>
      </c>
      <c r="G5" s="1020" t="s">
        <v>4968</v>
      </c>
      <c r="H5" s="1015" t="s">
        <v>4969</v>
      </c>
      <c r="I5" s="1015" t="s">
        <v>4971</v>
      </c>
      <c r="J5" s="1020" t="s">
        <v>4972</v>
      </c>
      <c r="K5" s="1021" t="s">
        <v>4973</v>
      </c>
      <c r="L5" s="1017" t="s">
        <v>2894</v>
      </c>
      <c r="M5" s="1021" t="s">
        <v>4974</v>
      </c>
      <c r="N5" s="1021" t="s">
        <v>4975</v>
      </c>
      <c r="O5" s="1017" t="s">
        <v>5097</v>
      </c>
      <c r="P5" s="1021" t="s">
        <v>4977</v>
      </c>
      <c r="Q5" s="1021" t="s">
        <v>4979</v>
      </c>
      <c r="R5" s="1020" t="s">
        <v>4980</v>
      </c>
      <c r="S5" s="1021" t="s">
        <v>250</v>
      </c>
      <c r="T5" s="1020" t="s">
        <v>4981</v>
      </c>
      <c r="U5" s="1021" t="s">
        <v>775</v>
      </c>
      <c r="V5" s="1026" t="s">
        <v>4982</v>
      </c>
      <c r="W5" s="1015" t="s">
        <v>4983</v>
      </c>
      <c r="X5" s="1020" t="s">
        <v>4984</v>
      </c>
      <c r="Y5" s="1020" t="s">
        <v>1316</v>
      </c>
      <c r="Z5" s="1017" t="s">
        <v>5125</v>
      </c>
      <c r="AA5" s="1020" t="s">
        <v>2321</v>
      </c>
      <c r="AB5" s="1017" t="s">
        <v>5128</v>
      </c>
      <c r="AC5" s="1021" t="s">
        <v>4986</v>
      </c>
      <c r="AD5" s="1020" t="s">
        <v>4987</v>
      </c>
      <c r="AE5" s="1035" t="s">
        <v>1835</v>
      </c>
      <c r="AF5" s="825" t="s">
        <v>5133</v>
      </c>
      <c r="AG5" s="1015" t="s">
        <v>2937</v>
      </c>
      <c r="AH5" s="1017" t="s">
        <v>3451</v>
      </c>
      <c r="AI5" s="1035" t="s">
        <v>5138</v>
      </c>
      <c r="AJ5" s="137" t="s">
        <v>5139</v>
      </c>
      <c r="AK5" s="1021" t="s">
        <v>4994</v>
      </c>
      <c r="AL5" s="1020" t="s">
        <v>4995</v>
      </c>
      <c r="AM5" s="1020" t="s">
        <v>4996</v>
      </c>
      <c r="AN5" s="1017" t="s">
        <v>5141</v>
      </c>
      <c r="AO5" s="1035" t="s">
        <v>1163</v>
      </c>
      <c r="AP5" s="1020" t="s">
        <v>4999</v>
      </c>
      <c r="AQ5" s="1017" t="s">
        <v>5145</v>
      </c>
      <c r="AR5" s="137" t="s">
        <v>5148</v>
      </c>
      <c r="AS5" s="1041" t="s">
        <v>5055</v>
      </c>
      <c r="AT5" s="1017" t="s">
        <v>5151</v>
      </c>
      <c r="AU5" s="1042" t="s">
        <v>5003</v>
      </c>
      <c r="AV5" s="825" t="str">
        <f t="shared" si="1"/>
        <v>1:54</v>
      </c>
      <c r="AW5" s="1043" t="s">
        <v>5153</v>
      </c>
    </row>
    <row r="6">
      <c r="A6" s="1045" t="s">
        <v>36</v>
      </c>
      <c r="B6" s="1047" t="s">
        <v>4964</v>
      </c>
      <c r="C6" s="1048">
        <v>0.049185185185185186</v>
      </c>
      <c r="D6" s="1049" t="s">
        <v>5156</v>
      </c>
      <c r="E6" s="1051" t="s">
        <v>5157</v>
      </c>
      <c r="F6" s="1054" t="s">
        <v>5159</v>
      </c>
      <c r="G6" s="1055" t="s">
        <v>5160</v>
      </c>
      <c r="H6" s="1056" t="s">
        <v>5161</v>
      </c>
      <c r="I6" s="1057" t="s">
        <v>1828</v>
      </c>
      <c r="J6" s="1058" t="s">
        <v>5162</v>
      </c>
      <c r="K6" s="1059" t="s">
        <v>257</v>
      </c>
      <c r="L6" s="1061" t="s">
        <v>5164</v>
      </c>
      <c r="M6" s="1059" t="s">
        <v>5143</v>
      </c>
      <c r="N6" s="1058" t="s">
        <v>307</v>
      </c>
      <c r="O6" s="1059" t="s">
        <v>5167</v>
      </c>
      <c r="P6" s="1058" t="s">
        <v>5168</v>
      </c>
      <c r="Q6" s="1062" t="s">
        <v>5170</v>
      </c>
      <c r="R6" s="1064" t="s">
        <v>5171</v>
      </c>
      <c r="S6" s="1064" t="s">
        <v>5173</v>
      </c>
      <c r="T6" s="1064" t="s">
        <v>5174</v>
      </c>
      <c r="U6" s="1064" t="s">
        <v>5175</v>
      </c>
      <c r="V6" s="1064" t="s">
        <v>5177</v>
      </c>
      <c r="W6" s="1065" t="s">
        <v>5178</v>
      </c>
      <c r="X6" s="1066" t="s">
        <v>5179</v>
      </c>
      <c r="Y6" s="1066" t="s">
        <v>5180</v>
      </c>
      <c r="Z6" s="1065" t="s">
        <v>2325</v>
      </c>
      <c r="AA6" s="1068" t="s">
        <v>5183</v>
      </c>
      <c r="AB6" s="1066" t="s">
        <v>1794</v>
      </c>
      <c r="AC6" s="1066" t="s">
        <v>2334</v>
      </c>
      <c r="AD6" s="1055" t="s">
        <v>5186</v>
      </c>
      <c r="AE6" s="1055" t="s">
        <v>5189</v>
      </c>
      <c r="AF6" s="1071" t="s">
        <v>5190</v>
      </c>
      <c r="AG6" s="1072" t="s">
        <v>603</v>
      </c>
      <c r="AH6" s="1073" t="s">
        <v>5193</v>
      </c>
      <c r="AI6" s="1071" t="s">
        <v>5194</v>
      </c>
      <c r="AJ6" s="1071" t="s">
        <v>5195</v>
      </c>
      <c r="AK6" s="1073" t="s">
        <v>5197</v>
      </c>
      <c r="AL6" s="1071" t="s">
        <v>2398</v>
      </c>
      <c r="AM6" s="1074" t="s">
        <v>2401</v>
      </c>
      <c r="AN6" s="1075" t="s">
        <v>5202</v>
      </c>
      <c r="AO6" s="1074" t="s">
        <v>2556</v>
      </c>
      <c r="AP6" s="1074" t="s">
        <v>5204</v>
      </c>
      <c r="AQ6" s="1077" t="s">
        <v>5000</v>
      </c>
      <c r="AR6" s="1079" t="s">
        <v>5207</v>
      </c>
      <c r="AS6" s="1074" t="s">
        <v>5208</v>
      </c>
      <c r="AT6" s="1080" t="s">
        <v>5209</v>
      </c>
      <c r="AU6" s="1081" t="s">
        <v>5211</v>
      </c>
      <c r="AV6" s="1082" t="str">
        <f t="shared" si="1"/>
        <v>1:53</v>
      </c>
      <c r="AW6" s="1083"/>
    </row>
    <row r="7" ht="15.75" customHeight="1">
      <c r="A7" s="1084" t="s">
        <v>599</v>
      </c>
      <c r="B7" s="1013" t="s">
        <v>4964</v>
      </c>
      <c r="C7" s="1014">
        <v>0.0493287037037037</v>
      </c>
      <c r="D7" s="1085" t="s">
        <v>5213</v>
      </c>
      <c r="E7" s="1086" t="s">
        <v>5214</v>
      </c>
      <c r="F7" s="1086" t="s">
        <v>5215</v>
      </c>
      <c r="G7" s="1086" t="s">
        <v>5216</v>
      </c>
      <c r="H7" s="1086" t="s">
        <v>5217</v>
      </c>
      <c r="I7" s="1087" t="s">
        <v>5218</v>
      </c>
      <c r="J7" s="1086" t="s">
        <v>5219</v>
      </c>
      <c r="K7" s="1086" t="s">
        <v>3252</v>
      </c>
      <c r="L7" s="1086" t="s">
        <v>5220</v>
      </c>
      <c r="M7" s="1086" t="s">
        <v>5143</v>
      </c>
      <c r="N7" s="1086" t="s">
        <v>5221</v>
      </c>
      <c r="O7" s="1086" t="s">
        <v>5222</v>
      </c>
      <c r="P7" s="1086" t="s">
        <v>4560</v>
      </c>
      <c r="Q7" s="1088" t="s">
        <v>5163</v>
      </c>
      <c r="R7" s="1086" t="s">
        <v>3984</v>
      </c>
      <c r="S7" s="1086" t="s">
        <v>5219</v>
      </c>
      <c r="T7" s="1086" t="s">
        <v>5224</v>
      </c>
      <c r="U7" s="1088" t="s">
        <v>5225</v>
      </c>
      <c r="V7" s="1089" t="s">
        <v>3765</v>
      </c>
      <c r="W7" s="1086" t="s">
        <v>5226</v>
      </c>
      <c r="X7" s="1086" t="s">
        <v>5227</v>
      </c>
      <c r="Y7" s="1090">
        <v>46.72</v>
      </c>
      <c r="Z7" s="1090" t="s">
        <v>5228</v>
      </c>
      <c r="AA7" s="1086" t="s">
        <v>5229</v>
      </c>
      <c r="AB7" s="1091" t="s">
        <v>4985</v>
      </c>
      <c r="AC7" s="1086" t="s">
        <v>5231</v>
      </c>
      <c r="AD7" s="1086" t="s">
        <v>2085</v>
      </c>
      <c r="AE7" s="1092" t="s">
        <v>4988</v>
      </c>
      <c r="AF7" s="1090" t="s">
        <v>5232</v>
      </c>
      <c r="AG7" s="1089" t="s">
        <v>5233</v>
      </c>
      <c r="AH7" s="1091" t="s">
        <v>4990</v>
      </c>
      <c r="AI7" s="1086" t="s">
        <v>5234</v>
      </c>
      <c r="AJ7" s="1090" t="s">
        <v>5235</v>
      </c>
      <c r="AK7" s="1090" t="s">
        <v>5236</v>
      </c>
      <c r="AL7" s="1089" t="s">
        <v>5237</v>
      </c>
      <c r="AM7" s="1086" t="s">
        <v>5238</v>
      </c>
      <c r="AN7" s="1089" t="s">
        <v>5239</v>
      </c>
      <c r="AO7" s="1089" t="s">
        <v>1910</v>
      </c>
      <c r="AP7" s="1089" t="s">
        <v>5240</v>
      </c>
      <c r="AQ7" s="825" t="s">
        <v>5241</v>
      </c>
      <c r="AR7" s="1089" t="s">
        <v>5242</v>
      </c>
      <c r="AS7" s="1089" t="s">
        <v>5243</v>
      </c>
      <c r="AT7" s="1089" t="s">
        <v>5244</v>
      </c>
      <c r="AU7" s="1093" t="s">
        <v>5245</v>
      </c>
      <c r="AV7" s="825" t="str">
        <f t="shared" si="1"/>
        <v>2:15</v>
      </c>
      <c r="AW7" s="1043"/>
    </row>
    <row r="8" ht="15.75" customHeight="1">
      <c r="A8" s="1012" t="s">
        <v>61</v>
      </c>
      <c r="B8" s="1013" t="s">
        <v>4964</v>
      </c>
      <c r="C8" s="1014">
        <v>0.049444444444444444</v>
      </c>
      <c r="D8" s="1041" t="s">
        <v>5247</v>
      </c>
      <c r="E8" s="1041" t="s">
        <v>5251</v>
      </c>
      <c r="F8" s="1087" t="s">
        <v>5252</v>
      </c>
      <c r="G8" s="1035" t="s">
        <v>5253</v>
      </c>
      <c r="H8" s="1087" t="s">
        <v>5256</v>
      </c>
      <c r="I8" s="1087" t="s">
        <v>371</v>
      </c>
      <c r="J8" s="1041" t="s">
        <v>5258</v>
      </c>
      <c r="K8" s="1087" t="s">
        <v>5259</v>
      </c>
      <c r="L8" s="1087" t="s">
        <v>5200</v>
      </c>
      <c r="M8" s="1087" t="s">
        <v>5260</v>
      </c>
      <c r="N8" s="1041" t="s">
        <v>5262</v>
      </c>
      <c r="O8" s="1087" t="s">
        <v>5263</v>
      </c>
      <c r="P8" s="825" t="s">
        <v>864</v>
      </c>
      <c r="Q8" s="1041" t="s">
        <v>5264</v>
      </c>
      <c r="R8" s="1087" t="s">
        <v>1225</v>
      </c>
      <c r="S8" s="1087" t="s">
        <v>5266</v>
      </c>
      <c r="T8" s="825" t="s">
        <v>5267</v>
      </c>
      <c r="U8" s="1087" t="s">
        <v>5268</v>
      </c>
      <c r="V8" s="1087" t="s">
        <v>5269</v>
      </c>
      <c r="W8" s="1094" t="s">
        <v>5270</v>
      </c>
      <c r="X8" s="825" t="s">
        <v>5115</v>
      </c>
      <c r="Y8" s="1095" t="s">
        <v>5272</v>
      </c>
      <c r="Z8" s="1087" t="s">
        <v>2843</v>
      </c>
      <c r="AA8" s="1096" t="str">
        <f>HYPERLINK("https://www.twitch.tv/videos/571775470","1:28.03")</f>
        <v>1:28.03</v>
      </c>
      <c r="AB8" s="825" t="s">
        <v>1321</v>
      </c>
      <c r="AC8" s="167" t="str">
        <f>HYPERLINK("https://clips.twitch.tv/HelpfulSaltyCoyoteHoneyBadger","47.31")</f>
        <v>47.31</v>
      </c>
      <c r="AD8" s="1096" t="str">
        <f>HYPERLINK("https://www.twitch.tv/videos/625954575","1:47.79")</f>
        <v>1:47.79</v>
      </c>
      <c r="AE8" s="825" t="s">
        <v>5276</v>
      </c>
      <c r="AF8" s="825" t="s">
        <v>5277</v>
      </c>
      <c r="AG8" s="1096" t="str">
        <f>HYPERLINK("https://www.twitch.tv/videos/566334947","1:28.73")</f>
        <v>1:28.73</v>
      </c>
      <c r="AH8" s="1087" t="s">
        <v>5279</v>
      </c>
      <c r="AI8" s="1098" t="str">
        <f>HYPERLINK("https://www.twitch.tv/videos/584107631","1:27.68")</f>
        <v>1:27.68</v>
      </c>
      <c r="AJ8" s="825" t="s">
        <v>5281</v>
      </c>
      <c r="AK8" s="1087" t="s">
        <v>215</v>
      </c>
      <c r="AL8" s="1087" t="s">
        <v>5283</v>
      </c>
      <c r="AM8" s="1041" t="s">
        <v>5284</v>
      </c>
      <c r="AN8" s="1041" t="s">
        <v>1751</v>
      </c>
      <c r="AO8" s="1041" t="s">
        <v>5287</v>
      </c>
      <c r="AP8" s="1087" t="s">
        <v>5288</v>
      </c>
      <c r="AQ8" s="825" t="s">
        <v>5289</v>
      </c>
      <c r="AR8" s="1041" t="s">
        <v>5290</v>
      </c>
      <c r="AS8" s="167" t="str">
        <f>HYPERLINK("https://www.twitch.tv/videos/571767101","42.91")</f>
        <v>42.91</v>
      </c>
      <c r="AT8" s="1017" t="s">
        <v>5293</v>
      </c>
      <c r="AU8" s="1093" t="s">
        <v>5296</v>
      </c>
      <c r="AV8" s="825" t="str">
        <f t="shared" si="1"/>
        <v>2:32</v>
      </c>
      <c r="AW8" s="1099" t="s">
        <v>5298</v>
      </c>
    </row>
    <row r="9" ht="15.75" customHeight="1">
      <c r="A9" s="1012" t="s">
        <v>51</v>
      </c>
      <c r="B9" s="1013" t="s">
        <v>4964</v>
      </c>
      <c r="C9" s="1014">
        <v>0.04949074074074074</v>
      </c>
      <c r="D9" s="1100" t="s">
        <v>5299</v>
      </c>
      <c r="E9" s="1095" t="s">
        <v>5301</v>
      </c>
      <c r="F9" s="1095" t="s">
        <v>1044</v>
      </c>
      <c r="G9" s="1095" t="s">
        <v>5302</v>
      </c>
      <c r="H9" s="1041" t="s">
        <v>5303</v>
      </c>
      <c r="I9" s="1086">
        <v>47.34</v>
      </c>
      <c r="J9" s="1095" t="s">
        <v>5306</v>
      </c>
      <c r="K9" s="1095" t="s">
        <v>3233</v>
      </c>
      <c r="L9" s="1095">
        <v>55.97</v>
      </c>
      <c r="M9" s="1095" t="s">
        <v>923</v>
      </c>
      <c r="N9" s="1095" t="s">
        <v>5307</v>
      </c>
      <c r="O9" s="1102" t="s">
        <v>4976</v>
      </c>
      <c r="P9" s="1095">
        <v>47.49</v>
      </c>
      <c r="Q9" s="1095" t="s">
        <v>5309</v>
      </c>
      <c r="R9" s="1095" t="s">
        <v>4476</v>
      </c>
      <c r="S9" s="1103" t="s">
        <v>3097</v>
      </c>
      <c r="T9" s="1095" t="s">
        <v>4513</v>
      </c>
      <c r="U9" s="1041" t="s">
        <v>5310</v>
      </c>
      <c r="V9" s="1095">
        <v>59.32</v>
      </c>
      <c r="W9" s="1100" t="s">
        <v>5313</v>
      </c>
      <c r="X9" s="1105" t="s">
        <v>5314</v>
      </c>
      <c r="Y9" s="1095">
        <v>46.65</v>
      </c>
      <c r="Z9" s="1095" t="s">
        <v>5316</v>
      </c>
      <c r="AA9" s="1095" t="s">
        <v>5318</v>
      </c>
      <c r="AB9" s="1095" t="s">
        <v>5319</v>
      </c>
      <c r="AC9" s="1095">
        <v>47.89</v>
      </c>
      <c r="AD9" s="1095" t="s">
        <v>5321</v>
      </c>
      <c r="AE9" s="1095">
        <v>47.98</v>
      </c>
      <c r="AF9" s="1105" t="s">
        <v>5323</v>
      </c>
      <c r="AG9" s="1095" t="s">
        <v>5325</v>
      </c>
      <c r="AH9" s="1095">
        <v>57.45</v>
      </c>
      <c r="AI9" s="1090" t="s">
        <v>862</v>
      </c>
      <c r="AJ9" s="1106" t="s">
        <v>5139</v>
      </c>
      <c r="AK9" s="1095" t="s">
        <v>5328</v>
      </c>
      <c r="AL9" s="1095">
        <v>56.23</v>
      </c>
      <c r="AM9" s="1100" t="s">
        <v>5019</v>
      </c>
      <c r="AN9" s="1100" t="s">
        <v>5329</v>
      </c>
      <c r="AO9" s="1095" t="s">
        <v>5330</v>
      </c>
      <c r="AP9" s="1095" t="s">
        <v>5331</v>
      </c>
      <c r="AQ9" s="1095" t="s">
        <v>5332</v>
      </c>
      <c r="AR9" s="1105" t="s">
        <v>4077</v>
      </c>
      <c r="AS9" s="1095">
        <v>46.19</v>
      </c>
      <c r="AT9" s="1107" t="s">
        <v>5002</v>
      </c>
      <c r="AU9" s="825" t="s">
        <v>5336</v>
      </c>
      <c r="AV9" s="825" t="str">
        <f t="shared" si="1"/>
        <v>1:33</v>
      </c>
      <c r="AW9" s="1099" t="s">
        <v>5337</v>
      </c>
    </row>
    <row r="10">
      <c r="A10" s="1108" t="s">
        <v>86</v>
      </c>
      <c r="B10" s="1109" t="s">
        <v>4964</v>
      </c>
      <c r="C10" s="1014">
        <v>0.04951388888888889</v>
      </c>
      <c r="D10" s="1089" t="s">
        <v>5247</v>
      </c>
      <c r="E10" s="1089" t="s">
        <v>693</v>
      </c>
      <c r="F10" s="1089" t="s">
        <v>5339</v>
      </c>
      <c r="G10" s="1090" t="s">
        <v>5340</v>
      </c>
      <c r="H10" s="1089" t="s">
        <v>5341</v>
      </c>
      <c r="I10" s="1089" t="s">
        <v>5342</v>
      </c>
      <c r="J10" s="1086" t="s">
        <v>4893</v>
      </c>
      <c r="K10" s="1089" t="s">
        <v>5343</v>
      </c>
      <c r="L10" s="1089" t="s">
        <v>5344</v>
      </c>
      <c r="M10" s="1089" t="s">
        <v>5345</v>
      </c>
      <c r="N10" s="1089" t="s">
        <v>2382</v>
      </c>
      <c r="O10" s="1089" t="s">
        <v>2183</v>
      </c>
      <c r="P10" s="1089" t="s">
        <v>3396</v>
      </c>
      <c r="Q10" s="1089" t="s">
        <v>5346</v>
      </c>
      <c r="R10" s="1089" t="s">
        <v>5347</v>
      </c>
      <c r="S10" s="1041" t="s">
        <v>5348</v>
      </c>
      <c r="T10" s="1089" t="s">
        <v>5350</v>
      </c>
      <c r="U10" s="1089" t="s">
        <v>5351</v>
      </c>
      <c r="V10" s="1089" t="s">
        <v>5352</v>
      </c>
      <c r="W10" s="1089" t="s">
        <v>5353</v>
      </c>
      <c r="X10" s="1041" t="s">
        <v>5354</v>
      </c>
      <c r="Y10" s="1089" t="s">
        <v>3396</v>
      </c>
      <c r="Z10" s="1102" t="s">
        <v>1258</v>
      </c>
      <c r="AA10" s="1041" t="s">
        <v>5030</v>
      </c>
      <c r="AB10" s="1089" t="s">
        <v>1321</v>
      </c>
      <c r="AC10" s="1089" t="s">
        <v>3916</v>
      </c>
      <c r="AD10" s="1110" t="s">
        <v>5356</v>
      </c>
      <c r="AE10" s="1090">
        <v>47.81</v>
      </c>
      <c r="AF10" s="1089" t="s">
        <v>5357</v>
      </c>
      <c r="AG10" s="1089" t="s">
        <v>2696</v>
      </c>
      <c r="AH10" s="1089" t="s">
        <v>3128</v>
      </c>
      <c r="AI10" s="1102" t="s">
        <v>4992</v>
      </c>
      <c r="AJ10" s="1089" t="s">
        <v>5360</v>
      </c>
      <c r="AK10" s="1110" t="s">
        <v>3540</v>
      </c>
      <c r="AL10" s="1089" t="s">
        <v>3042</v>
      </c>
      <c r="AM10" s="1089" t="s">
        <v>5284</v>
      </c>
      <c r="AN10" s="1102" t="s">
        <v>4998</v>
      </c>
      <c r="AO10" s="1102" t="s">
        <v>2283</v>
      </c>
      <c r="AP10" s="1089" t="s">
        <v>5369</v>
      </c>
      <c r="AQ10" s="1110" t="s">
        <v>5370</v>
      </c>
      <c r="AR10" s="1102" t="s">
        <v>5001</v>
      </c>
      <c r="AS10" s="1092" t="s">
        <v>4639</v>
      </c>
      <c r="AT10" s="1089" t="s">
        <v>5374</v>
      </c>
      <c r="AU10" s="1112" t="s">
        <v>5375</v>
      </c>
      <c r="AV10" s="825" t="str">
        <f t="shared" si="1"/>
        <v>2:15</v>
      </c>
      <c r="AW10" s="1113" t="s">
        <v>5376</v>
      </c>
    </row>
    <row r="11" ht="15.75" customHeight="1">
      <c r="A11" s="1084" t="s">
        <v>1007</v>
      </c>
      <c r="B11" s="1013" t="s">
        <v>4964</v>
      </c>
      <c r="C11" s="1014">
        <v>0.04957175925925926</v>
      </c>
      <c r="D11" s="1114" t="s">
        <v>5377</v>
      </c>
      <c r="E11" s="1086" t="s">
        <v>5378</v>
      </c>
      <c r="F11" s="1115" t="s">
        <v>4967</v>
      </c>
      <c r="G11" s="1089" t="s">
        <v>5379</v>
      </c>
      <c r="H11" s="1116" t="s">
        <v>5380</v>
      </c>
      <c r="I11" s="1089" t="s">
        <v>4737</v>
      </c>
      <c r="J11" s="594" t="s">
        <v>5382</v>
      </c>
      <c r="K11" s="1089" t="s">
        <v>4349</v>
      </c>
      <c r="L11" s="1091" t="s">
        <v>612</v>
      </c>
      <c r="M11" s="594" t="s">
        <v>5383</v>
      </c>
      <c r="N11" s="1086" t="s">
        <v>5384</v>
      </c>
      <c r="O11" s="594" t="s">
        <v>5385</v>
      </c>
      <c r="P11" s="1089" t="s">
        <v>5035</v>
      </c>
      <c r="Q11" s="1089" t="s">
        <v>5309</v>
      </c>
      <c r="R11" s="1089" t="s">
        <v>5386</v>
      </c>
      <c r="S11" s="1089" t="s">
        <v>5387</v>
      </c>
      <c r="T11" s="1089" t="s">
        <v>5388</v>
      </c>
      <c r="U11" s="1089" t="s">
        <v>5389</v>
      </c>
      <c r="V11" s="107" t="s">
        <v>5390</v>
      </c>
      <c r="W11" s="1117" t="s">
        <v>5391</v>
      </c>
      <c r="X11" s="1089" t="s">
        <v>5392</v>
      </c>
      <c r="Y11" s="1086">
        <v>46.63</v>
      </c>
      <c r="Z11" s="398" t="s">
        <v>908</v>
      </c>
      <c r="AA11" s="1086" t="s">
        <v>3094</v>
      </c>
      <c r="AB11" s="1091" t="s">
        <v>4985</v>
      </c>
      <c r="AC11" s="1089" t="s">
        <v>5394</v>
      </c>
      <c r="AD11" s="1089" t="s">
        <v>5395</v>
      </c>
      <c r="AE11" s="1090" t="s">
        <v>5397</v>
      </c>
      <c r="AF11" s="1086" t="s">
        <v>5398</v>
      </c>
      <c r="AG11" s="1095" t="s">
        <v>5399</v>
      </c>
      <c r="AH11" s="1089" t="s">
        <v>5400</v>
      </c>
      <c r="AI11" s="107" t="s">
        <v>5401</v>
      </c>
      <c r="AJ11" s="1090" t="s">
        <v>5402</v>
      </c>
      <c r="AK11" s="1089" t="s">
        <v>4371</v>
      </c>
      <c r="AL11" s="1089" t="s">
        <v>2887</v>
      </c>
      <c r="AM11" s="1089" t="s">
        <v>5388</v>
      </c>
      <c r="AN11" s="594" t="s">
        <v>5403</v>
      </c>
      <c r="AO11" s="1089" t="s">
        <v>5242</v>
      </c>
      <c r="AP11" s="1089" t="s">
        <v>5404</v>
      </c>
      <c r="AQ11" s="1089" t="s">
        <v>5405</v>
      </c>
      <c r="AR11" s="1089" t="s">
        <v>5406</v>
      </c>
      <c r="AS11" s="1089" t="s">
        <v>5407</v>
      </c>
      <c r="AT11" s="1118" t="s">
        <v>5408</v>
      </c>
      <c r="AU11" s="1112" t="s">
        <v>5409</v>
      </c>
      <c r="AV11" s="825" t="str">
        <f t="shared" si="1"/>
        <v>2:59</v>
      </c>
      <c r="AW11" s="1119"/>
    </row>
    <row r="12">
      <c r="A12" s="1084" t="s">
        <v>5410</v>
      </c>
      <c r="B12" s="1120" t="s">
        <v>4964</v>
      </c>
      <c r="C12" s="1014">
        <v>0.04958333333333333</v>
      </c>
      <c r="D12" s="107" t="s">
        <v>5411</v>
      </c>
      <c r="E12" s="1095" t="s">
        <v>5412</v>
      </c>
      <c r="F12" s="1095" t="s">
        <v>5414</v>
      </c>
      <c r="G12" s="1095" t="s">
        <v>5415</v>
      </c>
      <c r="H12" s="1100" t="s">
        <v>5416</v>
      </c>
      <c r="I12" s="1100" t="s">
        <v>5418</v>
      </c>
      <c r="J12" s="1100" t="s">
        <v>476</v>
      </c>
      <c r="K12" s="1100" t="s">
        <v>2040</v>
      </c>
      <c r="L12" s="1095">
        <v>56.42</v>
      </c>
      <c r="M12" s="1095" t="s">
        <v>4169</v>
      </c>
      <c r="N12" s="1095" t="s">
        <v>5420</v>
      </c>
      <c r="O12" s="1100" t="s">
        <v>5422</v>
      </c>
      <c r="P12" s="1100" t="s">
        <v>810</v>
      </c>
      <c r="Q12" s="1100" t="s">
        <v>5423</v>
      </c>
      <c r="R12" s="1095" t="s">
        <v>5424</v>
      </c>
      <c r="S12" s="1100" t="s">
        <v>5425</v>
      </c>
      <c r="T12" s="1100" t="s">
        <v>5426</v>
      </c>
      <c r="U12" s="1100" t="s">
        <v>5427</v>
      </c>
      <c r="V12" s="1095">
        <v>59.45</v>
      </c>
      <c r="W12" s="1100" t="s">
        <v>5429</v>
      </c>
      <c r="X12" s="1100" t="s">
        <v>5430</v>
      </c>
      <c r="Y12" s="1100" t="s">
        <v>4395</v>
      </c>
      <c r="Z12" s="1095" t="s">
        <v>5431</v>
      </c>
      <c r="AA12" s="1095" t="s">
        <v>5432</v>
      </c>
      <c r="AB12" s="1095" t="s">
        <v>309</v>
      </c>
      <c r="AC12" s="1100" t="s">
        <v>2286</v>
      </c>
      <c r="AD12" s="1100" t="s">
        <v>5433</v>
      </c>
      <c r="AE12" s="1095">
        <v>47.89</v>
      </c>
      <c r="AF12" s="1095" t="s">
        <v>5434</v>
      </c>
      <c r="AG12" s="1089" t="s">
        <v>5435</v>
      </c>
      <c r="AH12" s="1095">
        <v>57.71</v>
      </c>
      <c r="AI12" s="1100" t="s">
        <v>5436</v>
      </c>
      <c r="AJ12" s="1095" t="s">
        <v>5437</v>
      </c>
      <c r="AK12" s="1100" t="s">
        <v>5438</v>
      </c>
      <c r="AL12" s="1095">
        <v>56.69</v>
      </c>
      <c r="AM12" s="1100" t="s">
        <v>5439</v>
      </c>
      <c r="AN12" s="1100" t="s">
        <v>5164</v>
      </c>
      <c r="AO12" s="1100" t="s">
        <v>5440</v>
      </c>
      <c r="AP12" s="1095" t="s">
        <v>5441</v>
      </c>
      <c r="AQ12" s="1100" t="s">
        <v>5442</v>
      </c>
      <c r="AR12" s="1100" t="s">
        <v>5443</v>
      </c>
      <c r="AS12" s="1095">
        <v>43.65</v>
      </c>
      <c r="AT12" s="1100" t="s">
        <v>5444</v>
      </c>
      <c r="AU12" s="1093" t="s">
        <v>5445</v>
      </c>
      <c r="AV12" s="825" t="str">
        <f t="shared" si="1"/>
        <v>1:34</v>
      </c>
      <c r="AW12" s="1124" t="s">
        <v>5446</v>
      </c>
    </row>
    <row r="13" ht="16.5" customHeight="1">
      <c r="A13" s="1125" t="s">
        <v>5447</v>
      </c>
      <c r="B13" s="1126" t="s">
        <v>5005</v>
      </c>
      <c r="C13" s="1014">
        <v>0.04960648148148148</v>
      </c>
      <c r="D13" s="1127" t="s">
        <v>5448</v>
      </c>
      <c r="E13" s="107" t="s">
        <v>5450</v>
      </c>
      <c r="F13" s="107" t="s">
        <v>5451</v>
      </c>
      <c r="G13" s="1127" t="s">
        <v>5453</v>
      </c>
      <c r="H13" s="1128" t="s">
        <v>5009</v>
      </c>
      <c r="I13" s="107" t="s">
        <v>359</v>
      </c>
      <c r="J13" s="107" t="s">
        <v>5458</v>
      </c>
      <c r="K13" s="1130" t="s">
        <v>2698</v>
      </c>
      <c r="L13" s="1131" t="s">
        <v>2282</v>
      </c>
      <c r="M13" s="107" t="s">
        <v>5459</v>
      </c>
      <c r="N13" s="1132" t="s">
        <v>5460</v>
      </c>
      <c r="O13" s="107" t="s">
        <v>1748</v>
      </c>
      <c r="P13" s="1132" t="s">
        <v>5394</v>
      </c>
      <c r="Q13" s="107" t="s">
        <v>5461</v>
      </c>
      <c r="R13" s="1130" t="s">
        <v>5016</v>
      </c>
      <c r="S13" s="1134" t="s">
        <v>5017</v>
      </c>
      <c r="T13" s="1135" t="s">
        <v>5019</v>
      </c>
      <c r="U13" s="256" t="s">
        <v>5464</v>
      </c>
      <c r="V13" s="1136" t="s">
        <v>5021</v>
      </c>
      <c r="W13" s="1131" t="s">
        <v>5022</v>
      </c>
      <c r="X13" s="137" t="s">
        <v>5468</v>
      </c>
      <c r="Y13" s="1130" t="s">
        <v>5471</v>
      </c>
      <c r="Z13" s="1131" t="s">
        <v>843</v>
      </c>
      <c r="AA13" s="1100" t="s">
        <v>5473</v>
      </c>
      <c r="AB13" s="1130" t="s">
        <v>1166</v>
      </c>
      <c r="AC13" s="1137" t="s">
        <v>5026</v>
      </c>
      <c r="AD13" s="107" t="s">
        <v>5476</v>
      </c>
      <c r="AE13" s="1138" t="s">
        <v>2693</v>
      </c>
      <c r="AF13" s="137" t="s">
        <v>5477</v>
      </c>
      <c r="AG13" s="1131" t="s">
        <v>2127</v>
      </c>
      <c r="AH13" s="1139" t="s">
        <v>5029</v>
      </c>
      <c r="AI13" s="1139" t="s">
        <v>5030</v>
      </c>
      <c r="AJ13" s="107" t="s">
        <v>5484</v>
      </c>
      <c r="AK13" s="1131" t="s">
        <v>1460</v>
      </c>
      <c r="AL13" s="1131" t="s">
        <v>5032</v>
      </c>
      <c r="AM13" s="107" t="s">
        <v>3771</v>
      </c>
      <c r="AN13" s="1140" t="s">
        <v>5034</v>
      </c>
      <c r="AO13" s="1130" t="s">
        <v>2901</v>
      </c>
      <c r="AP13" s="1141" t="s">
        <v>5036</v>
      </c>
      <c r="AQ13" s="1142" t="s">
        <v>5037</v>
      </c>
      <c r="AR13" s="1142" t="s">
        <v>5038</v>
      </c>
      <c r="AS13" s="1143" t="s">
        <v>5039</v>
      </c>
      <c r="AT13" s="1130" t="s">
        <v>5040</v>
      </c>
      <c r="AU13" s="1130" t="s">
        <v>5041</v>
      </c>
      <c r="AV13" s="825" t="str">
        <f t="shared" si="1"/>
        <v>3:25</v>
      </c>
      <c r="AW13" s="1113" t="s">
        <v>5495</v>
      </c>
    </row>
    <row r="14">
      <c r="A14" s="1125" t="s">
        <v>99</v>
      </c>
      <c r="B14" s="1120" t="s">
        <v>4964</v>
      </c>
      <c r="C14" s="1144">
        <v>0.049652777777777775</v>
      </c>
      <c r="D14" s="1100" t="s">
        <v>5496</v>
      </c>
      <c r="E14" s="1100" t="s">
        <v>5497</v>
      </c>
      <c r="F14" s="1100" t="s">
        <v>5498</v>
      </c>
      <c r="G14" s="1105" t="s">
        <v>5500</v>
      </c>
      <c r="H14" s="1100" t="s">
        <v>5503</v>
      </c>
      <c r="I14" s="1100" t="s">
        <v>5505</v>
      </c>
      <c r="J14" s="1100" t="s">
        <v>5506</v>
      </c>
      <c r="K14" s="1105" t="s">
        <v>5507</v>
      </c>
      <c r="L14" s="1100" t="s">
        <v>5509</v>
      </c>
      <c r="M14" s="1100" t="s">
        <v>5511</v>
      </c>
      <c r="N14" s="1100" t="s">
        <v>5512</v>
      </c>
      <c r="O14" s="1100" t="s">
        <v>5513</v>
      </c>
      <c r="P14" s="1100" t="s">
        <v>5515</v>
      </c>
      <c r="Q14" s="1100" t="s">
        <v>5516</v>
      </c>
      <c r="R14" s="1100" t="s">
        <v>5517</v>
      </c>
      <c r="S14" s="1100" t="s">
        <v>5518</v>
      </c>
      <c r="T14" s="1100" t="s">
        <v>5519</v>
      </c>
      <c r="U14" s="1100" t="s">
        <v>5520</v>
      </c>
      <c r="V14" s="1100" t="s">
        <v>5521</v>
      </c>
      <c r="W14" s="1100" t="s">
        <v>5522</v>
      </c>
      <c r="X14" s="1100" t="s">
        <v>5523</v>
      </c>
      <c r="Y14" s="1100" t="s">
        <v>5524</v>
      </c>
      <c r="Z14" s="1100" t="s">
        <v>5525</v>
      </c>
      <c r="AA14" s="1100" t="s">
        <v>5526</v>
      </c>
      <c r="AB14" s="692" t="s">
        <v>5527</v>
      </c>
      <c r="AC14" s="1100" t="s">
        <v>5528</v>
      </c>
      <c r="AD14" s="1100" t="s">
        <v>5529</v>
      </c>
      <c r="AE14" s="1100" t="s">
        <v>5530</v>
      </c>
      <c r="AF14" s="1100" t="s">
        <v>5531</v>
      </c>
      <c r="AG14" s="1100" t="s">
        <v>5532</v>
      </c>
      <c r="AH14" s="1100" t="s">
        <v>5533</v>
      </c>
      <c r="AI14" s="1100" t="s">
        <v>5534</v>
      </c>
      <c r="AJ14" s="1100" t="s">
        <v>5535</v>
      </c>
      <c r="AK14" s="1100" t="s">
        <v>5536</v>
      </c>
      <c r="AL14" s="1100" t="s">
        <v>5537</v>
      </c>
      <c r="AM14" s="1100" t="s">
        <v>5538</v>
      </c>
      <c r="AN14" s="1100" t="s">
        <v>5539</v>
      </c>
      <c r="AO14" s="1100" t="s">
        <v>5540</v>
      </c>
      <c r="AP14" s="1100" t="s">
        <v>5541</v>
      </c>
      <c r="AQ14" s="1146" t="s">
        <v>5542</v>
      </c>
      <c r="AR14" s="1100" t="s">
        <v>5543</v>
      </c>
      <c r="AS14" s="1100" t="s">
        <v>5544</v>
      </c>
      <c r="AT14" s="1100" t="s">
        <v>5545</v>
      </c>
      <c r="AU14" s="1087" t="s">
        <v>5546</v>
      </c>
      <c r="AV14" s="825" t="str">
        <f t="shared" si="1"/>
        <v>2:24</v>
      </c>
      <c r="AW14" s="1148"/>
    </row>
    <row r="15" ht="15.75" customHeight="1">
      <c r="A15" s="1125" t="s">
        <v>58</v>
      </c>
      <c r="B15" s="1013" t="s">
        <v>4964</v>
      </c>
      <c r="C15" s="1014">
        <v>0.04967592592592593</v>
      </c>
      <c r="D15" s="107" t="s">
        <v>5549</v>
      </c>
      <c r="E15" s="1087" t="s">
        <v>3986</v>
      </c>
      <c r="F15" s="1087" t="s">
        <v>5550</v>
      </c>
      <c r="G15" s="1087" t="s">
        <v>5551</v>
      </c>
      <c r="H15" s="107" t="s">
        <v>5552</v>
      </c>
      <c r="I15" s="1087" t="s">
        <v>5553</v>
      </c>
      <c r="J15" s="1087" t="s">
        <v>5554</v>
      </c>
      <c r="K15" s="1087" t="s">
        <v>5555</v>
      </c>
      <c r="L15" s="1087" t="s">
        <v>5556</v>
      </c>
      <c r="M15" s="1087" t="s">
        <v>3668</v>
      </c>
      <c r="N15" s="1087" t="s">
        <v>5557</v>
      </c>
      <c r="O15" s="1087" t="s">
        <v>5558</v>
      </c>
      <c r="P15" s="1087" t="s">
        <v>5553</v>
      </c>
      <c r="Q15" s="1087" t="s">
        <v>5559</v>
      </c>
      <c r="R15" s="1087" t="s">
        <v>4476</v>
      </c>
      <c r="S15" s="1149" t="s">
        <v>5562</v>
      </c>
      <c r="T15" s="1087" t="s">
        <v>2607</v>
      </c>
      <c r="U15" s="1087" t="s">
        <v>5563</v>
      </c>
      <c r="V15" s="1087" t="s">
        <v>5564</v>
      </c>
      <c r="W15" s="1087" t="s">
        <v>5565</v>
      </c>
      <c r="X15" s="1087" t="s">
        <v>4302</v>
      </c>
      <c r="Y15" s="1087" t="s">
        <v>2292</v>
      </c>
      <c r="Z15" s="1087" t="s">
        <v>5566</v>
      </c>
      <c r="AA15" s="1087" t="s">
        <v>5567</v>
      </c>
      <c r="AB15" s="1087" t="s">
        <v>2753</v>
      </c>
      <c r="AC15" s="1087" t="s">
        <v>3182</v>
      </c>
      <c r="AD15" s="1087" t="s">
        <v>5568</v>
      </c>
      <c r="AE15" s="1087" t="s">
        <v>5570</v>
      </c>
      <c r="AF15" s="1041" t="s">
        <v>5571</v>
      </c>
      <c r="AG15" s="1087" t="s">
        <v>5576</v>
      </c>
      <c r="AH15" s="1087" t="s">
        <v>5577</v>
      </c>
      <c r="AI15" s="1087" t="s">
        <v>5578</v>
      </c>
      <c r="AJ15" s="1087" t="s">
        <v>5579</v>
      </c>
      <c r="AK15" s="1087" t="s">
        <v>5580</v>
      </c>
      <c r="AL15" s="1087" t="s">
        <v>5581</v>
      </c>
      <c r="AM15" s="1087" t="s">
        <v>5582</v>
      </c>
      <c r="AN15" s="107" t="s">
        <v>5220</v>
      </c>
      <c r="AO15" s="1087" t="s">
        <v>5583</v>
      </c>
      <c r="AP15" s="1087" t="s">
        <v>5584</v>
      </c>
      <c r="AQ15" s="1041" t="s">
        <v>5585</v>
      </c>
      <c r="AR15" s="1087" t="s">
        <v>5589</v>
      </c>
      <c r="AS15" s="1087" t="s">
        <v>3400</v>
      </c>
      <c r="AT15" s="1087" t="s">
        <v>5590</v>
      </c>
      <c r="AU15" s="1087" t="s">
        <v>5592</v>
      </c>
      <c r="AV15" s="825" t="str">
        <f t="shared" si="1"/>
        <v>2:47</v>
      </c>
      <c r="AW15" s="1043" t="s">
        <v>5593</v>
      </c>
    </row>
    <row r="16" ht="15.75" customHeight="1">
      <c r="A16" s="1151" t="s">
        <v>3492</v>
      </c>
      <c r="B16" s="1013" t="s">
        <v>4964</v>
      </c>
      <c r="C16" s="1152">
        <v>0.04971064814814815</v>
      </c>
      <c r="D16" s="636" t="s">
        <v>5594</v>
      </c>
      <c r="E16" s="1153" t="s">
        <v>1712</v>
      </c>
      <c r="F16" s="1153" t="s">
        <v>5595</v>
      </c>
      <c r="G16" s="1153" t="s">
        <v>5597</v>
      </c>
      <c r="H16" s="1041" t="s">
        <v>5598</v>
      </c>
      <c r="I16" s="313" t="s">
        <v>5600</v>
      </c>
      <c r="J16" s="1132" t="s">
        <v>289</v>
      </c>
      <c r="K16" s="1132" t="s">
        <v>5601</v>
      </c>
      <c r="L16" s="1132" t="s">
        <v>2282</v>
      </c>
      <c r="M16" s="1132" t="s">
        <v>5345</v>
      </c>
      <c r="N16" s="1132" t="s">
        <v>2264</v>
      </c>
      <c r="O16" s="1132" t="s">
        <v>5602</v>
      </c>
      <c r="P16" s="1132" t="s">
        <v>5603</v>
      </c>
      <c r="Q16" s="1041" t="s">
        <v>5604</v>
      </c>
      <c r="R16" s="256" t="s">
        <v>4358</v>
      </c>
      <c r="S16" s="1041" t="s">
        <v>3097</v>
      </c>
      <c r="T16" s="256" t="s">
        <v>5606</v>
      </c>
      <c r="U16" s="1041" t="s">
        <v>5607</v>
      </c>
      <c r="V16" s="256" t="s">
        <v>2005</v>
      </c>
      <c r="W16" s="223" t="s">
        <v>5609</v>
      </c>
      <c r="X16" s="223" t="s">
        <v>5612</v>
      </c>
      <c r="Y16" s="223" t="s">
        <v>5613</v>
      </c>
      <c r="Z16" s="223" t="s">
        <v>5614</v>
      </c>
      <c r="AA16" s="223" t="s">
        <v>5233</v>
      </c>
      <c r="AB16" s="223" t="s">
        <v>5615</v>
      </c>
      <c r="AC16" s="223" t="s">
        <v>4346</v>
      </c>
      <c r="AD16" s="1153" t="s">
        <v>5617</v>
      </c>
      <c r="AE16" s="1153" t="s">
        <v>5618</v>
      </c>
      <c r="AF16" s="1155" t="s">
        <v>5619</v>
      </c>
      <c r="AG16" s="1155" t="s">
        <v>3319</v>
      </c>
      <c r="AH16" s="1155" t="s">
        <v>5621</v>
      </c>
      <c r="AI16" s="1155" t="s">
        <v>5622</v>
      </c>
      <c r="AJ16" s="1155" t="s">
        <v>5623</v>
      </c>
      <c r="AK16" s="1155" t="s">
        <v>5624</v>
      </c>
      <c r="AL16" s="1155" t="s">
        <v>5625</v>
      </c>
      <c r="AM16" s="277" t="s">
        <v>4992</v>
      </c>
      <c r="AN16" s="1156" t="s">
        <v>2282</v>
      </c>
      <c r="AO16" s="1156" t="s">
        <v>5627</v>
      </c>
      <c r="AP16" s="277" t="s">
        <v>5628</v>
      </c>
      <c r="AQ16" s="277" t="s">
        <v>5629</v>
      </c>
      <c r="AR16" s="1156" t="s">
        <v>5630</v>
      </c>
      <c r="AS16" s="277" t="s">
        <v>781</v>
      </c>
      <c r="AT16" s="1093" t="s">
        <v>5631</v>
      </c>
      <c r="AU16" s="1112" t="s">
        <v>5632</v>
      </c>
      <c r="AV16" s="825" t="str">
        <f t="shared" si="1"/>
        <v>2:35</v>
      </c>
      <c r="AW16" s="1157" t="s">
        <v>5634</v>
      </c>
    </row>
    <row r="17" ht="15.75" customHeight="1">
      <c r="A17" s="1012" t="s">
        <v>753</v>
      </c>
      <c r="B17" s="1158" t="s">
        <v>4964</v>
      </c>
      <c r="C17" s="1014">
        <v>0.04982638888888889</v>
      </c>
      <c r="D17" s="636" t="s">
        <v>5635</v>
      </c>
      <c r="E17" s="636" t="s">
        <v>5636</v>
      </c>
      <c r="F17" s="636" t="s">
        <v>5637</v>
      </c>
      <c r="G17" s="636" t="s">
        <v>5638</v>
      </c>
      <c r="H17" s="636" t="s">
        <v>5639</v>
      </c>
      <c r="I17" s="636" t="s">
        <v>5640</v>
      </c>
      <c r="J17" s="636" t="s">
        <v>5641</v>
      </c>
      <c r="K17" s="107" t="s">
        <v>5642</v>
      </c>
      <c r="L17" s="636" t="s">
        <v>5643</v>
      </c>
      <c r="M17" s="636" t="s">
        <v>5644</v>
      </c>
      <c r="N17" s="636" t="s">
        <v>2266</v>
      </c>
      <c r="O17" s="636" t="s">
        <v>5645</v>
      </c>
      <c r="P17" s="107" t="s">
        <v>5646</v>
      </c>
      <c r="Q17" s="636" t="s">
        <v>5647</v>
      </c>
      <c r="R17" s="636" t="s">
        <v>5648</v>
      </c>
      <c r="S17" s="636" t="s">
        <v>5266</v>
      </c>
      <c r="T17" s="636" t="s">
        <v>5650</v>
      </c>
      <c r="U17" s="636" t="s">
        <v>2913</v>
      </c>
      <c r="V17" s="636" t="s">
        <v>2883</v>
      </c>
      <c r="W17" s="636" t="s">
        <v>5652</v>
      </c>
      <c r="X17" s="636" t="s">
        <v>5435</v>
      </c>
      <c r="Y17" s="636" t="s">
        <v>5218</v>
      </c>
      <c r="Z17" s="636" t="s">
        <v>4372</v>
      </c>
      <c r="AA17" s="300" t="s">
        <v>5653</v>
      </c>
      <c r="AB17" s="636" t="s">
        <v>2382</v>
      </c>
      <c r="AC17" s="636" t="s">
        <v>4264</v>
      </c>
      <c r="AD17" s="636" t="s">
        <v>2247</v>
      </c>
      <c r="AE17" s="636" t="s">
        <v>5655</v>
      </c>
      <c r="AF17" s="636" t="s">
        <v>5656</v>
      </c>
      <c r="AG17" s="636" t="s">
        <v>5116</v>
      </c>
      <c r="AH17" s="107" t="s">
        <v>5657</v>
      </c>
      <c r="AI17" s="636" t="s">
        <v>3379</v>
      </c>
      <c r="AJ17" s="636" t="s">
        <v>5658</v>
      </c>
      <c r="AK17" s="636" t="s">
        <v>5659</v>
      </c>
      <c r="AL17" s="636" t="s">
        <v>2945</v>
      </c>
      <c r="AM17" s="636" t="s">
        <v>1210</v>
      </c>
      <c r="AN17" s="636" t="s">
        <v>5660</v>
      </c>
      <c r="AO17" s="636" t="s">
        <v>5290</v>
      </c>
      <c r="AP17" s="1093" t="s">
        <v>5225</v>
      </c>
      <c r="AQ17" s="636" t="s">
        <v>5661</v>
      </c>
      <c r="AR17" s="636" t="s">
        <v>5662</v>
      </c>
      <c r="AS17" s="636" t="s">
        <v>2175</v>
      </c>
      <c r="AT17" s="636" t="s">
        <v>5663</v>
      </c>
      <c r="AU17" s="538" t="s">
        <v>5664</v>
      </c>
      <c r="AV17" s="825" t="str">
        <f t="shared" si="1"/>
        <v>2:18</v>
      </c>
      <c r="AW17" s="1160" t="s">
        <v>5665</v>
      </c>
    </row>
    <row r="18">
      <c r="A18" s="1161" t="s">
        <v>5666</v>
      </c>
      <c r="B18" s="1109" t="s">
        <v>5005</v>
      </c>
      <c r="C18" s="1162">
        <v>0.04985763888888889</v>
      </c>
      <c r="D18" s="137" t="s">
        <v>5667</v>
      </c>
      <c r="E18" s="1127" t="s">
        <v>5676</v>
      </c>
      <c r="F18" s="1153" t="s">
        <v>4348</v>
      </c>
      <c r="G18" s="1127" t="s">
        <v>5678</v>
      </c>
      <c r="H18" s="137" t="s">
        <v>5680</v>
      </c>
      <c r="I18" s="250" t="s">
        <v>640</v>
      </c>
      <c r="J18" s="1164" t="s">
        <v>5011</v>
      </c>
      <c r="K18" s="1166" t="s">
        <v>5197</v>
      </c>
      <c r="L18" s="1166" t="s">
        <v>5691</v>
      </c>
      <c r="M18" s="1166" t="s">
        <v>5692</v>
      </c>
      <c r="N18" s="1166" t="s">
        <v>5693</v>
      </c>
      <c r="O18" s="1166" t="s">
        <v>5694</v>
      </c>
      <c r="P18" s="1166" t="s">
        <v>5697</v>
      </c>
      <c r="Q18" s="1167" t="s">
        <v>5698</v>
      </c>
      <c r="R18" s="1167" t="s">
        <v>5700</v>
      </c>
      <c r="S18" s="1167" t="s">
        <v>5701</v>
      </c>
      <c r="T18" s="1167" t="s">
        <v>5702</v>
      </c>
      <c r="U18" s="1167" t="s">
        <v>5704</v>
      </c>
      <c r="V18" s="1167" t="s">
        <v>5706</v>
      </c>
      <c r="W18" s="1170" t="s">
        <v>5708</v>
      </c>
      <c r="X18" s="1172" t="s">
        <v>1245</v>
      </c>
      <c r="Y18" s="223" t="s">
        <v>2334</v>
      </c>
      <c r="Z18" s="1170" t="s">
        <v>5709</v>
      </c>
      <c r="AA18" s="1173" t="s">
        <v>5024</v>
      </c>
      <c r="AB18" s="1170" t="s">
        <v>5711</v>
      </c>
      <c r="AC18" s="1170" t="s">
        <v>5655</v>
      </c>
      <c r="AD18" s="1174" t="s">
        <v>5027</v>
      </c>
      <c r="AE18" s="1127" t="s">
        <v>5713</v>
      </c>
      <c r="AF18" s="1175" t="s">
        <v>5715</v>
      </c>
      <c r="AG18" s="1175" t="s">
        <v>482</v>
      </c>
      <c r="AH18" s="1175" t="s">
        <v>5716</v>
      </c>
      <c r="AI18" s="1175" t="s">
        <v>5717</v>
      </c>
      <c r="AJ18" s="1175" t="s">
        <v>5718</v>
      </c>
      <c r="AK18" s="1175" t="s">
        <v>5719</v>
      </c>
      <c r="AL18" s="1175" t="s">
        <v>5720</v>
      </c>
      <c r="AM18" s="1142" t="s">
        <v>5033</v>
      </c>
      <c r="AN18" s="276" t="s">
        <v>5721</v>
      </c>
      <c r="AO18" s="276" t="s">
        <v>5723</v>
      </c>
      <c r="AP18" s="276" t="s">
        <v>5725</v>
      </c>
      <c r="AQ18" s="1177" t="s">
        <v>5726</v>
      </c>
      <c r="AR18" s="1177" t="s">
        <v>5727</v>
      </c>
      <c r="AS18" s="1177" t="s">
        <v>3928</v>
      </c>
      <c r="AT18" s="1166" t="s">
        <v>5728</v>
      </c>
      <c r="AU18" s="1112" t="s">
        <v>5664</v>
      </c>
      <c r="AV18" s="1178" t="str">
        <f t="shared" si="1"/>
        <v>2:15</v>
      </c>
      <c r="AW18" s="1179"/>
    </row>
    <row r="19" ht="15.75" customHeight="1">
      <c r="A19" s="1012" t="s">
        <v>70</v>
      </c>
      <c r="B19" s="1013" t="s">
        <v>4964</v>
      </c>
      <c r="C19" s="1014">
        <v>0.049895833333333334</v>
      </c>
      <c r="D19" s="107" t="s">
        <v>5729</v>
      </c>
      <c r="E19" s="204" t="s">
        <v>3986</v>
      </c>
      <c r="F19" s="1153" t="s">
        <v>5731</v>
      </c>
      <c r="G19" s="204" t="s">
        <v>5733</v>
      </c>
      <c r="H19" s="250" t="s">
        <v>5734</v>
      </c>
      <c r="I19" s="313" t="s">
        <v>4085</v>
      </c>
      <c r="J19" s="1132" t="s">
        <v>5737</v>
      </c>
      <c r="K19" s="1180" t="s">
        <v>5738</v>
      </c>
      <c r="L19" s="1132" t="s">
        <v>5739</v>
      </c>
      <c r="M19" s="1132" t="s">
        <v>288</v>
      </c>
      <c r="N19" s="1132" t="s">
        <v>5740</v>
      </c>
      <c r="O19" s="1180" t="s">
        <v>5741</v>
      </c>
      <c r="P19" s="107" t="s">
        <v>4052</v>
      </c>
      <c r="Q19" s="256" t="s">
        <v>5742</v>
      </c>
      <c r="R19" s="258" t="s">
        <v>4360</v>
      </c>
      <c r="S19" s="258" t="s">
        <v>5743</v>
      </c>
      <c r="T19" s="258" t="s">
        <v>5744</v>
      </c>
      <c r="U19" s="258" t="s">
        <v>5745</v>
      </c>
      <c r="V19" s="256" t="s">
        <v>5746</v>
      </c>
      <c r="W19" s="223" t="s">
        <v>5747</v>
      </c>
      <c r="X19" s="1181" t="s">
        <v>5748</v>
      </c>
      <c r="Y19" s="223" t="s">
        <v>5749</v>
      </c>
      <c r="Z19" s="223" t="s">
        <v>5750</v>
      </c>
      <c r="AA19" s="223" t="s">
        <v>5751</v>
      </c>
      <c r="AB19" s="1181" t="s">
        <v>3172</v>
      </c>
      <c r="AC19" s="1181" t="s">
        <v>4462</v>
      </c>
      <c r="AD19" s="204" t="s">
        <v>5752</v>
      </c>
      <c r="AE19" s="204" t="s">
        <v>5753</v>
      </c>
      <c r="AF19" s="1182" t="s">
        <v>5754</v>
      </c>
      <c r="AG19" s="1155" t="s">
        <v>5755</v>
      </c>
      <c r="AH19" s="1155" t="s">
        <v>5756</v>
      </c>
      <c r="AI19" s="1155" t="s">
        <v>5757</v>
      </c>
      <c r="AJ19" s="1182" t="s">
        <v>5758</v>
      </c>
      <c r="AK19" s="1182" t="s">
        <v>4007</v>
      </c>
      <c r="AL19" s="1155" t="s">
        <v>5760</v>
      </c>
      <c r="AM19" s="1156" t="s">
        <v>5761</v>
      </c>
      <c r="AN19" s="277" t="s">
        <v>5762</v>
      </c>
      <c r="AO19" s="1156" t="s">
        <v>720</v>
      </c>
      <c r="AP19" s="277" t="s">
        <v>5763</v>
      </c>
      <c r="AQ19" s="1156" t="s">
        <v>5764</v>
      </c>
      <c r="AR19" s="277" t="s">
        <v>2428</v>
      </c>
      <c r="AS19" s="277" t="s">
        <v>5765</v>
      </c>
      <c r="AT19" s="1180" t="s">
        <v>5766</v>
      </c>
      <c r="AU19" s="1178" t="s">
        <v>5767</v>
      </c>
      <c r="AV19" s="825" t="str">
        <f t="shared" si="1"/>
        <v>2:22</v>
      </c>
      <c r="AW19" s="1119" t="s">
        <v>5768</v>
      </c>
    </row>
    <row r="20">
      <c r="A20" s="1125" t="s">
        <v>37</v>
      </c>
      <c r="B20" s="1109" t="s">
        <v>4964</v>
      </c>
      <c r="C20" s="1014">
        <v>0.04991898148148148</v>
      </c>
      <c r="D20" s="1185" t="s">
        <v>5770</v>
      </c>
      <c r="E20" s="1186" t="s">
        <v>5771</v>
      </c>
      <c r="F20" s="1186" t="s">
        <v>5773</v>
      </c>
      <c r="G20" s="1186" t="s">
        <v>5774</v>
      </c>
      <c r="H20" s="1186" t="s">
        <v>5775</v>
      </c>
      <c r="I20" s="1186">
        <v>48.07</v>
      </c>
      <c r="J20" s="1186" t="s">
        <v>5709</v>
      </c>
      <c r="K20" s="1186" t="s">
        <v>5776</v>
      </c>
      <c r="L20" s="1186">
        <v>56.32</v>
      </c>
      <c r="M20" s="1186" t="s">
        <v>511</v>
      </c>
      <c r="N20" s="1186" t="s">
        <v>5777</v>
      </c>
      <c r="O20" s="1186" t="s">
        <v>5778</v>
      </c>
      <c r="P20" s="1186">
        <v>47.77</v>
      </c>
      <c r="Q20" s="1186" t="s">
        <v>5779</v>
      </c>
      <c r="R20" s="1186" t="s">
        <v>1435</v>
      </c>
      <c r="S20" s="1186" t="s">
        <v>5780</v>
      </c>
      <c r="T20" s="1186" t="s">
        <v>5781</v>
      </c>
      <c r="U20" s="1186" t="s">
        <v>5782</v>
      </c>
      <c r="V20" s="1186">
        <v>59.79</v>
      </c>
      <c r="W20" s="1186" t="s">
        <v>5783</v>
      </c>
      <c r="X20" s="1186" t="s">
        <v>5024</v>
      </c>
      <c r="Y20" s="1186">
        <v>47.0</v>
      </c>
      <c r="Z20" s="1186" t="s">
        <v>5784</v>
      </c>
      <c r="AA20" s="1186" t="s">
        <v>5785</v>
      </c>
      <c r="AB20" s="1186" t="s">
        <v>1166</v>
      </c>
      <c r="AC20" s="1186">
        <v>47.56</v>
      </c>
      <c r="AD20" s="1186" t="s">
        <v>5786</v>
      </c>
      <c r="AE20" s="1186">
        <v>47.95</v>
      </c>
      <c r="AF20" s="1186" t="s">
        <v>5787</v>
      </c>
      <c r="AG20" s="1186" t="s">
        <v>5788</v>
      </c>
      <c r="AH20" s="1186">
        <v>57.67</v>
      </c>
      <c r="AI20" s="1186" t="s">
        <v>4302</v>
      </c>
      <c r="AJ20" s="1186" t="s">
        <v>5789</v>
      </c>
      <c r="AK20" s="1186" t="s">
        <v>3092</v>
      </c>
      <c r="AL20" s="1186">
        <v>56.37</v>
      </c>
      <c r="AM20" s="1186" t="s">
        <v>5790</v>
      </c>
      <c r="AN20" s="1186">
        <v>55.92</v>
      </c>
      <c r="AO20" s="1186" t="s">
        <v>5791</v>
      </c>
      <c r="AP20" s="1186" t="s">
        <v>3965</v>
      </c>
      <c r="AQ20" s="1186" t="s">
        <v>5792</v>
      </c>
      <c r="AR20" s="1186" t="s">
        <v>238</v>
      </c>
      <c r="AS20" s="1186">
        <v>46.83</v>
      </c>
      <c r="AT20" s="1187" t="s">
        <v>5793</v>
      </c>
      <c r="AU20" s="1100" t="s">
        <v>5795</v>
      </c>
      <c r="AV20" s="825" t="str">
        <f t="shared" si="1"/>
        <v>1:53</v>
      </c>
      <c r="AW20" s="1113" t="s">
        <v>5796</v>
      </c>
    </row>
    <row r="21">
      <c r="A21" s="1125" t="s">
        <v>5797</v>
      </c>
      <c r="B21" s="1109" t="s">
        <v>4964</v>
      </c>
      <c r="C21" s="1188">
        <v>0.049930555555555554</v>
      </c>
      <c r="D21" s="1189" t="s">
        <v>5798</v>
      </c>
      <c r="E21" s="1100" t="s">
        <v>5799</v>
      </c>
      <c r="F21" s="1100" t="s">
        <v>5800</v>
      </c>
      <c r="G21" s="1100" t="s">
        <v>5801</v>
      </c>
      <c r="H21" s="1100" t="s">
        <v>5802</v>
      </c>
      <c r="I21" s="1100" t="s">
        <v>5418</v>
      </c>
      <c r="J21" s="1100" t="s">
        <v>666</v>
      </c>
      <c r="K21" s="1100" t="s">
        <v>5803</v>
      </c>
      <c r="L21" s="1100" t="s">
        <v>5625</v>
      </c>
      <c r="M21" s="1100" t="s">
        <v>4107</v>
      </c>
      <c r="N21" s="1100" t="s">
        <v>5805</v>
      </c>
      <c r="O21" s="1100" t="s">
        <v>3374</v>
      </c>
      <c r="P21" s="1095">
        <v>47.54</v>
      </c>
      <c r="Q21" s="1190" t="s">
        <v>5806</v>
      </c>
      <c r="R21" s="1095" t="s">
        <v>5807</v>
      </c>
      <c r="S21" s="1190" t="s">
        <v>5562</v>
      </c>
      <c r="T21" s="1095" t="s">
        <v>5808</v>
      </c>
      <c r="U21" s="1190" t="s">
        <v>5809</v>
      </c>
      <c r="V21" s="1095">
        <v>58.55</v>
      </c>
      <c r="W21" s="1190" t="s">
        <v>5810</v>
      </c>
      <c r="X21" s="1190" t="s">
        <v>5811</v>
      </c>
      <c r="Y21" s="1041" t="s">
        <v>5272</v>
      </c>
      <c r="Z21" s="1190" t="s">
        <v>5812</v>
      </c>
      <c r="AA21" s="1100" t="s">
        <v>5813</v>
      </c>
      <c r="AB21" s="1190" t="s">
        <v>5814</v>
      </c>
      <c r="AC21" s="825">
        <v>47.2</v>
      </c>
      <c r="AD21" s="1190" t="s">
        <v>5815</v>
      </c>
      <c r="AE21" s="1095">
        <v>47.88</v>
      </c>
      <c r="AF21" s="1190" t="s">
        <v>5816</v>
      </c>
      <c r="AG21" s="1190" t="s">
        <v>5817</v>
      </c>
      <c r="AH21" s="1190">
        <v>57.68</v>
      </c>
      <c r="AI21" s="1190" t="s">
        <v>2557</v>
      </c>
      <c r="AJ21" s="1095" t="s">
        <v>5818</v>
      </c>
      <c r="AK21" s="1041" t="s">
        <v>5819</v>
      </c>
      <c r="AL21" s="1190">
        <v>55.92</v>
      </c>
      <c r="AM21" s="1190" t="s">
        <v>5821</v>
      </c>
      <c r="AN21" s="1041" t="s">
        <v>5822</v>
      </c>
      <c r="AO21" s="1190" t="s">
        <v>4337</v>
      </c>
      <c r="AP21" s="1190" t="s">
        <v>5825</v>
      </c>
      <c r="AQ21" s="1190" t="s">
        <v>2081</v>
      </c>
      <c r="AR21" s="1190" t="s">
        <v>5826</v>
      </c>
      <c r="AS21" s="1191">
        <v>42.83</v>
      </c>
      <c r="AT21" s="1095" t="s">
        <v>5827</v>
      </c>
      <c r="AU21" s="1112" t="s">
        <v>5828</v>
      </c>
      <c r="AV21" s="825" t="str">
        <f t="shared" si="1"/>
        <v>4:29</v>
      </c>
      <c r="AW21" s="1113" t="s">
        <v>5829</v>
      </c>
    </row>
    <row r="22" ht="15.75" customHeight="1">
      <c r="A22" s="1125" t="s">
        <v>5830</v>
      </c>
      <c r="B22" s="1013" t="s">
        <v>4964</v>
      </c>
      <c r="C22" s="1014">
        <v>0.0499537037037037</v>
      </c>
      <c r="D22" s="1087" t="s">
        <v>5831</v>
      </c>
      <c r="E22" s="1087" t="s">
        <v>5832</v>
      </c>
      <c r="F22" s="1087" t="s">
        <v>5833</v>
      </c>
      <c r="G22" s="1041" t="s">
        <v>5834</v>
      </c>
      <c r="H22" s="1087" t="s">
        <v>5835</v>
      </c>
      <c r="I22" s="124" t="s">
        <v>5753</v>
      </c>
      <c r="J22" s="1087" t="s">
        <v>4800</v>
      </c>
      <c r="K22" s="1087" t="s">
        <v>5836</v>
      </c>
      <c r="L22" s="1087" t="s">
        <v>5837</v>
      </c>
      <c r="M22" s="1087" t="s">
        <v>5838</v>
      </c>
      <c r="N22" s="1087" t="s">
        <v>5839</v>
      </c>
      <c r="O22" s="1087" t="s">
        <v>5840</v>
      </c>
      <c r="P22" s="1087" t="s">
        <v>3153</v>
      </c>
      <c r="Q22" s="1087" t="s">
        <v>5841</v>
      </c>
      <c r="R22" s="256" t="s">
        <v>5700</v>
      </c>
      <c r="S22" s="1087" t="s">
        <v>4975</v>
      </c>
      <c r="T22" s="1087" t="s">
        <v>5354</v>
      </c>
      <c r="U22" s="1087" t="s">
        <v>5842</v>
      </c>
      <c r="V22" s="1087" t="s">
        <v>5843</v>
      </c>
      <c r="W22" s="1087" t="s">
        <v>5844</v>
      </c>
      <c r="X22" s="1087" t="s">
        <v>3173</v>
      </c>
      <c r="Y22" s="1087" t="s">
        <v>5845</v>
      </c>
      <c r="Z22" s="1087" t="s">
        <v>5846</v>
      </c>
      <c r="AA22" s="1087" t="s">
        <v>3173</v>
      </c>
      <c r="AB22" s="1087" t="s">
        <v>5847</v>
      </c>
      <c r="AC22" s="1087" t="s">
        <v>5848</v>
      </c>
      <c r="AD22" s="1087" t="s">
        <v>3416</v>
      </c>
      <c r="AE22" s="1087" t="s">
        <v>5849</v>
      </c>
      <c r="AF22" s="1087" t="s">
        <v>5850</v>
      </c>
      <c r="AG22" s="1087" t="s">
        <v>483</v>
      </c>
      <c r="AH22" s="1087" t="s">
        <v>5851</v>
      </c>
      <c r="AI22" s="1087" t="s">
        <v>5852</v>
      </c>
      <c r="AJ22" s="1021" t="s">
        <v>4993</v>
      </c>
      <c r="AK22" s="1087" t="s">
        <v>5854</v>
      </c>
      <c r="AL22" s="1087" t="s">
        <v>5855</v>
      </c>
      <c r="AM22" s="1087" t="s">
        <v>5314</v>
      </c>
      <c r="AN22" s="1087" t="s">
        <v>1860</v>
      </c>
      <c r="AO22" s="1087" t="s">
        <v>5856</v>
      </c>
      <c r="AP22" s="1087" t="s">
        <v>5857</v>
      </c>
      <c r="AQ22" s="1087" t="s">
        <v>5858</v>
      </c>
      <c r="AR22" s="1087" t="s">
        <v>241</v>
      </c>
      <c r="AS22" s="1087" t="s">
        <v>5859</v>
      </c>
      <c r="AT22" s="1087" t="s">
        <v>5860</v>
      </c>
      <c r="AU22" s="1087" t="s">
        <v>5861</v>
      </c>
      <c r="AV22" s="825" t="str">
        <f t="shared" si="1"/>
        <v>3:21</v>
      </c>
      <c r="AW22" s="1160" t="s">
        <v>5862</v>
      </c>
    </row>
    <row r="23" ht="15.75" customHeight="1">
      <c r="A23" s="1012" t="s">
        <v>5863</v>
      </c>
      <c r="B23" s="1013" t="s">
        <v>4964</v>
      </c>
      <c r="C23" s="1014">
        <v>0.049965277777777775</v>
      </c>
      <c r="D23" s="107" t="s">
        <v>5864</v>
      </c>
      <c r="E23" s="1087" t="s">
        <v>5865</v>
      </c>
      <c r="F23" s="1087" t="s">
        <v>5866</v>
      </c>
      <c r="G23" s="1087" t="s">
        <v>5867</v>
      </c>
      <c r="H23" s="825" t="s">
        <v>5868</v>
      </c>
      <c r="I23" s="1087" t="s">
        <v>4737</v>
      </c>
      <c r="J23" s="1087" t="s">
        <v>1163</v>
      </c>
      <c r="K23" s="1087" t="s">
        <v>5869</v>
      </c>
      <c r="L23" s="1087" t="s">
        <v>5201</v>
      </c>
      <c r="M23" s="1087" t="s">
        <v>5260</v>
      </c>
      <c r="N23" s="1087" t="s">
        <v>5871</v>
      </c>
      <c r="O23" s="1087" t="s">
        <v>5872</v>
      </c>
      <c r="P23" s="825" t="s">
        <v>5873</v>
      </c>
      <c r="Q23" s="1087" t="s">
        <v>5874</v>
      </c>
      <c r="R23" s="1087" t="s">
        <v>751</v>
      </c>
      <c r="S23" s="1087" t="s">
        <v>2866</v>
      </c>
      <c r="T23" s="1087" t="s">
        <v>3623</v>
      </c>
      <c r="U23" s="1087" t="s">
        <v>5875</v>
      </c>
      <c r="V23" s="1087" t="s">
        <v>5876</v>
      </c>
      <c r="W23" s="1087" t="s">
        <v>5877</v>
      </c>
      <c r="X23" s="825" t="s">
        <v>1245</v>
      </c>
      <c r="Y23" s="825" t="s">
        <v>5878</v>
      </c>
      <c r="Z23" s="1087" t="s">
        <v>5879</v>
      </c>
      <c r="AA23" s="1087" t="s">
        <v>5880</v>
      </c>
      <c r="AB23" s="1087" t="s">
        <v>5881</v>
      </c>
      <c r="AC23" s="1087" t="s">
        <v>3261</v>
      </c>
      <c r="AD23" s="1087" t="s">
        <v>5882</v>
      </c>
      <c r="AE23" s="1087" t="s">
        <v>5883</v>
      </c>
      <c r="AF23" s="1087" t="s">
        <v>3960</v>
      </c>
      <c r="AG23" s="1087" t="s">
        <v>5885</v>
      </c>
      <c r="AH23" s="1087" t="s">
        <v>5193</v>
      </c>
      <c r="AI23" s="1087" t="s">
        <v>2762</v>
      </c>
      <c r="AJ23" s="825" t="s">
        <v>5886</v>
      </c>
      <c r="AK23" s="1155" t="s">
        <v>2630</v>
      </c>
      <c r="AL23" s="1087" t="s">
        <v>5887</v>
      </c>
      <c r="AM23" s="1087" t="s">
        <v>5229</v>
      </c>
      <c r="AN23" s="825" t="s">
        <v>5237</v>
      </c>
      <c r="AO23" s="825" t="s">
        <v>241</v>
      </c>
      <c r="AP23" s="825" t="s">
        <v>5888</v>
      </c>
      <c r="AQ23" s="825" t="s">
        <v>5241</v>
      </c>
      <c r="AR23" s="825" t="s">
        <v>1652</v>
      </c>
      <c r="AS23" s="825" t="s">
        <v>1316</v>
      </c>
      <c r="AT23" s="825" t="s">
        <v>5656</v>
      </c>
      <c r="AU23" s="1087" t="s">
        <v>5889</v>
      </c>
      <c r="AV23" s="825" t="str">
        <f t="shared" si="1"/>
        <v>3:46</v>
      </c>
      <c r="AW23" s="1148" t="s">
        <v>2205</v>
      </c>
    </row>
    <row r="24" ht="15.75" customHeight="1">
      <c r="A24" s="1193" t="s">
        <v>5890</v>
      </c>
      <c r="B24" s="1013" t="s">
        <v>4964</v>
      </c>
      <c r="C24" s="1014">
        <v>0.05</v>
      </c>
      <c r="D24" s="107" t="s">
        <v>5891</v>
      </c>
      <c r="E24" s="1087" t="s">
        <v>3668</v>
      </c>
      <c r="F24" s="1087" t="s">
        <v>5833</v>
      </c>
      <c r="G24" s="825" t="s">
        <v>5892</v>
      </c>
      <c r="H24" s="1087" t="s">
        <v>5893</v>
      </c>
      <c r="I24" s="825" t="s">
        <v>5894</v>
      </c>
      <c r="J24" s="1087" t="s">
        <v>5895</v>
      </c>
      <c r="K24" s="1087" t="s">
        <v>5896</v>
      </c>
      <c r="L24" s="1087" t="s">
        <v>5897</v>
      </c>
      <c r="M24" s="1087" t="s">
        <v>5898</v>
      </c>
      <c r="N24" s="1087" t="s">
        <v>5899</v>
      </c>
      <c r="O24" s="1087" t="s">
        <v>5810</v>
      </c>
      <c r="P24" s="825" t="s">
        <v>5900</v>
      </c>
      <c r="Q24" s="1087" t="s">
        <v>5901</v>
      </c>
      <c r="R24" s="1087" t="s">
        <v>250</v>
      </c>
      <c r="S24" s="1087" t="s">
        <v>5136</v>
      </c>
      <c r="T24" s="1087" t="s">
        <v>1444</v>
      </c>
      <c r="U24" s="1087" t="s">
        <v>5902</v>
      </c>
      <c r="V24" s="1087" t="s">
        <v>5903</v>
      </c>
      <c r="W24" s="1087" t="s">
        <v>5904</v>
      </c>
      <c r="X24" s="1087" t="s">
        <v>5905</v>
      </c>
      <c r="Y24" s="1087" t="s">
        <v>5906</v>
      </c>
      <c r="Z24" s="1087" t="s">
        <v>5907</v>
      </c>
      <c r="AA24" s="1087" t="s">
        <v>5908</v>
      </c>
      <c r="AB24" s="1087" t="s">
        <v>5909</v>
      </c>
      <c r="AC24" s="825" t="s">
        <v>2976</v>
      </c>
      <c r="AD24" s="1087" t="s">
        <v>5910</v>
      </c>
      <c r="AE24" s="825" t="s">
        <v>1054</v>
      </c>
      <c r="AF24" s="1194" t="s">
        <v>4989</v>
      </c>
      <c r="AG24" s="1087" t="s">
        <v>2160</v>
      </c>
      <c r="AH24" s="1087" t="s">
        <v>5084</v>
      </c>
      <c r="AI24" s="1087" t="s">
        <v>921</v>
      </c>
      <c r="AJ24" s="825" t="s">
        <v>5911</v>
      </c>
      <c r="AK24" s="1087" t="s">
        <v>5912</v>
      </c>
      <c r="AL24" s="825" t="s">
        <v>5913</v>
      </c>
      <c r="AM24" s="1087" t="s">
        <v>3565</v>
      </c>
      <c r="AN24" s="825" t="s">
        <v>5914</v>
      </c>
      <c r="AO24" s="1087" t="s">
        <v>3464</v>
      </c>
      <c r="AP24" s="1087" t="s">
        <v>5915</v>
      </c>
      <c r="AQ24" s="825" t="s">
        <v>5916</v>
      </c>
      <c r="AR24" s="1087" t="s">
        <v>5917</v>
      </c>
      <c r="AS24" s="825" t="s">
        <v>2175</v>
      </c>
      <c r="AT24" s="1087" t="s">
        <v>5918</v>
      </c>
      <c r="AU24" s="1087" t="s">
        <v>5919</v>
      </c>
      <c r="AV24" s="825" t="str">
        <f t="shared" si="1"/>
        <v>1:53</v>
      </c>
      <c r="AW24" s="1148"/>
    </row>
    <row r="25" ht="15.75" customHeight="1">
      <c r="A25" s="1125" t="s">
        <v>5920</v>
      </c>
      <c r="B25" s="1109" t="s">
        <v>5005</v>
      </c>
      <c r="C25" s="1014">
        <v>0.05008101851851852</v>
      </c>
      <c r="D25" s="107" t="s">
        <v>5921</v>
      </c>
      <c r="E25" s="107" t="s">
        <v>5922</v>
      </c>
      <c r="F25" s="107" t="s">
        <v>5782</v>
      </c>
      <c r="G25" s="107" t="s">
        <v>5923</v>
      </c>
      <c r="H25" s="107" t="s">
        <v>5924</v>
      </c>
      <c r="I25" s="107" t="s">
        <v>5925</v>
      </c>
      <c r="J25" s="107" t="s">
        <v>414</v>
      </c>
      <c r="K25" s="107" t="s">
        <v>2447</v>
      </c>
      <c r="L25" s="107" t="s">
        <v>5691</v>
      </c>
      <c r="M25" s="1132" t="s">
        <v>5644</v>
      </c>
      <c r="N25" s="1130" t="s">
        <v>5013</v>
      </c>
      <c r="O25" s="107" t="s">
        <v>5926</v>
      </c>
      <c r="P25" s="1130" t="s">
        <v>1054</v>
      </c>
      <c r="Q25" s="1130" t="s">
        <v>5015</v>
      </c>
      <c r="R25" s="107" t="s">
        <v>1067</v>
      </c>
      <c r="S25" s="107" t="s">
        <v>286</v>
      </c>
      <c r="T25" s="107" t="s">
        <v>5927</v>
      </c>
      <c r="U25" s="107" t="s">
        <v>5928</v>
      </c>
      <c r="V25" s="107" t="s">
        <v>5929</v>
      </c>
      <c r="W25" s="107" t="s">
        <v>902</v>
      </c>
      <c r="X25" s="107" t="s">
        <v>5930</v>
      </c>
      <c r="Y25" s="107" t="s">
        <v>4395</v>
      </c>
      <c r="Z25" s="107" t="s">
        <v>4321</v>
      </c>
      <c r="AA25" s="107" t="s">
        <v>5717</v>
      </c>
      <c r="AB25" s="107" t="s">
        <v>5931</v>
      </c>
      <c r="AC25" s="107" t="s">
        <v>5932</v>
      </c>
      <c r="AD25" s="107" t="s">
        <v>5933</v>
      </c>
      <c r="AE25" s="107" t="s">
        <v>5934</v>
      </c>
      <c r="AF25" s="107" t="s">
        <v>5031</v>
      </c>
      <c r="AG25" s="107" t="s">
        <v>5936</v>
      </c>
      <c r="AH25" s="107" t="s">
        <v>5937</v>
      </c>
      <c r="AI25" s="107" t="s">
        <v>5938</v>
      </c>
      <c r="AJ25" s="107" t="s">
        <v>5939</v>
      </c>
      <c r="AK25" s="107" t="s">
        <v>5940</v>
      </c>
      <c r="AL25" s="107" t="s">
        <v>5941</v>
      </c>
      <c r="AM25" s="107" t="s">
        <v>5194</v>
      </c>
      <c r="AN25" s="107" t="s">
        <v>5943</v>
      </c>
      <c r="AO25" s="107" t="s">
        <v>1829</v>
      </c>
      <c r="AP25" s="107" t="s">
        <v>5945</v>
      </c>
      <c r="AQ25" s="107" t="s">
        <v>5946</v>
      </c>
      <c r="AR25" s="107" t="s">
        <v>5947</v>
      </c>
      <c r="AS25" s="107" t="s">
        <v>5948</v>
      </c>
      <c r="AT25" s="107" t="s">
        <v>5949</v>
      </c>
      <c r="AU25" s="1155" t="s">
        <v>5950</v>
      </c>
      <c r="AV25" s="825" t="str">
        <f t="shared" si="1"/>
        <v>2:51</v>
      </c>
      <c r="AW25" s="1195"/>
    </row>
    <row r="26">
      <c r="A26" s="1125" t="s">
        <v>64</v>
      </c>
      <c r="B26" s="1120" t="s">
        <v>5005</v>
      </c>
      <c r="C26" s="1014">
        <v>0.05016203703703704</v>
      </c>
      <c r="D26" s="1095" t="s">
        <v>5951</v>
      </c>
      <c r="E26" s="1197" t="s">
        <v>592</v>
      </c>
      <c r="F26" s="1095" t="s">
        <v>5952</v>
      </c>
      <c r="G26" s="1095" t="s">
        <v>5953</v>
      </c>
      <c r="H26" s="1095" t="s">
        <v>5954</v>
      </c>
      <c r="I26" s="1095" t="s">
        <v>5713</v>
      </c>
      <c r="J26" s="1095" t="s">
        <v>5955</v>
      </c>
      <c r="K26" s="1095" t="s">
        <v>5956</v>
      </c>
      <c r="L26" s="107" t="s">
        <v>2492</v>
      </c>
      <c r="M26" s="1130" t="s">
        <v>5012</v>
      </c>
      <c r="N26" s="1095" t="s">
        <v>5957</v>
      </c>
      <c r="O26" s="1095" t="s">
        <v>5958</v>
      </c>
      <c r="P26" s="1095" t="s">
        <v>5959</v>
      </c>
      <c r="Q26" s="1095" t="s">
        <v>5960</v>
      </c>
      <c r="R26" s="1095" t="s">
        <v>4019</v>
      </c>
      <c r="S26" s="1095" t="s">
        <v>5961</v>
      </c>
      <c r="T26" s="1095" t="s">
        <v>3309</v>
      </c>
      <c r="U26" s="1095" t="s">
        <v>5704</v>
      </c>
      <c r="V26" s="1095" t="s">
        <v>5962</v>
      </c>
      <c r="W26" s="1095" t="s">
        <v>5963</v>
      </c>
      <c r="X26" s="1095" t="s">
        <v>1933</v>
      </c>
      <c r="Y26" s="1095" t="s">
        <v>4110</v>
      </c>
      <c r="Z26" s="1095" t="s">
        <v>5812</v>
      </c>
      <c r="AA26" s="1095" t="s">
        <v>5964</v>
      </c>
      <c r="AB26" s="1095" t="s">
        <v>5965</v>
      </c>
      <c r="AC26" s="1095" t="s">
        <v>4988</v>
      </c>
      <c r="AD26" s="1095" t="s">
        <v>5966</v>
      </c>
      <c r="AE26" s="1095" t="s">
        <v>5967</v>
      </c>
      <c r="AF26" s="1095" t="s">
        <v>5968</v>
      </c>
      <c r="AG26" s="1095" t="s">
        <v>5969</v>
      </c>
      <c r="AH26" s="1095" t="s">
        <v>5970</v>
      </c>
      <c r="AI26" s="1087" t="s">
        <v>5971</v>
      </c>
      <c r="AJ26" s="1095" t="s">
        <v>5972</v>
      </c>
      <c r="AK26" s="1095" t="s">
        <v>5011</v>
      </c>
      <c r="AL26" s="1095" t="s">
        <v>5973</v>
      </c>
      <c r="AM26" s="1095" t="s">
        <v>892</v>
      </c>
      <c r="AN26" s="1095" t="s">
        <v>5974</v>
      </c>
      <c r="AO26" s="1095" t="s">
        <v>5975</v>
      </c>
      <c r="AP26" s="1095" t="s">
        <v>5976</v>
      </c>
      <c r="AQ26" s="1095" t="s">
        <v>1507</v>
      </c>
      <c r="AR26" s="1095" t="s">
        <v>2390</v>
      </c>
      <c r="AS26" s="1095" t="s">
        <v>2518</v>
      </c>
      <c r="AT26" s="1095" t="s">
        <v>5977</v>
      </c>
      <c r="AU26" s="1087" t="s">
        <v>5978</v>
      </c>
      <c r="AV26" s="825" t="str">
        <f t="shared" si="1"/>
        <v>3:20</v>
      </c>
      <c r="AW26" s="157"/>
    </row>
    <row r="27" ht="15.75" customHeight="1">
      <c r="A27" s="1084" t="s">
        <v>687</v>
      </c>
      <c r="B27" s="1013" t="s">
        <v>4964</v>
      </c>
      <c r="C27" s="1014">
        <v>0.05025462962962963</v>
      </c>
      <c r="D27" s="107" t="s">
        <v>5979</v>
      </c>
      <c r="E27" s="1153" t="s">
        <v>5980</v>
      </c>
      <c r="F27" s="204" t="s">
        <v>5981</v>
      </c>
      <c r="G27" s="1041" t="s">
        <v>5982</v>
      </c>
      <c r="H27" s="313" t="s">
        <v>5983</v>
      </c>
      <c r="I27" s="313" t="s">
        <v>4293</v>
      </c>
      <c r="J27" s="1132" t="s">
        <v>3233</v>
      </c>
      <c r="K27" s="1180" t="s">
        <v>5984</v>
      </c>
      <c r="L27" s="1180" t="s">
        <v>5985</v>
      </c>
      <c r="M27" s="1204" t="str">
        <f>HYPERLINK("https://youtu.be/teAIifUZjFw","1:14.18")</f>
        <v>1:14.18</v>
      </c>
      <c r="N27" s="1180" t="s">
        <v>5986</v>
      </c>
      <c r="O27" s="1180" t="s">
        <v>5987</v>
      </c>
      <c r="P27" s="1180" t="s">
        <v>5988</v>
      </c>
      <c r="Q27" s="258" t="s">
        <v>5989</v>
      </c>
      <c r="R27" s="256" t="s">
        <v>5990</v>
      </c>
      <c r="S27" s="256" t="s">
        <v>953</v>
      </c>
      <c r="T27" s="1207" t="str">
        <f>HYPERLINK("https://youtu.be/AiXricVH5ss","1:24.99")</f>
        <v>1:24.99</v>
      </c>
      <c r="U27" s="1208" t="str">
        <f>HYPERLINK("https://www.twitch.tv/videos/450151935","2:00.31")</f>
        <v>2:00.31</v>
      </c>
      <c r="V27" s="256" t="s">
        <v>5021</v>
      </c>
      <c r="W27" s="1209" t="str">
        <f>HYPERLINK("https://youtu.be/eafNhBoXVWA","1:46.09")</f>
        <v>1:46.09</v>
      </c>
      <c r="X27" s="1181" t="s">
        <v>5994</v>
      </c>
      <c r="Y27" s="1181" t="s">
        <v>5553</v>
      </c>
      <c r="Z27" s="1181" t="s">
        <v>5995</v>
      </c>
      <c r="AA27" s="223" t="s">
        <v>5399</v>
      </c>
      <c r="AB27" s="1181" t="s">
        <v>2588</v>
      </c>
      <c r="AC27" s="1181" t="s">
        <v>2798</v>
      </c>
      <c r="AD27" s="1210" t="str">
        <f>HYPERLINK("https://youtu.be/8FEcTKESSh0","1:49.80")</f>
        <v>1:49.80</v>
      </c>
      <c r="AE27" s="1153" t="s">
        <v>5570</v>
      </c>
      <c r="AF27" s="1182" t="s">
        <v>5996</v>
      </c>
      <c r="AG27" s="1182" t="s">
        <v>5998</v>
      </c>
      <c r="AH27" s="1182" t="s">
        <v>5999</v>
      </c>
      <c r="AI27" s="1182" t="s">
        <v>6000</v>
      </c>
      <c r="AJ27" s="1182" t="s">
        <v>6001</v>
      </c>
      <c r="AK27" s="1155" t="s">
        <v>5808</v>
      </c>
      <c r="AL27" s="1182" t="s">
        <v>6002</v>
      </c>
      <c r="AM27" s="1156" t="s">
        <v>5761</v>
      </c>
      <c r="AN27" s="1156" t="s">
        <v>3630</v>
      </c>
      <c r="AO27" s="1156" t="s">
        <v>5947</v>
      </c>
      <c r="AP27" s="277" t="s">
        <v>6003</v>
      </c>
      <c r="AQ27" s="277" t="s">
        <v>6004</v>
      </c>
      <c r="AR27" s="1156" t="s">
        <v>6005</v>
      </c>
      <c r="AS27" s="277" t="s">
        <v>6006</v>
      </c>
      <c r="AT27" s="1204" t="str">
        <f>HYPERLINK("https://youtu.be/xDirVtS1AZ4?t=4416","2:27.45")</f>
        <v>2:27.45</v>
      </c>
      <c r="AU27" s="1178" t="s">
        <v>6007</v>
      </c>
      <c r="AV27" s="825" t="str">
        <f t="shared" si="1"/>
        <v>2:34</v>
      </c>
      <c r="AW27" s="1119" t="s">
        <v>6008</v>
      </c>
    </row>
    <row r="28">
      <c r="A28" s="1125" t="s">
        <v>43</v>
      </c>
      <c r="B28" s="1120" t="s">
        <v>4964</v>
      </c>
      <c r="C28" s="1014">
        <v>0.0502662037037037</v>
      </c>
      <c r="D28" s="107" t="s">
        <v>6009</v>
      </c>
      <c r="E28" s="1087" t="s">
        <v>5383</v>
      </c>
      <c r="F28" s="1087" t="s">
        <v>6010</v>
      </c>
      <c r="G28" s="1087" t="s">
        <v>6011</v>
      </c>
      <c r="H28" s="1087" t="s">
        <v>6012</v>
      </c>
      <c r="I28" s="107" t="s">
        <v>743</v>
      </c>
      <c r="J28" s="107" t="s">
        <v>6013</v>
      </c>
      <c r="K28" s="1087" t="s">
        <v>5896</v>
      </c>
      <c r="L28" s="1087" t="s">
        <v>5625</v>
      </c>
      <c r="M28" s="107" t="s">
        <v>6015</v>
      </c>
      <c r="N28" s="1087" t="s">
        <v>6016</v>
      </c>
      <c r="O28" s="1087" t="s">
        <v>6017</v>
      </c>
      <c r="P28" s="107" t="s">
        <v>6018</v>
      </c>
      <c r="Q28" s="1087" t="s">
        <v>6019</v>
      </c>
      <c r="R28" s="107" t="s">
        <v>6020</v>
      </c>
      <c r="S28" s="1087" t="s">
        <v>6021</v>
      </c>
      <c r="T28" s="107" t="s">
        <v>6022</v>
      </c>
      <c r="U28" s="1087" t="s">
        <v>4267</v>
      </c>
      <c r="V28" s="107" t="s">
        <v>5876</v>
      </c>
      <c r="W28" s="107" t="s">
        <v>909</v>
      </c>
      <c r="X28" s="107" t="s">
        <v>1245</v>
      </c>
      <c r="Y28" s="107" t="s">
        <v>3761</v>
      </c>
      <c r="Z28" s="107" t="s">
        <v>6024</v>
      </c>
      <c r="AA28" s="1087" t="s">
        <v>6025</v>
      </c>
      <c r="AB28" s="107" t="s">
        <v>2789</v>
      </c>
      <c r="AC28" s="1087" t="s">
        <v>5925</v>
      </c>
      <c r="AD28" s="107" t="s">
        <v>6026</v>
      </c>
      <c r="AE28" s="1087" t="s">
        <v>5189</v>
      </c>
      <c r="AF28" s="1087" t="s">
        <v>6028</v>
      </c>
      <c r="AG28" s="107" t="s">
        <v>6029</v>
      </c>
      <c r="AH28" s="107" t="s">
        <v>6030</v>
      </c>
      <c r="AI28" s="1087" t="s">
        <v>6031</v>
      </c>
      <c r="AJ28" s="107" t="s">
        <v>6032</v>
      </c>
      <c r="AK28" s="107" t="s">
        <v>5227</v>
      </c>
      <c r="AL28" s="107" t="s">
        <v>5887</v>
      </c>
      <c r="AM28" s="107" t="s">
        <v>6033</v>
      </c>
      <c r="AN28" s="107" t="s">
        <v>5887</v>
      </c>
      <c r="AO28" s="107" t="s">
        <v>6034</v>
      </c>
      <c r="AP28" s="1087" t="s">
        <v>6035</v>
      </c>
      <c r="AQ28" s="107" t="s">
        <v>6036</v>
      </c>
      <c r="AR28" s="1087" t="s">
        <v>3903</v>
      </c>
      <c r="AS28" s="107" t="s">
        <v>6037</v>
      </c>
      <c r="AT28" s="1087" t="s">
        <v>6038</v>
      </c>
      <c r="AU28" s="1087" t="s">
        <v>5041</v>
      </c>
      <c r="AV28" s="825" t="str">
        <f t="shared" si="1"/>
        <v>2:28</v>
      </c>
      <c r="AW28" s="1124" t="s">
        <v>6039</v>
      </c>
    </row>
    <row r="29">
      <c r="A29" s="1125" t="s">
        <v>6041</v>
      </c>
      <c r="B29" s="1218" t="s">
        <v>4964</v>
      </c>
      <c r="C29" s="1014">
        <v>0.0503125</v>
      </c>
      <c r="D29" s="107" t="s">
        <v>6042</v>
      </c>
      <c r="E29" s="1153" t="s">
        <v>6043</v>
      </c>
      <c r="F29" s="1153" t="s">
        <v>1984</v>
      </c>
      <c r="G29" s="1153" t="s">
        <v>6044</v>
      </c>
      <c r="H29" s="312" t="s">
        <v>2694</v>
      </c>
      <c r="I29" s="312" t="s">
        <v>1835</v>
      </c>
      <c r="J29" s="1132" t="s">
        <v>6045</v>
      </c>
      <c r="K29" s="1132" t="s">
        <v>2951</v>
      </c>
      <c r="L29" s="1132" t="s">
        <v>6046</v>
      </c>
      <c r="M29" s="1132" t="s">
        <v>6047</v>
      </c>
      <c r="N29" s="1132" t="s">
        <v>2440</v>
      </c>
      <c r="O29" s="1132" t="s">
        <v>5022</v>
      </c>
      <c r="P29" s="1132" t="s">
        <v>6049</v>
      </c>
      <c r="Q29" s="256" t="s">
        <v>6050</v>
      </c>
      <c r="R29" s="256" t="s">
        <v>6051</v>
      </c>
      <c r="S29" s="256" t="s">
        <v>1827</v>
      </c>
      <c r="T29" s="256" t="s">
        <v>6052</v>
      </c>
      <c r="U29" s="256" t="s">
        <v>6053</v>
      </c>
      <c r="V29" s="256" t="s">
        <v>6054</v>
      </c>
      <c r="W29" s="223" t="s">
        <v>6055</v>
      </c>
      <c r="X29" s="223" t="s">
        <v>5994</v>
      </c>
      <c r="Y29" s="223" t="s">
        <v>5140</v>
      </c>
      <c r="Z29" s="223" t="s">
        <v>2341</v>
      </c>
      <c r="AA29" s="223" t="s">
        <v>6056</v>
      </c>
      <c r="AB29" s="223" t="s">
        <v>6057</v>
      </c>
      <c r="AC29" s="223" t="s">
        <v>6059</v>
      </c>
      <c r="AD29" s="1153" t="s">
        <v>6060</v>
      </c>
      <c r="AE29" s="1153" t="s">
        <v>5849</v>
      </c>
      <c r="AF29" s="1155" t="s">
        <v>6061</v>
      </c>
      <c r="AG29" s="1155" t="s">
        <v>3509</v>
      </c>
      <c r="AH29" s="1155" t="s">
        <v>6062</v>
      </c>
      <c r="AI29" s="1155" t="s">
        <v>6063</v>
      </c>
      <c r="AJ29" s="1155" t="s">
        <v>6064</v>
      </c>
      <c r="AK29" s="1155" t="s">
        <v>6065</v>
      </c>
      <c r="AL29" s="1155" t="s">
        <v>6066</v>
      </c>
      <c r="AM29" s="1156" t="s">
        <v>5622</v>
      </c>
      <c r="AN29" s="1156" t="s">
        <v>6067</v>
      </c>
      <c r="AO29" s="1156" t="s">
        <v>6068</v>
      </c>
      <c r="AP29" s="1156" t="s">
        <v>6069</v>
      </c>
      <c r="AQ29" s="1156" t="s">
        <v>6070</v>
      </c>
      <c r="AR29" s="1156" t="s">
        <v>6071</v>
      </c>
      <c r="AS29" s="1156" t="s">
        <v>886</v>
      </c>
      <c r="AT29" s="1132" t="s">
        <v>6072</v>
      </c>
      <c r="AU29" s="1112" t="s">
        <v>6073</v>
      </c>
      <c r="AV29" s="825" t="str">
        <f t="shared" si="1"/>
        <v>2:59</v>
      </c>
      <c r="AW29" s="1113" t="s">
        <v>6074</v>
      </c>
    </row>
    <row r="30" ht="15.75" customHeight="1">
      <c r="A30" s="1012" t="s">
        <v>6075</v>
      </c>
      <c r="B30" s="1158" t="s">
        <v>5005</v>
      </c>
      <c r="C30" s="1014">
        <v>0.05042824074074074</v>
      </c>
      <c r="D30" s="107" t="s">
        <v>5635</v>
      </c>
      <c r="E30" s="1153" t="s">
        <v>6076</v>
      </c>
      <c r="F30" s="1153" t="s">
        <v>6077</v>
      </c>
      <c r="G30" s="204" t="s">
        <v>6078</v>
      </c>
      <c r="H30" s="313" t="s">
        <v>6079</v>
      </c>
      <c r="I30" s="312" t="s">
        <v>6080</v>
      </c>
      <c r="J30" s="1132" t="s">
        <v>6081</v>
      </c>
      <c r="K30" s="1132" t="s">
        <v>5956</v>
      </c>
      <c r="L30" s="1132" t="s">
        <v>6083</v>
      </c>
      <c r="M30" s="1132" t="s">
        <v>6084</v>
      </c>
      <c r="N30" s="1132" t="s">
        <v>6085</v>
      </c>
      <c r="O30" s="1132" t="s">
        <v>6086</v>
      </c>
      <c r="P30" s="1180" t="s">
        <v>3182</v>
      </c>
      <c r="Q30" s="256" t="s">
        <v>6087</v>
      </c>
      <c r="R30" s="256" t="s">
        <v>5266</v>
      </c>
      <c r="S30" s="256" t="s">
        <v>2651</v>
      </c>
      <c r="T30" s="258" t="s">
        <v>5432</v>
      </c>
      <c r="U30" s="256" t="s">
        <v>5310</v>
      </c>
      <c r="V30" s="258" t="s">
        <v>6088</v>
      </c>
      <c r="W30" s="1181" t="s">
        <v>1630</v>
      </c>
      <c r="X30" s="223" t="s">
        <v>6089</v>
      </c>
      <c r="Y30" s="1181" t="s">
        <v>6091</v>
      </c>
      <c r="Z30" s="223" t="s">
        <v>6092</v>
      </c>
      <c r="AA30" s="1181" t="s">
        <v>6093</v>
      </c>
      <c r="AB30" s="107" t="s">
        <v>6094</v>
      </c>
      <c r="AC30" s="1181" t="s">
        <v>6095</v>
      </c>
      <c r="AD30" s="1153" t="s">
        <v>5786</v>
      </c>
      <c r="AE30" s="1153" t="s">
        <v>5934</v>
      </c>
      <c r="AF30" s="1155" t="s">
        <v>6096</v>
      </c>
      <c r="AG30" s="1182" t="s">
        <v>6097</v>
      </c>
      <c r="AH30" s="1182" t="s">
        <v>6098</v>
      </c>
      <c r="AI30" s="825" t="s">
        <v>6025</v>
      </c>
      <c r="AJ30" s="1182" t="s">
        <v>6099</v>
      </c>
      <c r="AK30" s="1155" t="s">
        <v>6100</v>
      </c>
      <c r="AL30" s="1182" t="s">
        <v>6101</v>
      </c>
      <c r="AM30" s="1156" t="s">
        <v>6102</v>
      </c>
      <c r="AN30" s="1156" t="s">
        <v>6103</v>
      </c>
      <c r="AO30" s="1156" t="s">
        <v>6104</v>
      </c>
      <c r="AP30" s="1156" t="s">
        <v>6105</v>
      </c>
      <c r="AQ30" s="277" t="s">
        <v>6106</v>
      </c>
      <c r="AR30" s="277" t="s">
        <v>6107</v>
      </c>
      <c r="AS30" s="277" t="s">
        <v>6109</v>
      </c>
      <c r="AT30" s="1132" t="s">
        <v>6111</v>
      </c>
      <c r="AU30" s="1112" t="s">
        <v>6112</v>
      </c>
      <c r="AV30" s="825" t="str">
        <f t="shared" si="1"/>
        <v>2:55</v>
      </c>
      <c r="AW30" s="1179"/>
    </row>
    <row r="31" ht="15.75" customHeight="1">
      <c r="A31" s="1012" t="s">
        <v>6113</v>
      </c>
      <c r="B31" s="1013" t="s">
        <v>4964</v>
      </c>
      <c r="C31" s="1221">
        <v>0.05043981481481481</v>
      </c>
      <c r="D31" s="107" t="s">
        <v>6114</v>
      </c>
      <c r="E31" s="825" t="s">
        <v>1852</v>
      </c>
      <c r="F31" s="825" t="s">
        <v>2375</v>
      </c>
      <c r="G31" s="825" t="s">
        <v>6115</v>
      </c>
      <c r="H31" s="825" t="s">
        <v>5416</v>
      </c>
      <c r="I31" s="825" t="s">
        <v>6116</v>
      </c>
      <c r="J31" s="825" t="s">
        <v>6117</v>
      </c>
      <c r="K31" s="825" t="s">
        <v>5869</v>
      </c>
      <c r="L31" s="825" t="s">
        <v>6119</v>
      </c>
      <c r="M31" s="825" t="s">
        <v>6121</v>
      </c>
      <c r="N31" s="825" t="s">
        <v>5927</v>
      </c>
      <c r="O31" s="825" t="s">
        <v>6122</v>
      </c>
      <c r="P31" s="825" t="s">
        <v>5618</v>
      </c>
      <c r="Q31" s="825" t="s">
        <v>6123</v>
      </c>
      <c r="R31" s="825" t="s">
        <v>6124</v>
      </c>
      <c r="S31" s="825" t="s">
        <v>6125</v>
      </c>
      <c r="T31" s="825" t="s">
        <v>6126</v>
      </c>
      <c r="U31" s="825" t="s">
        <v>6127</v>
      </c>
      <c r="V31" s="825" t="s">
        <v>6128</v>
      </c>
      <c r="W31" s="825" t="s">
        <v>6129</v>
      </c>
      <c r="X31" s="825" t="s">
        <v>6130</v>
      </c>
      <c r="Y31" s="825" t="s">
        <v>5906</v>
      </c>
      <c r="Z31" s="825" t="s">
        <v>4321</v>
      </c>
      <c r="AA31" s="825" t="s">
        <v>5938</v>
      </c>
      <c r="AB31" s="825" t="s">
        <v>6081</v>
      </c>
      <c r="AC31" s="825" t="s">
        <v>2798</v>
      </c>
      <c r="AD31" s="825" t="s">
        <v>5933</v>
      </c>
      <c r="AE31" s="825" t="s">
        <v>6132</v>
      </c>
      <c r="AF31" s="825" t="s">
        <v>6133</v>
      </c>
      <c r="AG31" s="825" t="s">
        <v>6134</v>
      </c>
      <c r="AH31" s="825" t="s">
        <v>6135</v>
      </c>
      <c r="AI31" s="825" t="s">
        <v>6063</v>
      </c>
      <c r="AJ31" s="825" t="s">
        <v>6136</v>
      </c>
      <c r="AK31" s="825" t="s">
        <v>6137</v>
      </c>
      <c r="AL31" s="825" t="s">
        <v>6138</v>
      </c>
      <c r="AM31" s="825" t="s">
        <v>4482</v>
      </c>
      <c r="AN31" s="825" t="s">
        <v>6139</v>
      </c>
      <c r="AO31" s="825" t="s">
        <v>6140</v>
      </c>
      <c r="AP31" s="1098" t="str">
        <f>HYPERLINK("https://www.twitch.tv/videos/511415405","2:00.79")</f>
        <v>2:00.79</v>
      </c>
      <c r="AQ31" s="825" t="s">
        <v>6141</v>
      </c>
      <c r="AR31" s="825" t="s">
        <v>1829</v>
      </c>
      <c r="AS31" s="825" t="s">
        <v>5180</v>
      </c>
      <c r="AT31" s="825" t="s">
        <v>6142</v>
      </c>
      <c r="AU31" s="825" t="s">
        <v>6143</v>
      </c>
      <c r="AV31" s="825" t="str">
        <f t="shared" si="1"/>
        <v>2:36</v>
      </c>
      <c r="AW31" s="1099" t="s">
        <v>852</v>
      </c>
    </row>
    <row r="32">
      <c r="A32" s="1125" t="s">
        <v>66</v>
      </c>
      <c r="B32" s="1109" t="s">
        <v>4964</v>
      </c>
      <c r="C32" s="1014">
        <v>0.050486111111111114</v>
      </c>
      <c r="D32" s="1153" t="s">
        <v>6144</v>
      </c>
      <c r="E32" s="1153" t="s">
        <v>6145</v>
      </c>
      <c r="F32" s="1153" t="s">
        <v>6146</v>
      </c>
      <c r="G32" s="1153" t="s">
        <v>6147</v>
      </c>
      <c r="H32" s="107" t="s">
        <v>6148</v>
      </c>
      <c r="I32" s="312" t="s">
        <v>3912</v>
      </c>
      <c r="J32" s="1132" t="s">
        <v>1103</v>
      </c>
      <c r="K32" s="1132" t="s">
        <v>3540</v>
      </c>
      <c r="L32" s="1132" t="s">
        <v>6150</v>
      </c>
      <c r="M32" s="1132" t="s">
        <v>6151</v>
      </c>
      <c r="N32" s="1132" t="s">
        <v>6152</v>
      </c>
      <c r="O32" s="1132" t="s">
        <v>6153</v>
      </c>
      <c r="P32" s="1132" t="s">
        <v>5753</v>
      </c>
      <c r="Q32" s="256" t="s">
        <v>505</v>
      </c>
      <c r="R32" s="256" t="s">
        <v>1784</v>
      </c>
      <c r="S32" s="256" t="s">
        <v>5011</v>
      </c>
      <c r="T32" s="256" t="s">
        <v>6154</v>
      </c>
      <c r="U32" s="256" t="s">
        <v>6155</v>
      </c>
      <c r="V32" s="256" t="s">
        <v>6156</v>
      </c>
      <c r="W32" s="223" t="s">
        <v>6157</v>
      </c>
      <c r="X32" s="223" t="s">
        <v>6158</v>
      </c>
      <c r="Y32" s="223" t="s">
        <v>6048</v>
      </c>
      <c r="Z32" s="223" t="s">
        <v>6159</v>
      </c>
      <c r="AA32" s="1087" t="s">
        <v>6160</v>
      </c>
      <c r="AB32" s="223" t="s">
        <v>6161</v>
      </c>
      <c r="AC32" s="223" t="s">
        <v>4293</v>
      </c>
      <c r="AD32" s="1153" t="s">
        <v>6162</v>
      </c>
      <c r="AE32" s="1153" t="s">
        <v>6163</v>
      </c>
      <c r="AF32" s="1155" t="s">
        <v>6164</v>
      </c>
      <c r="AG32" s="1155" t="s">
        <v>1766</v>
      </c>
      <c r="AH32" s="1155" t="s">
        <v>6166</v>
      </c>
      <c r="AI32" s="1155" t="s">
        <v>6167</v>
      </c>
      <c r="AJ32" s="1155" t="s">
        <v>6168</v>
      </c>
      <c r="AK32" s="1155" t="s">
        <v>2184</v>
      </c>
      <c r="AL32" s="1155" t="s">
        <v>6169</v>
      </c>
      <c r="AM32" s="1156" t="s">
        <v>6171</v>
      </c>
      <c r="AN32" s="1156" t="s">
        <v>5691</v>
      </c>
      <c r="AO32" s="1156" t="s">
        <v>6172</v>
      </c>
      <c r="AP32" s="1156" t="s">
        <v>6173</v>
      </c>
      <c r="AQ32" s="1156" t="s">
        <v>6174</v>
      </c>
      <c r="AR32" s="1156" t="s">
        <v>4370</v>
      </c>
      <c r="AS32" s="1156" t="s">
        <v>5140</v>
      </c>
      <c r="AT32" s="1132" t="s">
        <v>6175</v>
      </c>
      <c r="AU32" s="1112" t="s">
        <v>6176</v>
      </c>
      <c r="AV32" s="825" t="str">
        <f t="shared" si="1"/>
        <v>3:47</v>
      </c>
      <c r="AW32" s="1113"/>
    </row>
    <row r="33" ht="15.75" customHeight="1">
      <c r="A33" s="1125" t="s">
        <v>97</v>
      </c>
      <c r="B33" s="1013" t="s">
        <v>4964</v>
      </c>
      <c r="C33" s="1014">
        <v>0.05049768518518519</v>
      </c>
      <c r="D33" s="107" t="s">
        <v>6177</v>
      </c>
      <c r="E33" s="204" t="s">
        <v>6178</v>
      </c>
      <c r="F33" s="1210" t="str">
        <f>HYPERLINK("https://www.youtube.com/watch?v=rtR6KkKhM6I","1:59.91")</f>
        <v>1:59.91</v>
      </c>
      <c r="G33" s="204" t="s">
        <v>6181</v>
      </c>
      <c r="H33" s="1223" t="str">
        <f>HYPERLINK("https://www.youtube.com/watch?v=cg-eipYsN1s","1:54.47")</f>
        <v>1:54.47</v>
      </c>
      <c r="I33" s="313" t="s">
        <v>6091</v>
      </c>
      <c r="J33" s="1180" t="s">
        <v>5826</v>
      </c>
      <c r="K33" s="1132" t="s">
        <v>235</v>
      </c>
      <c r="L33" s="1204" t="str">
        <f>HYPERLINK("https://www.youtube.com/watch?v=tJdjPKdAbw4","57.01")</f>
        <v>57.01</v>
      </c>
      <c r="M33" s="1180" t="s">
        <v>1225</v>
      </c>
      <c r="N33" s="1132" t="s">
        <v>6185</v>
      </c>
      <c r="O33" s="1180" t="s">
        <v>5708</v>
      </c>
      <c r="P33" s="1180" t="s">
        <v>810</v>
      </c>
      <c r="Q33" s="258" t="s">
        <v>637</v>
      </c>
      <c r="R33" s="258" t="s">
        <v>6186</v>
      </c>
      <c r="S33" s="1208" t="str">
        <f>HYPERLINK("https://www.youtube.com/watch?v=_3ms_ZhYFzo","1:18.01")</f>
        <v>1:18.01</v>
      </c>
      <c r="T33" s="258" t="s">
        <v>6187</v>
      </c>
      <c r="U33" s="1208" t="str">
        <f>HYPERLINK("https://www.youtube.com/watch?v=ZOy_TI3Zw14","2:02.38")</f>
        <v>2:02.38</v>
      </c>
      <c r="V33" s="258" t="s">
        <v>6156</v>
      </c>
      <c r="W33" s="1181" t="s">
        <v>6188</v>
      </c>
      <c r="X33" s="1181" t="s">
        <v>2184</v>
      </c>
      <c r="Y33" s="1209" t="str">
        <f>HYPERLINK("https://www.youtube.com/watch?v=9NrvSboXXOg","48.25")</f>
        <v>48.25</v>
      </c>
      <c r="Z33" s="1209" t="str">
        <f>HYPERLINK("https://www.youtube.com/watch?v=NwsOKLYrlHA","1:20.36")</f>
        <v>1:20.36</v>
      </c>
      <c r="AA33" s="1209" t="str">
        <f>HYPERLINK("https://www.youtube.com/watch?v=onNUzQt23oU","1:28.94")</f>
        <v>1:28.94</v>
      </c>
      <c r="AB33" s="1209" t="str">
        <f>HYPERLINK("https://www.youtube.com/watch?v=Gu4GucRJZx0","1:20.48")</f>
        <v>1:20.48</v>
      </c>
      <c r="AC33" s="1181" t="s">
        <v>2798</v>
      </c>
      <c r="AD33" s="1210" t="str">
        <f>HYPERLINK("https://www.youtube.com/watch?v=ikF77QyREZg","1:50.30")</f>
        <v>1:50.30</v>
      </c>
      <c r="AE33" s="204" t="s">
        <v>5753</v>
      </c>
      <c r="AF33" s="1182" t="s">
        <v>6193</v>
      </c>
      <c r="AG33" s="1224" t="str">
        <f>HYPERLINK("https://www.youtube.com/watch?v=KXwTRrVVluY","1:30.62")</f>
        <v>1:30.62</v>
      </c>
      <c r="AH33" s="1182" t="s">
        <v>6194</v>
      </c>
      <c r="AI33" s="1182" t="s">
        <v>5998</v>
      </c>
      <c r="AJ33" s="1182" t="s">
        <v>6195</v>
      </c>
      <c r="AK33" s="1155" t="s">
        <v>6196</v>
      </c>
      <c r="AL33" s="1182" t="s">
        <v>6197</v>
      </c>
      <c r="AM33" s="1225" t="str">
        <f>HYPERLINK("https://www.youtube.com/watch?v=BAoEwuQ0LoI","1:25.68")</f>
        <v>1:25.68</v>
      </c>
      <c r="AN33" s="1225" t="str">
        <f>HYPERLINK("https://www.youtube.com/watch?v=F-LtZeEZXek","56.36")</f>
        <v>56.36</v>
      </c>
      <c r="AO33" s="277" t="s">
        <v>6200</v>
      </c>
      <c r="AP33" s="277" t="s">
        <v>6201</v>
      </c>
      <c r="AQ33" s="277" t="s">
        <v>6202</v>
      </c>
      <c r="AR33" s="1225" t="str">
        <f>HYPERLINK("https://www.youtube.com/watch?v=WSIIkWWbKgE","1:21.74")</f>
        <v>1:21.74</v>
      </c>
      <c r="AS33" s="277" t="s">
        <v>6204</v>
      </c>
      <c r="AT33" s="1204" t="str">
        <f>HYPERLINK("https://www.youtube.com/watch?v=H67SXBLcISI","2:29.09")</f>
        <v>2:29.09</v>
      </c>
      <c r="AU33" s="1178" t="s">
        <v>6206</v>
      </c>
      <c r="AV33" s="825" t="str">
        <f t="shared" si="1"/>
        <v>2:03</v>
      </c>
      <c r="AW33" s="1226" t="s">
        <v>6208</v>
      </c>
    </row>
    <row r="34">
      <c r="A34" s="1125" t="s">
        <v>4261</v>
      </c>
      <c r="B34" s="1109" t="s">
        <v>5005</v>
      </c>
      <c r="C34" s="1014">
        <v>0.050520833333333334</v>
      </c>
      <c r="D34" s="1153" t="s">
        <v>6211</v>
      </c>
      <c r="E34" s="1189" t="s">
        <v>6212</v>
      </c>
      <c r="F34" s="1189" t="s">
        <v>5036</v>
      </c>
      <c r="G34" s="1153" t="s">
        <v>6213</v>
      </c>
      <c r="H34" s="1189" t="s">
        <v>5680</v>
      </c>
      <c r="I34" s="1189" t="s">
        <v>6215</v>
      </c>
      <c r="J34" s="1132" t="s">
        <v>6217</v>
      </c>
      <c r="K34" s="1227" t="s">
        <v>6218</v>
      </c>
      <c r="L34" s="1132" t="s">
        <v>6220</v>
      </c>
      <c r="M34" s="1041" t="s">
        <v>6221</v>
      </c>
      <c r="N34" s="1132" t="s">
        <v>3771</v>
      </c>
      <c r="O34" s="1132" t="s">
        <v>5987</v>
      </c>
      <c r="P34" s="1132" t="s">
        <v>1279</v>
      </c>
      <c r="Q34" s="167" t="str">
        <f>HYPERLINK("https://www.twitch.tv/planktonsecretformula/v/1588460220?sr=a", "2:12.43")</f>
        <v>2:12.43</v>
      </c>
      <c r="R34" s="256" t="s">
        <v>6124</v>
      </c>
      <c r="S34" s="256" t="s">
        <v>6224</v>
      </c>
      <c r="T34" s="1167" t="s">
        <v>6225</v>
      </c>
      <c r="U34" s="1189" t="s">
        <v>6227</v>
      </c>
      <c r="V34" s="1189" t="s">
        <v>6228</v>
      </c>
      <c r="W34" s="300" t="s">
        <v>6229</v>
      </c>
      <c r="X34" s="223" t="s">
        <v>3635</v>
      </c>
      <c r="Y34" s="223" t="s">
        <v>3153</v>
      </c>
      <c r="Z34" s="223" t="s">
        <v>5307</v>
      </c>
      <c r="AA34" s="1087" t="s">
        <v>6230</v>
      </c>
      <c r="AB34" s="223" t="s">
        <v>6231</v>
      </c>
      <c r="AC34" s="223" t="s">
        <v>3951</v>
      </c>
      <c r="AD34" s="1153" t="s">
        <v>6233</v>
      </c>
      <c r="AE34" s="1153" t="s">
        <v>5959</v>
      </c>
      <c r="AF34" s="1155" t="s">
        <v>6234</v>
      </c>
      <c r="AG34" s="1189" t="s">
        <v>6235</v>
      </c>
      <c r="AH34" s="1155" t="s">
        <v>6237</v>
      </c>
      <c r="AI34" s="1155" t="s">
        <v>4340</v>
      </c>
      <c r="AJ34" s="1155" t="s">
        <v>6239</v>
      </c>
      <c r="AK34" s="1155" t="s">
        <v>6240</v>
      </c>
      <c r="AL34" s="1155" t="s">
        <v>6241</v>
      </c>
      <c r="AM34" s="1156" t="s">
        <v>5432</v>
      </c>
      <c r="AN34" s="1156" t="s">
        <v>5756</v>
      </c>
      <c r="AO34" s="1156" t="s">
        <v>6071</v>
      </c>
      <c r="AP34" s="1156" t="s">
        <v>6243</v>
      </c>
      <c r="AQ34" s="167" t="str">
        <f>HYPERLINK("https://www.twitch.tv/planktonsecretformula/v/1678454360?sr=a&amp;t=0s", "1:37.46")</f>
        <v>1:37.46</v>
      </c>
      <c r="AR34" s="1156" t="s">
        <v>6246</v>
      </c>
      <c r="AS34" s="1156" t="s">
        <v>2916</v>
      </c>
      <c r="AT34" s="1132" t="s">
        <v>6247</v>
      </c>
      <c r="AU34" s="1112" t="s">
        <v>6248</v>
      </c>
      <c r="AV34" s="825" t="str">
        <f t="shared" si="1"/>
        <v>4:40</v>
      </c>
      <c r="AW34" s="1113" t="s">
        <v>6249</v>
      </c>
    </row>
    <row r="35" ht="15.75" customHeight="1">
      <c r="A35" s="1193" t="s">
        <v>6250</v>
      </c>
      <c r="B35" s="1013" t="s">
        <v>4964</v>
      </c>
      <c r="C35" s="1014">
        <v>0.050555555555555555</v>
      </c>
      <c r="D35" s="107" t="s">
        <v>6252</v>
      </c>
      <c r="E35" s="1153" t="s">
        <v>6253</v>
      </c>
      <c r="F35" s="1153" t="s">
        <v>6255</v>
      </c>
      <c r="G35" s="1153" t="s">
        <v>6256</v>
      </c>
      <c r="H35" s="312" t="s">
        <v>6257</v>
      </c>
      <c r="I35" s="312" t="s">
        <v>6259</v>
      </c>
      <c r="J35" s="1132" t="s">
        <v>6260</v>
      </c>
      <c r="K35" s="1132" t="s">
        <v>6261</v>
      </c>
      <c r="L35" s="1132" t="s">
        <v>6262</v>
      </c>
      <c r="M35" s="1132" t="s">
        <v>6263</v>
      </c>
      <c r="N35" s="1132" t="s">
        <v>6264</v>
      </c>
      <c r="O35" s="1132" t="s">
        <v>6086</v>
      </c>
      <c r="P35" s="1132" t="s">
        <v>2286</v>
      </c>
      <c r="Q35" s="256" t="s">
        <v>6265</v>
      </c>
      <c r="R35" s="256" t="s">
        <v>6266</v>
      </c>
      <c r="S35" s="256" t="s">
        <v>1950</v>
      </c>
      <c r="T35" s="256" t="s">
        <v>6267</v>
      </c>
      <c r="U35" s="256" t="s">
        <v>6268</v>
      </c>
      <c r="V35" s="256" t="s">
        <v>5021</v>
      </c>
      <c r="W35" s="223" t="s">
        <v>6269</v>
      </c>
      <c r="X35" s="223" t="s">
        <v>6270</v>
      </c>
      <c r="Y35" s="223" t="s">
        <v>6272</v>
      </c>
      <c r="Z35" s="223" t="s">
        <v>4731</v>
      </c>
      <c r="AA35" s="223" t="s">
        <v>6273</v>
      </c>
      <c r="AB35" s="223" t="s">
        <v>230</v>
      </c>
      <c r="AC35" s="1181" t="s">
        <v>1580</v>
      </c>
      <c r="AD35" s="1153" t="s">
        <v>6275</v>
      </c>
      <c r="AE35" s="1153" t="s">
        <v>5753</v>
      </c>
      <c r="AF35" s="1155" t="s">
        <v>6276</v>
      </c>
      <c r="AG35" s="1155" t="s">
        <v>6277</v>
      </c>
      <c r="AH35" s="1155" t="s">
        <v>6278</v>
      </c>
      <c r="AI35" s="1155" t="s">
        <v>6279</v>
      </c>
      <c r="AJ35" s="1155" t="s">
        <v>6281</v>
      </c>
      <c r="AK35" s="1155" t="s">
        <v>5994</v>
      </c>
      <c r="AL35" s="1155" t="s">
        <v>6282</v>
      </c>
      <c r="AM35" s="1156" t="s">
        <v>5024</v>
      </c>
      <c r="AN35" s="1156" t="s">
        <v>5721</v>
      </c>
      <c r="AO35" s="1156" t="s">
        <v>6283</v>
      </c>
      <c r="AP35" s="1156" t="s">
        <v>6284</v>
      </c>
      <c r="AQ35" s="1156" t="s">
        <v>6285</v>
      </c>
      <c r="AR35" s="1156" t="s">
        <v>5777</v>
      </c>
      <c r="AS35" s="1156" t="s">
        <v>3761</v>
      </c>
      <c r="AT35" s="1132" t="s">
        <v>6286</v>
      </c>
      <c r="AU35" s="1112" t="s">
        <v>6287</v>
      </c>
      <c r="AV35" s="825" t="str">
        <f t="shared" si="1"/>
        <v>2:07</v>
      </c>
      <c r="AW35" s="1179"/>
    </row>
    <row r="36">
      <c r="A36" s="1125" t="s">
        <v>91</v>
      </c>
      <c r="B36" s="1109" t="s">
        <v>4964</v>
      </c>
      <c r="C36" s="1014">
        <v>0.050555555555555555</v>
      </c>
      <c r="D36" s="107" t="s">
        <v>6289</v>
      </c>
      <c r="E36" s="107" t="s">
        <v>6290</v>
      </c>
      <c r="F36" s="107" t="s">
        <v>6291</v>
      </c>
      <c r="G36" s="107" t="s">
        <v>6292</v>
      </c>
      <c r="H36" s="107" t="s">
        <v>6293</v>
      </c>
      <c r="I36" s="107" t="s">
        <v>6294</v>
      </c>
      <c r="J36" s="107" t="s">
        <v>4524</v>
      </c>
      <c r="K36" s="107" t="s">
        <v>6295</v>
      </c>
      <c r="L36" s="107" t="s">
        <v>6296</v>
      </c>
      <c r="M36" s="107" t="s">
        <v>4250</v>
      </c>
      <c r="N36" s="107" t="s">
        <v>6299</v>
      </c>
      <c r="O36" s="107" t="s">
        <v>6300</v>
      </c>
      <c r="P36" s="107" t="s">
        <v>6301</v>
      </c>
      <c r="Q36" s="107" t="s">
        <v>6302</v>
      </c>
      <c r="R36" s="107" t="s">
        <v>6303</v>
      </c>
      <c r="S36" s="107" t="s">
        <v>6304</v>
      </c>
      <c r="T36" s="107" t="s">
        <v>6065</v>
      </c>
      <c r="U36" s="107" t="s">
        <v>6305</v>
      </c>
      <c r="V36" s="107" t="s">
        <v>6306</v>
      </c>
      <c r="W36" s="107" t="s">
        <v>6307</v>
      </c>
      <c r="X36" s="107" t="s">
        <v>6308</v>
      </c>
      <c r="Y36" s="107" t="s">
        <v>4395</v>
      </c>
      <c r="Z36" s="107" t="s">
        <v>6309</v>
      </c>
      <c r="AA36" s="107" t="s">
        <v>6310</v>
      </c>
      <c r="AB36" s="107" t="s">
        <v>6311</v>
      </c>
      <c r="AC36" s="107" t="s">
        <v>2798</v>
      </c>
      <c r="AD36" s="107" t="s">
        <v>6312</v>
      </c>
      <c r="AE36" s="107" t="s">
        <v>5397</v>
      </c>
      <c r="AF36" s="107" t="s">
        <v>6313</v>
      </c>
      <c r="AG36" s="107" t="s">
        <v>6314</v>
      </c>
      <c r="AH36" s="107" t="s">
        <v>6315</v>
      </c>
      <c r="AI36" s="107" t="s">
        <v>6316</v>
      </c>
      <c r="AJ36" s="107" t="s">
        <v>6317</v>
      </c>
      <c r="AK36" s="107" t="s">
        <v>5494</v>
      </c>
      <c r="AL36" s="107" t="s">
        <v>6318</v>
      </c>
      <c r="AM36" s="107" t="s">
        <v>6319</v>
      </c>
      <c r="AN36" s="107" t="s">
        <v>6320</v>
      </c>
      <c r="AO36" s="107" t="s">
        <v>6321</v>
      </c>
      <c r="AP36" s="107" t="s">
        <v>6323</v>
      </c>
      <c r="AQ36" s="107" t="s">
        <v>6324</v>
      </c>
      <c r="AR36" s="107" t="s">
        <v>5627</v>
      </c>
      <c r="AS36" s="107" t="s">
        <v>3530</v>
      </c>
      <c r="AT36" s="107" t="s">
        <v>6325</v>
      </c>
      <c r="AU36" s="1112" t="s">
        <v>6143</v>
      </c>
      <c r="AV36" s="825" t="str">
        <f t="shared" si="1"/>
        <v>2:26</v>
      </c>
      <c r="AW36" s="1113" t="s">
        <v>6326</v>
      </c>
    </row>
    <row r="37" ht="15.75" customHeight="1">
      <c r="A37" s="1012" t="s">
        <v>47</v>
      </c>
      <c r="B37" s="1158" t="s">
        <v>5005</v>
      </c>
      <c r="C37" s="1014">
        <v>0.05056712962962963</v>
      </c>
      <c r="D37" s="1130" t="s">
        <v>5006</v>
      </c>
      <c r="E37" s="204" t="s">
        <v>5980</v>
      </c>
      <c r="F37" s="1197" t="s">
        <v>5007</v>
      </c>
      <c r="G37" s="1087" t="s">
        <v>6329</v>
      </c>
      <c r="H37" s="1087" t="s">
        <v>6330</v>
      </c>
      <c r="I37" s="1197" t="s">
        <v>5010</v>
      </c>
      <c r="J37" s="1087" t="s">
        <v>4130</v>
      </c>
      <c r="K37" s="1087" t="s">
        <v>2607</v>
      </c>
      <c r="L37" s="1087" t="s">
        <v>6332</v>
      </c>
      <c r="M37" s="1087" t="s">
        <v>6333</v>
      </c>
      <c r="N37" s="1087" t="s">
        <v>5912</v>
      </c>
      <c r="O37" s="1087" t="s">
        <v>6334</v>
      </c>
      <c r="P37" s="1087" t="s">
        <v>5900</v>
      </c>
      <c r="Q37" s="1087" t="s">
        <v>6335</v>
      </c>
      <c r="R37" s="1087" t="s">
        <v>6336</v>
      </c>
      <c r="S37" s="1087" t="s">
        <v>6337</v>
      </c>
      <c r="T37" s="1087" t="s">
        <v>6338</v>
      </c>
      <c r="U37" s="1087" t="s">
        <v>5550</v>
      </c>
      <c r="V37" s="1087" t="s">
        <v>6340</v>
      </c>
      <c r="W37" s="1087" t="s">
        <v>6341</v>
      </c>
      <c r="X37" s="1087" t="s">
        <v>6342</v>
      </c>
      <c r="Y37" s="1087" t="s">
        <v>3648</v>
      </c>
      <c r="Z37" s="1087" t="s">
        <v>5784</v>
      </c>
      <c r="AA37" s="1087" t="s">
        <v>2184</v>
      </c>
      <c r="AB37" s="1087" t="s">
        <v>6343</v>
      </c>
      <c r="AC37" s="825" t="s">
        <v>1792</v>
      </c>
      <c r="AD37" s="1087" t="s">
        <v>6344</v>
      </c>
      <c r="AE37" s="1087" t="s">
        <v>5967</v>
      </c>
      <c r="AF37" s="1087" t="s">
        <v>6345</v>
      </c>
      <c r="AG37" s="1087" t="s">
        <v>6065</v>
      </c>
      <c r="AH37" s="1087" t="s">
        <v>6346</v>
      </c>
      <c r="AI37" s="1087" t="s">
        <v>6347</v>
      </c>
      <c r="AJ37" s="1087" t="s">
        <v>6348</v>
      </c>
      <c r="AK37" s="1087" t="s">
        <v>6349</v>
      </c>
      <c r="AL37" s="1087" t="s">
        <v>6139</v>
      </c>
      <c r="AM37" s="1087" t="s">
        <v>5751</v>
      </c>
      <c r="AN37" s="1087" t="s">
        <v>1041</v>
      </c>
      <c r="AO37" s="1087" t="s">
        <v>6351</v>
      </c>
      <c r="AP37" s="1087" t="s">
        <v>6352</v>
      </c>
      <c r="AQ37" s="1087" t="s">
        <v>1905</v>
      </c>
      <c r="AR37" s="1087" t="s">
        <v>2264</v>
      </c>
      <c r="AS37" s="1087" t="s">
        <v>4986</v>
      </c>
      <c r="AT37" s="1087" t="s">
        <v>6353</v>
      </c>
      <c r="AU37" s="1087" t="s">
        <v>5828</v>
      </c>
      <c r="AV37" s="825" t="str">
        <f t="shared" si="1"/>
        <v>3:34</v>
      </c>
      <c r="AW37" s="1124" t="s">
        <v>6354</v>
      </c>
    </row>
    <row r="38" ht="15.75" customHeight="1">
      <c r="A38" s="1125" t="s">
        <v>91</v>
      </c>
      <c r="B38" s="1158" t="s">
        <v>5005</v>
      </c>
      <c r="C38" s="1221">
        <v>0.05056712962962963</v>
      </c>
      <c r="D38" s="107" t="s">
        <v>6356</v>
      </c>
      <c r="E38" s="825" t="s">
        <v>6357</v>
      </c>
      <c r="F38" s="825" t="s">
        <v>5875</v>
      </c>
      <c r="G38" s="825" t="s">
        <v>6358</v>
      </c>
      <c r="H38" s="825" t="s">
        <v>6359</v>
      </c>
      <c r="I38" s="825" t="s">
        <v>4071</v>
      </c>
      <c r="J38" s="1087" t="s">
        <v>6360</v>
      </c>
      <c r="K38" s="1087" t="s">
        <v>6360</v>
      </c>
      <c r="L38" s="825" t="s">
        <v>6361</v>
      </c>
      <c r="M38" s="825" t="s">
        <v>6362</v>
      </c>
      <c r="N38" s="825" t="s">
        <v>5790</v>
      </c>
      <c r="O38" s="1197" t="s">
        <v>5014</v>
      </c>
      <c r="P38" s="825" t="s">
        <v>6363</v>
      </c>
      <c r="Q38" s="825" t="s">
        <v>3279</v>
      </c>
      <c r="R38" s="1087" t="s">
        <v>6360</v>
      </c>
      <c r="S38" s="825" t="s">
        <v>2681</v>
      </c>
      <c r="T38" s="825" t="s">
        <v>482</v>
      </c>
      <c r="U38" s="825" t="s">
        <v>6364</v>
      </c>
      <c r="V38" s="825" t="s">
        <v>6365</v>
      </c>
      <c r="W38" s="825" t="s">
        <v>6366</v>
      </c>
      <c r="X38" s="825" t="s">
        <v>6056</v>
      </c>
      <c r="Y38" s="825" t="s">
        <v>6059</v>
      </c>
      <c r="Z38" s="825" t="s">
        <v>476</v>
      </c>
      <c r="AA38" s="825" t="s">
        <v>6367</v>
      </c>
      <c r="AB38" s="825" t="s">
        <v>5583</v>
      </c>
      <c r="AC38" s="825" t="s">
        <v>5646</v>
      </c>
      <c r="AD38" s="825" t="s">
        <v>6368</v>
      </c>
      <c r="AE38" s="825" t="s">
        <v>6272</v>
      </c>
      <c r="AF38" s="825" t="s">
        <v>6369</v>
      </c>
      <c r="AG38" s="825" t="s">
        <v>6370</v>
      </c>
      <c r="AH38" s="825" t="s">
        <v>6372</v>
      </c>
      <c r="AI38" s="825" t="s">
        <v>6373</v>
      </c>
      <c r="AJ38" s="825" t="s">
        <v>6374</v>
      </c>
      <c r="AK38" s="825" t="s">
        <v>2428</v>
      </c>
      <c r="AL38" s="825" t="s">
        <v>6062</v>
      </c>
      <c r="AM38" s="825" t="s">
        <v>3692</v>
      </c>
      <c r="AN38" s="1087" t="s">
        <v>6375</v>
      </c>
      <c r="AO38" s="1087" t="s">
        <v>6360</v>
      </c>
      <c r="AP38" s="825" t="s">
        <v>3877</v>
      </c>
      <c r="AQ38" s="825" t="s">
        <v>689</v>
      </c>
      <c r="AR38" s="825" t="s">
        <v>6377</v>
      </c>
      <c r="AS38" s="825" t="s">
        <v>6378</v>
      </c>
      <c r="AT38" s="825" t="s">
        <v>6380</v>
      </c>
      <c r="AU38" s="1087" t="s">
        <v>6381</v>
      </c>
      <c r="AV38" s="825" t="str">
        <f t="shared" si="1"/>
        <v>3:07</v>
      </c>
      <c r="AW38" s="1148" t="s">
        <v>6382</v>
      </c>
    </row>
    <row r="39" ht="15.75" customHeight="1">
      <c r="A39" s="1012" t="s">
        <v>228</v>
      </c>
      <c r="B39" s="1013" t="s">
        <v>4964</v>
      </c>
      <c r="C39" s="1221">
        <v>0.05060185185185185</v>
      </c>
      <c r="D39" s="107" t="s">
        <v>6383</v>
      </c>
      <c r="E39" s="204" t="s">
        <v>5450</v>
      </c>
      <c r="F39" s="204" t="s">
        <v>6384</v>
      </c>
      <c r="G39" s="204" t="s">
        <v>6386</v>
      </c>
      <c r="H39" s="313" t="s">
        <v>6387</v>
      </c>
      <c r="I39" s="313" t="s">
        <v>6388</v>
      </c>
      <c r="J39" s="1180" t="s">
        <v>5420</v>
      </c>
      <c r="K39" s="1180" t="s">
        <v>3540</v>
      </c>
      <c r="L39" s="1180" t="s">
        <v>3769</v>
      </c>
      <c r="M39" s="1180" t="s">
        <v>6389</v>
      </c>
      <c r="N39" s="1180" t="s">
        <v>6390</v>
      </c>
      <c r="O39" s="1180" t="s">
        <v>6391</v>
      </c>
      <c r="P39" s="1180" t="s">
        <v>5849</v>
      </c>
      <c r="Q39" s="258" t="s">
        <v>6392</v>
      </c>
      <c r="R39" s="258" t="s">
        <v>6393</v>
      </c>
      <c r="S39" s="258" t="s">
        <v>230</v>
      </c>
      <c r="T39" s="258" t="s">
        <v>6394</v>
      </c>
      <c r="U39" s="258" t="s">
        <v>6395</v>
      </c>
      <c r="V39" s="258" t="s">
        <v>6396</v>
      </c>
      <c r="W39" s="1181" t="s">
        <v>6397</v>
      </c>
      <c r="X39" s="1181" t="s">
        <v>3515</v>
      </c>
      <c r="Y39" s="1181" t="s">
        <v>2759</v>
      </c>
      <c r="Z39" s="1181" t="s">
        <v>6045</v>
      </c>
      <c r="AA39" s="1181" t="s">
        <v>6400</v>
      </c>
      <c r="AB39" s="1181" t="s">
        <v>5583</v>
      </c>
      <c r="AC39" s="1181" t="s">
        <v>4085</v>
      </c>
      <c r="AD39" s="204" t="s">
        <v>6401</v>
      </c>
      <c r="AE39" s="204" t="s">
        <v>3153</v>
      </c>
      <c r="AF39" s="1182" t="s">
        <v>6402</v>
      </c>
      <c r="AG39" s="1182" t="s">
        <v>6277</v>
      </c>
      <c r="AH39" s="1182" t="s">
        <v>6403</v>
      </c>
      <c r="AI39" s="1182" t="s">
        <v>3287</v>
      </c>
      <c r="AJ39" s="1182" t="s">
        <v>6404</v>
      </c>
      <c r="AK39" s="1182" t="s">
        <v>6405</v>
      </c>
      <c r="AL39" s="1182" t="s">
        <v>6406</v>
      </c>
      <c r="AM39" s="277" t="s">
        <v>6407</v>
      </c>
      <c r="AN39" s="277" t="s">
        <v>6408</v>
      </c>
      <c r="AO39" s="277" t="s">
        <v>6410</v>
      </c>
      <c r="AP39" s="277" t="s">
        <v>6411</v>
      </c>
      <c r="AQ39" s="277" t="s">
        <v>6174</v>
      </c>
      <c r="AR39" s="277" t="s">
        <v>6412</v>
      </c>
      <c r="AS39" s="277" t="s">
        <v>2292</v>
      </c>
      <c r="AT39" s="1180" t="s">
        <v>6413</v>
      </c>
      <c r="AU39" s="1178" t="s">
        <v>6414</v>
      </c>
      <c r="AV39" s="825" t="str">
        <f t="shared" si="1"/>
        <v>1:56</v>
      </c>
      <c r="AW39" s="1179"/>
    </row>
    <row r="40" ht="15.75" customHeight="1">
      <c r="A40" s="1084" t="s">
        <v>536</v>
      </c>
      <c r="B40" s="1013" t="s">
        <v>4964</v>
      </c>
      <c r="C40" s="1014">
        <v>0.05061342592592592</v>
      </c>
      <c r="D40" s="107" t="s">
        <v>6415</v>
      </c>
      <c r="E40" s="1087" t="s">
        <v>5383</v>
      </c>
      <c r="F40" s="1087" t="s">
        <v>6416</v>
      </c>
      <c r="G40" s="825" t="s">
        <v>6417</v>
      </c>
      <c r="H40" s="1087" t="s">
        <v>6418</v>
      </c>
      <c r="I40" s="1087" t="s">
        <v>1182</v>
      </c>
      <c r="J40" s="1087" t="s">
        <v>4343</v>
      </c>
      <c r="K40" s="825" t="s">
        <v>5869</v>
      </c>
      <c r="L40" s="1087" t="s">
        <v>6420</v>
      </c>
      <c r="M40" s="1087" t="s">
        <v>6421</v>
      </c>
      <c r="N40" s="1087" t="s">
        <v>6422</v>
      </c>
      <c r="O40" s="1087" t="s">
        <v>6423</v>
      </c>
      <c r="P40" s="1087" t="s">
        <v>4287</v>
      </c>
      <c r="Q40" s="1035" t="s">
        <v>6424</v>
      </c>
      <c r="R40" s="1087" t="s">
        <v>6427</v>
      </c>
      <c r="S40" s="825" t="s">
        <v>6428</v>
      </c>
      <c r="T40" s="1087" t="s">
        <v>6033</v>
      </c>
      <c r="U40" s="1087" t="s">
        <v>611</v>
      </c>
      <c r="V40" s="1087" t="s">
        <v>6429</v>
      </c>
      <c r="W40" s="1096" t="str">
        <f>HYPERLINK("https://www.youtube.com/watch?v=nn1ub1z3NYM","1:45.96")</f>
        <v>1:45.96</v>
      </c>
      <c r="X40" s="1087" t="s">
        <v>6430</v>
      </c>
      <c r="Y40" s="825" t="s">
        <v>5878</v>
      </c>
      <c r="Z40" s="1087" t="s">
        <v>4910</v>
      </c>
      <c r="AA40" s="1087" t="s">
        <v>6431</v>
      </c>
      <c r="AB40" s="1087" t="s">
        <v>6432</v>
      </c>
      <c r="AC40" s="1087" t="s">
        <v>4293</v>
      </c>
      <c r="AD40" s="1087" t="s">
        <v>6433</v>
      </c>
      <c r="AE40" s="1035" t="s">
        <v>2399</v>
      </c>
      <c r="AF40" s="825" t="s">
        <v>6434</v>
      </c>
      <c r="AG40" s="1087" t="s">
        <v>6435</v>
      </c>
      <c r="AH40" s="1087" t="s">
        <v>6194</v>
      </c>
      <c r="AI40" s="1087" t="s">
        <v>6436</v>
      </c>
      <c r="AJ40" s="825" t="s">
        <v>1743</v>
      </c>
      <c r="AK40" s="1087" t="s">
        <v>6437</v>
      </c>
      <c r="AL40" s="825" t="s">
        <v>6439</v>
      </c>
      <c r="AM40" s="825" t="s">
        <v>6440</v>
      </c>
      <c r="AN40" s="825" t="s">
        <v>5973</v>
      </c>
      <c r="AO40" s="1087" t="s">
        <v>6441</v>
      </c>
      <c r="AP40" s="1087" t="s">
        <v>6442</v>
      </c>
      <c r="AQ40" s="1087" t="s">
        <v>6443</v>
      </c>
      <c r="AR40" s="1087" t="s">
        <v>4524</v>
      </c>
      <c r="AS40" s="1087" t="s">
        <v>6445</v>
      </c>
      <c r="AT40" s="1087" t="s">
        <v>6446</v>
      </c>
      <c r="AU40" s="1087" t="s">
        <v>6447</v>
      </c>
      <c r="AV40" s="825" t="str">
        <f t="shared" si="1"/>
        <v>2:25</v>
      </c>
      <c r="AW40" s="1124"/>
    </row>
    <row r="41">
      <c r="A41" s="1084" t="s">
        <v>6449</v>
      </c>
      <c r="B41" s="1120" t="s">
        <v>4964</v>
      </c>
      <c r="C41" s="1014">
        <v>0.050625</v>
      </c>
      <c r="D41" s="1230" t="s">
        <v>6450</v>
      </c>
      <c r="E41" s="1087" t="s">
        <v>939</v>
      </c>
      <c r="F41" s="1087" t="s">
        <v>6451</v>
      </c>
      <c r="G41" s="1087" t="s">
        <v>6453</v>
      </c>
      <c r="H41" s="1087" t="s">
        <v>6454</v>
      </c>
      <c r="I41" s="1087" t="s">
        <v>5932</v>
      </c>
      <c r="J41" s="1087" t="s">
        <v>6455</v>
      </c>
      <c r="K41" s="1087" t="s">
        <v>6456</v>
      </c>
      <c r="L41" s="1087" t="s">
        <v>6457</v>
      </c>
      <c r="M41" s="1087" t="s">
        <v>6458</v>
      </c>
      <c r="N41" s="1087" t="s">
        <v>6459</v>
      </c>
      <c r="O41" s="1087" t="s">
        <v>6460</v>
      </c>
      <c r="P41" s="1087" t="s">
        <v>6272</v>
      </c>
      <c r="Q41" s="1087" t="s">
        <v>6461</v>
      </c>
      <c r="R41" s="1087" t="s">
        <v>6462</v>
      </c>
      <c r="S41" s="1087" t="s">
        <v>6463</v>
      </c>
      <c r="T41" s="1087" t="s">
        <v>6338</v>
      </c>
      <c r="U41" s="1087" t="s">
        <v>6464</v>
      </c>
      <c r="V41" s="1087" t="s">
        <v>6465</v>
      </c>
      <c r="W41" s="1087" t="s">
        <v>2489</v>
      </c>
      <c r="X41" s="1087" t="s">
        <v>6466</v>
      </c>
      <c r="Y41" s="1087" t="s">
        <v>6467</v>
      </c>
      <c r="Z41" s="1087" t="s">
        <v>6468</v>
      </c>
      <c r="AA41" s="1087" t="s">
        <v>6469</v>
      </c>
      <c r="AB41" s="1087"/>
      <c r="AC41" s="1087" t="s">
        <v>6470</v>
      </c>
      <c r="AD41" s="1087" t="s">
        <v>6471</v>
      </c>
      <c r="AE41" s="1087" t="s">
        <v>5655</v>
      </c>
      <c r="AF41" s="1087" t="s">
        <v>6472</v>
      </c>
      <c r="AG41" s="1087" t="s">
        <v>6473</v>
      </c>
      <c r="AH41" s="1087" t="s">
        <v>6474</v>
      </c>
      <c r="AI41" s="1087" t="s">
        <v>1080</v>
      </c>
      <c r="AJ41" s="1087" t="s">
        <v>6475</v>
      </c>
      <c r="AK41" s="1087" t="s">
        <v>4984</v>
      </c>
      <c r="AL41" s="1087" t="s">
        <v>6476</v>
      </c>
      <c r="AM41" s="1087" t="s">
        <v>6477</v>
      </c>
      <c r="AN41" s="1087" t="s">
        <v>5076</v>
      </c>
      <c r="AO41" s="1087" t="s">
        <v>6479</v>
      </c>
      <c r="AP41" s="1087" t="s">
        <v>6480</v>
      </c>
      <c r="AQ41" s="1087" t="s">
        <v>6481</v>
      </c>
      <c r="AR41" s="1087" t="s">
        <v>254</v>
      </c>
      <c r="AS41" s="1087" t="s">
        <v>6482</v>
      </c>
      <c r="AT41" s="1087" t="s">
        <v>3357</v>
      </c>
      <c r="AU41" s="1087" t="s">
        <v>6483</v>
      </c>
      <c r="AV41" s="825" t="str">
        <f t="shared" si="1"/>
        <v>2:05</v>
      </c>
      <c r="AW41" s="1148"/>
    </row>
    <row r="42">
      <c r="A42" s="1084" t="s">
        <v>6484</v>
      </c>
      <c r="B42" s="1109" t="s">
        <v>4964</v>
      </c>
      <c r="C42" s="1014">
        <v>0.0506712962962963</v>
      </c>
      <c r="D42" s="1230" t="s">
        <v>6485</v>
      </c>
      <c r="E42" s="1153" t="s">
        <v>5450</v>
      </c>
      <c r="F42" s="1153" t="s">
        <v>2913</v>
      </c>
      <c r="G42" s="1153" t="s">
        <v>6486</v>
      </c>
      <c r="H42" s="312" t="s">
        <v>6487</v>
      </c>
      <c r="I42" s="312" t="s">
        <v>6490</v>
      </c>
      <c r="J42" s="1132" t="s">
        <v>6491</v>
      </c>
      <c r="K42" s="1132" t="s">
        <v>6492</v>
      </c>
      <c r="L42" s="1132" t="s">
        <v>1496</v>
      </c>
      <c r="M42" s="1132" t="s">
        <v>6493</v>
      </c>
      <c r="N42" s="1132" t="s">
        <v>6494</v>
      </c>
      <c r="O42" s="1132" t="s">
        <v>6495</v>
      </c>
      <c r="P42" s="1132" t="s">
        <v>1835</v>
      </c>
      <c r="Q42" s="256" t="s">
        <v>3213</v>
      </c>
      <c r="R42" s="256" t="s">
        <v>6496</v>
      </c>
      <c r="S42" s="256" t="s">
        <v>6497</v>
      </c>
      <c r="T42" s="256" t="s">
        <v>6498</v>
      </c>
      <c r="U42" s="256" t="s">
        <v>6499</v>
      </c>
      <c r="V42" s="256" t="s">
        <v>6500</v>
      </c>
      <c r="W42" s="223" t="s">
        <v>6502</v>
      </c>
      <c r="X42" s="223" t="s">
        <v>6503</v>
      </c>
      <c r="Y42" s="223" t="s">
        <v>6504</v>
      </c>
      <c r="Z42" s="223" t="s">
        <v>6505</v>
      </c>
      <c r="AA42" s="1087" t="s">
        <v>603</v>
      </c>
      <c r="AB42" s="223" t="s">
        <v>6506</v>
      </c>
      <c r="AC42" s="223" t="s">
        <v>2798</v>
      </c>
      <c r="AD42" s="1153" t="s">
        <v>6508</v>
      </c>
      <c r="AE42" s="1153" t="s">
        <v>1792</v>
      </c>
      <c r="AF42" s="1155" t="s">
        <v>6510</v>
      </c>
      <c r="AG42" s="1155" t="s">
        <v>6097</v>
      </c>
      <c r="AH42" s="1155" t="s">
        <v>5851</v>
      </c>
      <c r="AI42" s="1155" t="s">
        <v>6511</v>
      </c>
      <c r="AJ42" s="1155" t="s">
        <v>6512</v>
      </c>
      <c r="AK42" s="1155" t="s">
        <v>1219</v>
      </c>
      <c r="AL42" s="1155" t="s">
        <v>3663</v>
      </c>
      <c r="AM42" s="1156" t="s">
        <v>5653</v>
      </c>
      <c r="AN42" s="1156" t="s">
        <v>6066</v>
      </c>
      <c r="AO42" s="1156" t="s">
        <v>5975</v>
      </c>
      <c r="AP42" s="1156" t="s">
        <v>6514</v>
      </c>
      <c r="AQ42" s="1156" t="s">
        <v>6515</v>
      </c>
      <c r="AR42" s="1156" t="s">
        <v>6516</v>
      </c>
      <c r="AS42" s="1156" t="s">
        <v>4272</v>
      </c>
      <c r="AT42" s="1132" t="s">
        <v>6517</v>
      </c>
      <c r="AU42" s="1112" t="s">
        <v>6176</v>
      </c>
      <c r="AV42" s="825" t="str">
        <f t="shared" si="1"/>
        <v>3:31</v>
      </c>
      <c r="AW42" s="1179"/>
    </row>
    <row r="43" ht="15.75" customHeight="1">
      <c r="A43" s="1193" t="s">
        <v>6518</v>
      </c>
      <c r="B43" s="1013" t="s">
        <v>4964</v>
      </c>
      <c r="C43" s="1014">
        <v>0.05070601851851852</v>
      </c>
      <c r="D43" s="107" t="s">
        <v>6520</v>
      </c>
      <c r="E43" s="204" t="s">
        <v>555</v>
      </c>
      <c r="F43" s="204" t="s">
        <v>5369</v>
      </c>
      <c r="G43" s="204" t="s">
        <v>6521</v>
      </c>
      <c r="H43" s="313" t="s">
        <v>6522</v>
      </c>
      <c r="I43" s="313" t="s">
        <v>1182</v>
      </c>
      <c r="J43" s="1180" t="s">
        <v>6523</v>
      </c>
      <c r="K43" s="1180" t="s">
        <v>6524</v>
      </c>
      <c r="L43" s="1180" t="s">
        <v>3773</v>
      </c>
      <c r="M43" s="1180" t="s">
        <v>6525</v>
      </c>
      <c r="N43" s="1180" t="s">
        <v>6267</v>
      </c>
      <c r="O43" s="1180" t="s">
        <v>6526</v>
      </c>
      <c r="P43" s="1180" t="s">
        <v>6527</v>
      </c>
      <c r="Q43" s="258" t="s">
        <v>6528</v>
      </c>
      <c r="R43" s="258" t="s">
        <v>3001</v>
      </c>
      <c r="S43" s="258" t="s">
        <v>6479</v>
      </c>
      <c r="T43" s="258" t="s">
        <v>6270</v>
      </c>
      <c r="U43" s="258" t="s">
        <v>6529</v>
      </c>
      <c r="V43" s="258" t="s">
        <v>6429</v>
      </c>
      <c r="W43" s="1181" t="s">
        <v>6531</v>
      </c>
      <c r="X43" s="1181" t="s">
        <v>5233</v>
      </c>
      <c r="Y43" s="1181" t="s">
        <v>350</v>
      </c>
      <c r="Z43" s="1181" t="s">
        <v>6532</v>
      </c>
      <c r="AA43" s="1181" t="s">
        <v>6533</v>
      </c>
      <c r="AB43" s="1181" t="s">
        <v>6534</v>
      </c>
      <c r="AC43" s="1181" t="s">
        <v>6535</v>
      </c>
      <c r="AD43" s="204" t="s">
        <v>6536</v>
      </c>
      <c r="AE43" s="204" t="s">
        <v>6537</v>
      </c>
      <c r="AF43" s="1182" t="s">
        <v>5277</v>
      </c>
      <c r="AG43" s="1182" t="s">
        <v>6538</v>
      </c>
      <c r="AH43" s="1182" t="s">
        <v>2869</v>
      </c>
      <c r="AI43" s="1182" t="s">
        <v>6539</v>
      </c>
      <c r="AJ43" s="1182" t="s">
        <v>6540</v>
      </c>
      <c r="AK43" s="1182" t="s">
        <v>6541</v>
      </c>
      <c r="AL43" s="1182" t="s">
        <v>6542</v>
      </c>
      <c r="AM43" s="277" t="s">
        <v>6308</v>
      </c>
      <c r="AN43" s="277" t="s">
        <v>6542</v>
      </c>
      <c r="AO43" s="277" t="s">
        <v>6185</v>
      </c>
      <c r="AP43" s="277" t="s">
        <v>6543</v>
      </c>
      <c r="AQ43" s="277" t="s">
        <v>6544</v>
      </c>
      <c r="AR43" s="277" t="s">
        <v>6545</v>
      </c>
      <c r="AS43" s="277" t="s">
        <v>6546</v>
      </c>
      <c r="AT43" s="1180" t="s">
        <v>6547</v>
      </c>
      <c r="AU43" s="1178" t="s">
        <v>6548</v>
      </c>
      <c r="AV43" s="825" t="str">
        <f t="shared" si="1"/>
        <v>2:54</v>
      </c>
      <c r="AW43" s="1179"/>
    </row>
    <row r="44">
      <c r="A44" s="1125" t="s">
        <v>6549</v>
      </c>
      <c r="B44" s="1120" t="s">
        <v>4964</v>
      </c>
      <c r="C44" s="1014">
        <v>0.050826388888888886</v>
      </c>
      <c r="D44" s="1087" t="s">
        <v>6550</v>
      </c>
      <c r="E44" s="1087" t="s">
        <v>754</v>
      </c>
      <c r="F44" s="1153" t="s">
        <v>6551</v>
      </c>
      <c r="G44" s="1087" t="s">
        <v>6552</v>
      </c>
      <c r="H44" s="1087" t="s">
        <v>6553</v>
      </c>
      <c r="I44" s="1087" t="s">
        <v>4091</v>
      </c>
      <c r="J44" s="1087" t="s">
        <v>6554</v>
      </c>
      <c r="K44" s="1087" t="s">
        <v>6555</v>
      </c>
      <c r="L44" s="1087" t="s">
        <v>6556</v>
      </c>
      <c r="M44" s="1087" t="s">
        <v>6557</v>
      </c>
      <c r="N44" s="1087" t="s">
        <v>349</v>
      </c>
      <c r="O44" s="1087" t="s">
        <v>6558</v>
      </c>
      <c r="P44" s="1087" t="s">
        <v>5883</v>
      </c>
      <c r="Q44" s="1087" t="s">
        <v>6559</v>
      </c>
      <c r="R44" s="1087" t="s">
        <v>6560</v>
      </c>
      <c r="S44" s="1087" t="s">
        <v>6561</v>
      </c>
      <c r="T44" s="1087" t="s">
        <v>5675</v>
      </c>
      <c r="U44" s="1087" t="s">
        <v>6562</v>
      </c>
      <c r="V44" s="1087" t="s">
        <v>6563</v>
      </c>
      <c r="W44" s="1087" t="s">
        <v>6564</v>
      </c>
      <c r="X44" s="1087" t="s">
        <v>6565</v>
      </c>
      <c r="Y44" s="1087" t="s">
        <v>6566</v>
      </c>
      <c r="Z44" s="1087" t="s">
        <v>6567</v>
      </c>
      <c r="AA44" s="223" t="s">
        <v>6568</v>
      </c>
      <c r="AB44" s="1087" t="s">
        <v>6045</v>
      </c>
      <c r="AC44" s="1087" t="s">
        <v>2798</v>
      </c>
      <c r="AD44" s="1087" t="s">
        <v>6569</v>
      </c>
      <c r="AE44" s="1087" t="s">
        <v>5655</v>
      </c>
      <c r="AF44" s="1087" t="s">
        <v>6570</v>
      </c>
      <c r="AG44" s="1087" t="s">
        <v>510</v>
      </c>
      <c r="AH44" s="1087" t="s">
        <v>6572</v>
      </c>
      <c r="AI44" s="1087" t="s">
        <v>6573</v>
      </c>
      <c r="AJ44" s="1087" t="s">
        <v>6574</v>
      </c>
      <c r="AK44" s="1087" t="s">
        <v>6437</v>
      </c>
      <c r="AL44" s="1087" t="s">
        <v>6575</v>
      </c>
      <c r="AM44" s="1087" t="s">
        <v>6437</v>
      </c>
      <c r="AN44" s="1087" t="s">
        <v>5076</v>
      </c>
      <c r="AO44" s="1087" t="s">
        <v>1829</v>
      </c>
      <c r="AP44" s="1087" t="s">
        <v>6576</v>
      </c>
      <c r="AQ44" s="1087" t="s">
        <v>6577</v>
      </c>
      <c r="AR44" s="1087" t="s">
        <v>6578</v>
      </c>
      <c r="AS44" s="1087" t="s">
        <v>6579</v>
      </c>
      <c r="AT44" s="1087" t="s">
        <v>6580</v>
      </c>
      <c r="AU44" s="1087" t="s">
        <v>6581</v>
      </c>
      <c r="AV44" s="825" t="str">
        <f t="shared" si="1"/>
        <v>2:25</v>
      </c>
      <c r="AW44" s="1148"/>
    </row>
    <row r="45" ht="15.75" customHeight="1">
      <c r="A45" s="1125" t="s">
        <v>6584</v>
      </c>
      <c r="B45" s="1013" t="s">
        <v>4964</v>
      </c>
      <c r="C45" s="1221">
        <v>0.050868055555555555</v>
      </c>
      <c r="D45" s="107" t="s">
        <v>6585</v>
      </c>
      <c r="E45" s="825" t="s">
        <v>2634</v>
      </c>
      <c r="F45" s="825" t="s">
        <v>6587</v>
      </c>
      <c r="G45" s="825" t="s">
        <v>6588</v>
      </c>
      <c r="H45" s="825" t="s">
        <v>6330</v>
      </c>
      <c r="I45" s="825" t="s">
        <v>4091</v>
      </c>
      <c r="J45" s="825" t="s">
        <v>6516</v>
      </c>
      <c r="K45" s="825" t="s">
        <v>5896</v>
      </c>
      <c r="L45" s="825" t="s">
        <v>5657</v>
      </c>
      <c r="M45" s="825" t="s">
        <v>6589</v>
      </c>
      <c r="N45" s="825" t="s">
        <v>2315</v>
      </c>
      <c r="O45" s="825" t="s">
        <v>6590</v>
      </c>
      <c r="P45" s="825" t="s">
        <v>1828</v>
      </c>
      <c r="Q45" s="825" t="s">
        <v>6591</v>
      </c>
      <c r="R45" s="825" t="s">
        <v>1460</v>
      </c>
      <c r="S45" s="825" t="s">
        <v>5630</v>
      </c>
      <c r="T45" s="825" t="s">
        <v>2127</v>
      </c>
      <c r="U45" s="825" t="s">
        <v>6593</v>
      </c>
      <c r="V45" s="825" t="s">
        <v>5962</v>
      </c>
      <c r="W45" s="825" t="s">
        <v>6594</v>
      </c>
      <c r="X45" s="825" t="s">
        <v>5969</v>
      </c>
      <c r="Y45" s="825" t="s">
        <v>6597</v>
      </c>
      <c r="Z45" s="825" t="s">
        <v>6598</v>
      </c>
      <c r="AA45" s="825" t="s">
        <v>6599</v>
      </c>
      <c r="AB45" s="825" t="s">
        <v>531</v>
      </c>
      <c r="AC45" s="825" t="s">
        <v>6600</v>
      </c>
      <c r="AD45" s="825" t="s">
        <v>6601</v>
      </c>
      <c r="AE45" s="825" t="s">
        <v>2225</v>
      </c>
      <c r="AF45" s="825" t="s">
        <v>6602</v>
      </c>
      <c r="AG45" s="825" t="s">
        <v>1296</v>
      </c>
      <c r="AH45" s="825" t="s">
        <v>5177</v>
      </c>
      <c r="AI45" s="825" t="s">
        <v>1943</v>
      </c>
      <c r="AJ45" s="825" t="s">
        <v>6603</v>
      </c>
      <c r="AK45" s="825" t="s">
        <v>6604</v>
      </c>
      <c r="AL45" s="825" t="s">
        <v>6605</v>
      </c>
      <c r="AM45" s="825" t="s">
        <v>6606</v>
      </c>
      <c r="AN45" s="825" t="s">
        <v>3482</v>
      </c>
      <c r="AO45" s="825" t="s">
        <v>5869</v>
      </c>
      <c r="AP45" s="825" t="s">
        <v>6608</v>
      </c>
      <c r="AQ45" s="825" t="s">
        <v>6609</v>
      </c>
      <c r="AR45" s="825" t="s">
        <v>5642</v>
      </c>
      <c r="AS45" s="825" t="s">
        <v>3883</v>
      </c>
      <c r="AT45" s="825" t="s">
        <v>6610</v>
      </c>
      <c r="AU45" s="825" t="s">
        <v>6611</v>
      </c>
      <c r="AV45" s="825" t="str">
        <f t="shared" si="1"/>
        <v>2:44</v>
      </c>
      <c r="AW45" s="1099"/>
    </row>
    <row r="46" ht="15.75" customHeight="1">
      <c r="A46" s="1125" t="s">
        <v>51</v>
      </c>
      <c r="B46" s="1232" t="s">
        <v>5043</v>
      </c>
      <c r="C46" s="1233">
        <v>0.05092592592592592</v>
      </c>
      <c r="D46" s="1234" t="s">
        <v>5044</v>
      </c>
      <c r="E46" s="1235" t="s">
        <v>5045</v>
      </c>
      <c r="F46" s="1234" t="s">
        <v>5046</v>
      </c>
      <c r="G46" s="1087" t="s">
        <v>6614</v>
      </c>
      <c r="H46" s="1234" t="s">
        <v>5048</v>
      </c>
      <c r="I46" s="825" t="s">
        <v>4786</v>
      </c>
      <c r="J46" s="204" t="s">
        <v>6615</v>
      </c>
      <c r="K46" s="825" t="s">
        <v>6267</v>
      </c>
      <c r="L46" s="204" t="s">
        <v>6616</v>
      </c>
      <c r="M46" s="825" t="s">
        <v>6266</v>
      </c>
      <c r="N46" s="1234" t="s">
        <v>4996</v>
      </c>
      <c r="O46" s="825" t="s">
        <v>6617</v>
      </c>
      <c r="P46" s="204" t="s">
        <v>2347</v>
      </c>
      <c r="Q46" s="1235" t="s">
        <v>5054</v>
      </c>
      <c r="R46" s="1234" t="s">
        <v>5057</v>
      </c>
      <c r="S46" s="825" t="s">
        <v>2428</v>
      </c>
      <c r="T46" s="204" t="s">
        <v>2938</v>
      </c>
      <c r="U46" s="1235" t="s">
        <v>5060</v>
      </c>
      <c r="V46" s="1234" t="s">
        <v>5061</v>
      </c>
      <c r="W46" s="825" t="s">
        <v>6618</v>
      </c>
      <c r="X46" s="1234" t="s">
        <v>5063</v>
      </c>
      <c r="Y46" s="825" t="s">
        <v>6619</v>
      </c>
      <c r="Z46" s="1153" t="s">
        <v>6620</v>
      </c>
      <c r="AA46" s="825" t="s">
        <v>6621</v>
      </c>
      <c r="AB46" s="204" t="s">
        <v>5723</v>
      </c>
      <c r="AC46" s="1087" t="s">
        <v>6622</v>
      </c>
      <c r="AD46" s="204" t="s">
        <v>6623</v>
      </c>
      <c r="AE46" s="1087" t="s">
        <v>6624</v>
      </c>
      <c r="AF46" s="204" t="s">
        <v>6626</v>
      </c>
      <c r="AG46" s="825" t="s">
        <v>5096</v>
      </c>
      <c r="AH46" s="1153" t="s">
        <v>6457</v>
      </c>
      <c r="AI46" s="1235" t="s">
        <v>5072</v>
      </c>
      <c r="AJ46" s="204" t="s">
        <v>6627</v>
      </c>
      <c r="AK46" s="825" t="s">
        <v>2382</v>
      </c>
      <c r="AL46" s="1234" t="s">
        <v>5074</v>
      </c>
      <c r="AM46" s="825" t="s">
        <v>5813</v>
      </c>
      <c r="AN46" s="204" t="s">
        <v>3696</v>
      </c>
      <c r="AO46" s="1087" t="s">
        <v>6629</v>
      </c>
      <c r="AP46" s="1153" t="s">
        <v>6630</v>
      </c>
      <c r="AQ46" s="1087" t="s">
        <v>6631</v>
      </c>
      <c r="AR46" s="1153" t="s">
        <v>6632</v>
      </c>
      <c r="AS46" s="825" t="s">
        <v>2404</v>
      </c>
      <c r="AT46" s="1234" t="s">
        <v>5082</v>
      </c>
      <c r="AU46" s="1087" t="s">
        <v>5083</v>
      </c>
      <c r="AV46" s="825" t="str">
        <f t="shared" si="1"/>
        <v>2:24</v>
      </c>
      <c r="AW46" s="1124"/>
    </row>
    <row r="47">
      <c r="A47" s="1125" t="s">
        <v>731</v>
      </c>
      <c r="B47" s="1126" t="s">
        <v>5005</v>
      </c>
      <c r="C47" s="1014">
        <v>0.05092592592592592</v>
      </c>
      <c r="D47" s="107" t="s">
        <v>6634</v>
      </c>
      <c r="E47" s="1153" t="s">
        <v>6635</v>
      </c>
      <c r="F47" s="1153" t="s">
        <v>6636</v>
      </c>
      <c r="G47" s="1153" t="s">
        <v>6637</v>
      </c>
      <c r="H47" s="312" t="s">
        <v>6638</v>
      </c>
      <c r="I47" s="312" t="s">
        <v>6639</v>
      </c>
      <c r="J47" s="1132" t="s">
        <v>4513</v>
      </c>
      <c r="K47" s="1132" t="s">
        <v>6640</v>
      </c>
      <c r="L47" s="1132" t="s">
        <v>1178</v>
      </c>
      <c r="M47" s="1132" t="s">
        <v>1240</v>
      </c>
      <c r="N47" s="1132" t="s">
        <v>3692</v>
      </c>
      <c r="O47" s="1132" t="s">
        <v>6641</v>
      </c>
      <c r="P47" s="1132" t="s">
        <v>3229</v>
      </c>
      <c r="Q47" s="256" t="s">
        <v>2847</v>
      </c>
      <c r="R47" s="256" t="s">
        <v>1578</v>
      </c>
      <c r="S47" s="256" t="s">
        <v>235</v>
      </c>
      <c r="T47" s="256" t="s">
        <v>6642</v>
      </c>
      <c r="U47" s="1238" t="s">
        <v>3154</v>
      </c>
      <c r="V47" s="256" t="s">
        <v>6645</v>
      </c>
      <c r="W47" s="223" t="s">
        <v>1256</v>
      </c>
      <c r="X47" s="223" t="s">
        <v>6646</v>
      </c>
      <c r="Y47" s="223" t="s">
        <v>6647</v>
      </c>
      <c r="Z47" s="223" t="s">
        <v>2651</v>
      </c>
      <c r="AA47" s="223" t="s">
        <v>6649</v>
      </c>
      <c r="AB47" s="223" t="s">
        <v>6650</v>
      </c>
      <c r="AC47" s="223" t="s">
        <v>6651</v>
      </c>
      <c r="AD47" s="1153" t="s">
        <v>6652</v>
      </c>
      <c r="AE47" s="1153" t="s">
        <v>6653</v>
      </c>
      <c r="AF47" s="1155" t="s">
        <v>6654</v>
      </c>
      <c r="AG47" s="1155" t="s">
        <v>6655</v>
      </c>
      <c r="AH47" s="1155" t="s">
        <v>6372</v>
      </c>
      <c r="AI47" s="1155" t="s">
        <v>6656</v>
      </c>
      <c r="AJ47" s="1139" t="s">
        <v>5031</v>
      </c>
      <c r="AK47" s="1155" t="s">
        <v>531</v>
      </c>
      <c r="AL47" s="1155" t="s">
        <v>6657</v>
      </c>
      <c r="AM47" s="1156" t="s">
        <v>6000</v>
      </c>
      <c r="AN47" s="1156" t="s">
        <v>6658</v>
      </c>
      <c r="AO47" s="1156" t="s">
        <v>6659</v>
      </c>
      <c r="AP47" s="1156" t="s">
        <v>6660</v>
      </c>
      <c r="AQ47" s="1156" t="s">
        <v>6661</v>
      </c>
      <c r="AR47" s="1156" t="s">
        <v>2830</v>
      </c>
      <c r="AS47" s="1156" t="s">
        <v>5035</v>
      </c>
      <c r="AT47" s="1132" t="s">
        <v>6662</v>
      </c>
      <c r="AU47" s="92" t="s">
        <v>6663</v>
      </c>
      <c r="AV47" s="825" t="str">
        <f t="shared" si="1"/>
        <v>4:25</v>
      </c>
      <c r="AW47" s="1119"/>
    </row>
    <row r="48">
      <c r="A48" s="1125" t="s">
        <v>52</v>
      </c>
      <c r="B48" s="1120" t="s">
        <v>4964</v>
      </c>
      <c r="C48" s="1014">
        <v>0.05096064814814815</v>
      </c>
      <c r="D48" s="137" t="s">
        <v>6664</v>
      </c>
      <c r="E48" s="124" t="s">
        <v>6666</v>
      </c>
      <c r="F48" s="1239" t="s">
        <v>6667</v>
      </c>
      <c r="G48" s="124" t="s">
        <v>6669</v>
      </c>
      <c r="H48" s="107" t="s">
        <v>6670</v>
      </c>
      <c r="I48" s="1240" t="s">
        <v>1279</v>
      </c>
      <c r="J48" s="124" t="s">
        <v>6673</v>
      </c>
      <c r="K48" s="124" t="s">
        <v>6673</v>
      </c>
      <c r="L48" s="124" t="s">
        <v>5720</v>
      </c>
      <c r="M48" s="124" t="s">
        <v>6674</v>
      </c>
      <c r="N48" s="124" t="s">
        <v>6675</v>
      </c>
      <c r="O48" s="124" t="s">
        <v>6676</v>
      </c>
      <c r="P48" s="124" t="s">
        <v>2693</v>
      </c>
      <c r="Q48" s="124" t="s">
        <v>6677</v>
      </c>
      <c r="R48" s="124" t="s">
        <v>6678</v>
      </c>
      <c r="S48" s="1017" t="s">
        <v>1093</v>
      </c>
      <c r="T48" s="124" t="s">
        <v>6680</v>
      </c>
      <c r="U48" s="124" t="s">
        <v>595</v>
      </c>
      <c r="V48" s="124" t="s">
        <v>6681</v>
      </c>
      <c r="W48" s="1239" t="s">
        <v>6682</v>
      </c>
      <c r="X48" s="124" t="s">
        <v>6683</v>
      </c>
      <c r="Y48" s="124" t="s">
        <v>2109</v>
      </c>
      <c r="Z48" s="124" t="s">
        <v>6684</v>
      </c>
      <c r="AA48" s="124" t="s">
        <v>6367</v>
      </c>
      <c r="AB48" s="124" t="s">
        <v>1103</v>
      </c>
      <c r="AC48" s="124" t="s">
        <v>4488</v>
      </c>
      <c r="AD48" s="124" t="s">
        <v>6685</v>
      </c>
      <c r="AE48" s="124" t="s">
        <v>5883</v>
      </c>
      <c r="AF48" s="124" t="s">
        <v>6686</v>
      </c>
      <c r="AG48" s="1239" t="s">
        <v>5852</v>
      </c>
      <c r="AH48" s="124" t="s">
        <v>6688</v>
      </c>
      <c r="AI48" s="124" t="s">
        <v>6689</v>
      </c>
      <c r="AJ48" s="124" t="s">
        <v>6690</v>
      </c>
      <c r="AK48" s="124" t="s">
        <v>6691</v>
      </c>
      <c r="AL48" s="124" t="s">
        <v>6692</v>
      </c>
      <c r="AM48" s="124" t="s">
        <v>6693</v>
      </c>
      <c r="AN48" s="124" t="s">
        <v>3451</v>
      </c>
      <c r="AO48" s="124" t="s">
        <v>6578</v>
      </c>
      <c r="AP48" s="124" t="s">
        <v>6694</v>
      </c>
      <c r="AQ48" s="124" t="s">
        <v>6695</v>
      </c>
      <c r="AR48" s="124" t="s">
        <v>6696</v>
      </c>
      <c r="AS48" s="124" t="s">
        <v>938</v>
      </c>
      <c r="AT48" s="1239" t="s">
        <v>6697</v>
      </c>
      <c r="AU48" s="124" t="s">
        <v>6700</v>
      </c>
      <c r="AV48" s="825" t="str">
        <f t="shared" si="1"/>
        <v>3:51</v>
      </c>
      <c r="AW48" s="1242" t="s">
        <v>6702</v>
      </c>
    </row>
    <row r="49" ht="15.75" customHeight="1">
      <c r="A49" s="1012" t="s">
        <v>6704</v>
      </c>
      <c r="B49" s="1158" t="s">
        <v>5005</v>
      </c>
      <c r="C49" s="1014">
        <v>0.05100810185185185</v>
      </c>
      <c r="D49" s="107" t="s">
        <v>6705</v>
      </c>
      <c r="E49" s="1153" t="s">
        <v>6706</v>
      </c>
      <c r="F49" s="1153" t="s">
        <v>6708</v>
      </c>
      <c r="G49" s="204" t="s">
        <v>6709</v>
      </c>
      <c r="H49" s="312" t="s">
        <v>6710</v>
      </c>
      <c r="I49" s="312" t="s">
        <v>4786</v>
      </c>
      <c r="J49" s="1132" t="s">
        <v>6578</v>
      </c>
      <c r="K49" s="1132" t="s">
        <v>6264</v>
      </c>
      <c r="L49" s="1132" t="s">
        <v>6711</v>
      </c>
      <c r="M49" s="1132" t="s">
        <v>4853</v>
      </c>
      <c r="N49" s="1132" t="s">
        <v>5138</v>
      </c>
      <c r="O49" s="1132" t="s">
        <v>5391</v>
      </c>
      <c r="P49" s="1132" t="s">
        <v>6712</v>
      </c>
      <c r="Q49" s="256" t="s">
        <v>6713</v>
      </c>
      <c r="R49" s="256" t="s">
        <v>5266</v>
      </c>
      <c r="S49" s="256" t="s">
        <v>2588</v>
      </c>
      <c r="T49" s="256" t="s">
        <v>6714</v>
      </c>
      <c r="U49" s="256" t="s">
        <v>6715</v>
      </c>
      <c r="V49" s="258" t="s">
        <v>4697</v>
      </c>
      <c r="W49" s="223" t="s">
        <v>6717</v>
      </c>
      <c r="X49" s="223" t="s">
        <v>6347</v>
      </c>
      <c r="Y49" s="223" t="s">
        <v>5900</v>
      </c>
      <c r="Z49" s="223" t="s">
        <v>2484</v>
      </c>
      <c r="AA49" s="223" t="s">
        <v>3204</v>
      </c>
      <c r="AB49" s="223" t="s">
        <v>2445</v>
      </c>
      <c r="AC49" s="1181" t="s">
        <v>2426</v>
      </c>
      <c r="AD49" s="1153" t="s">
        <v>6718</v>
      </c>
      <c r="AE49" s="204" t="s">
        <v>6719</v>
      </c>
      <c r="AF49" s="1155" t="s">
        <v>6720</v>
      </c>
      <c r="AG49" s="1155" t="s">
        <v>6721</v>
      </c>
      <c r="AH49" s="1155" t="s">
        <v>6723</v>
      </c>
      <c r="AI49" s="1155" t="s">
        <v>5788</v>
      </c>
      <c r="AJ49" s="1155" t="s">
        <v>6724</v>
      </c>
      <c r="AK49" s="1155" t="s">
        <v>6725</v>
      </c>
      <c r="AL49" s="1155" t="s">
        <v>6726</v>
      </c>
      <c r="AM49" s="1156" t="s">
        <v>6727</v>
      </c>
      <c r="AN49" s="1156" t="s">
        <v>2319</v>
      </c>
      <c r="AO49" s="1156" t="s">
        <v>6728</v>
      </c>
      <c r="AP49" s="1156" t="s">
        <v>6729</v>
      </c>
      <c r="AQ49" s="1156" t="s">
        <v>6661</v>
      </c>
      <c r="AR49" s="1156" t="s">
        <v>6730</v>
      </c>
      <c r="AS49" s="1156" t="s">
        <v>5342</v>
      </c>
      <c r="AT49" s="1132" t="s">
        <v>6731</v>
      </c>
      <c r="AU49" s="1112" t="s">
        <v>6732</v>
      </c>
      <c r="AV49" s="825" t="str">
        <f t="shared" si="1"/>
        <v>3:17</v>
      </c>
      <c r="AW49" s="1113" t="s">
        <v>6733</v>
      </c>
    </row>
    <row r="50" ht="15.75" customHeight="1">
      <c r="A50" s="1125" t="s">
        <v>49</v>
      </c>
      <c r="B50" s="1109" t="s">
        <v>5005</v>
      </c>
      <c r="C50" s="1014">
        <v>0.05112268518518519</v>
      </c>
      <c r="D50" s="1153" t="s">
        <v>6734</v>
      </c>
      <c r="E50" s="1153" t="s">
        <v>6735</v>
      </c>
      <c r="F50" s="1153" t="s">
        <v>6737</v>
      </c>
      <c r="G50" s="1153" t="s">
        <v>6738</v>
      </c>
      <c r="H50" s="107" t="s">
        <v>6739</v>
      </c>
      <c r="I50" s="312" t="s">
        <v>5713</v>
      </c>
      <c r="J50" s="1132" t="s">
        <v>5388</v>
      </c>
      <c r="K50" s="1132" t="s">
        <v>6740</v>
      </c>
      <c r="L50" s="1041" t="s">
        <v>2881</v>
      </c>
      <c r="M50" s="1132" t="s">
        <v>3984</v>
      </c>
      <c r="N50" s="1132" t="s">
        <v>6308</v>
      </c>
      <c r="O50" s="1132" t="s">
        <v>6742</v>
      </c>
      <c r="P50" s="1132" t="s">
        <v>5108</v>
      </c>
      <c r="Q50" s="256" t="s">
        <v>6743</v>
      </c>
      <c r="R50" s="1243" t="s">
        <v>6745</v>
      </c>
      <c r="S50" s="256" t="s">
        <v>1321</v>
      </c>
      <c r="T50" s="256" t="s">
        <v>6748</v>
      </c>
      <c r="U50" s="256" t="s">
        <v>6750</v>
      </c>
      <c r="V50" s="256" t="s">
        <v>6751</v>
      </c>
      <c r="W50" s="223" t="s">
        <v>6752</v>
      </c>
      <c r="X50" s="223" t="s">
        <v>6753</v>
      </c>
      <c r="Y50" s="1170" t="s">
        <v>2404</v>
      </c>
      <c r="Z50" s="223" t="s">
        <v>6754</v>
      </c>
      <c r="AA50" s="1087" t="s">
        <v>6755</v>
      </c>
      <c r="AB50" s="223" t="s">
        <v>1910</v>
      </c>
      <c r="AC50" s="223" t="s">
        <v>5168</v>
      </c>
      <c r="AD50" s="1153" t="s">
        <v>6756</v>
      </c>
      <c r="AE50" s="1153" t="s">
        <v>5068</v>
      </c>
      <c r="AF50" s="1155" t="s">
        <v>5415</v>
      </c>
      <c r="AG50" s="1155" t="s">
        <v>787</v>
      </c>
      <c r="AH50" s="1155" t="s">
        <v>1571</v>
      </c>
      <c r="AI50" s="1155" t="s">
        <v>6758</v>
      </c>
      <c r="AJ50" s="1155" t="s">
        <v>6759</v>
      </c>
      <c r="AK50" s="1155" t="s">
        <v>6760</v>
      </c>
      <c r="AL50" s="1155" t="s">
        <v>6761</v>
      </c>
      <c r="AM50" s="1156" t="s">
        <v>6762</v>
      </c>
      <c r="AN50" s="276" t="s">
        <v>6763</v>
      </c>
      <c r="AO50" s="1156" t="s">
        <v>6492</v>
      </c>
      <c r="AP50" s="1156" t="s">
        <v>6765</v>
      </c>
      <c r="AQ50" s="1156" t="s">
        <v>6766</v>
      </c>
      <c r="AR50" s="1156" t="s">
        <v>6767</v>
      </c>
      <c r="AS50" s="1156" t="s">
        <v>4274</v>
      </c>
      <c r="AT50" s="1132" t="s">
        <v>6768</v>
      </c>
      <c r="AU50" s="1112" t="s">
        <v>6769</v>
      </c>
      <c r="AV50" s="825" t="str">
        <f t="shared" si="1"/>
        <v>4:57</v>
      </c>
      <c r="AW50" s="1179"/>
    </row>
    <row r="51">
      <c r="A51" s="1125" t="s">
        <v>1514</v>
      </c>
      <c r="B51" s="1120" t="s">
        <v>5005</v>
      </c>
      <c r="C51" s="1014">
        <v>0.05112268518518519</v>
      </c>
      <c r="D51" s="1087" t="s">
        <v>6771</v>
      </c>
      <c r="E51" s="1087" t="s">
        <v>3082</v>
      </c>
      <c r="F51" s="1087" t="s">
        <v>6772</v>
      </c>
      <c r="G51" s="1197" t="s">
        <v>5008</v>
      </c>
      <c r="H51" s="107" t="s">
        <v>6773</v>
      </c>
      <c r="I51" s="1087" t="s">
        <v>3202</v>
      </c>
      <c r="J51" s="1087" t="s">
        <v>246</v>
      </c>
      <c r="K51" s="1087" t="s">
        <v>6774</v>
      </c>
      <c r="L51" s="1087" t="s">
        <v>4697</v>
      </c>
      <c r="M51" s="1087" t="s">
        <v>6775</v>
      </c>
      <c r="N51" s="1087" t="s">
        <v>5194</v>
      </c>
      <c r="O51" s="1087" t="s">
        <v>6776</v>
      </c>
      <c r="P51" s="1087" t="s">
        <v>6597</v>
      </c>
      <c r="Q51" s="1087" t="s">
        <v>6777</v>
      </c>
      <c r="R51" s="1087" t="s">
        <v>6778</v>
      </c>
      <c r="S51" s="1087" t="s">
        <v>6779</v>
      </c>
      <c r="T51" s="1087" t="s">
        <v>3515</v>
      </c>
      <c r="U51" s="256" t="s">
        <v>5825</v>
      </c>
      <c r="V51" s="1087" t="s">
        <v>6780</v>
      </c>
      <c r="W51" s="1087" t="s">
        <v>6781</v>
      </c>
      <c r="X51" s="1087" t="s">
        <v>2392</v>
      </c>
      <c r="Y51" s="1087" t="s">
        <v>6363</v>
      </c>
      <c r="Z51" s="1087" t="s">
        <v>5554</v>
      </c>
      <c r="AA51" s="223" t="s">
        <v>2202</v>
      </c>
      <c r="AB51" s="1087" t="s">
        <v>6783</v>
      </c>
      <c r="AC51" s="1087" t="s">
        <v>6653</v>
      </c>
      <c r="AD51" s="1087" t="s">
        <v>6784</v>
      </c>
      <c r="AE51" s="1087" t="s">
        <v>6597</v>
      </c>
      <c r="AF51" s="1087" t="s">
        <v>6785</v>
      </c>
      <c r="AG51" s="1087" t="s">
        <v>6786</v>
      </c>
      <c r="AH51" s="1087" t="s">
        <v>6787</v>
      </c>
      <c r="AI51" s="1087" t="s">
        <v>6788</v>
      </c>
      <c r="AJ51" s="1087" t="s">
        <v>6789</v>
      </c>
      <c r="AK51" s="1087" t="s">
        <v>5975</v>
      </c>
      <c r="AL51" s="1087" t="s">
        <v>6790</v>
      </c>
      <c r="AM51" s="1087" t="s">
        <v>6167</v>
      </c>
      <c r="AN51" s="1087" t="s">
        <v>6791</v>
      </c>
      <c r="AO51" s="1087" t="s">
        <v>3233</v>
      </c>
      <c r="AP51" s="1087" t="s">
        <v>6793</v>
      </c>
      <c r="AQ51" s="1087" t="s">
        <v>6794</v>
      </c>
      <c r="AR51" s="1087" t="s">
        <v>6795</v>
      </c>
      <c r="AS51" s="1087" t="s">
        <v>6566</v>
      </c>
      <c r="AT51" s="1087" t="s">
        <v>6796</v>
      </c>
      <c r="AU51" s="1087" t="s">
        <v>6797</v>
      </c>
      <c r="AV51" s="825" t="str">
        <f t="shared" si="1"/>
        <v>3:15</v>
      </c>
      <c r="AW51" s="154"/>
    </row>
    <row r="52" ht="15.75" customHeight="1">
      <c r="A52" s="1012" t="s">
        <v>102</v>
      </c>
      <c r="B52" s="1244" t="s">
        <v>4964</v>
      </c>
      <c r="C52" s="1014">
        <v>0.051180555555555556</v>
      </c>
      <c r="D52" s="107" t="s">
        <v>6798</v>
      </c>
      <c r="E52" s="1087" t="s">
        <v>6799</v>
      </c>
      <c r="F52" s="1087" t="s">
        <v>6800</v>
      </c>
      <c r="G52" s="1087" t="s">
        <v>6801</v>
      </c>
      <c r="H52" s="1087" t="s">
        <v>6802</v>
      </c>
      <c r="I52" s="1087" t="s">
        <v>4705</v>
      </c>
      <c r="J52" s="1087" t="s">
        <v>3771</v>
      </c>
      <c r="K52" s="1087" t="s">
        <v>2440</v>
      </c>
      <c r="L52" s="1087" t="s">
        <v>5400</v>
      </c>
      <c r="M52" s="1087" t="s">
        <v>6805</v>
      </c>
      <c r="N52" s="1087" t="s">
        <v>6806</v>
      </c>
      <c r="O52" s="1087" t="s">
        <v>6807</v>
      </c>
      <c r="P52" s="1087" t="s">
        <v>6808</v>
      </c>
      <c r="Q52" s="1087" t="s">
        <v>293</v>
      </c>
      <c r="R52" s="1087" t="s">
        <v>6809</v>
      </c>
      <c r="S52" s="1087" t="s">
        <v>3903</v>
      </c>
      <c r="T52" s="825" t="s">
        <v>6810</v>
      </c>
      <c r="U52" s="825" t="s">
        <v>6811</v>
      </c>
      <c r="V52" s="1087" t="s">
        <v>2617</v>
      </c>
      <c r="W52" s="1087" t="s">
        <v>6812</v>
      </c>
      <c r="X52" s="1087" t="s">
        <v>6813</v>
      </c>
      <c r="Y52" s="1087" t="s">
        <v>5883</v>
      </c>
      <c r="Z52" s="1087" t="s">
        <v>6814</v>
      </c>
      <c r="AA52" s="1087" t="s">
        <v>6815</v>
      </c>
      <c r="AB52" s="1087" t="s">
        <v>6816</v>
      </c>
      <c r="AC52" s="1087" t="s">
        <v>3584</v>
      </c>
      <c r="AD52" s="1087" t="s">
        <v>6718</v>
      </c>
      <c r="AE52" s="1087" t="s">
        <v>6817</v>
      </c>
      <c r="AF52" s="825" t="s">
        <v>6818</v>
      </c>
      <c r="AG52" s="1087" t="s">
        <v>1179</v>
      </c>
      <c r="AH52" s="1087" t="s">
        <v>6820</v>
      </c>
      <c r="AI52" s="1087" t="s">
        <v>6821</v>
      </c>
      <c r="AJ52" s="1087" t="s">
        <v>6822</v>
      </c>
      <c r="AK52" s="1087" t="s">
        <v>6823</v>
      </c>
      <c r="AL52" s="1087" t="s">
        <v>6824</v>
      </c>
      <c r="AM52" s="1087" t="s">
        <v>1814</v>
      </c>
      <c r="AN52" s="1087" t="s">
        <v>6197</v>
      </c>
      <c r="AO52" s="1096" t="str">
        <f>HYPERLINK("https://clips.twitch.tv/AltruisticEmpathicManateeDoritosChip","1:20.90")</f>
        <v>1:20.90</v>
      </c>
      <c r="AP52" s="1087" t="s">
        <v>6826</v>
      </c>
      <c r="AQ52" s="1087" t="s">
        <v>6827</v>
      </c>
      <c r="AR52" s="1087" t="s">
        <v>6828</v>
      </c>
      <c r="AS52" s="1087" t="s">
        <v>5180</v>
      </c>
      <c r="AT52" s="1087" t="s">
        <v>6829</v>
      </c>
      <c r="AU52" s="1087" t="s">
        <v>6830</v>
      </c>
      <c r="AV52" s="825" t="str">
        <f t="shared" si="1"/>
        <v>2:40</v>
      </c>
      <c r="AW52" s="1148" t="s">
        <v>6831</v>
      </c>
    </row>
    <row r="53" ht="15.75" customHeight="1">
      <c r="A53" s="1125" t="s">
        <v>6832</v>
      </c>
      <c r="B53" s="1232" t="s">
        <v>4964</v>
      </c>
      <c r="C53" s="1245">
        <v>0.05123738425925926</v>
      </c>
      <c r="D53" s="1153" t="s">
        <v>6833</v>
      </c>
      <c r="E53" s="1153" t="s">
        <v>6834</v>
      </c>
      <c r="F53" s="1153" t="s">
        <v>6835</v>
      </c>
      <c r="G53" s="1153" t="s">
        <v>5911</v>
      </c>
      <c r="H53" s="312" t="s">
        <v>6836</v>
      </c>
      <c r="I53" s="312" t="s">
        <v>6294</v>
      </c>
      <c r="J53" s="1132" t="s">
        <v>6264</v>
      </c>
      <c r="K53" s="1132" t="s">
        <v>6837</v>
      </c>
      <c r="L53" s="1132" t="s">
        <v>6838</v>
      </c>
      <c r="M53" s="1132" t="s">
        <v>5700</v>
      </c>
      <c r="N53" s="1246" t="s">
        <v>4373</v>
      </c>
      <c r="O53" s="1132" t="s">
        <v>6839</v>
      </c>
      <c r="P53" s="1132" t="s">
        <v>5276</v>
      </c>
      <c r="Q53" s="256" t="s">
        <v>6840</v>
      </c>
      <c r="R53" s="256" t="s">
        <v>6186</v>
      </c>
      <c r="S53" s="256" t="s">
        <v>6841</v>
      </c>
      <c r="T53" s="256" t="s">
        <v>6842</v>
      </c>
      <c r="U53" s="256" t="s">
        <v>6843</v>
      </c>
      <c r="V53" s="256" t="s">
        <v>6844</v>
      </c>
      <c r="W53" s="223" t="s">
        <v>6845</v>
      </c>
      <c r="X53" s="223" t="s">
        <v>6846</v>
      </c>
      <c r="Y53" s="223" t="s">
        <v>6847</v>
      </c>
      <c r="Z53" s="223" t="s">
        <v>414</v>
      </c>
      <c r="AA53" s="223" t="s">
        <v>5788</v>
      </c>
      <c r="AB53" s="223" t="s">
        <v>6428</v>
      </c>
      <c r="AC53" s="223" t="s">
        <v>1639</v>
      </c>
      <c r="AD53" s="1153" t="s">
        <v>6849</v>
      </c>
      <c r="AE53" s="1153" t="s">
        <v>5570</v>
      </c>
      <c r="AF53" s="1155" t="s">
        <v>6850</v>
      </c>
      <c r="AG53" s="1155" t="s">
        <v>6851</v>
      </c>
      <c r="AH53" s="1155" t="s">
        <v>6852</v>
      </c>
      <c r="AI53" s="1155" t="s">
        <v>933</v>
      </c>
      <c r="AJ53" s="1155" t="s">
        <v>6853</v>
      </c>
      <c r="AK53" s="1118" t="s">
        <v>6031</v>
      </c>
      <c r="AL53" s="1155" t="s">
        <v>5691</v>
      </c>
      <c r="AM53" s="1156" t="s">
        <v>6854</v>
      </c>
      <c r="AN53" s="1156" t="s">
        <v>1916</v>
      </c>
      <c r="AO53" s="1156" t="s">
        <v>6855</v>
      </c>
      <c r="AP53" s="1156" t="s">
        <v>6856</v>
      </c>
      <c r="AQ53" s="107" t="s">
        <v>6857</v>
      </c>
      <c r="AR53" s="1247" t="s">
        <v>6858</v>
      </c>
      <c r="AS53" s="1156" t="s">
        <v>6859</v>
      </c>
      <c r="AT53" s="1132" t="s">
        <v>6860</v>
      </c>
      <c r="AU53" s="1112" t="s">
        <v>6861</v>
      </c>
      <c r="AV53" s="825" t="str">
        <f t="shared" si="1"/>
        <v>3:45</v>
      </c>
      <c r="AW53" s="1113" t="s">
        <v>6862</v>
      </c>
    </row>
    <row r="54" ht="15.75" customHeight="1">
      <c r="A54" s="1125" t="s">
        <v>97</v>
      </c>
      <c r="B54" s="1248" t="s">
        <v>5043</v>
      </c>
      <c r="C54" s="1221">
        <v>0.051319444444444445</v>
      </c>
      <c r="D54" s="107" t="s">
        <v>6864</v>
      </c>
      <c r="E54" s="825" t="s">
        <v>6865</v>
      </c>
      <c r="F54" s="825" t="s">
        <v>6866</v>
      </c>
      <c r="G54" s="825" t="s">
        <v>6867</v>
      </c>
      <c r="H54" s="825" t="s">
        <v>6868</v>
      </c>
      <c r="I54" s="825" t="s">
        <v>2418</v>
      </c>
      <c r="J54" s="825" t="s">
        <v>6869</v>
      </c>
      <c r="K54" s="825" t="s">
        <v>5314</v>
      </c>
      <c r="L54" s="825" t="s">
        <v>6870</v>
      </c>
      <c r="M54" s="825" t="s">
        <v>6496</v>
      </c>
      <c r="N54" s="825" t="s">
        <v>6158</v>
      </c>
      <c r="O54" s="825" t="s">
        <v>6871</v>
      </c>
      <c r="P54" s="1249" t="s">
        <v>3706</v>
      </c>
      <c r="Q54" s="825" t="s">
        <v>6872</v>
      </c>
      <c r="R54" s="825" t="s">
        <v>6873</v>
      </c>
      <c r="S54" s="825" t="s">
        <v>4370</v>
      </c>
      <c r="T54" s="825" t="s">
        <v>6874</v>
      </c>
      <c r="U54" s="825" t="s">
        <v>4221</v>
      </c>
      <c r="V54" s="825" t="s">
        <v>1533</v>
      </c>
      <c r="W54" s="825" t="s">
        <v>6875</v>
      </c>
      <c r="X54" s="825" t="s">
        <v>921</v>
      </c>
      <c r="Y54" s="825" t="s">
        <v>6876</v>
      </c>
      <c r="Z54" s="825" t="s">
        <v>1841</v>
      </c>
      <c r="AA54" s="825" t="s">
        <v>6539</v>
      </c>
      <c r="AB54" s="825" t="s">
        <v>5791</v>
      </c>
      <c r="AC54" s="825" t="s">
        <v>6877</v>
      </c>
      <c r="AD54" s="825" t="s">
        <v>6878</v>
      </c>
      <c r="AE54" s="1249" t="s">
        <v>5068</v>
      </c>
      <c r="AF54" s="1249" t="s">
        <v>5069</v>
      </c>
      <c r="AG54" s="825" t="s">
        <v>6880</v>
      </c>
      <c r="AH54" s="825" t="s">
        <v>6881</v>
      </c>
      <c r="AI54" s="825" t="s">
        <v>6882</v>
      </c>
      <c r="AJ54" s="825" t="s">
        <v>6883</v>
      </c>
      <c r="AK54" s="825" t="s">
        <v>2951</v>
      </c>
      <c r="AL54" s="825" t="s">
        <v>6884</v>
      </c>
      <c r="AM54" s="1249" t="s">
        <v>5075</v>
      </c>
      <c r="AN54" s="1087" t="s">
        <v>6083</v>
      </c>
      <c r="AO54" s="825" t="s">
        <v>6885</v>
      </c>
      <c r="AP54" s="825" t="s">
        <v>6886</v>
      </c>
      <c r="AQ54" s="825" t="s">
        <v>6887</v>
      </c>
      <c r="AR54" s="825" t="s">
        <v>5984</v>
      </c>
      <c r="AS54" s="825" t="s">
        <v>818</v>
      </c>
      <c r="AT54" s="825" t="s">
        <v>6888</v>
      </c>
      <c r="AU54" s="825" t="s">
        <v>6889</v>
      </c>
      <c r="AV54" s="825" t="str">
        <f t="shared" si="1"/>
        <v>3:15</v>
      </c>
      <c r="AW54" s="1148" t="s">
        <v>6890</v>
      </c>
    </row>
    <row r="55">
      <c r="A55" s="1125" t="s">
        <v>6891</v>
      </c>
      <c r="B55" s="1109" t="s">
        <v>4964</v>
      </c>
      <c r="C55" s="1014">
        <v>0.05133101851851852</v>
      </c>
      <c r="D55" s="1230" t="s">
        <v>6892</v>
      </c>
      <c r="E55" s="1153" t="s">
        <v>6893</v>
      </c>
      <c r="F55" s="1153" t="s">
        <v>6894</v>
      </c>
      <c r="G55" s="1153" t="s">
        <v>6895</v>
      </c>
      <c r="H55" s="312" t="s">
        <v>6896</v>
      </c>
      <c r="I55" s="312" t="s">
        <v>6535</v>
      </c>
      <c r="J55" s="1132" t="s">
        <v>6897</v>
      </c>
      <c r="K55" s="1132" t="s">
        <v>6898</v>
      </c>
      <c r="L55" s="1132" t="s">
        <v>2635</v>
      </c>
      <c r="M55" s="1132" t="s">
        <v>6899</v>
      </c>
      <c r="N55" s="1132" t="s">
        <v>5567</v>
      </c>
      <c r="O55" s="1132" t="s">
        <v>6900</v>
      </c>
      <c r="P55" s="1132" t="s">
        <v>5397</v>
      </c>
      <c r="Q55" s="256" t="s">
        <v>6902</v>
      </c>
      <c r="R55" s="256" t="s">
        <v>6560</v>
      </c>
      <c r="S55" s="256" t="s">
        <v>3591</v>
      </c>
      <c r="T55" s="256" t="s">
        <v>6568</v>
      </c>
      <c r="U55" s="256" t="s">
        <v>6903</v>
      </c>
      <c r="V55" s="256" t="s">
        <v>6228</v>
      </c>
      <c r="W55" s="223" t="s">
        <v>3454</v>
      </c>
      <c r="X55" s="223" t="s">
        <v>6904</v>
      </c>
      <c r="Y55" s="223" t="s">
        <v>5394</v>
      </c>
      <c r="Z55" s="223" t="s">
        <v>4910</v>
      </c>
      <c r="AA55" s="223" t="s">
        <v>6906</v>
      </c>
      <c r="AB55" s="223" t="s">
        <v>6907</v>
      </c>
      <c r="AC55" s="223" t="s">
        <v>743</v>
      </c>
      <c r="AD55" s="1153" t="s">
        <v>5893</v>
      </c>
      <c r="AE55" s="1153" t="s">
        <v>5394</v>
      </c>
      <c r="AF55" s="1155" t="s">
        <v>6909</v>
      </c>
      <c r="AG55" s="1155" t="s">
        <v>3606</v>
      </c>
      <c r="AH55" s="1155" t="s">
        <v>6910</v>
      </c>
      <c r="AI55" s="1155" t="s">
        <v>6911</v>
      </c>
      <c r="AJ55" s="1155" t="s">
        <v>6912</v>
      </c>
      <c r="AK55" s="1155" t="s">
        <v>6813</v>
      </c>
      <c r="AL55" s="1155" t="s">
        <v>6913</v>
      </c>
      <c r="AM55" s="1156" t="s">
        <v>5936</v>
      </c>
      <c r="AN55" s="1156" t="s">
        <v>6914</v>
      </c>
      <c r="AO55" s="1156" t="s">
        <v>6915</v>
      </c>
      <c r="AP55" s="1156" t="s">
        <v>6916</v>
      </c>
      <c r="AQ55" s="1156" t="s">
        <v>6285</v>
      </c>
      <c r="AR55" s="1156" t="s">
        <v>6917</v>
      </c>
      <c r="AS55" s="1156" t="s">
        <v>4977</v>
      </c>
      <c r="AT55" s="1132" t="s">
        <v>6919</v>
      </c>
      <c r="AU55" s="1112" t="s">
        <v>6920</v>
      </c>
      <c r="AV55" s="825" t="str">
        <f t="shared" si="1"/>
        <v>1:34</v>
      </c>
      <c r="AW55" s="1179"/>
    </row>
    <row r="56">
      <c r="A56" s="1125" t="s">
        <v>2596</v>
      </c>
      <c r="B56" s="1109" t="s">
        <v>4964</v>
      </c>
      <c r="C56" s="1014">
        <v>0.05134259259259259</v>
      </c>
      <c r="D56" s="1153" t="s">
        <v>6922</v>
      </c>
      <c r="E56" s="1153" t="s">
        <v>5260</v>
      </c>
      <c r="F56" s="1153" t="s">
        <v>3660</v>
      </c>
      <c r="G56" s="1153" t="s">
        <v>6923</v>
      </c>
      <c r="H56" s="1153" t="s">
        <v>6924</v>
      </c>
      <c r="I56" s="1153" t="s">
        <v>4091</v>
      </c>
      <c r="J56" s="1132" t="s">
        <v>5426</v>
      </c>
      <c r="K56" s="1132" t="s">
        <v>5438</v>
      </c>
      <c r="L56" s="1132" t="s">
        <v>6925</v>
      </c>
      <c r="M56" s="1132" t="s">
        <v>3680</v>
      </c>
      <c r="N56" s="1132" t="s">
        <v>6926</v>
      </c>
      <c r="O56" s="1132" t="s">
        <v>6927</v>
      </c>
      <c r="P56" s="1132" t="s">
        <v>5697</v>
      </c>
      <c r="Q56" s="256" t="s">
        <v>6928</v>
      </c>
      <c r="R56" s="256" t="s">
        <v>976</v>
      </c>
      <c r="S56" s="256" t="s">
        <v>6929</v>
      </c>
      <c r="T56" s="256" t="s">
        <v>6930</v>
      </c>
      <c r="U56" s="256" t="s">
        <v>6750</v>
      </c>
      <c r="V56" s="256" t="s">
        <v>6931</v>
      </c>
      <c r="W56" s="223" t="s">
        <v>6932</v>
      </c>
      <c r="X56" s="223" t="s">
        <v>5072</v>
      </c>
      <c r="Y56" s="223" t="s">
        <v>6301</v>
      </c>
      <c r="Z56" s="223" t="s">
        <v>2280</v>
      </c>
      <c r="AA56" s="1087" t="s">
        <v>2074</v>
      </c>
      <c r="AB56" s="223" t="s">
        <v>6933</v>
      </c>
      <c r="AC56" s="223" t="s">
        <v>6091</v>
      </c>
      <c r="AD56" s="1153" t="s">
        <v>6934</v>
      </c>
      <c r="AE56" s="1153" t="s">
        <v>6935</v>
      </c>
      <c r="AF56" s="1155" t="s">
        <v>6936</v>
      </c>
      <c r="AG56" s="1155" t="s">
        <v>6937</v>
      </c>
      <c r="AH56" s="1155" t="s">
        <v>6938</v>
      </c>
      <c r="AI56" s="1155" t="s">
        <v>1394</v>
      </c>
      <c r="AJ56" s="1155" t="s">
        <v>6939</v>
      </c>
      <c r="AK56" s="1155" t="s">
        <v>6940</v>
      </c>
      <c r="AL56" s="1155" t="s">
        <v>6942</v>
      </c>
      <c r="AM56" s="1156" t="s">
        <v>6943</v>
      </c>
      <c r="AN56" s="1156" t="s">
        <v>6150</v>
      </c>
      <c r="AO56" s="1156" t="s">
        <v>6944</v>
      </c>
      <c r="AP56" s="1156" t="s">
        <v>6945</v>
      </c>
      <c r="AQ56" s="1156" t="s">
        <v>6285</v>
      </c>
      <c r="AR56" s="1156" t="s">
        <v>5693</v>
      </c>
      <c r="AS56" s="1156" t="s">
        <v>6037</v>
      </c>
      <c r="AT56" s="1132" t="s">
        <v>6946</v>
      </c>
      <c r="AU56" s="1112" t="s">
        <v>6797</v>
      </c>
      <c r="AV56" s="825" t="str">
        <f t="shared" si="1"/>
        <v>2:56</v>
      </c>
      <c r="AW56" s="1113" t="s">
        <v>6947</v>
      </c>
    </row>
    <row r="57" ht="15.75" customHeight="1">
      <c r="A57" s="1084" t="s">
        <v>687</v>
      </c>
      <c r="B57" s="1248" t="s">
        <v>5043</v>
      </c>
      <c r="C57" s="1221">
        <v>0.05134259259259259</v>
      </c>
      <c r="D57" s="107" t="s">
        <v>6948</v>
      </c>
      <c r="E57" s="204" t="s">
        <v>6949</v>
      </c>
      <c r="F57" s="204" t="s">
        <v>3660</v>
      </c>
      <c r="G57" s="204" t="s">
        <v>6950</v>
      </c>
      <c r="H57" s="313" t="s">
        <v>6951</v>
      </c>
      <c r="I57" s="1250" t="s">
        <v>1063</v>
      </c>
      <c r="J57" s="1180" t="s">
        <v>6953</v>
      </c>
      <c r="K57" s="1180" t="s">
        <v>6319</v>
      </c>
      <c r="L57" s="1251" t="s">
        <v>5051</v>
      </c>
      <c r="M57" s="1180" t="s">
        <v>5386</v>
      </c>
      <c r="N57" s="1180" t="s">
        <v>3237</v>
      </c>
      <c r="O57" s="1251" t="s">
        <v>5053</v>
      </c>
      <c r="P57" s="1180" t="s">
        <v>1182</v>
      </c>
      <c r="Q57" s="258" t="s">
        <v>6954</v>
      </c>
      <c r="R57" s="258" t="s">
        <v>5355</v>
      </c>
      <c r="S57" s="258" t="s">
        <v>6955</v>
      </c>
      <c r="T57" s="1253" t="s">
        <v>5059</v>
      </c>
      <c r="U57" s="258" t="s">
        <v>6957</v>
      </c>
      <c r="V57" s="258" t="s">
        <v>6958</v>
      </c>
      <c r="W57" s="1255" t="s">
        <v>5062</v>
      </c>
      <c r="X57" s="1181" t="s">
        <v>6959</v>
      </c>
      <c r="Y57" s="1181" t="s">
        <v>2418</v>
      </c>
      <c r="Z57" s="1181" t="s">
        <v>2738</v>
      </c>
      <c r="AA57" s="1181" t="s">
        <v>6031</v>
      </c>
      <c r="AB57" s="1255" t="s">
        <v>5066</v>
      </c>
      <c r="AC57" s="1181" t="s">
        <v>382</v>
      </c>
      <c r="AD57" s="1156" t="s">
        <v>6960</v>
      </c>
      <c r="AE57" s="204" t="s">
        <v>6961</v>
      </c>
      <c r="AF57" s="1182" t="s">
        <v>6962</v>
      </c>
      <c r="AG57" s="1182" t="s">
        <v>6963</v>
      </c>
      <c r="AH57" s="1182" t="s">
        <v>6964</v>
      </c>
      <c r="AI57" s="1182" t="s">
        <v>6965</v>
      </c>
      <c r="AJ57" s="1182" t="s">
        <v>6966</v>
      </c>
      <c r="AK57" s="1256" t="s">
        <v>3768</v>
      </c>
      <c r="AL57" s="1182" t="s">
        <v>1498</v>
      </c>
      <c r="AM57" s="277" t="s">
        <v>6786</v>
      </c>
      <c r="AN57" s="1156" t="s">
        <v>6967</v>
      </c>
      <c r="AO57" s="277" t="s">
        <v>6968</v>
      </c>
      <c r="AP57" s="277" t="s">
        <v>6969</v>
      </c>
      <c r="AQ57" s="277" t="s">
        <v>6970</v>
      </c>
      <c r="AR57" s="277" t="s">
        <v>6971</v>
      </c>
      <c r="AS57" s="277" t="s">
        <v>2399</v>
      </c>
      <c r="AT57" s="1180" t="s">
        <v>6972</v>
      </c>
      <c r="AU57" s="1178" t="s">
        <v>6973</v>
      </c>
      <c r="AV57" s="825" t="str">
        <f t="shared" si="1"/>
        <v>1:58</v>
      </c>
      <c r="AW57" s="1179"/>
    </row>
    <row r="58" ht="15.75" customHeight="1">
      <c r="A58" s="1012" t="s">
        <v>6974</v>
      </c>
      <c r="B58" s="1013" t="s">
        <v>4964</v>
      </c>
      <c r="C58" s="1221">
        <v>0.05134259259259259</v>
      </c>
      <c r="D58" s="107" t="s">
        <v>6975</v>
      </c>
      <c r="E58" s="825" t="s">
        <v>6976</v>
      </c>
      <c r="F58" s="825" t="s">
        <v>6977</v>
      </c>
      <c r="G58" s="825" t="s">
        <v>2880</v>
      </c>
      <c r="H58" s="825" t="s">
        <v>5550</v>
      </c>
      <c r="I58" s="825" t="s">
        <v>3072</v>
      </c>
      <c r="J58" s="825" t="s">
        <v>6978</v>
      </c>
      <c r="K58" s="825" t="s">
        <v>6555</v>
      </c>
      <c r="L58" s="825" t="s">
        <v>6979</v>
      </c>
      <c r="M58" s="825" t="s">
        <v>6980</v>
      </c>
      <c r="N58" s="825" t="s">
        <v>2557</v>
      </c>
      <c r="O58" s="825" t="s">
        <v>6981</v>
      </c>
      <c r="P58" s="825" t="s">
        <v>4088</v>
      </c>
      <c r="Q58" s="825" t="s">
        <v>6982</v>
      </c>
      <c r="R58" s="825" t="s">
        <v>6560</v>
      </c>
      <c r="S58" s="825" t="s">
        <v>2681</v>
      </c>
      <c r="T58" s="825" t="s">
        <v>6983</v>
      </c>
      <c r="U58" s="825" t="s">
        <v>6984</v>
      </c>
      <c r="V58" s="825" t="s">
        <v>5929</v>
      </c>
      <c r="W58" s="825" t="s">
        <v>6985</v>
      </c>
      <c r="X58" s="825" t="s">
        <v>6986</v>
      </c>
      <c r="Y58" s="825" t="s">
        <v>1182</v>
      </c>
      <c r="Z58" s="825" t="s">
        <v>2588</v>
      </c>
      <c r="AA58" s="825" t="s">
        <v>6277</v>
      </c>
      <c r="AB58" s="825" t="s">
        <v>5242</v>
      </c>
      <c r="AC58" s="825" t="s">
        <v>3584</v>
      </c>
      <c r="AD58" s="825" t="s">
        <v>6987</v>
      </c>
      <c r="AE58" s="825" t="s">
        <v>1182</v>
      </c>
      <c r="AF58" s="825" t="s">
        <v>6988</v>
      </c>
      <c r="AG58" s="825" t="s">
        <v>6989</v>
      </c>
      <c r="AH58" s="825" t="s">
        <v>6990</v>
      </c>
      <c r="AI58" s="825" t="s">
        <v>6991</v>
      </c>
      <c r="AJ58" s="825" t="s">
        <v>6912</v>
      </c>
      <c r="AK58" s="825" t="s">
        <v>1554</v>
      </c>
      <c r="AL58" s="825" t="s">
        <v>6992</v>
      </c>
      <c r="AM58" s="825" t="s">
        <v>6993</v>
      </c>
      <c r="AN58" s="825" t="s">
        <v>6995</v>
      </c>
      <c r="AO58" s="825" t="s">
        <v>5555</v>
      </c>
      <c r="AP58" s="825" t="s">
        <v>6996</v>
      </c>
      <c r="AQ58" s="825" t="s">
        <v>6997</v>
      </c>
      <c r="AR58" s="825" t="s">
        <v>6998</v>
      </c>
      <c r="AS58" s="277" t="s">
        <v>2755</v>
      </c>
      <c r="AT58" s="825" t="s">
        <v>6999</v>
      </c>
      <c r="AU58" s="825" t="s">
        <v>5828</v>
      </c>
      <c r="AV58" s="825" t="str">
        <f t="shared" si="1"/>
        <v>2:27</v>
      </c>
      <c r="AW58" s="1148"/>
    </row>
    <row r="59" ht="15.75" customHeight="1">
      <c r="A59" s="1125" t="s">
        <v>4665</v>
      </c>
      <c r="B59" s="1120" t="s">
        <v>5043</v>
      </c>
      <c r="C59" s="1014">
        <v>0.05140046296296296</v>
      </c>
      <c r="D59" s="1087" t="s">
        <v>7000</v>
      </c>
      <c r="E59" s="1087" t="s">
        <v>6905</v>
      </c>
      <c r="F59" s="1087" t="s">
        <v>7001</v>
      </c>
      <c r="G59" s="1235" t="s">
        <v>5047</v>
      </c>
      <c r="H59" s="107" t="s">
        <v>7002</v>
      </c>
      <c r="I59" s="1087" t="s">
        <v>5487</v>
      </c>
      <c r="J59" s="1235" t="s">
        <v>5049</v>
      </c>
      <c r="K59" s="1087" t="s">
        <v>2499</v>
      </c>
      <c r="L59" s="1087" t="s">
        <v>7003</v>
      </c>
      <c r="M59" s="1235" t="s">
        <v>5052</v>
      </c>
      <c r="N59" s="1087" t="s">
        <v>7004</v>
      </c>
      <c r="O59" s="1087" t="s">
        <v>7006</v>
      </c>
      <c r="P59" s="1087" t="s">
        <v>4293</v>
      </c>
      <c r="Q59" s="1087" t="s">
        <v>6743</v>
      </c>
      <c r="R59" s="1087" t="s">
        <v>7007</v>
      </c>
      <c r="S59" s="1087" t="s">
        <v>5033</v>
      </c>
      <c r="T59" s="1087" t="s">
        <v>7008</v>
      </c>
      <c r="U59" s="1087" t="s">
        <v>6587</v>
      </c>
      <c r="V59" s="1087" t="s">
        <v>7009</v>
      </c>
      <c r="W59" s="1087" t="s">
        <v>7010</v>
      </c>
      <c r="X59" s="1087" t="s">
        <v>2291</v>
      </c>
      <c r="Y59" s="1087" t="s">
        <v>7011</v>
      </c>
      <c r="Z59" s="1087" t="s">
        <v>7012</v>
      </c>
      <c r="AA59" s="1258" t="s">
        <v>5065</v>
      </c>
      <c r="AB59" s="1087" t="s">
        <v>7013</v>
      </c>
      <c r="AC59" s="1087" t="s">
        <v>7014</v>
      </c>
      <c r="AD59" s="1087" t="s">
        <v>5802</v>
      </c>
      <c r="AE59" s="1087" t="s">
        <v>4094</v>
      </c>
      <c r="AF59" s="1087" t="s">
        <v>7016</v>
      </c>
      <c r="AG59" s="1235" t="s">
        <v>5070</v>
      </c>
      <c r="AH59" s="1235" t="s">
        <v>5071</v>
      </c>
      <c r="AI59" s="1087" t="s">
        <v>7017</v>
      </c>
      <c r="AJ59" s="1087" t="s">
        <v>7018</v>
      </c>
      <c r="AK59" s="1087" t="s">
        <v>2630</v>
      </c>
      <c r="AL59" s="1087" t="s">
        <v>6572</v>
      </c>
      <c r="AM59" s="1087" t="s">
        <v>7019</v>
      </c>
      <c r="AN59" s="1087" t="s">
        <v>3701</v>
      </c>
      <c r="AO59" s="1235" t="s">
        <v>5078</v>
      </c>
      <c r="AP59" s="1260" t="s">
        <v>5079</v>
      </c>
      <c r="AQ59" s="1087" t="s">
        <v>7020</v>
      </c>
      <c r="AR59" s="1087" t="s">
        <v>5197</v>
      </c>
      <c r="AS59" s="1087" t="s">
        <v>6049</v>
      </c>
      <c r="AT59" s="1087" t="s">
        <v>7021</v>
      </c>
      <c r="AU59" s="1087" t="s">
        <v>5828</v>
      </c>
      <c r="AV59" s="825" t="str">
        <f t="shared" si="1"/>
        <v>2:22</v>
      </c>
      <c r="AW59" s="1124" t="s">
        <v>7023</v>
      </c>
    </row>
    <row r="60" ht="15.75" customHeight="1">
      <c r="A60" s="1125" t="s">
        <v>59</v>
      </c>
      <c r="B60" s="1109" t="s">
        <v>4964</v>
      </c>
      <c r="C60" s="1014">
        <v>0.05153935185185185</v>
      </c>
      <c r="D60" s="124" t="s">
        <v>7024</v>
      </c>
      <c r="E60" s="124" t="s">
        <v>3675</v>
      </c>
      <c r="F60" s="124" t="s">
        <v>7025</v>
      </c>
      <c r="G60" s="124" t="s">
        <v>7026</v>
      </c>
      <c r="H60" s="107" t="s">
        <v>7027</v>
      </c>
      <c r="I60" s="124" t="s">
        <v>4091</v>
      </c>
      <c r="J60" s="124" t="s">
        <v>7028</v>
      </c>
      <c r="K60" s="124" t="s">
        <v>7029</v>
      </c>
      <c r="L60" s="124" t="s">
        <v>6844</v>
      </c>
      <c r="M60" s="124" t="s">
        <v>859</v>
      </c>
      <c r="N60" s="124" t="s">
        <v>7030</v>
      </c>
      <c r="O60" s="124" t="s">
        <v>7031</v>
      </c>
      <c r="P60" s="124" t="s">
        <v>6363</v>
      </c>
      <c r="Q60" s="124" t="s">
        <v>7032</v>
      </c>
      <c r="R60" s="124" t="s">
        <v>5266</v>
      </c>
      <c r="S60" s="1263" t="s">
        <v>6491</v>
      </c>
      <c r="T60" s="124" t="s">
        <v>6196</v>
      </c>
      <c r="U60" s="124" t="s">
        <v>7033</v>
      </c>
      <c r="V60" s="124" t="s">
        <v>5669</v>
      </c>
      <c r="W60" s="124" t="s">
        <v>7034</v>
      </c>
      <c r="X60" s="124" t="s">
        <v>7035</v>
      </c>
      <c r="Y60" s="124" t="s">
        <v>6095</v>
      </c>
      <c r="Z60" s="124" t="s">
        <v>1794</v>
      </c>
      <c r="AA60" s="124" t="s">
        <v>4012</v>
      </c>
      <c r="AB60" s="124" t="s">
        <v>7036</v>
      </c>
      <c r="AC60" s="124" t="s">
        <v>7014</v>
      </c>
      <c r="AD60" s="124" t="s">
        <v>7037</v>
      </c>
      <c r="AE60" s="124" t="s">
        <v>5655</v>
      </c>
      <c r="AF60" s="1041" t="s">
        <v>7038</v>
      </c>
      <c r="AG60" s="124" t="s">
        <v>7040</v>
      </c>
      <c r="AH60" s="124" t="s">
        <v>7041</v>
      </c>
      <c r="AI60" s="124" t="s">
        <v>7042</v>
      </c>
      <c r="AJ60" s="124" t="s">
        <v>7043</v>
      </c>
      <c r="AK60" s="124" t="s">
        <v>6314</v>
      </c>
      <c r="AL60" s="124" t="s">
        <v>6790</v>
      </c>
      <c r="AM60" s="124" t="s">
        <v>7017</v>
      </c>
      <c r="AN60" s="124" t="s">
        <v>7045</v>
      </c>
      <c r="AO60" s="124" t="s">
        <v>2566</v>
      </c>
      <c r="AP60" s="1263" t="s">
        <v>6660</v>
      </c>
      <c r="AQ60" s="124" t="s">
        <v>7046</v>
      </c>
      <c r="AR60" s="124" t="s">
        <v>5426</v>
      </c>
      <c r="AS60" s="124" t="s">
        <v>5180</v>
      </c>
      <c r="AT60" s="124" t="s">
        <v>7047</v>
      </c>
      <c r="AU60" s="124" t="s">
        <v>7048</v>
      </c>
      <c r="AV60" s="825" t="str">
        <f t="shared" si="1"/>
        <v>2:41</v>
      </c>
      <c r="AW60" s="1264" t="s">
        <v>7049</v>
      </c>
    </row>
    <row r="61" ht="15.75" customHeight="1">
      <c r="A61" s="1012" t="s">
        <v>75</v>
      </c>
      <c r="B61" s="1013" t="s">
        <v>4964</v>
      </c>
      <c r="C61" s="1014">
        <v>0.05157407407407407</v>
      </c>
      <c r="D61" s="107" t="s">
        <v>7050</v>
      </c>
      <c r="E61" s="1153" t="s">
        <v>7051</v>
      </c>
      <c r="F61" s="1153" t="s">
        <v>7052</v>
      </c>
      <c r="G61" s="204" t="s">
        <v>6292</v>
      </c>
      <c r="H61" s="313" t="s">
        <v>7053</v>
      </c>
      <c r="I61" s="313" t="s">
        <v>7054</v>
      </c>
      <c r="J61" s="1180" t="s">
        <v>5328</v>
      </c>
      <c r="K61" s="1180" t="s">
        <v>6524</v>
      </c>
      <c r="L61" s="1180" t="s">
        <v>7055</v>
      </c>
      <c r="M61" s="1180" t="s">
        <v>6557</v>
      </c>
      <c r="N61" s="1180" t="s">
        <v>4480</v>
      </c>
      <c r="O61" s="1180" t="s">
        <v>7010</v>
      </c>
      <c r="P61" s="1180" t="s">
        <v>7056</v>
      </c>
      <c r="Q61" s="258" t="s">
        <v>7057</v>
      </c>
      <c r="R61" s="258" t="s">
        <v>7058</v>
      </c>
      <c r="S61" s="258" t="s">
        <v>7059</v>
      </c>
      <c r="T61" s="258" t="s">
        <v>1814</v>
      </c>
      <c r="U61" s="258" t="s">
        <v>1131</v>
      </c>
      <c r="V61" s="258" t="s">
        <v>7060</v>
      </c>
      <c r="W61" s="1181" t="s">
        <v>7061</v>
      </c>
      <c r="X61" s="1181" t="s">
        <v>7062</v>
      </c>
      <c r="Y61" s="1181" t="s">
        <v>6876</v>
      </c>
      <c r="Z61" s="1181" t="s">
        <v>5066</v>
      </c>
      <c r="AA61" s="1181" t="s">
        <v>6788</v>
      </c>
      <c r="AB61" s="1181" t="s">
        <v>1103</v>
      </c>
      <c r="AC61" s="1181" t="s">
        <v>7063</v>
      </c>
      <c r="AD61" s="1153" t="s">
        <v>7064</v>
      </c>
      <c r="AE61" s="204" t="s">
        <v>1054</v>
      </c>
      <c r="AF61" s="1182" t="s">
        <v>7065</v>
      </c>
      <c r="AG61" s="1182" t="s">
        <v>7066</v>
      </c>
      <c r="AH61" s="1182" t="s">
        <v>7067</v>
      </c>
      <c r="AI61" s="1182" t="s">
        <v>4278</v>
      </c>
      <c r="AJ61" s="1182" t="s">
        <v>7069</v>
      </c>
      <c r="AK61" s="1155" t="s">
        <v>2291</v>
      </c>
      <c r="AL61" s="1155" t="s">
        <v>7070</v>
      </c>
      <c r="AM61" s="277" t="s">
        <v>7071</v>
      </c>
      <c r="AN61" s="277" t="s">
        <v>7072</v>
      </c>
      <c r="AO61" s="277" t="s">
        <v>7073</v>
      </c>
      <c r="AP61" s="277" t="s">
        <v>7074</v>
      </c>
      <c r="AQ61" s="277" t="s">
        <v>2687</v>
      </c>
      <c r="AR61" s="1156" t="s">
        <v>3540</v>
      </c>
      <c r="AS61" s="277" t="s">
        <v>2755</v>
      </c>
      <c r="AT61" s="1180" t="s">
        <v>7075</v>
      </c>
      <c r="AU61" s="1178" t="s">
        <v>7076</v>
      </c>
      <c r="AV61" s="825" t="str">
        <f t="shared" si="1"/>
        <v>4:40</v>
      </c>
      <c r="AW61" s="1179" t="s">
        <v>7077</v>
      </c>
    </row>
    <row r="62" ht="15.75" customHeight="1">
      <c r="A62" s="1125" t="s">
        <v>7078</v>
      </c>
      <c r="B62" s="1109" t="s">
        <v>4964</v>
      </c>
      <c r="C62" s="1014">
        <v>0.051631944444444446</v>
      </c>
      <c r="D62" s="1153" t="s">
        <v>7079</v>
      </c>
      <c r="E62" s="1153" t="s">
        <v>983</v>
      </c>
      <c r="F62" s="1153" t="s">
        <v>5369</v>
      </c>
      <c r="G62" s="1153" t="s">
        <v>7080</v>
      </c>
      <c r="H62" s="312" t="s">
        <v>7081</v>
      </c>
      <c r="I62" s="312" t="s">
        <v>4075</v>
      </c>
      <c r="J62" s="1132" t="s">
        <v>7082</v>
      </c>
      <c r="K62" s="1132" t="s">
        <v>2630</v>
      </c>
      <c r="L62" s="1132" t="s">
        <v>5746</v>
      </c>
      <c r="M62" s="1132" t="s">
        <v>7083</v>
      </c>
      <c r="N62" s="1132" t="s">
        <v>6187</v>
      </c>
      <c r="O62" s="1132" t="s">
        <v>7084</v>
      </c>
      <c r="P62" s="1132" t="s">
        <v>1580</v>
      </c>
      <c r="Q62" s="256" t="s">
        <v>7085</v>
      </c>
      <c r="R62" s="256" t="s">
        <v>6873</v>
      </c>
      <c r="S62" s="256" t="s">
        <v>2401</v>
      </c>
      <c r="T62" s="256" t="s">
        <v>7086</v>
      </c>
      <c r="U62" s="256" t="s">
        <v>7087</v>
      </c>
      <c r="V62" s="256" t="s">
        <v>7088</v>
      </c>
      <c r="W62" s="223" t="s">
        <v>7089</v>
      </c>
      <c r="X62" s="223" t="s">
        <v>2291</v>
      </c>
      <c r="Y62" s="223" t="s">
        <v>4089</v>
      </c>
      <c r="Z62" s="223" t="s">
        <v>7090</v>
      </c>
      <c r="AA62" s="1087" t="s">
        <v>7091</v>
      </c>
      <c r="AB62" s="223" t="s">
        <v>6506</v>
      </c>
      <c r="AC62" s="223" t="s">
        <v>6116</v>
      </c>
      <c r="AD62" s="1153" t="s">
        <v>7092</v>
      </c>
      <c r="AE62" s="1153" t="s">
        <v>6018</v>
      </c>
      <c r="AF62" s="1267" t="s">
        <v>7093</v>
      </c>
      <c r="AG62" s="1155" t="s">
        <v>3135</v>
      </c>
      <c r="AH62" s="1155" t="s">
        <v>7067</v>
      </c>
      <c r="AI62" s="1155" t="s">
        <v>7094</v>
      </c>
      <c r="AJ62" s="1155" t="s">
        <v>7095</v>
      </c>
      <c r="AK62" s="1155" t="s">
        <v>4510</v>
      </c>
      <c r="AL62" s="1155" t="s">
        <v>7096</v>
      </c>
      <c r="AM62" s="1156" t="s">
        <v>6788</v>
      </c>
      <c r="AN62" s="1156" t="s">
        <v>6942</v>
      </c>
      <c r="AO62" s="1156" t="s">
        <v>241</v>
      </c>
      <c r="AP62" s="1156" t="s">
        <v>7097</v>
      </c>
      <c r="AQ62" s="1156" t="s">
        <v>7098</v>
      </c>
      <c r="AR62" s="1156" t="s">
        <v>6459</v>
      </c>
      <c r="AS62" s="1156" t="s">
        <v>4986</v>
      </c>
      <c r="AT62" s="1132" t="s">
        <v>7099</v>
      </c>
      <c r="AU62" s="1112" t="s">
        <v>7100</v>
      </c>
      <c r="AV62" s="825" t="str">
        <f t="shared" si="1"/>
        <v>2:25</v>
      </c>
      <c r="AW62" s="1195" t="s">
        <v>7101</v>
      </c>
    </row>
    <row r="63" ht="15.75" customHeight="1">
      <c r="A63" s="1193" t="s">
        <v>7102</v>
      </c>
      <c r="B63" s="1013" t="s">
        <v>4964</v>
      </c>
      <c r="C63" s="1221">
        <v>0.051631944444444446</v>
      </c>
      <c r="D63" s="107" t="s">
        <v>7104</v>
      </c>
      <c r="E63" s="125" t="s">
        <v>3155</v>
      </c>
      <c r="F63" s="125" t="s">
        <v>5079</v>
      </c>
      <c r="G63" s="125" t="s">
        <v>7107</v>
      </c>
      <c r="H63" s="125" t="s">
        <v>7108</v>
      </c>
      <c r="I63" s="125" t="s">
        <v>7014</v>
      </c>
      <c r="J63" s="125" t="s">
        <v>7109</v>
      </c>
      <c r="K63" s="125" t="s">
        <v>7110</v>
      </c>
      <c r="L63" s="125" t="s">
        <v>7111</v>
      </c>
      <c r="M63" s="125" t="s">
        <v>2879</v>
      </c>
      <c r="N63" s="125" t="s">
        <v>7112</v>
      </c>
      <c r="O63" s="125" t="s">
        <v>6307</v>
      </c>
      <c r="P63" s="125" t="s">
        <v>5010</v>
      </c>
      <c r="Q63" s="125" t="s">
        <v>7113</v>
      </c>
      <c r="R63" s="125" t="s">
        <v>7114</v>
      </c>
      <c r="S63" s="125" t="s">
        <v>6828</v>
      </c>
      <c r="T63" s="125" t="s">
        <v>5936</v>
      </c>
      <c r="U63" s="125" t="s">
        <v>7115</v>
      </c>
      <c r="V63" s="125" t="s">
        <v>7117</v>
      </c>
      <c r="W63" s="125" t="s">
        <v>7118</v>
      </c>
      <c r="X63" s="125" t="s">
        <v>7017</v>
      </c>
      <c r="Y63" s="125" t="s">
        <v>6116</v>
      </c>
      <c r="Z63" s="125" t="s">
        <v>1096</v>
      </c>
      <c r="AA63" s="125" t="s">
        <v>6134</v>
      </c>
      <c r="AB63" s="125" t="s">
        <v>7119</v>
      </c>
      <c r="AC63" s="125" t="s">
        <v>1182</v>
      </c>
      <c r="AD63" s="125" t="s">
        <v>934</v>
      </c>
      <c r="AE63" s="125" t="s">
        <v>6535</v>
      </c>
      <c r="AF63" s="125" t="s">
        <v>6709</v>
      </c>
      <c r="AG63" s="125" t="s">
        <v>7121</v>
      </c>
      <c r="AH63" s="125" t="s">
        <v>7122</v>
      </c>
      <c r="AI63" s="125" t="s">
        <v>7123</v>
      </c>
      <c r="AJ63" s="125" t="s">
        <v>7124</v>
      </c>
      <c r="AK63" s="125" t="s">
        <v>6906</v>
      </c>
      <c r="AL63" s="125" t="s">
        <v>7125</v>
      </c>
      <c r="AM63" s="125" t="s">
        <v>7126</v>
      </c>
      <c r="AN63" s="125" t="s">
        <v>3864</v>
      </c>
      <c r="AO63" s="125" t="s">
        <v>7127</v>
      </c>
      <c r="AP63" s="125" t="s">
        <v>7128</v>
      </c>
      <c r="AQ63" s="125" t="s">
        <v>7129</v>
      </c>
      <c r="AR63" s="125" t="s">
        <v>6160</v>
      </c>
      <c r="AS63" s="125" t="s">
        <v>7130</v>
      </c>
      <c r="AT63" s="125" t="s">
        <v>7131</v>
      </c>
      <c r="AU63" s="1268" t="str">
        <f>HYPERLINK("https://splits.io/pc9","1:16:48")</f>
        <v>1:16:48</v>
      </c>
      <c r="AV63" s="825" t="str">
        <f t="shared" si="1"/>
        <v>2:27</v>
      </c>
      <c r="AW63" s="1269" t="s">
        <v>7136</v>
      </c>
    </row>
    <row r="64" ht="15.75" customHeight="1">
      <c r="A64" s="1012" t="s">
        <v>7137</v>
      </c>
      <c r="B64" s="1013" t="s">
        <v>4964</v>
      </c>
      <c r="C64" s="1221">
        <v>0.051631944444444446</v>
      </c>
      <c r="D64" s="107" t="s">
        <v>7138</v>
      </c>
      <c r="E64" s="125" t="s">
        <v>3675</v>
      </c>
      <c r="F64" s="125" t="s">
        <v>7139</v>
      </c>
      <c r="G64" s="125" t="s">
        <v>7140</v>
      </c>
      <c r="H64" s="125" t="s">
        <v>6522</v>
      </c>
      <c r="I64" s="125" t="s">
        <v>6116</v>
      </c>
      <c r="J64" s="125" t="s">
        <v>5350</v>
      </c>
      <c r="K64" s="125" t="s">
        <v>3791</v>
      </c>
      <c r="L64" s="125" t="s">
        <v>3006</v>
      </c>
      <c r="M64" s="125" t="s">
        <v>3943</v>
      </c>
      <c r="N64" s="125" t="s">
        <v>7141</v>
      </c>
      <c r="O64" s="125" t="s">
        <v>6871</v>
      </c>
      <c r="P64" s="125" t="s">
        <v>6712</v>
      </c>
      <c r="Q64" s="125" t="s">
        <v>7143</v>
      </c>
      <c r="R64" s="125" t="s">
        <v>7058</v>
      </c>
      <c r="S64" s="125" t="s">
        <v>215</v>
      </c>
      <c r="T64" s="125" t="s">
        <v>7144</v>
      </c>
      <c r="U64" s="125" t="s">
        <v>7145</v>
      </c>
      <c r="V64" s="125" t="s">
        <v>7146</v>
      </c>
      <c r="W64" s="125" t="s">
        <v>7147</v>
      </c>
      <c r="X64" s="125" t="s">
        <v>7148</v>
      </c>
      <c r="Y64" s="125" t="s">
        <v>493</v>
      </c>
      <c r="Z64" s="125" t="s">
        <v>6081</v>
      </c>
      <c r="AA64" s="125" t="s">
        <v>7149</v>
      </c>
      <c r="AB64" s="125" t="s">
        <v>1235</v>
      </c>
      <c r="AC64" s="125" t="s">
        <v>7150</v>
      </c>
      <c r="AD64" s="125" t="s">
        <v>7151</v>
      </c>
      <c r="AE64" s="124" t="s">
        <v>5394</v>
      </c>
      <c r="AF64" s="125" t="s">
        <v>7152</v>
      </c>
      <c r="AG64" s="125" t="s">
        <v>7153</v>
      </c>
      <c r="AH64" s="125" t="s">
        <v>3847</v>
      </c>
      <c r="AI64" s="125" t="s">
        <v>7154</v>
      </c>
      <c r="AJ64" s="125" t="s">
        <v>3350</v>
      </c>
      <c r="AK64" s="125" t="s">
        <v>7156</v>
      </c>
      <c r="AL64" s="125" t="s">
        <v>6942</v>
      </c>
      <c r="AM64" s="125" t="s">
        <v>7157</v>
      </c>
      <c r="AN64" s="125" t="s">
        <v>7158</v>
      </c>
      <c r="AO64" s="125" t="s">
        <v>5606</v>
      </c>
      <c r="AP64" s="125" t="s">
        <v>7159</v>
      </c>
      <c r="AQ64" s="125" t="s">
        <v>7160</v>
      </c>
      <c r="AR64" s="125" t="s">
        <v>7161</v>
      </c>
      <c r="AS64" s="125" t="s">
        <v>7162</v>
      </c>
      <c r="AT64" s="125" t="s">
        <v>7163</v>
      </c>
      <c r="AU64" s="125" t="s">
        <v>7165</v>
      </c>
      <c r="AV64" s="825" t="str">
        <f t="shared" si="1"/>
        <v>3:33</v>
      </c>
      <c r="AW64" s="1269"/>
    </row>
    <row r="65" ht="15.75" customHeight="1">
      <c r="A65" s="1012" t="s">
        <v>7167</v>
      </c>
      <c r="B65" s="1013" t="s">
        <v>4964</v>
      </c>
      <c r="C65" s="1221">
        <v>0.05164351851851852</v>
      </c>
      <c r="D65" s="107" t="s">
        <v>7168</v>
      </c>
      <c r="E65" s="125" t="s">
        <v>5383</v>
      </c>
      <c r="F65" s="125" t="s">
        <v>7169</v>
      </c>
      <c r="G65" s="125" t="s">
        <v>5047</v>
      </c>
      <c r="H65" s="125" t="s">
        <v>7170</v>
      </c>
      <c r="I65" s="125" t="s">
        <v>4091</v>
      </c>
      <c r="J65" s="125" t="s">
        <v>3397</v>
      </c>
      <c r="K65" s="125" t="s">
        <v>989</v>
      </c>
      <c r="L65" s="125" t="s">
        <v>6658</v>
      </c>
      <c r="M65" s="125" t="s">
        <v>7083</v>
      </c>
      <c r="N65" s="125" t="s">
        <v>5748</v>
      </c>
      <c r="O65" s="125" t="s">
        <v>6717</v>
      </c>
      <c r="P65" s="125" t="s">
        <v>7171</v>
      </c>
      <c r="Q65" s="125" t="s">
        <v>7172</v>
      </c>
      <c r="R65" s="125" t="s">
        <v>4078</v>
      </c>
      <c r="S65" s="125" t="s">
        <v>2697</v>
      </c>
      <c r="T65" s="125" t="s">
        <v>7173</v>
      </c>
      <c r="U65" s="125" t="s">
        <v>7174</v>
      </c>
      <c r="V65" s="125" t="s">
        <v>7175</v>
      </c>
      <c r="W65" s="125" t="s">
        <v>7176</v>
      </c>
      <c r="X65" s="125" t="s">
        <v>2160</v>
      </c>
      <c r="Y65" s="125" t="s">
        <v>4802</v>
      </c>
      <c r="Z65" s="125" t="s">
        <v>2738</v>
      </c>
      <c r="AA65" s="125" t="s">
        <v>7178</v>
      </c>
      <c r="AB65" s="125" t="s">
        <v>246</v>
      </c>
      <c r="AC65" s="125" t="s">
        <v>2426</v>
      </c>
      <c r="AD65" s="125" t="s">
        <v>7179</v>
      </c>
      <c r="AE65" s="125" t="s">
        <v>5894</v>
      </c>
      <c r="AF65" s="125" t="s">
        <v>7180</v>
      </c>
      <c r="AG65" s="125" t="s">
        <v>1763</v>
      </c>
      <c r="AH65" s="125" t="s">
        <v>7122</v>
      </c>
      <c r="AI65" s="125" t="s">
        <v>7181</v>
      </c>
      <c r="AJ65" s="125" t="s">
        <v>7182</v>
      </c>
      <c r="AK65" s="125" t="s">
        <v>7184</v>
      </c>
      <c r="AL65" s="125" t="s">
        <v>7185</v>
      </c>
      <c r="AM65" s="125" t="s">
        <v>6367</v>
      </c>
      <c r="AN65" s="125" t="s">
        <v>5837</v>
      </c>
      <c r="AO65" s="125" t="s">
        <v>6971</v>
      </c>
      <c r="AP65" s="125" t="s">
        <v>7187</v>
      </c>
      <c r="AQ65" s="125" t="s">
        <v>7188</v>
      </c>
      <c r="AR65" s="125" t="s">
        <v>6456</v>
      </c>
      <c r="AS65" s="125" t="s">
        <v>7190</v>
      </c>
      <c r="AT65" s="125" t="s">
        <v>6909</v>
      </c>
      <c r="AU65" s="125" t="s">
        <v>7191</v>
      </c>
      <c r="AV65" s="825" t="str">
        <f t="shared" si="1"/>
        <v>3:13</v>
      </c>
      <c r="AW65" s="1269" t="s">
        <v>7192</v>
      </c>
    </row>
    <row r="66" ht="15.75" customHeight="1">
      <c r="A66" s="1084" t="s">
        <v>536</v>
      </c>
      <c r="B66" s="1248" t="s">
        <v>5043</v>
      </c>
      <c r="C66" s="1221">
        <v>0.05167824074074074</v>
      </c>
      <c r="D66" s="107" t="s">
        <v>7193</v>
      </c>
      <c r="E66" s="125" t="s">
        <v>7194</v>
      </c>
      <c r="F66" s="125" t="s">
        <v>7195</v>
      </c>
      <c r="G66" s="125" t="s">
        <v>7196</v>
      </c>
      <c r="H66" s="125" t="s">
        <v>7197</v>
      </c>
      <c r="I66" s="125" t="s">
        <v>7198</v>
      </c>
      <c r="J66" s="125" t="s">
        <v>7004</v>
      </c>
      <c r="K66" s="125" t="s">
        <v>5659</v>
      </c>
      <c r="L66" s="125" t="s">
        <v>2617</v>
      </c>
      <c r="M66" s="125" t="s">
        <v>1460</v>
      </c>
      <c r="N66" s="125" t="s">
        <v>7199</v>
      </c>
      <c r="O66" s="125" t="s">
        <v>7200</v>
      </c>
      <c r="P66" s="125" t="s">
        <v>7201</v>
      </c>
      <c r="Q66" s="125" t="s">
        <v>2939</v>
      </c>
      <c r="R66" s="125" t="s">
        <v>7202</v>
      </c>
      <c r="S66" s="125" t="s">
        <v>7203</v>
      </c>
      <c r="T66" s="125" t="s">
        <v>7204</v>
      </c>
      <c r="U66" s="125" t="s">
        <v>6608</v>
      </c>
      <c r="V66" s="125" t="s">
        <v>1646</v>
      </c>
      <c r="W66" s="125" t="s">
        <v>7205</v>
      </c>
      <c r="X66" s="125" t="s">
        <v>7206</v>
      </c>
      <c r="Y66" s="125" t="s">
        <v>3951</v>
      </c>
      <c r="Z66" s="125" t="s">
        <v>2445</v>
      </c>
      <c r="AA66" s="125" t="s">
        <v>5333</v>
      </c>
      <c r="AB66" s="125" t="s">
        <v>7207</v>
      </c>
      <c r="AC66" s="125" t="s">
        <v>359</v>
      </c>
      <c r="AD66" s="124" t="s">
        <v>7208</v>
      </c>
      <c r="AE66" s="125" t="s">
        <v>7209</v>
      </c>
      <c r="AF66" s="125" t="s">
        <v>6434</v>
      </c>
      <c r="AG66" s="125" t="s">
        <v>4354</v>
      </c>
      <c r="AH66" s="125" t="s">
        <v>5746</v>
      </c>
      <c r="AI66" s="125" t="s">
        <v>5674</v>
      </c>
      <c r="AJ66" s="125" t="s">
        <v>7211</v>
      </c>
      <c r="AK66" s="125" t="s">
        <v>5267</v>
      </c>
      <c r="AL66" s="125" t="s">
        <v>5071</v>
      </c>
      <c r="AM66" s="125" t="s">
        <v>7213</v>
      </c>
      <c r="AN66" s="125" t="s">
        <v>7214</v>
      </c>
      <c r="AO66" s="125" t="s">
        <v>7215</v>
      </c>
      <c r="AP66" s="125" t="s">
        <v>7216</v>
      </c>
      <c r="AQ66" s="125" t="s">
        <v>7217</v>
      </c>
      <c r="AR66" s="125" t="s">
        <v>7218</v>
      </c>
      <c r="AS66" s="125" t="s">
        <v>7219</v>
      </c>
      <c r="AT66" s="125" t="s">
        <v>7220</v>
      </c>
      <c r="AU66" s="125" t="s">
        <v>7221</v>
      </c>
      <c r="AV66" s="825" t="str">
        <f t="shared" si="1"/>
        <v>2:51</v>
      </c>
      <c r="AW66" s="1271"/>
    </row>
    <row r="67" ht="15.75" customHeight="1">
      <c r="A67" s="1125" t="s">
        <v>6584</v>
      </c>
      <c r="B67" s="1158" t="s">
        <v>5005</v>
      </c>
      <c r="C67" s="1221">
        <v>0.05170138888888889</v>
      </c>
      <c r="D67" s="107" t="s">
        <v>7223</v>
      </c>
      <c r="E67" s="125" t="s">
        <v>7224</v>
      </c>
      <c r="F67" s="125" t="s">
        <v>6593</v>
      </c>
      <c r="G67" s="125" t="s">
        <v>6453</v>
      </c>
      <c r="H67" s="125" t="s">
        <v>7225</v>
      </c>
      <c r="I67" s="125" t="s">
        <v>7226</v>
      </c>
      <c r="J67" s="125" t="s">
        <v>6615</v>
      </c>
      <c r="K67" s="125" t="s">
        <v>5606</v>
      </c>
      <c r="L67" s="125" t="s">
        <v>7228</v>
      </c>
      <c r="M67" s="125" t="s">
        <v>2304</v>
      </c>
      <c r="N67" s="125" t="s">
        <v>7229</v>
      </c>
      <c r="O67" s="125" t="s">
        <v>6807</v>
      </c>
      <c r="P67" s="125" t="s">
        <v>1639</v>
      </c>
      <c r="Q67" s="125" t="s">
        <v>7230</v>
      </c>
      <c r="R67" s="125" t="s">
        <v>5162</v>
      </c>
      <c r="S67" s="125" t="s">
        <v>7073</v>
      </c>
      <c r="T67" s="125" t="s">
        <v>2557</v>
      </c>
      <c r="U67" s="125" t="s">
        <v>7231</v>
      </c>
      <c r="V67" s="125" t="s">
        <v>7232</v>
      </c>
      <c r="W67" s="125" t="s">
        <v>7118</v>
      </c>
      <c r="X67" s="125" t="s">
        <v>7071</v>
      </c>
      <c r="Y67" s="125" t="s">
        <v>6651</v>
      </c>
      <c r="Z67" s="125" t="s">
        <v>1652</v>
      </c>
      <c r="AA67" s="125" t="s">
        <v>2291</v>
      </c>
      <c r="AB67" s="125" t="s">
        <v>7234</v>
      </c>
      <c r="AC67" s="125" t="s">
        <v>377</v>
      </c>
      <c r="AD67" s="125" t="s">
        <v>6739</v>
      </c>
      <c r="AE67" s="125" t="s">
        <v>353</v>
      </c>
      <c r="AF67" s="125" t="s">
        <v>7235</v>
      </c>
      <c r="AG67" s="125" t="s">
        <v>7236</v>
      </c>
      <c r="AH67" s="125" t="s">
        <v>7238</v>
      </c>
      <c r="AI67" s="125" t="s">
        <v>7239</v>
      </c>
      <c r="AJ67" s="125" t="s">
        <v>7240</v>
      </c>
      <c r="AK67" s="125" t="s">
        <v>5723</v>
      </c>
      <c r="AL67" s="125" t="s">
        <v>7241</v>
      </c>
      <c r="AM67" s="125" t="s">
        <v>7042</v>
      </c>
      <c r="AN67" s="125" t="s">
        <v>7242</v>
      </c>
      <c r="AO67" s="125" t="s">
        <v>6728</v>
      </c>
      <c r="AP67" s="125" t="s">
        <v>7243</v>
      </c>
      <c r="AQ67" s="125" t="s">
        <v>7244</v>
      </c>
      <c r="AR67" s="125" t="s">
        <v>7247</v>
      </c>
      <c r="AS67" s="125" t="s">
        <v>5035</v>
      </c>
      <c r="AT67" s="125" t="s">
        <v>7248</v>
      </c>
      <c r="AU67" s="125" t="s">
        <v>7249</v>
      </c>
      <c r="AV67" s="825" t="str">
        <f t="shared" si="1"/>
        <v>2:37</v>
      </c>
      <c r="AW67" s="1271" t="s">
        <v>7250</v>
      </c>
    </row>
    <row r="68" ht="15.75" customHeight="1">
      <c r="A68" s="1125" t="s">
        <v>7251</v>
      </c>
      <c r="B68" s="1120" t="s">
        <v>5005</v>
      </c>
      <c r="C68" s="1014">
        <v>0.05171296296296296</v>
      </c>
      <c r="D68" s="1230" t="s">
        <v>7252</v>
      </c>
      <c r="E68" s="124" t="s">
        <v>7254</v>
      </c>
      <c r="F68" s="124" t="s">
        <v>495</v>
      </c>
      <c r="G68" s="124" t="s">
        <v>7255</v>
      </c>
      <c r="H68" s="124" t="s">
        <v>7257</v>
      </c>
      <c r="I68" s="124" t="s">
        <v>7258</v>
      </c>
      <c r="J68" s="124" t="s">
        <v>3771</v>
      </c>
      <c r="K68" s="124" t="s">
        <v>2607</v>
      </c>
      <c r="L68" s="124" t="s">
        <v>7259</v>
      </c>
      <c r="M68" s="1272" t="s">
        <v>7260</v>
      </c>
      <c r="N68" s="124" t="s">
        <v>7261</v>
      </c>
      <c r="O68" s="124" t="s">
        <v>5620</v>
      </c>
      <c r="P68" s="124" t="s">
        <v>4089</v>
      </c>
      <c r="Q68" s="124" t="s">
        <v>7262</v>
      </c>
      <c r="R68" s="124" t="s">
        <v>7263</v>
      </c>
      <c r="S68" s="124" t="s">
        <v>5238</v>
      </c>
      <c r="T68" s="124" t="s">
        <v>7264</v>
      </c>
      <c r="U68" s="124" t="s">
        <v>6977</v>
      </c>
      <c r="V68" s="1272" t="s">
        <v>7265</v>
      </c>
      <c r="W68" s="1272" t="s">
        <v>7266</v>
      </c>
      <c r="X68" s="124" t="s">
        <v>6815</v>
      </c>
      <c r="Y68" s="107" t="s">
        <v>6294</v>
      </c>
      <c r="Z68" s="124" t="s">
        <v>5098</v>
      </c>
      <c r="AA68" s="124" t="s">
        <v>539</v>
      </c>
      <c r="AB68" s="1272" t="s">
        <v>7268</v>
      </c>
      <c r="AC68" s="124" t="s">
        <v>5894</v>
      </c>
      <c r="AD68" s="124" t="s">
        <v>7269</v>
      </c>
      <c r="AE68" s="124" t="s">
        <v>378</v>
      </c>
      <c r="AF68" s="124" t="s">
        <v>7270</v>
      </c>
      <c r="AG68" s="124" t="s">
        <v>1763</v>
      </c>
      <c r="AH68" s="124" t="s">
        <v>7271</v>
      </c>
      <c r="AI68" s="124" t="s">
        <v>7272</v>
      </c>
      <c r="AJ68" s="124" t="s">
        <v>7273</v>
      </c>
      <c r="AK68" s="124" t="s">
        <v>7274</v>
      </c>
      <c r="AL68" s="124" t="s">
        <v>6952</v>
      </c>
      <c r="AM68" s="124" t="s">
        <v>7030</v>
      </c>
      <c r="AN68" s="124" t="s">
        <v>7275</v>
      </c>
      <c r="AO68" s="124" t="s">
        <v>1832</v>
      </c>
      <c r="AP68" s="124" t="s">
        <v>7276</v>
      </c>
      <c r="AQ68" s="124" t="s">
        <v>3168</v>
      </c>
      <c r="AR68" s="124" t="s">
        <v>6767</v>
      </c>
      <c r="AS68" s="124" t="s">
        <v>5613</v>
      </c>
      <c r="AT68" s="124" t="s">
        <v>7277</v>
      </c>
      <c r="AU68" s="124" t="s">
        <v>7279</v>
      </c>
      <c r="AV68" s="825" t="str">
        <f t="shared" si="1"/>
        <v>4:14</v>
      </c>
      <c r="AW68" s="1264" t="s">
        <v>7281</v>
      </c>
    </row>
    <row r="69" ht="15.75" customHeight="1">
      <c r="A69" s="1125" t="s">
        <v>3164</v>
      </c>
      <c r="B69" s="1244" t="s">
        <v>5005</v>
      </c>
      <c r="C69" s="1014">
        <v>0.05173611111111111</v>
      </c>
      <c r="D69" s="107" t="s">
        <v>7282</v>
      </c>
      <c r="E69" s="124" t="s">
        <v>7283</v>
      </c>
      <c r="F69" s="124" t="s">
        <v>7284</v>
      </c>
      <c r="G69" s="124" t="s">
        <v>7285</v>
      </c>
      <c r="H69" s="124" t="s">
        <v>1986</v>
      </c>
      <c r="I69" s="124" t="s">
        <v>768</v>
      </c>
      <c r="J69" s="124" t="s">
        <v>5808</v>
      </c>
      <c r="K69" s="124" t="s">
        <v>7286</v>
      </c>
      <c r="L69" s="124" t="s">
        <v>7287</v>
      </c>
      <c r="M69" s="124" t="s">
        <v>388</v>
      </c>
      <c r="N69" s="124" t="s">
        <v>7288</v>
      </c>
      <c r="O69" s="124" t="s">
        <v>7289</v>
      </c>
      <c r="P69" s="124" t="s">
        <v>7291</v>
      </c>
      <c r="Q69" s="124" t="s">
        <v>7292</v>
      </c>
      <c r="R69" s="124" t="s">
        <v>7202</v>
      </c>
      <c r="S69" s="124" t="s">
        <v>7293</v>
      </c>
      <c r="T69" s="124" t="s">
        <v>7294</v>
      </c>
      <c r="U69" s="124" t="s">
        <v>7295</v>
      </c>
      <c r="V69" s="124" t="s">
        <v>449</v>
      </c>
      <c r="W69" s="124" t="s">
        <v>7296</v>
      </c>
      <c r="X69" s="124" t="s">
        <v>7066</v>
      </c>
      <c r="Y69" s="124" t="s">
        <v>493</v>
      </c>
      <c r="Z69" s="124" t="s">
        <v>7297</v>
      </c>
      <c r="AA69" s="124" t="s">
        <v>6134</v>
      </c>
      <c r="AB69" s="124" t="s">
        <v>238</v>
      </c>
      <c r="AC69" s="124" t="s">
        <v>4705</v>
      </c>
      <c r="AD69" s="124" t="s">
        <v>7092</v>
      </c>
      <c r="AE69" s="124" t="s">
        <v>6259</v>
      </c>
      <c r="AF69" s="124" t="s">
        <v>6276</v>
      </c>
      <c r="AG69" s="124" t="s">
        <v>7298</v>
      </c>
      <c r="AH69" s="124" t="s">
        <v>7299</v>
      </c>
      <c r="AI69" s="124" t="s">
        <v>7300</v>
      </c>
      <c r="AJ69" s="124" t="s">
        <v>7301</v>
      </c>
      <c r="AK69" s="124" t="s">
        <v>720</v>
      </c>
      <c r="AL69" s="124" t="s">
        <v>7302</v>
      </c>
      <c r="AM69" s="124" t="s">
        <v>7303</v>
      </c>
      <c r="AN69" s="124" t="s">
        <v>7185</v>
      </c>
      <c r="AO69" s="124" t="s">
        <v>6968</v>
      </c>
      <c r="AP69" s="124" t="s">
        <v>7304</v>
      </c>
      <c r="AQ69" s="124" t="s">
        <v>7305</v>
      </c>
      <c r="AR69" s="124" t="s">
        <v>534</v>
      </c>
      <c r="AS69" s="124" t="s">
        <v>7306</v>
      </c>
      <c r="AT69" s="124" t="s">
        <v>7307</v>
      </c>
      <c r="AU69" s="124" t="s">
        <v>7308</v>
      </c>
      <c r="AV69" s="825" t="str">
        <f t="shared" si="1"/>
        <v>3:51</v>
      </c>
      <c r="AW69" s="1264" t="s">
        <v>7309</v>
      </c>
    </row>
    <row r="70" ht="15.75" customHeight="1">
      <c r="A70" s="1125" t="s">
        <v>661</v>
      </c>
      <c r="B70" s="1109" t="s">
        <v>5043</v>
      </c>
      <c r="C70" s="1014">
        <v>0.051805555555555556</v>
      </c>
      <c r="D70" s="124" t="s">
        <v>7312</v>
      </c>
      <c r="E70" s="124" t="s">
        <v>7313</v>
      </c>
      <c r="F70" s="107" t="s">
        <v>7314</v>
      </c>
      <c r="G70" s="124" t="s">
        <v>7315</v>
      </c>
      <c r="H70" s="1090" t="s">
        <v>7316</v>
      </c>
      <c r="I70" s="1090">
        <v>49.81</v>
      </c>
      <c r="J70" s="1090" t="s">
        <v>7317</v>
      </c>
      <c r="K70" s="1090" t="s">
        <v>7318</v>
      </c>
      <c r="L70" s="1090">
        <v>59.57</v>
      </c>
      <c r="M70" s="1090" t="s">
        <v>7319</v>
      </c>
      <c r="N70" s="1090" t="s">
        <v>7320</v>
      </c>
      <c r="O70" s="1089" t="s">
        <v>1630</v>
      </c>
      <c r="P70" s="1089" t="s">
        <v>7321</v>
      </c>
      <c r="Q70" s="1089" t="s">
        <v>7322</v>
      </c>
      <c r="R70" s="1090" t="s">
        <v>7323</v>
      </c>
      <c r="S70" s="1090" t="s">
        <v>6828</v>
      </c>
      <c r="T70" s="1090" t="s">
        <v>7324</v>
      </c>
      <c r="U70" s="1090" t="s">
        <v>7325</v>
      </c>
      <c r="V70" s="1090" t="s">
        <v>7326</v>
      </c>
      <c r="W70" s="1090" t="s">
        <v>7327</v>
      </c>
      <c r="X70" s="1090" t="s">
        <v>7329</v>
      </c>
      <c r="Y70" s="1089" t="s">
        <v>6622</v>
      </c>
      <c r="Z70" s="1274" t="s">
        <v>5064</v>
      </c>
      <c r="AA70" s="1090" t="s">
        <v>785</v>
      </c>
      <c r="AB70" s="1089" t="s">
        <v>5601</v>
      </c>
      <c r="AC70" s="1090">
        <v>49.53</v>
      </c>
      <c r="AD70" s="1090" t="s">
        <v>7331</v>
      </c>
      <c r="AE70" s="1089" t="s">
        <v>7332</v>
      </c>
      <c r="AF70" s="1090" t="s">
        <v>5360</v>
      </c>
      <c r="AG70" s="1090" t="s">
        <v>7333</v>
      </c>
      <c r="AH70" s="1090">
        <v>59.93</v>
      </c>
      <c r="AI70" s="1090" t="s">
        <v>7334</v>
      </c>
      <c r="AJ70" s="1090" t="s">
        <v>7335</v>
      </c>
      <c r="AK70" s="1090" t="s">
        <v>5236</v>
      </c>
      <c r="AL70" s="1090">
        <v>59.13</v>
      </c>
      <c r="AM70" s="1090" t="s">
        <v>7247</v>
      </c>
      <c r="AN70" s="1090">
        <v>57.86</v>
      </c>
      <c r="AO70" s="1090" t="s">
        <v>2937</v>
      </c>
      <c r="AP70" s="1090" t="s">
        <v>7336</v>
      </c>
      <c r="AQ70" s="1090" t="s">
        <v>6631</v>
      </c>
      <c r="AR70" s="1090" t="s">
        <v>7337</v>
      </c>
      <c r="AS70" s="1090">
        <v>47.67</v>
      </c>
      <c r="AT70" s="124" t="s">
        <v>7338</v>
      </c>
      <c r="AU70" s="124" t="s">
        <v>7341</v>
      </c>
      <c r="AV70" s="825" t="str">
        <f t="shared" si="1"/>
        <v>2:57</v>
      </c>
      <c r="AW70" s="1242" t="s">
        <v>7342</v>
      </c>
    </row>
    <row r="71">
      <c r="A71" s="617" t="s">
        <v>4525</v>
      </c>
      <c r="B71" s="1120" t="s">
        <v>5005</v>
      </c>
      <c r="C71" s="1276">
        <v>0.05181712962962963</v>
      </c>
      <c r="D71" s="1041" t="s">
        <v>7343</v>
      </c>
      <c r="E71" s="1041" t="s">
        <v>1016</v>
      </c>
      <c r="F71" s="1041" t="s">
        <v>7348</v>
      </c>
      <c r="G71" s="1041" t="s">
        <v>7350</v>
      </c>
      <c r="H71" s="1041" t="s">
        <v>7354</v>
      </c>
      <c r="I71" s="1041" t="s">
        <v>2337</v>
      </c>
      <c r="J71" s="1041" t="s">
        <v>5785</v>
      </c>
      <c r="K71" s="1041" t="s">
        <v>5927</v>
      </c>
      <c r="L71" s="1041" t="s">
        <v>7299</v>
      </c>
      <c r="M71" s="1041" t="s">
        <v>4854</v>
      </c>
      <c r="N71" s="1041" t="s">
        <v>6573</v>
      </c>
      <c r="O71" s="1041" t="s">
        <v>2247</v>
      </c>
      <c r="P71" s="1041" t="s">
        <v>5925</v>
      </c>
      <c r="Q71" s="1041" t="s">
        <v>7366</v>
      </c>
      <c r="R71" s="1041" t="s">
        <v>1258</v>
      </c>
      <c r="S71" s="1041" t="s">
        <v>247</v>
      </c>
      <c r="T71" s="1041" t="s">
        <v>7369</v>
      </c>
      <c r="U71" s="1041" t="s">
        <v>7370</v>
      </c>
      <c r="V71" s="1041" t="s">
        <v>7232</v>
      </c>
      <c r="W71" s="1041" t="s">
        <v>7371</v>
      </c>
      <c r="X71" s="1041" t="s">
        <v>6753</v>
      </c>
      <c r="Y71" s="1041" t="s">
        <v>7375</v>
      </c>
      <c r="Z71" s="1041" t="s">
        <v>7377</v>
      </c>
      <c r="AA71" s="1041" t="s">
        <v>3993</v>
      </c>
      <c r="AB71" s="1041" t="s">
        <v>7379</v>
      </c>
      <c r="AC71" s="1041" t="s">
        <v>7054</v>
      </c>
      <c r="AD71" s="1041" t="s">
        <v>7382</v>
      </c>
      <c r="AE71" s="1041" t="s">
        <v>1580</v>
      </c>
      <c r="AF71" s="1041" t="s">
        <v>6909</v>
      </c>
      <c r="AG71" s="1041" t="s">
        <v>1219</v>
      </c>
      <c r="AH71" s="1041" t="s">
        <v>7387</v>
      </c>
      <c r="AI71" s="1041" t="s">
        <v>664</v>
      </c>
      <c r="AJ71" s="1041" t="s">
        <v>7390</v>
      </c>
      <c r="AK71" s="1041" t="s">
        <v>6283</v>
      </c>
      <c r="AL71" s="1041" t="s">
        <v>7395</v>
      </c>
      <c r="AM71" s="1041" t="s">
        <v>7397</v>
      </c>
      <c r="AN71" s="1041" t="s">
        <v>6361</v>
      </c>
      <c r="AO71" s="1041" t="s">
        <v>7399</v>
      </c>
      <c r="AP71" s="1041" t="s">
        <v>7400</v>
      </c>
      <c r="AQ71" s="1041" t="s">
        <v>7403</v>
      </c>
      <c r="AR71" s="1041" t="s">
        <v>7405</v>
      </c>
      <c r="AS71" s="1041" t="s">
        <v>1074</v>
      </c>
      <c r="AT71" s="1041" t="s">
        <v>7407</v>
      </c>
      <c r="AU71" s="1087" t="s">
        <v>7408</v>
      </c>
      <c r="AV71" s="825" t="str">
        <f t="shared" si="1"/>
        <v>3:49</v>
      </c>
      <c r="AW71" s="1277" t="s">
        <v>7409</v>
      </c>
    </row>
    <row r="72" ht="15.75" customHeight="1">
      <c r="A72" s="1012" t="s">
        <v>4046</v>
      </c>
      <c r="B72" s="1158" t="s">
        <v>5005</v>
      </c>
      <c r="C72" s="1221">
        <v>0.051863425925925924</v>
      </c>
      <c r="D72" s="107" t="s">
        <v>7411</v>
      </c>
      <c r="E72" s="125" t="s">
        <v>5459</v>
      </c>
      <c r="F72" s="125" t="s">
        <v>7412</v>
      </c>
      <c r="G72" s="125" t="s">
        <v>7413</v>
      </c>
      <c r="H72" s="125" t="s">
        <v>7414</v>
      </c>
      <c r="I72" s="125" t="s">
        <v>4137</v>
      </c>
      <c r="J72" s="125" t="s">
        <v>5494</v>
      </c>
      <c r="K72" s="125" t="s">
        <v>3554</v>
      </c>
      <c r="L72" s="125" t="s">
        <v>7415</v>
      </c>
      <c r="M72" s="125" t="s">
        <v>7058</v>
      </c>
      <c r="N72" s="125" t="s">
        <v>6314</v>
      </c>
      <c r="O72" s="125" t="s">
        <v>7416</v>
      </c>
      <c r="P72" s="125" t="s">
        <v>4488</v>
      </c>
      <c r="Q72" s="125" t="s">
        <v>7417</v>
      </c>
      <c r="R72" s="125" t="s">
        <v>7418</v>
      </c>
      <c r="S72" s="125" t="s">
        <v>7419</v>
      </c>
      <c r="T72" s="125" t="s">
        <v>7421</v>
      </c>
      <c r="U72" s="125" t="s">
        <v>7422</v>
      </c>
      <c r="V72" s="125" t="s">
        <v>6780</v>
      </c>
      <c r="W72" s="125" t="s">
        <v>7424</v>
      </c>
      <c r="X72" s="125" t="s">
        <v>7239</v>
      </c>
      <c r="Y72" s="125" t="s">
        <v>6080</v>
      </c>
      <c r="Z72" s="125" t="s">
        <v>7425</v>
      </c>
      <c r="AA72" s="125" t="s">
        <v>7426</v>
      </c>
      <c r="AB72" s="125" t="s">
        <v>3903</v>
      </c>
      <c r="AC72" s="125" t="s">
        <v>377</v>
      </c>
      <c r="AD72" s="125" t="s">
        <v>7427</v>
      </c>
      <c r="AE72" s="125" t="s">
        <v>4071</v>
      </c>
      <c r="AF72" s="125" t="s">
        <v>7428</v>
      </c>
      <c r="AG72" s="125" t="s">
        <v>7430</v>
      </c>
      <c r="AH72" s="125" t="s">
        <v>7111</v>
      </c>
      <c r="AI72" s="125" t="s">
        <v>7300</v>
      </c>
      <c r="AJ72" s="125" t="s">
        <v>7431</v>
      </c>
      <c r="AK72" s="125" t="s">
        <v>6045</v>
      </c>
      <c r="AL72" s="125" t="s">
        <v>7387</v>
      </c>
      <c r="AM72" s="125" t="s">
        <v>7432</v>
      </c>
      <c r="AN72" s="125" t="s">
        <v>6605</v>
      </c>
      <c r="AO72" s="125" t="s">
        <v>5354</v>
      </c>
      <c r="AP72" s="125" t="s">
        <v>7433</v>
      </c>
      <c r="AQ72" s="125" t="s">
        <v>7434</v>
      </c>
      <c r="AR72" s="125" t="s">
        <v>5436</v>
      </c>
      <c r="AS72" s="125" t="s">
        <v>6110</v>
      </c>
      <c r="AT72" s="125" t="s">
        <v>7436</v>
      </c>
      <c r="AU72" s="125" t="s">
        <v>7437</v>
      </c>
      <c r="AV72" s="825" t="str">
        <f t="shared" si="1"/>
        <v>2:06</v>
      </c>
      <c r="AW72" s="1264" t="s">
        <v>7438</v>
      </c>
    </row>
    <row r="73" ht="15.75" customHeight="1">
      <c r="A73" s="1012" t="s">
        <v>643</v>
      </c>
      <c r="B73" s="1013" t="s">
        <v>4964</v>
      </c>
      <c r="C73" s="1221">
        <v>0.051875</v>
      </c>
      <c r="D73" s="107" t="s">
        <v>7439</v>
      </c>
      <c r="E73" s="125" t="s">
        <v>2760</v>
      </c>
      <c r="F73" s="125" t="s">
        <v>7441</v>
      </c>
      <c r="G73" s="125" t="s">
        <v>7442</v>
      </c>
      <c r="H73" s="125" t="s">
        <v>7443</v>
      </c>
      <c r="I73" s="125" t="s">
        <v>7444</v>
      </c>
      <c r="J73" s="125" t="s">
        <v>5854</v>
      </c>
      <c r="K73" s="125" t="s">
        <v>7445</v>
      </c>
      <c r="L73" s="125" t="s">
        <v>5564</v>
      </c>
      <c r="M73" s="125" t="s">
        <v>2529</v>
      </c>
      <c r="N73" s="125" t="s">
        <v>5936</v>
      </c>
      <c r="O73" s="125" t="s">
        <v>7446</v>
      </c>
      <c r="P73" s="125" t="s">
        <v>5108</v>
      </c>
      <c r="Q73" s="125" t="s">
        <v>7447</v>
      </c>
      <c r="R73" s="125" t="s">
        <v>6303</v>
      </c>
      <c r="S73" s="125" t="s">
        <v>7448</v>
      </c>
      <c r="T73" s="125" t="s">
        <v>7449</v>
      </c>
      <c r="U73" s="125" t="s">
        <v>7115</v>
      </c>
      <c r="V73" s="125" t="s">
        <v>7450</v>
      </c>
      <c r="W73" s="125" t="s">
        <v>7446</v>
      </c>
      <c r="X73" s="125" t="s">
        <v>6573</v>
      </c>
      <c r="Y73" s="125" t="s">
        <v>6624</v>
      </c>
      <c r="Z73" s="125" t="s">
        <v>7451</v>
      </c>
      <c r="AA73" s="125" t="s">
        <v>1394</v>
      </c>
      <c r="AB73" s="125" t="s">
        <v>2245</v>
      </c>
      <c r="AC73" s="125" t="s">
        <v>7452</v>
      </c>
      <c r="AD73" s="125" t="s">
        <v>7179</v>
      </c>
      <c r="AE73" s="125" t="s">
        <v>3584</v>
      </c>
      <c r="AF73" s="125" t="s">
        <v>7453</v>
      </c>
      <c r="AG73" s="125" t="s">
        <v>7454</v>
      </c>
      <c r="AH73" s="125" t="s">
        <v>7055</v>
      </c>
      <c r="AI73" s="125" t="s">
        <v>7455</v>
      </c>
      <c r="AJ73" s="125" t="s">
        <v>7456</v>
      </c>
      <c r="AK73" s="125" t="s">
        <v>7457</v>
      </c>
      <c r="AL73" s="125" t="s">
        <v>6278</v>
      </c>
      <c r="AM73" s="125" t="s">
        <v>7458</v>
      </c>
      <c r="AN73" s="125" t="s">
        <v>7459</v>
      </c>
      <c r="AO73" s="124" t="s">
        <v>6858</v>
      </c>
      <c r="AP73" s="125" t="s">
        <v>7460</v>
      </c>
      <c r="AQ73" s="125" t="s">
        <v>7461</v>
      </c>
      <c r="AR73" s="125" t="s">
        <v>6342</v>
      </c>
      <c r="AS73" s="125" t="s">
        <v>6445</v>
      </c>
      <c r="AT73" s="125" t="s">
        <v>7463</v>
      </c>
      <c r="AU73" s="124" t="s">
        <v>7464</v>
      </c>
      <c r="AV73" s="825" t="str">
        <f t="shared" si="1"/>
        <v>0:37</v>
      </c>
      <c r="AW73" s="1271" t="s">
        <v>7465</v>
      </c>
    </row>
    <row r="74">
      <c r="A74" s="1125" t="s">
        <v>3603</v>
      </c>
      <c r="B74" s="1120" t="s">
        <v>4964</v>
      </c>
      <c r="C74" s="1014">
        <v>0.05188657407407407</v>
      </c>
      <c r="D74" s="124" t="s">
        <v>7466</v>
      </c>
      <c r="E74" s="107" t="s">
        <v>511</v>
      </c>
      <c r="F74" s="107" t="s">
        <v>7468</v>
      </c>
      <c r="G74" s="107" t="s">
        <v>7469</v>
      </c>
      <c r="H74" s="107" t="s">
        <v>7470</v>
      </c>
      <c r="I74" s="107" t="s">
        <v>353</v>
      </c>
      <c r="J74" s="107" t="s">
        <v>6760</v>
      </c>
      <c r="K74" s="107" t="s">
        <v>6295</v>
      </c>
      <c r="L74" s="107" t="s">
        <v>7471</v>
      </c>
      <c r="M74" s="107" t="s">
        <v>7472</v>
      </c>
      <c r="N74" s="107" t="s">
        <v>6000</v>
      </c>
      <c r="O74" s="107" t="s">
        <v>7473</v>
      </c>
      <c r="P74" s="107" t="s">
        <v>7474</v>
      </c>
      <c r="Q74" s="107" t="s">
        <v>7475</v>
      </c>
      <c r="R74" s="107" t="s">
        <v>7476</v>
      </c>
      <c r="S74" s="107" t="s">
        <v>7477</v>
      </c>
      <c r="T74" s="107" t="s">
        <v>5072</v>
      </c>
      <c r="U74" s="107" t="s">
        <v>7478</v>
      </c>
      <c r="V74" s="107" t="s">
        <v>7479</v>
      </c>
      <c r="W74" s="107" t="s">
        <v>7480</v>
      </c>
      <c r="X74" s="107" t="s">
        <v>7481</v>
      </c>
      <c r="Y74" s="107" t="s">
        <v>7482</v>
      </c>
      <c r="Z74" s="107" t="s">
        <v>6311</v>
      </c>
      <c r="AA74" s="107" t="s">
        <v>6063</v>
      </c>
      <c r="AB74" s="107" t="s">
        <v>2757</v>
      </c>
      <c r="AC74" s="107" t="s">
        <v>7483</v>
      </c>
      <c r="AD74" s="107" t="s">
        <v>7484</v>
      </c>
      <c r="AE74" s="107" t="s">
        <v>5959</v>
      </c>
      <c r="AF74" s="107" t="s">
        <v>7486</v>
      </c>
      <c r="AG74" s="107" t="s">
        <v>7487</v>
      </c>
      <c r="AH74" s="107" t="s">
        <v>7471</v>
      </c>
      <c r="AI74" s="107" t="s">
        <v>538</v>
      </c>
      <c r="AJ74" s="107" t="s">
        <v>7488</v>
      </c>
      <c r="AK74" s="107" t="s">
        <v>6324</v>
      </c>
      <c r="AL74" s="107" t="s">
        <v>7003</v>
      </c>
      <c r="AM74" s="107" t="s">
        <v>6279</v>
      </c>
      <c r="AN74" s="107" t="s">
        <v>2764</v>
      </c>
      <c r="AO74" s="107" t="s">
        <v>7489</v>
      </c>
      <c r="AP74" s="107" t="s">
        <v>6945</v>
      </c>
      <c r="AQ74" s="107" t="s">
        <v>7461</v>
      </c>
      <c r="AR74" s="107" t="s">
        <v>7490</v>
      </c>
      <c r="AS74" s="107" t="s">
        <v>5035</v>
      </c>
      <c r="AT74" s="107" t="s">
        <v>5453</v>
      </c>
      <c r="AU74" s="124" t="s">
        <v>7491</v>
      </c>
      <c r="AV74" s="825" t="str">
        <f t="shared" si="1"/>
        <v>4:21</v>
      </c>
      <c r="AW74" s="1264" t="s">
        <v>7492</v>
      </c>
    </row>
    <row r="75">
      <c r="A75" s="1125" t="s">
        <v>4188</v>
      </c>
      <c r="B75" s="1109" t="s">
        <v>4964</v>
      </c>
      <c r="C75" s="1014">
        <v>0.05193287037037037</v>
      </c>
      <c r="D75" s="1230" t="s">
        <v>7493</v>
      </c>
      <c r="E75" s="124" t="s">
        <v>2634</v>
      </c>
      <c r="F75" s="124" t="s">
        <v>7494</v>
      </c>
      <c r="G75" s="124" t="s">
        <v>7495</v>
      </c>
      <c r="H75" s="124" t="s">
        <v>7496</v>
      </c>
      <c r="I75" s="124" t="s">
        <v>7201</v>
      </c>
      <c r="J75" s="124" t="s">
        <v>5944</v>
      </c>
      <c r="K75" s="124" t="s">
        <v>6200</v>
      </c>
      <c r="L75" s="124"/>
      <c r="M75" s="124" t="s">
        <v>1024</v>
      </c>
      <c r="N75" s="124" t="s">
        <v>6545</v>
      </c>
      <c r="O75" s="124" t="s">
        <v>5062</v>
      </c>
      <c r="P75" s="124" t="s">
        <v>6935</v>
      </c>
      <c r="Q75" s="124" t="s">
        <v>7497</v>
      </c>
      <c r="R75" s="124" t="s">
        <v>7498</v>
      </c>
      <c r="S75" s="124" t="s">
        <v>6933</v>
      </c>
      <c r="T75" s="124" t="s">
        <v>6230</v>
      </c>
      <c r="U75" s="124" t="s">
        <v>7500</v>
      </c>
      <c r="V75" s="124" t="s">
        <v>5962</v>
      </c>
      <c r="W75" s="124" t="s">
        <v>833</v>
      </c>
      <c r="X75" s="124" t="s">
        <v>2291</v>
      </c>
      <c r="Y75" s="124" t="s">
        <v>5906</v>
      </c>
      <c r="Z75" s="124" t="s">
        <v>6532</v>
      </c>
      <c r="AA75" s="124" t="s">
        <v>2968</v>
      </c>
      <c r="AB75" s="124" t="s">
        <v>5693</v>
      </c>
      <c r="AC75" s="124" t="s">
        <v>6600</v>
      </c>
      <c r="AD75" s="124" t="s">
        <v>7501</v>
      </c>
      <c r="AE75" s="124" t="s">
        <v>7502</v>
      </c>
      <c r="AF75" s="124" t="s">
        <v>7503</v>
      </c>
      <c r="AG75" s="124" t="s">
        <v>7121</v>
      </c>
      <c r="AH75" s="124" t="s">
        <v>7504</v>
      </c>
      <c r="AI75" s="124" t="s">
        <v>7505</v>
      </c>
      <c r="AJ75" s="124" t="s">
        <v>7506</v>
      </c>
      <c r="AK75" s="124" t="s">
        <v>7507</v>
      </c>
      <c r="AL75" s="124" t="s">
        <v>7508</v>
      </c>
      <c r="AM75" s="124" t="s">
        <v>7509</v>
      </c>
      <c r="AN75" s="124" t="s">
        <v>2881</v>
      </c>
      <c r="AO75" s="124" t="s">
        <v>7511</v>
      </c>
      <c r="AP75" s="124" t="s">
        <v>7513</v>
      </c>
      <c r="AQ75" s="124" t="s">
        <v>7514</v>
      </c>
      <c r="AR75" s="124" t="s">
        <v>7515</v>
      </c>
      <c r="AS75" s="124" t="s">
        <v>3916</v>
      </c>
      <c r="AT75" s="124" t="s">
        <v>7516</v>
      </c>
      <c r="AU75" s="124" t="s">
        <v>7517</v>
      </c>
      <c r="AV75" s="825" t="str">
        <f t="shared" si="1"/>
        <v>4:12</v>
      </c>
      <c r="AW75" s="1271"/>
    </row>
    <row r="76" ht="15.75" customHeight="1">
      <c r="A76" s="1193" t="s">
        <v>7518</v>
      </c>
      <c r="B76" s="1013" t="s">
        <v>4964</v>
      </c>
      <c r="C76" s="1221">
        <v>0.05199074074074074</v>
      </c>
      <c r="D76" s="107" t="s">
        <v>7519</v>
      </c>
      <c r="E76" s="125" t="s">
        <v>7520</v>
      </c>
      <c r="F76" s="125" t="s">
        <v>7521</v>
      </c>
      <c r="G76" s="125" t="s">
        <v>7522</v>
      </c>
      <c r="H76" s="125" t="s">
        <v>2412</v>
      </c>
      <c r="I76" s="125" t="s">
        <v>6876</v>
      </c>
      <c r="J76" s="125" t="s">
        <v>7523</v>
      </c>
      <c r="K76" s="125" t="s">
        <v>7524</v>
      </c>
      <c r="L76" s="125" t="s">
        <v>7415</v>
      </c>
      <c r="M76" s="125" t="s">
        <v>5171</v>
      </c>
      <c r="N76" s="125" t="s">
        <v>6437</v>
      </c>
      <c r="O76" s="125" t="s">
        <v>7525</v>
      </c>
      <c r="P76" s="125" t="s">
        <v>7526</v>
      </c>
      <c r="Q76" s="125" t="s">
        <v>7527</v>
      </c>
      <c r="R76" s="125" t="s">
        <v>7528</v>
      </c>
      <c r="S76" s="125" t="s">
        <v>7529</v>
      </c>
      <c r="T76" s="125" t="s">
        <v>3606</v>
      </c>
      <c r="U76" s="125" t="s">
        <v>7530</v>
      </c>
      <c r="V76" s="125" t="s">
        <v>7450</v>
      </c>
      <c r="W76" s="125" t="s">
        <v>3654</v>
      </c>
      <c r="X76" s="125" t="s">
        <v>7531</v>
      </c>
      <c r="Y76" s="125" t="s">
        <v>7054</v>
      </c>
      <c r="Z76" s="125" t="s">
        <v>7533</v>
      </c>
      <c r="AA76" s="125" t="s">
        <v>7062</v>
      </c>
      <c r="AB76" s="125" t="s">
        <v>7534</v>
      </c>
      <c r="AC76" s="125" t="s">
        <v>5068</v>
      </c>
      <c r="AD76" s="125" t="s">
        <v>7535</v>
      </c>
      <c r="AE76" s="125" t="s">
        <v>2426</v>
      </c>
      <c r="AF76" s="125" t="s">
        <v>7536</v>
      </c>
      <c r="AG76" s="125" t="s">
        <v>7457</v>
      </c>
      <c r="AH76" s="125" t="s">
        <v>7537</v>
      </c>
      <c r="AI76" s="125" t="s">
        <v>7538</v>
      </c>
      <c r="AJ76" s="125" t="s">
        <v>7539</v>
      </c>
      <c r="AK76" s="125" t="s">
        <v>3412</v>
      </c>
      <c r="AL76" s="125" t="s">
        <v>3482</v>
      </c>
      <c r="AM76" s="125" t="s">
        <v>6758</v>
      </c>
      <c r="AN76" s="125" t="s">
        <v>7540</v>
      </c>
      <c r="AO76" s="124" t="s">
        <v>7541</v>
      </c>
      <c r="AP76" s="124" t="s">
        <v>7542</v>
      </c>
      <c r="AQ76" s="125" t="s">
        <v>7543</v>
      </c>
      <c r="AR76" s="125" t="s">
        <v>6680</v>
      </c>
      <c r="AS76" s="125" t="s">
        <v>4101</v>
      </c>
      <c r="AT76" s="125" t="s">
        <v>6936</v>
      </c>
      <c r="AU76" s="1268" t="str">
        <f>HYPERLINK("https://splits.io/m3t","1:18:40")</f>
        <v>1:18:40</v>
      </c>
      <c r="AV76" s="825" t="str">
        <f t="shared" si="1"/>
        <v>3:48</v>
      </c>
      <c r="AW76" s="1269" t="s">
        <v>7545</v>
      </c>
    </row>
    <row r="77" ht="15.75" customHeight="1">
      <c r="A77" s="1193" t="s">
        <v>7546</v>
      </c>
      <c r="B77" s="1013" t="s">
        <v>4964</v>
      </c>
      <c r="C77" s="1221">
        <v>0.052002314814814814</v>
      </c>
      <c r="D77" s="107" t="s">
        <v>7547</v>
      </c>
      <c r="E77" s="125" t="s">
        <v>5644</v>
      </c>
      <c r="F77" s="125" t="s">
        <v>7549</v>
      </c>
      <c r="G77" s="125" t="s">
        <v>7550</v>
      </c>
      <c r="H77" s="125" t="s">
        <v>7551</v>
      </c>
      <c r="I77" s="125" t="s">
        <v>386</v>
      </c>
      <c r="J77" s="125" t="s">
        <v>6264</v>
      </c>
      <c r="K77" s="125" t="s">
        <v>7448</v>
      </c>
      <c r="L77" s="125" t="s">
        <v>3662</v>
      </c>
      <c r="M77" s="125" t="s">
        <v>7114</v>
      </c>
      <c r="N77" s="125" t="s">
        <v>5994</v>
      </c>
      <c r="O77" s="125" t="s">
        <v>7552</v>
      </c>
      <c r="P77" s="125" t="s">
        <v>7553</v>
      </c>
      <c r="Q77" s="125" t="s">
        <v>7554</v>
      </c>
      <c r="R77" s="125" t="s">
        <v>4854</v>
      </c>
      <c r="S77" s="125" t="s">
        <v>6394</v>
      </c>
      <c r="T77" s="125" t="s">
        <v>1766</v>
      </c>
      <c r="U77" s="125" t="s">
        <v>7555</v>
      </c>
      <c r="V77" s="125" t="s">
        <v>1576</v>
      </c>
      <c r="W77" s="125" t="s">
        <v>7556</v>
      </c>
      <c r="X77" s="125" t="s">
        <v>6821</v>
      </c>
      <c r="Y77" s="125" t="s">
        <v>6651</v>
      </c>
      <c r="Z77" s="125" t="s">
        <v>5460</v>
      </c>
      <c r="AA77" s="125" t="s">
        <v>6437</v>
      </c>
      <c r="AB77" s="125" t="s">
        <v>7558</v>
      </c>
      <c r="AC77" s="125" t="s">
        <v>6535</v>
      </c>
      <c r="AD77" s="125" t="s">
        <v>7559</v>
      </c>
      <c r="AE77" s="125" t="s">
        <v>7474</v>
      </c>
      <c r="AF77" s="125" t="s">
        <v>7560</v>
      </c>
      <c r="AG77" s="125" t="s">
        <v>7561</v>
      </c>
      <c r="AH77" s="125" t="s">
        <v>3847</v>
      </c>
      <c r="AI77" s="125" t="s">
        <v>7563</v>
      </c>
      <c r="AJ77" s="125" t="s">
        <v>7564</v>
      </c>
      <c r="AK77" s="125" t="s">
        <v>6235</v>
      </c>
      <c r="AL77" s="125" t="s">
        <v>5193</v>
      </c>
      <c r="AM77" s="125" t="s">
        <v>4863</v>
      </c>
      <c r="AN77" s="125" t="s">
        <v>5390</v>
      </c>
      <c r="AO77" s="125" t="s">
        <v>5956</v>
      </c>
      <c r="AP77" s="125" t="s">
        <v>7565</v>
      </c>
      <c r="AQ77" s="125" t="s">
        <v>7566</v>
      </c>
      <c r="AR77" s="125" t="s">
        <v>7567</v>
      </c>
      <c r="AS77" s="125" t="s">
        <v>7568</v>
      </c>
      <c r="AT77" s="125" t="s">
        <v>7569</v>
      </c>
      <c r="AU77" s="125" t="s">
        <v>7570</v>
      </c>
      <c r="AV77" s="825" t="str">
        <f t="shared" si="1"/>
        <v>3:32</v>
      </c>
      <c r="AW77" s="1269" t="s">
        <v>7571</v>
      </c>
    </row>
    <row r="78" ht="15.75" customHeight="1">
      <c r="A78" s="1193" t="s">
        <v>7572</v>
      </c>
      <c r="B78" s="1158" t="s">
        <v>5005</v>
      </c>
      <c r="C78" s="1221">
        <v>0.05201388888888889</v>
      </c>
      <c r="D78" s="107" t="s">
        <v>7573</v>
      </c>
      <c r="E78" s="124" t="s">
        <v>7574</v>
      </c>
      <c r="F78" s="125" t="s">
        <v>7575</v>
      </c>
      <c r="G78" s="125" t="s">
        <v>7576</v>
      </c>
      <c r="H78" s="125" t="s">
        <v>450</v>
      </c>
      <c r="I78" s="125" t="s">
        <v>7578</v>
      </c>
      <c r="J78" s="125" t="s">
        <v>7579</v>
      </c>
      <c r="K78" s="125" t="s">
        <v>7580</v>
      </c>
      <c r="L78" s="125" t="s">
        <v>7581</v>
      </c>
      <c r="M78" s="125" t="s">
        <v>7582</v>
      </c>
      <c r="N78" s="125" t="s">
        <v>7584</v>
      </c>
      <c r="O78" s="125" t="s">
        <v>7586</v>
      </c>
      <c r="P78" s="125" t="s">
        <v>4705</v>
      </c>
      <c r="Q78" s="125" t="s">
        <v>7587</v>
      </c>
      <c r="R78" s="125" t="s">
        <v>1578</v>
      </c>
      <c r="S78" s="125" t="s">
        <v>7588</v>
      </c>
      <c r="T78" s="125" t="s">
        <v>7589</v>
      </c>
      <c r="U78" s="125" t="s">
        <v>7590</v>
      </c>
      <c r="V78" s="125" t="s">
        <v>1489</v>
      </c>
      <c r="W78" s="125" t="s">
        <v>7592</v>
      </c>
      <c r="X78" s="125" t="s">
        <v>6821</v>
      </c>
      <c r="Y78" s="125" t="s">
        <v>553</v>
      </c>
      <c r="Z78" s="125" t="s">
        <v>7594</v>
      </c>
      <c r="AA78" s="125" t="s">
        <v>7595</v>
      </c>
      <c r="AB78" s="125" t="s">
        <v>5740</v>
      </c>
      <c r="AC78" s="125" t="s">
        <v>3912</v>
      </c>
      <c r="AD78" s="125" t="s">
        <v>7596</v>
      </c>
      <c r="AE78" s="125" t="s">
        <v>493</v>
      </c>
      <c r="AF78" s="125" t="s">
        <v>7597</v>
      </c>
      <c r="AG78" s="125" t="s">
        <v>7303</v>
      </c>
      <c r="AH78" s="125" t="s">
        <v>7598</v>
      </c>
      <c r="AI78" s="125" t="s">
        <v>3032</v>
      </c>
      <c r="AJ78" s="125" t="s">
        <v>7599</v>
      </c>
      <c r="AK78" s="125" t="s">
        <v>6456</v>
      </c>
      <c r="AL78" s="125" t="s">
        <v>6870</v>
      </c>
      <c r="AM78" s="125" t="s">
        <v>3545</v>
      </c>
      <c r="AN78" s="125" t="s">
        <v>7241</v>
      </c>
      <c r="AO78" s="125" t="s">
        <v>6795</v>
      </c>
      <c r="AP78" s="125" t="s">
        <v>7600</v>
      </c>
      <c r="AQ78" s="125" t="s">
        <v>4210</v>
      </c>
      <c r="AR78" s="125" t="s">
        <v>5063</v>
      </c>
      <c r="AS78" s="125" t="s">
        <v>4977</v>
      </c>
      <c r="AT78" s="125" t="s">
        <v>7601</v>
      </c>
      <c r="AU78" s="125" t="s">
        <v>7602</v>
      </c>
      <c r="AV78" s="825" t="str">
        <f t="shared" si="1"/>
        <v>2:58</v>
      </c>
      <c r="AW78" s="1271" t="s">
        <v>7604</v>
      </c>
    </row>
    <row r="79" ht="15.75" customHeight="1">
      <c r="A79" s="1012" t="s">
        <v>58</v>
      </c>
      <c r="B79" s="1158" t="s">
        <v>5005</v>
      </c>
      <c r="C79" s="1221">
        <v>0.05207175925925926</v>
      </c>
      <c r="D79" s="107" t="s">
        <v>7605</v>
      </c>
      <c r="E79" s="125" t="s">
        <v>7606</v>
      </c>
      <c r="F79" s="125" t="s">
        <v>7607</v>
      </c>
      <c r="G79" s="125" t="s">
        <v>7608</v>
      </c>
      <c r="H79" s="125" t="s">
        <v>5451</v>
      </c>
      <c r="I79" s="125" t="s">
        <v>7609</v>
      </c>
      <c r="J79" s="125" t="s">
        <v>6102</v>
      </c>
      <c r="K79" s="125" t="s">
        <v>7073</v>
      </c>
      <c r="L79" s="125" t="s">
        <v>7610</v>
      </c>
      <c r="M79" s="125" t="s">
        <v>1211</v>
      </c>
      <c r="N79" s="125" t="s">
        <v>7611</v>
      </c>
      <c r="O79" s="125" t="s">
        <v>7612</v>
      </c>
      <c r="P79" s="125" t="s">
        <v>3202</v>
      </c>
      <c r="Q79" s="125" t="s">
        <v>7613</v>
      </c>
      <c r="R79" s="125" t="s">
        <v>7614</v>
      </c>
      <c r="S79" s="125" t="s">
        <v>7615</v>
      </c>
      <c r="T79" s="125" t="s">
        <v>3606</v>
      </c>
      <c r="U79" s="125" t="s">
        <v>7616</v>
      </c>
      <c r="V79" s="125" t="s">
        <v>2238</v>
      </c>
      <c r="W79" s="125" t="s">
        <v>5067</v>
      </c>
      <c r="X79" s="125" t="s">
        <v>7617</v>
      </c>
      <c r="Y79" s="125" t="s">
        <v>4786</v>
      </c>
      <c r="Z79" s="125" t="s">
        <v>1433</v>
      </c>
      <c r="AA79" s="125" t="s">
        <v>4890</v>
      </c>
      <c r="AB79" s="125" t="s">
        <v>7618</v>
      </c>
      <c r="AC79" s="125" t="s">
        <v>640</v>
      </c>
      <c r="AD79" s="125" t="s">
        <v>7619</v>
      </c>
      <c r="AE79" s="125" t="s">
        <v>6877</v>
      </c>
      <c r="AF79" s="125" t="s">
        <v>7621</v>
      </c>
      <c r="AG79" s="125" t="s">
        <v>6821</v>
      </c>
      <c r="AH79" s="125" t="s">
        <v>7622</v>
      </c>
      <c r="AI79" s="125" t="s">
        <v>7300</v>
      </c>
      <c r="AJ79" s="125" t="s">
        <v>7623</v>
      </c>
      <c r="AK79" s="125" t="s">
        <v>7624</v>
      </c>
      <c r="AL79" s="125" t="s">
        <v>7625</v>
      </c>
      <c r="AM79" s="125" t="s">
        <v>6965</v>
      </c>
      <c r="AN79" s="125" t="s">
        <v>6870</v>
      </c>
      <c r="AO79" s="125" t="s">
        <v>7580</v>
      </c>
      <c r="AP79" s="125" t="s">
        <v>6559</v>
      </c>
      <c r="AQ79" s="125" t="s">
        <v>7627</v>
      </c>
      <c r="AR79" s="125" t="s">
        <v>4887</v>
      </c>
      <c r="AS79" s="125" t="s">
        <v>6504</v>
      </c>
      <c r="AT79" s="125" t="s">
        <v>2880</v>
      </c>
      <c r="AU79" s="125" t="s">
        <v>7628</v>
      </c>
      <c r="AV79" s="825" t="str">
        <f t="shared" si="1"/>
        <v>3:10</v>
      </c>
      <c r="AW79" s="1271" t="s">
        <v>7629</v>
      </c>
    </row>
    <row r="80">
      <c r="A80" s="617" t="s">
        <v>84</v>
      </c>
      <c r="B80" s="1248" t="s">
        <v>5043</v>
      </c>
      <c r="C80" s="1162">
        <v>0.052141203703703703</v>
      </c>
      <c r="D80" s="107" t="s">
        <v>7630</v>
      </c>
      <c r="E80" s="1153" t="s">
        <v>7631</v>
      </c>
      <c r="F80" s="1153" t="s">
        <v>7632</v>
      </c>
      <c r="G80" s="1189" t="s">
        <v>7633</v>
      </c>
      <c r="H80" s="1189" t="s">
        <v>7634</v>
      </c>
      <c r="I80" s="1189" t="s">
        <v>7635</v>
      </c>
      <c r="J80" s="1189" t="s">
        <v>5107</v>
      </c>
      <c r="K80" s="1290" t="s">
        <v>5050</v>
      </c>
      <c r="L80" s="1291" t="s">
        <v>7287</v>
      </c>
      <c r="M80" s="1189" t="s">
        <v>7638</v>
      </c>
      <c r="N80" s="1189" t="s">
        <v>3606</v>
      </c>
      <c r="O80" s="1189" t="s">
        <v>7639</v>
      </c>
      <c r="P80" s="1189" t="s">
        <v>5894</v>
      </c>
      <c r="Q80" s="1189" t="s">
        <v>7640</v>
      </c>
      <c r="R80" s="1189" t="s">
        <v>7641</v>
      </c>
      <c r="S80" s="1293" t="s">
        <v>5058</v>
      </c>
      <c r="T80" s="1189" t="s">
        <v>5908</v>
      </c>
      <c r="U80" s="1189" t="s">
        <v>5742</v>
      </c>
      <c r="V80" s="1189" t="s">
        <v>7642</v>
      </c>
      <c r="W80" s="1189" t="s">
        <v>7643</v>
      </c>
      <c r="X80" s="1189" t="s">
        <v>7644</v>
      </c>
      <c r="Y80" s="1189" t="s">
        <v>6095</v>
      </c>
      <c r="Z80" s="1189" t="s">
        <v>7645</v>
      </c>
      <c r="AA80" s="1189" t="s">
        <v>1219</v>
      </c>
      <c r="AB80" s="1189" t="s">
        <v>2263</v>
      </c>
      <c r="AC80" s="1189" t="s">
        <v>6877</v>
      </c>
      <c r="AD80" s="1041" t="s">
        <v>5835</v>
      </c>
      <c r="AE80" s="1189" t="s">
        <v>1622</v>
      </c>
      <c r="AF80" s="1189" t="s">
        <v>7648</v>
      </c>
      <c r="AG80" s="1189" t="s">
        <v>7649</v>
      </c>
      <c r="AH80" s="1189" t="s">
        <v>7650</v>
      </c>
      <c r="AI80" s="1189" t="s">
        <v>7651</v>
      </c>
      <c r="AJ80" s="1189" t="s">
        <v>7652</v>
      </c>
      <c r="AK80" s="1189" t="s">
        <v>7653</v>
      </c>
      <c r="AL80" s="1189" t="s">
        <v>4376</v>
      </c>
      <c r="AM80" s="1189" t="s">
        <v>7126</v>
      </c>
      <c r="AN80" s="1189" t="s">
        <v>1496</v>
      </c>
      <c r="AO80" s="1189" t="s">
        <v>5808</v>
      </c>
      <c r="AP80" s="1189" t="s">
        <v>7654</v>
      </c>
      <c r="AQ80" s="1290" t="s">
        <v>5081</v>
      </c>
      <c r="AR80" s="1189" t="s">
        <v>7656</v>
      </c>
      <c r="AS80" s="1294" t="s">
        <v>2518</v>
      </c>
      <c r="AT80" s="1189" t="s">
        <v>7658</v>
      </c>
      <c r="AU80" s="1112" t="s">
        <v>7660</v>
      </c>
      <c r="AV80" s="825" t="str">
        <f t="shared" si="1"/>
        <v>4:08</v>
      </c>
      <c r="AW80" s="1295" t="s">
        <v>7661</v>
      </c>
    </row>
    <row r="81">
      <c r="A81" s="1125" t="s">
        <v>4268</v>
      </c>
      <c r="B81" s="1109" t="s">
        <v>4964</v>
      </c>
      <c r="C81" s="1014">
        <v>0.0522337962962963</v>
      </c>
      <c r="D81" s="1230" t="s">
        <v>7662</v>
      </c>
      <c r="E81" s="124" t="s">
        <v>7663</v>
      </c>
      <c r="F81" s="124" t="s">
        <v>7664</v>
      </c>
      <c r="G81" s="124" t="s">
        <v>7665</v>
      </c>
      <c r="H81" s="124" t="s">
        <v>7666</v>
      </c>
      <c r="I81" s="124" t="s">
        <v>7667</v>
      </c>
      <c r="J81" s="124" t="s">
        <v>3379</v>
      </c>
      <c r="K81" s="124" t="s">
        <v>7448</v>
      </c>
      <c r="L81" s="124" t="s">
        <v>7668</v>
      </c>
      <c r="M81" s="124" t="s">
        <v>7669</v>
      </c>
      <c r="N81" s="124" t="s">
        <v>6689</v>
      </c>
      <c r="O81" s="124" t="s">
        <v>7671</v>
      </c>
      <c r="P81" s="124" t="s">
        <v>7474</v>
      </c>
      <c r="Q81" s="124" t="s">
        <v>7672</v>
      </c>
      <c r="R81" s="124" t="s">
        <v>7673</v>
      </c>
      <c r="S81" s="124" t="s">
        <v>2160</v>
      </c>
      <c r="T81" s="124" t="s">
        <v>7397</v>
      </c>
      <c r="U81" s="124" t="s">
        <v>5874</v>
      </c>
      <c r="V81" s="124" t="s">
        <v>7674</v>
      </c>
      <c r="W81" s="124" t="s">
        <v>7675</v>
      </c>
      <c r="X81" s="124" t="s">
        <v>7676</v>
      </c>
      <c r="Y81" s="124" t="s">
        <v>3182</v>
      </c>
      <c r="Z81" s="124" t="s">
        <v>7677</v>
      </c>
      <c r="AA81" s="107" t="s">
        <v>7678</v>
      </c>
      <c r="AB81" s="124" t="s">
        <v>6837</v>
      </c>
      <c r="AC81" s="124" t="s">
        <v>7332</v>
      </c>
      <c r="AD81" s="124" t="s">
        <v>2408</v>
      </c>
      <c r="AE81" s="124" t="s">
        <v>6719</v>
      </c>
      <c r="AF81" s="137" t="s">
        <v>7679</v>
      </c>
      <c r="AG81" s="124" t="s">
        <v>7682</v>
      </c>
      <c r="AH81" s="124" t="s">
        <v>7684</v>
      </c>
      <c r="AI81" s="124" t="s">
        <v>2999</v>
      </c>
      <c r="AJ81" s="124" t="s">
        <v>7685</v>
      </c>
      <c r="AK81" s="124" t="s">
        <v>7686</v>
      </c>
      <c r="AL81" s="124" t="s">
        <v>7242</v>
      </c>
      <c r="AM81" s="124" t="s">
        <v>6691</v>
      </c>
      <c r="AN81" s="124" t="s">
        <v>4030</v>
      </c>
      <c r="AO81" s="124" t="s">
        <v>7688</v>
      </c>
      <c r="AP81" s="124" t="s">
        <v>7690</v>
      </c>
      <c r="AQ81" s="124" t="s">
        <v>7691</v>
      </c>
      <c r="AR81" s="124" t="s">
        <v>2603</v>
      </c>
      <c r="AS81" s="137" t="s">
        <v>887</v>
      </c>
      <c r="AT81" s="124" t="s">
        <v>7692</v>
      </c>
      <c r="AU81" s="124" t="s">
        <v>7693</v>
      </c>
      <c r="AV81" s="825" t="str">
        <f t="shared" si="1"/>
        <v>4:32</v>
      </c>
      <c r="AW81" s="1264" t="s">
        <v>7694</v>
      </c>
    </row>
    <row r="82">
      <c r="A82" s="1125" t="s">
        <v>7695</v>
      </c>
      <c r="B82" s="1120" t="s">
        <v>5005</v>
      </c>
      <c r="C82" s="1014">
        <v>0.05232638888888889</v>
      </c>
      <c r="D82" s="1230" t="s">
        <v>7696</v>
      </c>
      <c r="E82" s="124" t="s">
        <v>4481</v>
      </c>
      <c r="F82" s="124" t="s">
        <v>7697</v>
      </c>
      <c r="G82" s="124" t="s">
        <v>7698</v>
      </c>
      <c r="H82" s="124" t="s">
        <v>7699</v>
      </c>
      <c r="I82" s="124" t="s">
        <v>4079</v>
      </c>
      <c r="J82" s="124" t="s">
        <v>3092</v>
      </c>
      <c r="K82" s="124" t="s">
        <v>7082</v>
      </c>
      <c r="L82" s="124" t="s">
        <v>7700</v>
      </c>
      <c r="M82" s="124" t="s">
        <v>2385</v>
      </c>
      <c r="N82" s="124" t="s">
        <v>7701</v>
      </c>
      <c r="O82" s="124" t="s">
        <v>7702</v>
      </c>
      <c r="P82" s="124" t="s">
        <v>1738</v>
      </c>
      <c r="Q82" s="124" t="s">
        <v>6872</v>
      </c>
      <c r="R82" s="124" t="s">
        <v>7703</v>
      </c>
      <c r="S82" s="124" t="s">
        <v>6573</v>
      </c>
      <c r="T82" s="124" t="s">
        <v>3452</v>
      </c>
      <c r="U82" s="124" t="s">
        <v>7704</v>
      </c>
      <c r="V82" s="124" t="s">
        <v>7705</v>
      </c>
      <c r="W82" s="124" t="s">
        <v>7706</v>
      </c>
      <c r="X82" s="124" t="s">
        <v>933</v>
      </c>
      <c r="Y82" s="124" t="s">
        <v>384</v>
      </c>
      <c r="Z82" s="124" t="s">
        <v>3252</v>
      </c>
      <c r="AA82" s="125" t="s">
        <v>6573</v>
      </c>
      <c r="AB82" s="124" t="s">
        <v>7707</v>
      </c>
      <c r="AC82" s="124" t="s">
        <v>3072</v>
      </c>
      <c r="AD82" s="124" t="s">
        <v>7708</v>
      </c>
      <c r="AE82" s="124" t="s">
        <v>572</v>
      </c>
      <c r="AF82" s="124" t="s">
        <v>6044</v>
      </c>
      <c r="AG82" s="124" t="s">
        <v>7709</v>
      </c>
      <c r="AH82" s="124" t="s">
        <v>7259</v>
      </c>
      <c r="AI82" s="124" t="s">
        <v>1382</v>
      </c>
      <c r="AJ82" s="124" t="s">
        <v>7710</v>
      </c>
      <c r="AK82" s="124" t="s">
        <v>7711</v>
      </c>
      <c r="AL82" s="124" t="s">
        <v>7302</v>
      </c>
      <c r="AM82" s="124" t="s">
        <v>7303</v>
      </c>
      <c r="AN82" s="124" t="s">
        <v>7712</v>
      </c>
      <c r="AO82" s="124" t="s">
        <v>1062</v>
      </c>
      <c r="AP82" s="124" t="s">
        <v>7714</v>
      </c>
      <c r="AQ82" s="124" t="s">
        <v>2383</v>
      </c>
      <c r="AR82" s="124" t="s">
        <v>7318</v>
      </c>
      <c r="AS82" s="124" t="s">
        <v>7715</v>
      </c>
      <c r="AT82" s="124" t="s">
        <v>7716</v>
      </c>
      <c r="AU82" s="124" t="s">
        <v>7717</v>
      </c>
      <c r="AV82" s="825" t="str">
        <f t="shared" si="1"/>
        <v>3:48</v>
      </c>
      <c r="AW82" s="1271"/>
    </row>
    <row r="83" ht="15.75" customHeight="1">
      <c r="A83" s="1012" t="s">
        <v>7718</v>
      </c>
      <c r="B83" s="1013" t="s">
        <v>4964</v>
      </c>
      <c r="C83" s="1221">
        <v>0.05240740740740741</v>
      </c>
      <c r="D83" s="107" t="s">
        <v>7719</v>
      </c>
      <c r="E83" s="125" t="s">
        <v>6905</v>
      </c>
      <c r="F83" s="125" t="s">
        <v>3306</v>
      </c>
      <c r="G83" s="125" t="s">
        <v>7273</v>
      </c>
      <c r="H83" s="125" t="s">
        <v>7720</v>
      </c>
      <c r="I83" s="125" t="s">
        <v>7721</v>
      </c>
      <c r="J83" s="125" t="s">
        <v>2895</v>
      </c>
      <c r="K83" s="125" t="s">
        <v>7723</v>
      </c>
      <c r="L83" s="125" t="s">
        <v>6372</v>
      </c>
      <c r="M83" s="125" t="s">
        <v>751</v>
      </c>
      <c r="N83" s="125" t="s">
        <v>7724</v>
      </c>
      <c r="O83" s="125" t="s">
        <v>7725</v>
      </c>
      <c r="P83" s="125" t="s">
        <v>3398</v>
      </c>
      <c r="Q83" s="125" t="s">
        <v>7726</v>
      </c>
      <c r="R83" s="125" t="s">
        <v>6778</v>
      </c>
      <c r="S83" s="125" t="s">
        <v>6968</v>
      </c>
      <c r="T83" s="125" t="s">
        <v>483</v>
      </c>
      <c r="U83" s="125" t="s">
        <v>7727</v>
      </c>
      <c r="V83" s="125" t="s">
        <v>7728</v>
      </c>
      <c r="W83" s="125" t="s">
        <v>7729</v>
      </c>
      <c r="X83" s="125" t="s">
        <v>7730</v>
      </c>
      <c r="Y83" s="125" t="s">
        <v>2418</v>
      </c>
      <c r="Z83" s="125" t="s">
        <v>7533</v>
      </c>
      <c r="AA83" s="125" t="s">
        <v>6649</v>
      </c>
      <c r="AB83" s="125" t="s">
        <v>1951</v>
      </c>
      <c r="AC83" s="125" t="s">
        <v>5126</v>
      </c>
      <c r="AD83" s="125" t="s">
        <v>7731</v>
      </c>
      <c r="AE83" s="125" t="s">
        <v>5126</v>
      </c>
      <c r="AF83" s="125" t="s">
        <v>7732</v>
      </c>
      <c r="AG83" s="125" t="s">
        <v>7181</v>
      </c>
      <c r="AH83" s="125" t="s">
        <v>7733</v>
      </c>
      <c r="AI83" s="125" t="s">
        <v>6695</v>
      </c>
      <c r="AJ83" s="125" t="s">
        <v>7734</v>
      </c>
      <c r="AK83" s="125" t="s">
        <v>7429</v>
      </c>
      <c r="AL83" s="125" t="s">
        <v>7735</v>
      </c>
      <c r="AM83" s="125" t="s">
        <v>4406</v>
      </c>
      <c r="AN83" s="125" t="s">
        <v>7736</v>
      </c>
      <c r="AO83" s="125" t="s">
        <v>7737</v>
      </c>
      <c r="AP83" s="125" t="s">
        <v>7738</v>
      </c>
      <c r="AQ83" s="125" t="s">
        <v>7739</v>
      </c>
      <c r="AR83" s="125" t="s">
        <v>7740</v>
      </c>
      <c r="AS83" s="125" t="s">
        <v>5180</v>
      </c>
      <c r="AT83" s="125" t="s">
        <v>6281</v>
      </c>
      <c r="AU83" s="125" t="s">
        <v>7741</v>
      </c>
      <c r="AV83" s="825" t="str">
        <f t="shared" si="1"/>
        <v>3:40</v>
      </c>
      <c r="AW83" s="1269" t="s">
        <v>7742</v>
      </c>
    </row>
    <row r="84" ht="15.75" customHeight="1">
      <c r="A84" s="1193" t="s">
        <v>7743</v>
      </c>
      <c r="B84" s="1013" t="s">
        <v>4964</v>
      </c>
      <c r="C84" s="1221">
        <v>0.05263888888888889</v>
      </c>
      <c r="D84" s="107" t="s">
        <v>7745</v>
      </c>
      <c r="E84" s="125" t="s">
        <v>1016</v>
      </c>
      <c r="F84" s="125" t="s">
        <v>7746</v>
      </c>
      <c r="G84" s="125" t="s">
        <v>7747</v>
      </c>
      <c r="H84" s="125" t="s">
        <v>7748</v>
      </c>
      <c r="I84" s="125" t="s">
        <v>7749</v>
      </c>
      <c r="J84" s="125" t="s">
        <v>7750</v>
      </c>
      <c r="K84" s="125" t="s">
        <v>6760</v>
      </c>
      <c r="L84" s="125" t="s">
        <v>6844</v>
      </c>
      <c r="M84" s="125" t="s">
        <v>6309</v>
      </c>
      <c r="N84" s="125" t="s">
        <v>7751</v>
      </c>
      <c r="O84" s="125" t="s">
        <v>5786</v>
      </c>
      <c r="P84" s="125" t="s">
        <v>1639</v>
      </c>
      <c r="Q84" s="125" t="s">
        <v>7752</v>
      </c>
      <c r="R84" s="125" t="s">
        <v>7476</v>
      </c>
      <c r="S84" s="125" t="s">
        <v>7753</v>
      </c>
      <c r="T84" s="125" t="s">
        <v>7754</v>
      </c>
      <c r="U84" s="125" t="s">
        <v>7755</v>
      </c>
      <c r="V84" s="125" t="s">
        <v>7756</v>
      </c>
      <c r="W84" s="125" t="s">
        <v>7757</v>
      </c>
      <c r="X84" s="125" t="s">
        <v>7758</v>
      </c>
      <c r="Y84" s="125" t="s">
        <v>5126</v>
      </c>
      <c r="Z84" s="125" t="s">
        <v>246</v>
      </c>
      <c r="AA84" s="124" t="s">
        <v>7759</v>
      </c>
      <c r="AB84" s="125" t="s">
        <v>6140</v>
      </c>
      <c r="AC84" s="125" t="s">
        <v>7375</v>
      </c>
      <c r="AD84" s="125" t="s">
        <v>7761</v>
      </c>
      <c r="AE84" s="125" t="s">
        <v>6388</v>
      </c>
      <c r="AF84" s="125" t="s">
        <v>7762</v>
      </c>
      <c r="AG84" s="125" t="s">
        <v>3071</v>
      </c>
      <c r="AH84" s="125" t="s">
        <v>2883</v>
      </c>
      <c r="AI84" s="125" t="s">
        <v>7763</v>
      </c>
      <c r="AJ84" s="125" t="s">
        <v>7764</v>
      </c>
      <c r="AK84" s="125" t="s">
        <v>6815</v>
      </c>
      <c r="AL84" s="125" t="s">
        <v>7765</v>
      </c>
      <c r="AM84" s="125" t="s">
        <v>7766</v>
      </c>
      <c r="AN84" s="125" t="s">
        <v>6572</v>
      </c>
      <c r="AO84" s="125" t="s">
        <v>5808</v>
      </c>
      <c r="AP84" s="125" t="s">
        <v>7767</v>
      </c>
      <c r="AQ84" s="125" t="s">
        <v>7768</v>
      </c>
      <c r="AR84" s="125" t="s">
        <v>4730</v>
      </c>
      <c r="AS84" s="125" t="s">
        <v>4101</v>
      </c>
      <c r="AT84" s="125" t="s">
        <v>7769</v>
      </c>
      <c r="AU84" s="125" t="s">
        <v>7771</v>
      </c>
      <c r="AV84" s="825" t="str">
        <f t="shared" si="1"/>
        <v>4:28</v>
      </c>
      <c r="AW84" s="1269" t="s">
        <v>7772</v>
      </c>
    </row>
    <row r="85">
      <c r="A85" s="1125" t="s">
        <v>3549</v>
      </c>
      <c r="B85" s="1232" t="s">
        <v>5043</v>
      </c>
      <c r="C85" s="1014">
        <v>0.052662037037037035</v>
      </c>
      <c r="D85" s="107" t="s">
        <v>7773</v>
      </c>
      <c r="E85" s="107" t="s">
        <v>1779</v>
      </c>
      <c r="F85" s="107" t="s">
        <v>7774</v>
      </c>
      <c r="G85" s="107" t="s">
        <v>7775</v>
      </c>
      <c r="H85" s="107" t="s">
        <v>5563</v>
      </c>
      <c r="I85" s="107" t="s">
        <v>7776</v>
      </c>
      <c r="J85" s="107" t="s">
        <v>5223</v>
      </c>
      <c r="K85" s="107" t="s">
        <v>7777</v>
      </c>
      <c r="L85" s="107" t="s">
        <v>6340</v>
      </c>
      <c r="M85" s="107" t="s">
        <v>774</v>
      </c>
      <c r="N85" s="107" t="s">
        <v>6004</v>
      </c>
      <c r="O85" s="107" t="s">
        <v>7778</v>
      </c>
      <c r="P85" s="107" t="s">
        <v>7779</v>
      </c>
      <c r="Q85" s="107" t="s">
        <v>7781</v>
      </c>
      <c r="R85" s="107" t="s">
        <v>7782</v>
      </c>
      <c r="S85" s="107" t="s">
        <v>7783</v>
      </c>
      <c r="T85" s="107" t="s">
        <v>7784</v>
      </c>
      <c r="U85" s="107" t="s">
        <v>7785</v>
      </c>
      <c r="V85" s="107" t="s">
        <v>7786</v>
      </c>
      <c r="W85" s="107" t="s">
        <v>7787</v>
      </c>
      <c r="X85" s="107" t="s">
        <v>7788</v>
      </c>
      <c r="Y85" s="107" t="s">
        <v>1572</v>
      </c>
      <c r="Z85" s="107" t="s">
        <v>666</v>
      </c>
      <c r="AA85" s="124" t="s">
        <v>7790</v>
      </c>
      <c r="AB85" s="107" t="s">
        <v>7791</v>
      </c>
      <c r="AC85" s="107" t="s">
        <v>382</v>
      </c>
      <c r="AD85" s="1301" t="s">
        <v>5067</v>
      </c>
      <c r="AE85" s="107" t="s">
        <v>148</v>
      </c>
      <c r="AF85" s="107" t="s">
        <v>7792</v>
      </c>
      <c r="AG85" s="107" t="s">
        <v>2259</v>
      </c>
      <c r="AH85" s="107" t="s">
        <v>7794</v>
      </c>
      <c r="AI85" s="107" t="s">
        <v>7795</v>
      </c>
      <c r="AJ85" s="107" t="s">
        <v>7796</v>
      </c>
      <c r="AK85" s="107" t="s">
        <v>7797</v>
      </c>
      <c r="AL85" s="107" t="s">
        <v>7799</v>
      </c>
      <c r="AM85" s="107" t="s">
        <v>7801</v>
      </c>
      <c r="AN85" s="1301" t="s">
        <v>5076</v>
      </c>
      <c r="AO85" s="107" t="s">
        <v>7803</v>
      </c>
      <c r="AP85" s="107" t="s">
        <v>7804</v>
      </c>
      <c r="AQ85" s="107" t="s">
        <v>7806</v>
      </c>
      <c r="AR85" s="107" t="s">
        <v>2951</v>
      </c>
      <c r="AS85" s="107" t="s">
        <v>6048</v>
      </c>
      <c r="AT85" s="107" t="s">
        <v>7807</v>
      </c>
      <c r="AU85" s="1303" t="s">
        <v>7808</v>
      </c>
      <c r="AV85" s="825" t="str">
        <f t="shared" si="1"/>
        <v>4:43</v>
      </c>
      <c r="AW85" s="1242" t="s">
        <v>7809</v>
      </c>
    </row>
    <row r="86" ht="15.75" customHeight="1">
      <c r="A86" s="1125" t="s">
        <v>7810</v>
      </c>
      <c r="B86" s="1120" t="s">
        <v>4964</v>
      </c>
      <c r="C86" s="1014">
        <v>0.05267361111111111</v>
      </c>
      <c r="D86" s="1230" t="s">
        <v>6922</v>
      </c>
      <c r="E86" s="124" t="s">
        <v>511</v>
      </c>
      <c r="F86" s="124" t="s">
        <v>7811</v>
      </c>
      <c r="G86" s="124" t="s">
        <v>7812</v>
      </c>
      <c r="H86" s="124" t="s">
        <v>7813</v>
      </c>
      <c r="I86" s="124" t="s">
        <v>7814</v>
      </c>
      <c r="J86" s="107" t="s">
        <v>7815</v>
      </c>
      <c r="K86" s="124" t="s">
        <v>7816</v>
      </c>
      <c r="L86" s="124" t="s">
        <v>7794</v>
      </c>
      <c r="M86" s="124" t="s">
        <v>2167</v>
      </c>
      <c r="N86" s="124" t="s">
        <v>7818</v>
      </c>
      <c r="O86" s="124" t="s">
        <v>7819</v>
      </c>
      <c r="P86" s="124" t="s">
        <v>6876</v>
      </c>
      <c r="Q86" s="124" t="s">
        <v>7820</v>
      </c>
      <c r="R86" s="124" t="s">
        <v>7821</v>
      </c>
      <c r="S86" s="124" t="s">
        <v>7822</v>
      </c>
      <c r="T86" s="124" t="s">
        <v>7823</v>
      </c>
      <c r="U86" s="124" t="s">
        <v>7824</v>
      </c>
      <c r="V86" s="124" t="s">
        <v>6396</v>
      </c>
      <c r="W86" s="124" t="s">
        <v>7825</v>
      </c>
      <c r="X86" s="124" t="s">
        <v>7487</v>
      </c>
      <c r="Y86" s="124" t="s">
        <v>6259</v>
      </c>
      <c r="Z86" s="124" t="s">
        <v>5420</v>
      </c>
      <c r="AA86" s="124" t="s">
        <v>7826</v>
      </c>
      <c r="AB86" s="124" t="s">
        <v>2697</v>
      </c>
      <c r="AC86" s="124" t="s">
        <v>6059</v>
      </c>
      <c r="AD86" s="124" t="s">
        <v>7827</v>
      </c>
      <c r="AE86" s="124" t="s">
        <v>7201</v>
      </c>
      <c r="AF86" s="124" t="s">
        <v>7828</v>
      </c>
      <c r="AG86" s="124" t="s">
        <v>7829</v>
      </c>
      <c r="AH86" s="124" t="s">
        <v>6844</v>
      </c>
      <c r="AI86" s="124" t="s">
        <v>7830</v>
      </c>
      <c r="AJ86" s="124" t="s">
        <v>7831</v>
      </c>
      <c r="AK86" s="124" t="s">
        <v>7328</v>
      </c>
      <c r="AL86" s="124" t="s">
        <v>3176</v>
      </c>
      <c r="AM86" s="124" t="s">
        <v>7328</v>
      </c>
      <c r="AN86" s="124" t="s">
        <v>3176</v>
      </c>
      <c r="AO86" s="124" t="s">
        <v>7337</v>
      </c>
      <c r="AP86" s="124" t="s">
        <v>7832</v>
      </c>
      <c r="AQ86" s="124" t="s">
        <v>7834</v>
      </c>
      <c r="AR86" s="124" t="s">
        <v>7566</v>
      </c>
      <c r="AS86" s="124" t="s">
        <v>7835</v>
      </c>
      <c r="AT86" s="124" t="s">
        <v>7837</v>
      </c>
      <c r="AU86" s="124" t="s">
        <v>7838</v>
      </c>
      <c r="AV86" s="825" t="str">
        <f t="shared" si="1"/>
        <v>5:58</v>
      </c>
      <c r="AW86" s="1264" t="s">
        <v>7839</v>
      </c>
    </row>
    <row r="87" ht="15.75" customHeight="1">
      <c r="A87" s="1012" t="s">
        <v>7840</v>
      </c>
      <c r="B87" s="1158" t="s">
        <v>5005</v>
      </c>
      <c r="C87" s="1221">
        <v>0.05275462962962963</v>
      </c>
      <c r="D87" s="107" t="s">
        <v>7841</v>
      </c>
      <c r="E87" s="125" t="s">
        <v>6949</v>
      </c>
      <c r="F87" s="125" t="s">
        <v>7842</v>
      </c>
      <c r="G87" s="125" t="s">
        <v>5360</v>
      </c>
      <c r="H87" s="125" t="s">
        <v>1197</v>
      </c>
      <c r="I87" s="125" t="s">
        <v>7843</v>
      </c>
      <c r="J87" s="125" t="s">
        <v>5971</v>
      </c>
      <c r="K87" s="125" t="s">
        <v>7419</v>
      </c>
      <c r="L87" s="125" t="s">
        <v>2754</v>
      </c>
      <c r="M87" s="125" t="s">
        <v>7844</v>
      </c>
      <c r="N87" s="125" t="s">
        <v>7845</v>
      </c>
      <c r="O87" s="125" t="s">
        <v>7846</v>
      </c>
      <c r="P87" s="125" t="s">
        <v>7847</v>
      </c>
      <c r="Q87" s="125" t="s">
        <v>7849</v>
      </c>
      <c r="R87" s="125" t="s">
        <v>7850</v>
      </c>
      <c r="S87" s="125" t="s">
        <v>5435</v>
      </c>
      <c r="T87" s="125" t="s">
        <v>7851</v>
      </c>
      <c r="U87" s="125" t="s">
        <v>1671</v>
      </c>
      <c r="V87" s="125" t="s">
        <v>7852</v>
      </c>
      <c r="W87" s="125" t="s">
        <v>7853</v>
      </c>
      <c r="X87" s="125" t="s">
        <v>5370</v>
      </c>
      <c r="Y87" s="125" t="s">
        <v>7855</v>
      </c>
      <c r="Z87" s="125" t="s">
        <v>5740</v>
      </c>
      <c r="AA87" s="125" t="s">
        <v>7856</v>
      </c>
      <c r="AB87" s="125" t="s">
        <v>1652</v>
      </c>
      <c r="AC87" s="125" t="s">
        <v>359</v>
      </c>
      <c r="AD87" s="125" t="s">
        <v>7857</v>
      </c>
      <c r="AE87" s="125" t="s">
        <v>7858</v>
      </c>
      <c r="AF87" s="125" t="s">
        <v>6512</v>
      </c>
      <c r="AG87" s="125" t="s">
        <v>5094</v>
      </c>
      <c r="AH87" s="125" t="s">
        <v>2948</v>
      </c>
      <c r="AI87" s="125" t="s">
        <v>7859</v>
      </c>
      <c r="AJ87" s="125" t="s">
        <v>7860</v>
      </c>
      <c r="AK87" s="125" t="s">
        <v>7861</v>
      </c>
      <c r="AL87" s="125" t="s">
        <v>7862</v>
      </c>
      <c r="AM87" s="125" t="s">
        <v>7864</v>
      </c>
      <c r="AN87" s="125" t="s">
        <v>7865</v>
      </c>
      <c r="AO87" s="125" t="s">
        <v>7866</v>
      </c>
      <c r="AP87" s="125" t="s">
        <v>7868</v>
      </c>
      <c r="AQ87" s="125" t="s">
        <v>7869</v>
      </c>
      <c r="AR87" s="125" t="s">
        <v>7294</v>
      </c>
      <c r="AS87" s="125" t="s">
        <v>5753</v>
      </c>
      <c r="AT87" s="125" t="s">
        <v>7870</v>
      </c>
      <c r="AU87" s="125" t="s">
        <v>7871</v>
      </c>
      <c r="AV87" s="825" t="str">
        <f t="shared" si="1"/>
        <v>3:59</v>
      </c>
      <c r="AW87" s="1271" t="s">
        <v>7872</v>
      </c>
    </row>
    <row r="88" ht="15.75" customHeight="1">
      <c r="A88" s="1193" t="s">
        <v>7873</v>
      </c>
      <c r="B88" s="1248" t="s">
        <v>5043</v>
      </c>
      <c r="C88" s="1221">
        <v>0.05291666666666667</v>
      </c>
      <c r="D88" s="107" t="s">
        <v>7874</v>
      </c>
      <c r="E88" s="125" t="s">
        <v>7875</v>
      </c>
      <c r="F88" s="125" t="s">
        <v>7876</v>
      </c>
      <c r="G88" s="125" t="s">
        <v>6759</v>
      </c>
      <c r="H88" s="125" t="s">
        <v>7197</v>
      </c>
      <c r="I88" s="125" t="s">
        <v>6215</v>
      </c>
      <c r="J88" s="125" t="s">
        <v>7879</v>
      </c>
      <c r="K88" s="125" t="s">
        <v>7880</v>
      </c>
      <c r="L88" s="125" t="s">
        <v>2330</v>
      </c>
      <c r="M88" s="125" t="s">
        <v>7881</v>
      </c>
      <c r="N88" s="125" t="s">
        <v>7883</v>
      </c>
      <c r="O88" s="125" t="s">
        <v>7884</v>
      </c>
      <c r="P88" s="125" t="s">
        <v>7014</v>
      </c>
      <c r="Q88" s="125" t="s">
        <v>7885</v>
      </c>
      <c r="R88" s="125" t="s">
        <v>6873</v>
      </c>
      <c r="S88" s="125" t="s">
        <v>5781</v>
      </c>
      <c r="T88" s="125" t="s">
        <v>5757</v>
      </c>
      <c r="U88" s="125" t="s">
        <v>7886</v>
      </c>
      <c r="V88" s="125" t="s">
        <v>4347</v>
      </c>
      <c r="W88" s="125" t="s">
        <v>5321</v>
      </c>
      <c r="X88" s="125" t="s">
        <v>7887</v>
      </c>
      <c r="Y88" s="125" t="s">
        <v>406</v>
      </c>
      <c r="Z88" s="125" t="s">
        <v>7888</v>
      </c>
      <c r="AA88" s="124" t="s">
        <v>2959</v>
      </c>
      <c r="AB88" s="125" t="s">
        <v>7029</v>
      </c>
      <c r="AC88" s="125" t="s">
        <v>6651</v>
      </c>
      <c r="AD88" s="125" t="s">
        <v>7890</v>
      </c>
      <c r="AE88" s="125" t="s">
        <v>7891</v>
      </c>
      <c r="AF88" s="125" t="s">
        <v>7892</v>
      </c>
      <c r="AG88" s="125" t="s">
        <v>7893</v>
      </c>
      <c r="AH88" s="125" t="s">
        <v>6681</v>
      </c>
      <c r="AI88" s="125" t="s">
        <v>7894</v>
      </c>
      <c r="AJ88" s="125" t="s">
        <v>7895</v>
      </c>
      <c r="AK88" s="125" t="s">
        <v>7897</v>
      </c>
      <c r="AL88" s="125" t="s">
        <v>6952</v>
      </c>
      <c r="AM88" s="125" t="s">
        <v>2272</v>
      </c>
      <c r="AN88" s="125" t="s">
        <v>7898</v>
      </c>
      <c r="AO88" s="125" t="s">
        <v>7899</v>
      </c>
      <c r="AP88" s="125" t="s">
        <v>3762</v>
      </c>
      <c r="AQ88" s="125" t="s">
        <v>7901</v>
      </c>
      <c r="AR88" s="125" t="s">
        <v>7754</v>
      </c>
      <c r="AS88" s="125" t="s">
        <v>7902</v>
      </c>
      <c r="AT88" s="125" t="s">
        <v>7903</v>
      </c>
      <c r="AU88" s="125" t="s">
        <v>7904</v>
      </c>
      <c r="AV88" s="825" t="str">
        <f t="shared" si="1"/>
        <v>2:38</v>
      </c>
      <c r="AW88" s="1271"/>
    </row>
    <row r="89" ht="15.75" customHeight="1">
      <c r="A89" s="1125" t="s">
        <v>3560</v>
      </c>
      <c r="B89" s="1109" t="s">
        <v>4964</v>
      </c>
      <c r="C89" s="1014">
        <v>0.05324074074074074</v>
      </c>
      <c r="D89" s="107" t="s">
        <v>7905</v>
      </c>
      <c r="E89" s="107" t="s">
        <v>7906</v>
      </c>
      <c r="F89" s="107" t="s">
        <v>7907</v>
      </c>
      <c r="G89" s="107" t="s">
        <v>6317</v>
      </c>
      <c r="H89" s="107" t="s">
        <v>7908</v>
      </c>
      <c r="I89" s="107" t="s">
        <v>6877</v>
      </c>
      <c r="J89" s="107" t="s">
        <v>5675</v>
      </c>
      <c r="K89" s="107" t="s">
        <v>7909</v>
      </c>
      <c r="L89" s="107" t="s">
        <v>7911</v>
      </c>
      <c r="M89" s="107" t="s">
        <v>7912</v>
      </c>
      <c r="N89" s="107" t="s">
        <v>7913</v>
      </c>
      <c r="O89" s="107" t="s">
        <v>7914</v>
      </c>
      <c r="P89" s="107" t="s">
        <v>7915</v>
      </c>
      <c r="Q89" s="107" t="s">
        <v>7917</v>
      </c>
      <c r="R89" s="107" t="s">
        <v>7918</v>
      </c>
      <c r="S89" s="107" t="s">
        <v>7730</v>
      </c>
      <c r="T89" s="107" t="s">
        <v>7919</v>
      </c>
      <c r="U89" s="107" t="s">
        <v>7921</v>
      </c>
      <c r="V89" s="107" t="s">
        <v>7922</v>
      </c>
      <c r="W89" s="107" t="s">
        <v>7923</v>
      </c>
      <c r="X89" s="107" t="s">
        <v>7924</v>
      </c>
      <c r="Y89" s="107" t="s">
        <v>7814</v>
      </c>
      <c r="Z89" s="107" t="s">
        <v>7925</v>
      </c>
      <c r="AA89" s="124" t="s">
        <v>7926</v>
      </c>
      <c r="AB89" s="107" t="s">
        <v>6929</v>
      </c>
      <c r="AC89" s="107" t="s">
        <v>4085</v>
      </c>
      <c r="AD89" s="107" t="s">
        <v>7927</v>
      </c>
      <c r="AE89" s="107" t="s">
        <v>6624</v>
      </c>
      <c r="AF89" s="107" t="s">
        <v>7928</v>
      </c>
      <c r="AG89" s="107" t="s">
        <v>7649</v>
      </c>
      <c r="AH89" s="107" t="s">
        <v>7929</v>
      </c>
      <c r="AI89" s="107" t="s">
        <v>7930</v>
      </c>
      <c r="AJ89" s="107" t="s">
        <v>742</v>
      </c>
      <c r="AK89" s="124" t="s">
        <v>7932</v>
      </c>
      <c r="AL89" s="107" t="s">
        <v>7387</v>
      </c>
      <c r="AM89" s="107" t="s">
        <v>1765</v>
      </c>
      <c r="AN89" s="107" t="s">
        <v>7117</v>
      </c>
      <c r="AO89" s="107" t="s">
        <v>7933</v>
      </c>
      <c r="AP89" s="107" t="s">
        <v>7934</v>
      </c>
      <c r="AQ89" s="107" t="s">
        <v>7935</v>
      </c>
      <c r="AR89" s="124" t="s">
        <v>7936</v>
      </c>
      <c r="AS89" s="107" t="s">
        <v>7937</v>
      </c>
      <c r="AT89" s="107" t="s">
        <v>7938</v>
      </c>
      <c r="AU89" s="124" t="s">
        <v>7808</v>
      </c>
      <c r="AV89" s="825" t="str">
        <f t="shared" si="1"/>
        <v>3:53</v>
      </c>
      <c r="AW89" s="1264" t="s">
        <v>7940</v>
      </c>
    </row>
    <row r="90">
      <c r="A90" s="1125" t="s">
        <v>3650</v>
      </c>
      <c r="B90" s="1120" t="s">
        <v>5043</v>
      </c>
      <c r="C90" s="1014">
        <v>0.05331018518518518</v>
      </c>
      <c r="D90" s="124" t="s">
        <v>7941</v>
      </c>
      <c r="E90" s="124" t="s">
        <v>3542</v>
      </c>
      <c r="F90" s="124" t="s">
        <v>7607</v>
      </c>
      <c r="G90" s="124" t="s">
        <v>7942</v>
      </c>
      <c r="H90" s="107" t="s">
        <v>7943</v>
      </c>
      <c r="I90" s="124" t="s">
        <v>7944</v>
      </c>
      <c r="J90" s="124" t="s">
        <v>7261</v>
      </c>
      <c r="K90" s="124" t="s">
        <v>5354</v>
      </c>
      <c r="L90" s="124" t="s">
        <v>7945</v>
      </c>
      <c r="M90" s="124" t="s">
        <v>7946</v>
      </c>
      <c r="N90" s="124" t="s">
        <v>6965</v>
      </c>
      <c r="O90" s="124" t="s">
        <v>7947</v>
      </c>
      <c r="P90" s="124" t="s">
        <v>3072</v>
      </c>
      <c r="Q90" s="124" t="s">
        <v>7949</v>
      </c>
      <c r="R90" s="124" t="s">
        <v>1935</v>
      </c>
      <c r="S90" s="124" t="s">
        <v>2907</v>
      </c>
      <c r="T90" s="124" t="s">
        <v>1116</v>
      </c>
      <c r="U90" s="124" t="s">
        <v>7952</v>
      </c>
      <c r="V90" s="124" t="s">
        <v>7232</v>
      </c>
      <c r="W90" s="124" t="s">
        <v>7953</v>
      </c>
      <c r="X90" s="124" t="s">
        <v>5099</v>
      </c>
      <c r="Y90" s="124" t="s">
        <v>7954</v>
      </c>
      <c r="Z90" s="124" t="s">
        <v>6968</v>
      </c>
      <c r="AA90" s="124" t="s">
        <v>7955</v>
      </c>
      <c r="AB90" s="124" t="s">
        <v>5259</v>
      </c>
      <c r="AC90" s="124" t="s">
        <v>7956</v>
      </c>
      <c r="AD90" s="124" t="s">
        <v>7957</v>
      </c>
      <c r="AE90" s="124" t="s">
        <v>7855</v>
      </c>
      <c r="AF90" s="124" t="s">
        <v>7958</v>
      </c>
      <c r="AG90" s="124" t="s">
        <v>5946</v>
      </c>
      <c r="AH90" s="124" t="s">
        <v>7959</v>
      </c>
      <c r="AI90" s="124" t="s">
        <v>7960</v>
      </c>
      <c r="AJ90" s="124" t="s">
        <v>7961</v>
      </c>
      <c r="AK90" s="124" t="s">
        <v>5436</v>
      </c>
      <c r="AL90" s="124" t="s">
        <v>5077</v>
      </c>
      <c r="AM90" s="124" t="s">
        <v>7962</v>
      </c>
      <c r="AN90" s="124" t="s">
        <v>7963</v>
      </c>
      <c r="AO90" s="124" t="s">
        <v>7964</v>
      </c>
      <c r="AP90" s="124" t="s">
        <v>7965</v>
      </c>
      <c r="AQ90" s="124" t="s">
        <v>7966</v>
      </c>
      <c r="AR90" s="124" t="s">
        <v>7142</v>
      </c>
      <c r="AS90" s="124" t="s">
        <v>2404</v>
      </c>
      <c r="AT90" s="124" t="s">
        <v>7967</v>
      </c>
      <c r="AU90" s="124" t="s">
        <v>7968</v>
      </c>
      <c r="AV90" s="825" t="str">
        <f t="shared" si="1"/>
        <v>4:18</v>
      </c>
      <c r="AW90" s="1271"/>
    </row>
    <row r="91" ht="15.75" customHeight="1">
      <c r="A91" s="1193" t="s">
        <v>7969</v>
      </c>
      <c r="B91" s="1248" t="s">
        <v>5043</v>
      </c>
      <c r="C91" s="1014">
        <v>0.05348379629629629</v>
      </c>
      <c r="D91" s="107" t="s">
        <v>7971</v>
      </c>
      <c r="E91" s="125" t="s">
        <v>7663</v>
      </c>
      <c r="F91" s="125" t="s">
        <v>7972</v>
      </c>
      <c r="G91" s="125" t="s">
        <v>7974</v>
      </c>
      <c r="H91" s="125" t="s">
        <v>7975</v>
      </c>
      <c r="I91" s="125" t="s">
        <v>7976</v>
      </c>
      <c r="J91" s="125" t="s">
        <v>6022</v>
      </c>
      <c r="K91" s="125" t="s">
        <v>5059</v>
      </c>
      <c r="L91" s="125" t="s">
        <v>7977</v>
      </c>
      <c r="M91" s="125" t="s">
        <v>7978</v>
      </c>
      <c r="N91" s="125" t="s">
        <v>7979</v>
      </c>
      <c r="O91" s="125" t="s">
        <v>7980</v>
      </c>
      <c r="P91" s="125" t="s">
        <v>3912</v>
      </c>
      <c r="Q91" s="124" t="s">
        <v>7981</v>
      </c>
      <c r="R91" s="125" t="s">
        <v>7323</v>
      </c>
      <c r="S91" s="125" t="s">
        <v>6370</v>
      </c>
      <c r="T91" s="125" t="s">
        <v>7617</v>
      </c>
      <c r="U91" s="125" t="s">
        <v>7983</v>
      </c>
      <c r="V91" s="125" t="s">
        <v>1611</v>
      </c>
      <c r="W91" s="125" t="s">
        <v>7984</v>
      </c>
      <c r="X91" s="125" t="s">
        <v>4059</v>
      </c>
      <c r="Y91" s="125" t="s">
        <v>4817</v>
      </c>
      <c r="Z91" s="125" t="s">
        <v>5869</v>
      </c>
      <c r="AA91" s="124" t="s">
        <v>7985</v>
      </c>
      <c r="AB91" s="125" t="s">
        <v>6978</v>
      </c>
      <c r="AC91" s="125" t="s">
        <v>389</v>
      </c>
      <c r="AD91" s="125" t="s">
        <v>7987</v>
      </c>
      <c r="AE91" s="125" t="s">
        <v>2051</v>
      </c>
      <c r="AF91" s="124" t="s">
        <v>7988</v>
      </c>
      <c r="AG91" s="125" t="s">
        <v>7989</v>
      </c>
      <c r="AH91" s="125" t="s">
        <v>6156</v>
      </c>
      <c r="AI91" s="125" t="s">
        <v>7990</v>
      </c>
      <c r="AJ91" s="125" t="s">
        <v>7991</v>
      </c>
      <c r="AK91" s="125" t="s">
        <v>5896</v>
      </c>
      <c r="AL91" s="125" t="s">
        <v>7992</v>
      </c>
      <c r="AM91" s="125" t="s">
        <v>5442</v>
      </c>
      <c r="AN91" s="125" t="s">
        <v>7387</v>
      </c>
      <c r="AO91" s="125" t="s">
        <v>5314</v>
      </c>
      <c r="AP91" s="125" t="s">
        <v>7993</v>
      </c>
      <c r="AQ91" s="125" t="s">
        <v>7994</v>
      </c>
      <c r="AR91" s="125" t="s">
        <v>4730</v>
      </c>
      <c r="AS91" s="125" t="s">
        <v>5553</v>
      </c>
      <c r="AT91" s="125" t="s">
        <v>7995</v>
      </c>
      <c r="AU91" s="125" t="s">
        <v>7996</v>
      </c>
      <c r="AV91" s="825" t="str">
        <f t="shared" si="1"/>
        <v>3:27</v>
      </c>
      <c r="AW91" s="1264" t="s">
        <v>7997</v>
      </c>
    </row>
    <row r="92">
      <c r="A92" s="1125" t="s">
        <v>7998</v>
      </c>
      <c r="B92" s="1109" t="s">
        <v>4964</v>
      </c>
      <c r="C92" s="1014">
        <v>0.05376157407407407</v>
      </c>
      <c r="D92" s="124" t="s">
        <v>7999</v>
      </c>
      <c r="E92" s="124" t="s">
        <v>8000</v>
      </c>
      <c r="F92" s="124" t="s">
        <v>8001</v>
      </c>
      <c r="G92" s="124" t="s">
        <v>8002</v>
      </c>
      <c r="H92" s="1307" t="s">
        <v>8003</v>
      </c>
      <c r="I92" s="107" t="s">
        <v>640</v>
      </c>
      <c r="J92" s="124" t="s">
        <v>6815</v>
      </c>
      <c r="K92" s="124" t="s">
        <v>8004</v>
      </c>
      <c r="L92" s="124" t="s">
        <v>1662</v>
      </c>
      <c r="M92" s="124" t="s">
        <v>298</v>
      </c>
      <c r="N92" s="124" t="s">
        <v>8005</v>
      </c>
      <c r="O92" s="124" t="s">
        <v>8006</v>
      </c>
      <c r="P92" s="124" t="s">
        <v>3648</v>
      </c>
      <c r="Q92" s="124" t="s">
        <v>8007</v>
      </c>
      <c r="R92" s="124" t="s">
        <v>8008</v>
      </c>
      <c r="S92" s="1308" t="s">
        <v>8009</v>
      </c>
      <c r="T92" s="1308" t="s">
        <v>6093</v>
      </c>
      <c r="U92" s="124" t="s">
        <v>8010</v>
      </c>
      <c r="V92" s="124" t="s">
        <v>8011</v>
      </c>
      <c r="W92" s="124" t="s">
        <v>2466</v>
      </c>
      <c r="X92" s="124" t="s">
        <v>8013</v>
      </c>
      <c r="Y92" s="124" t="s">
        <v>323</v>
      </c>
      <c r="Z92" s="124" t="s">
        <v>6978</v>
      </c>
      <c r="AA92" s="124" t="s">
        <v>8014</v>
      </c>
      <c r="AB92" s="124" t="s">
        <v>8015</v>
      </c>
      <c r="AC92" s="124" t="s">
        <v>2798</v>
      </c>
      <c r="AD92" s="124" t="s">
        <v>8017</v>
      </c>
      <c r="AE92" s="124" t="s">
        <v>6651</v>
      </c>
      <c r="AF92" s="124" t="s">
        <v>8019</v>
      </c>
      <c r="AG92" s="124" t="s">
        <v>3466</v>
      </c>
      <c r="AH92" s="124" t="s">
        <v>6088</v>
      </c>
      <c r="AI92" s="124" t="s">
        <v>2356</v>
      </c>
      <c r="AJ92" s="124" t="s">
        <v>8020</v>
      </c>
      <c r="AK92" s="124" t="s">
        <v>7161</v>
      </c>
      <c r="AL92" s="124" t="s">
        <v>8021</v>
      </c>
      <c r="AM92" s="124" t="s">
        <v>8022</v>
      </c>
      <c r="AN92" s="124" t="s">
        <v>8023</v>
      </c>
      <c r="AO92" s="124" t="s">
        <v>5227</v>
      </c>
      <c r="AP92" s="124" t="s">
        <v>8024</v>
      </c>
      <c r="AQ92" s="124" t="s">
        <v>8025</v>
      </c>
      <c r="AR92" s="124" t="s">
        <v>8026</v>
      </c>
      <c r="AS92" s="124" t="s">
        <v>5407</v>
      </c>
      <c r="AT92" s="124" t="s">
        <v>8027</v>
      </c>
      <c r="AU92" s="124" t="s">
        <v>8028</v>
      </c>
      <c r="AV92" s="825" t="str">
        <f t="shared" si="1"/>
        <v>4:58</v>
      </c>
      <c r="AW92" s="1309"/>
    </row>
    <row r="93" ht="15.75" customHeight="1">
      <c r="A93" s="1193" t="s">
        <v>8030</v>
      </c>
      <c r="B93" s="1248" t="s">
        <v>5043</v>
      </c>
      <c r="C93" s="1221">
        <v>0.05386574074074074</v>
      </c>
      <c r="D93" s="125" t="s">
        <v>8032</v>
      </c>
      <c r="E93" s="125" t="s">
        <v>8034</v>
      </c>
      <c r="F93" s="125" t="s">
        <v>8037</v>
      </c>
      <c r="G93" s="125" t="s">
        <v>8039</v>
      </c>
      <c r="H93" s="125" t="s">
        <v>8040</v>
      </c>
      <c r="I93" s="125" t="s">
        <v>7944</v>
      </c>
      <c r="J93" s="125" t="s">
        <v>8041</v>
      </c>
      <c r="K93" s="125" t="s">
        <v>8042</v>
      </c>
      <c r="L93" s="125" t="s">
        <v>4824</v>
      </c>
      <c r="M93" s="125" t="s">
        <v>8043</v>
      </c>
      <c r="N93" s="125" t="s">
        <v>2108</v>
      </c>
      <c r="O93" s="125" t="s">
        <v>8044</v>
      </c>
      <c r="P93" s="125" t="s">
        <v>3072</v>
      </c>
      <c r="Q93" s="125" t="s">
        <v>8045</v>
      </c>
      <c r="R93" s="125" t="s">
        <v>5701</v>
      </c>
      <c r="S93" s="125" t="s">
        <v>8046</v>
      </c>
      <c r="T93" s="125" t="s">
        <v>3237</v>
      </c>
      <c r="U93" s="125" t="s">
        <v>8047</v>
      </c>
      <c r="V93" s="125" t="s">
        <v>8048</v>
      </c>
      <c r="W93" s="125" t="s">
        <v>8050</v>
      </c>
      <c r="X93" s="125" t="s">
        <v>4636</v>
      </c>
      <c r="Y93" s="125" t="s">
        <v>7863</v>
      </c>
      <c r="Z93" s="125" t="s">
        <v>5927</v>
      </c>
      <c r="AA93" s="107" t="s">
        <v>8051</v>
      </c>
      <c r="AB93" s="125" t="s">
        <v>8053</v>
      </c>
      <c r="AC93" s="125" t="s">
        <v>6746</v>
      </c>
      <c r="AD93" s="125" t="s">
        <v>8055</v>
      </c>
      <c r="AE93" s="125" t="s">
        <v>8056</v>
      </c>
      <c r="AF93" s="125" t="s">
        <v>7456</v>
      </c>
      <c r="AG93" s="125" t="s">
        <v>8057</v>
      </c>
      <c r="AH93" s="125" t="s">
        <v>8059</v>
      </c>
      <c r="AI93" s="125" t="s">
        <v>4362</v>
      </c>
      <c r="AJ93" s="125" t="s">
        <v>8060</v>
      </c>
      <c r="AK93" s="125" t="s">
        <v>8061</v>
      </c>
      <c r="AL93" s="125" t="s">
        <v>8062</v>
      </c>
      <c r="AM93" s="125" t="s">
        <v>6940</v>
      </c>
      <c r="AN93" s="125" t="s">
        <v>6228</v>
      </c>
      <c r="AO93" s="124" t="s">
        <v>6498</v>
      </c>
      <c r="AP93" s="125" t="s">
        <v>8065</v>
      </c>
      <c r="AQ93" s="125" t="s">
        <v>8066</v>
      </c>
      <c r="AR93" s="125" t="s">
        <v>8067</v>
      </c>
      <c r="AS93" s="125" t="s">
        <v>5883</v>
      </c>
      <c r="AT93" s="125" t="s">
        <v>8068</v>
      </c>
      <c r="AU93" s="125" t="s">
        <v>7968</v>
      </c>
      <c r="AV93" s="825" t="str">
        <f t="shared" si="1"/>
        <v>3:30</v>
      </c>
      <c r="AW93" s="1271"/>
    </row>
    <row r="94">
      <c r="A94" s="1125" t="s">
        <v>3505</v>
      </c>
      <c r="B94" s="1109" t="s">
        <v>5043</v>
      </c>
      <c r="C94" s="1014">
        <v>0.05482638888888889</v>
      </c>
      <c r="D94" s="1230" t="s">
        <v>8071</v>
      </c>
      <c r="E94" s="124" t="s">
        <v>6362</v>
      </c>
      <c r="F94" s="124" t="s">
        <v>8072</v>
      </c>
      <c r="G94" s="124" t="s">
        <v>8073</v>
      </c>
      <c r="H94" s="124" t="s">
        <v>8074</v>
      </c>
      <c r="I94" s="124" t="s">
        <v>8075</v>
      </c>
      <c r="J94" s="124" t="s">
        <v>8076</v>
      </c>
      <c r="K94" s="124" t="s">
        <v>6983</v>
      </c>
      <c r="L94" s="124" t="s">
        <v>8077</v>
      </c>
      <c r="M94" s="124" t="s">
        <v>7116</v>
      </c>
      <c r="N94" s="124" t="s">
        <v>8078</v>
      </c>
      <c r="O94" s="124" t="s">
        <v>8079</v>
      </c>
      <c r="P94" s="124" t="s">
        <v>2418</v>
      </c>
      <c r="Q94" s="124" t="s">
        <v>8080</v>
      </c>
      <c r="R94" s="124" t="s">
        <v>5879</v>
      </c>
      <c r="S94" s="124" t="s">
        <v>8081</v>
      </c>
      <c r="T94" s="124" t="s">
        <v>7955</v>
      </c>
      <c r="U94" s="124" t="s">
        <v>8082</v>
      </c>
      <c r="V94" s="124" t="s">
        <v>3552</v>
      </c>
      <c r="W94" s="124" t="s">
        <v>8084</v>
      </c>
      <c r="X94" s="124" t="s">
        <v>8085</v>
      </c>
      <c r="Y94" s="124" t="s">
        <v>5510</v>
      </c>
      <c r="Z94" s="124" t="s">
        <v>7004</v>
      </c>
      <c r="AA94" s="124" t="s">
        <v>3114</v>
      </c>
      <c r="AB94" s="124" t="s">
        <v>782</v>
      </c>
      <c r="AC94" s="124" t="s">
        <v>8087</v>
      </c>
      <c r="AD94" s="124" t="s">
        <v>8088</v>
      </c>
      <c r="AE94" s="124" t="s">
        <v>5126</v>
      </c>
      <c r="AF94" s="124" t="s">
        <v>8089</v>
      </c>
      <c r="AG94" s="124" t="s">
        <v>8090</v>
      </c>
      <c r="AH94" s="124" t="s">
        <v>8091</v>
      </c>
      <c r="AI94" s="124" t="s">
        <v>8092</v>
      </c>
      <c r="AJ94" s="124" t="s">
        <v>8094</v>
      </c>
      <c r="AK94" s="124" t="s">
        <v>664</v>
      </c>
      <c r="AL94" s="124" t="s">
        <v>7287</v>
      </c>
      <c r="AM94" s="124" t="s">
        <v>8095</v>
      </c>
      <c r="AN94" s="124" t="s">
        <v>8096</v>
      </c>
      <c r="AO94" s="124" t="s">
        <v>5675</v>
      </c>
      <c r="AP94" s="124" t="s">
        <v>3764</v>
      </c>
      <c r="AQ94" s="124" t="s">
        <v>8097</v>
      </c>
      <c r="AR94" s="124" t="s">
        <v>8098</v>
      </c>
      <c r="AS94" s="124" t="s">
        <v>6163</v>
      </c>
      <c r="AT94" s="124" t="s">
        <v>8099</v>
      </c>
      <c r="AU94" s="124" t="s">
        <v>8101</v>
      </c>
      <c r="AV94" s="825" t="str">
        <f t="shared" si="1"/>
        <v>3:40</v>
      </c>
      <c r="AW94" s="1264" t="s">
        <v>8103</v>
      </c>
    </row>
    <row r="95">
      <c r="A95" s="1125" t="s">
        <v>89</v>
      </c>
      <c r="B95" s="1109" t="s">
        <v>4964</v>
      </c>
      <c r="C95" s="1014">
        <v>0.05482638888888889</v>
      </c>
      <c r="D95" s="1095" t="s">
        <v>8105</v>
      </c>
      <c r="E95" s="1095" t="s">
        <v>6121</v>
      </c>
      <c r="F95" s="1095" t="s">
        <v>8106</v>
      </c>
      <c r="G95" s="1095" t="s">
        <v>725</v>
      </c>
      <c r="H95" s="1095" t="s">
        <v>8107</v>
      </c>
      <c r="I95" s="1095">
        <v>50.26</v>
      </c>
      <c r="J95" s="1095" t="s">
        <v>8076</v>
      </c>
      <c r="K95" s="1095" t="s">
        <v>8108</v>
      </c>
      <c r="L95" s="1095" t="s">
        <v>741</v>
      </c>
      <c r="M95" s="1095" t="s">
        <v>8109</v>
      </c>
      <c r="N95" s="1095" t="s">
        <v>8110</v>
      </c>
      <c r="O95" s="1095" t="s">
        <v>8111</v>
      </c>
      <c r="P95" s="1095">
        <v>49.15</v>
      </c>
      <c r="Q95" s="1095" t="s">
        <v>8112</v>
      </c>
      <c r="R95" s="1095" t="s">
        <v>2922</v>
      </c>
      <c r="S95" s="1095" t="s">
        <v>8113</v>
      </c>
      <c r="T95" s="1095" t="s">
        <v>483</v>
      </c>
      <c r="U95" s="1095" t="s">
        <v>8114</v>
      </c>
      <c r="V95" s="1095" t="s">
        <v>8115</v>
      </c>
      <c r="W95" s="1095" t="s">
        <v>8117</v>
      </c>
      <c r="X95" s="1095" t="s">
        <v>8118</v>
      </c>
      <c r="Y95" s="1095">
        <v>51.87</v>
      </c>
      <c r="Z95" s="1095" t="s">
        <v>7318</v>
      </c>
      <c r="AA95" s="1095" t="s">
        <v>3110</v>
      </c>
      <c r="AB95" s="1095" t="s">
        <v>7753</v>
      </c>
      <c r="AC95" s="1095">
        <v>49.75</v>
      </c>
      <c r="AD95" s="1095" t="s">
        <v>8119</v>
      </c>
      <c r="AE95" s="1095">
        <v>50.16</v>
      </c>
      <c r="AF95" s="1095" t="s">
        <v>8120</v>
      </c>
      <c r="AG95" s="1095" t="s">
        <v>8121</v>
      </c>
      <c r="AH95" s="1095" t="s">
        <v>8122</v>
      </c>
      <c r="AI95" s="1095" t="s">
        <v>299</v>
      </c>
      <c r="AJ95" s="1095" t="s">
        <v>8123</v>
      </c>
      <c r="AK95" s="1095" t="s">
        <v>8005</v>
      </c>
      <c r="AL95" s="1095">
        <v>59.29</v>
      </c>
      <c r="AM95" s="1095" t="s">
        <v>7994</v>
      </c>
      <c r="AN95" s="1095" t="s">
        <v>2253</v>
      </c>
      <c r="AO95" s="1095" t="s">
        <v>8126</v>
      </c>
      <c r="AP95" s="1095" t="s">
        <v>8127</v>
      </c>
      <c r="AQ95" s="1095" t="s">
        <v>8128</v>
      </c>
      <c r="AR95" s="1095" t="s">
        <v>1406</v>
      </c>
      <c r="AS95" s="1095">
        <v>47.7</v>
      </c>
      <c r="AT95" s="1095" t="s">
        <v>8130</v>
      </c>
      <c r="AU95" s="1100" t="s">
        <v>8131</v>
      </c>
      <c r="AV95" s="825" t="str">
        <f t="shared" si="1"/>
        <v>5:51</v>
      </c>
      <c r="AW95" s="1242" t="s">
        <v>8132</v>
      </c>
    </row>
    <row r="96">
      <c r="A96" s="1125" t="s">
        <v>8133</v>
      </c>
      <c r="B96" s="1120" t="s">
        <v>4964</v>
      </c>
      <c r="C96" s="1014">
        <v>0.05559027777777778</v>
      </c>
      <c r="D96" s="1230" t="s">
        <v>8134</v>
      </c>
      <c r="E96" s="124" t="s">
        <v>8135</v>
      </c>
      <c r="F96" s="124" t="s">
        <v>8136</v>
      </c>
      <c r="G96" s="124" t="s">
        <v>8137</v>
      </c>
      <c r="H96" s="124" t="s">
        <v>8138</v>
      </c>
      <c r="I96" s="124" t="s">
        <v>1720</v>
      </c>
      <c r="J96" s="124" t="s">
        <v>8139</v>
      </c>
      <c r="K96" s="124" t="s">
        <v>8140</v>
      </c>
      <c r="L96" s="124" t="s">
        <v>3744</v>
      </c>
      <c r="M96" s="124" t="s">
        <v>1433</v>
      </c>
      <c r="N96" s="124" t="s">
        <v>8141</v>
      </c>
      <c r="O96" s="124" t="s">
        <v>8142</v>
      </c>
      <c r="P96" s="124" t="s">
        <v>390</v>
      </c>
      <c r="Q96" s="124" t="s">
        <v>5486</v>
      </c>
      <c r="R96" s="124" t="s">
        <v>8143</v>
      </c>
      <c r="S96" s="124" t="s">
        <v>3004</v>
      </c>
      <c r="T96" s="124" t="s">
        <v>8144</v>
      </c>
      <c r="U96" s="124" t="s">
        <v>8145</v>
      </c>
      <c r="V96" s="124" t="s">
        <v>820</v>
      </c>
      <c r="W96" s="124" t="s">
        <v>6330</v>
      </c>
      <c r="X96" s="124" t="s">
        <v>8147</v>
      </c>
      <c r="Y96" s="124" t="s">
        <v>411</v>
      </c>
      <c r="Z96" s="124" t="s">
        <v>8148</v>
      </c>
      <c r="AA96" s="124" t="s">
        <v>7795</v>
      </c>
      <c r="AB96" s="124" t="s">
        <v>6524</v>
      </c>
      <c r="AC96" s="124" t="s">
        <v>6116</v>
      </c>
      <c r="AD96" s="124" t="s">
        <v>6772</v>
      </c>
      <c r="AE96" s="124" t="s">
        <v>3640</v>
      </c>
      <c r="AF96" s="124" t="s">
        <v>8149</v>
      </c>
      <c r="AG96" s="124" t="s">
        <v>8150</v>
      </c>
      <c r="AH96" s="124" t="s">
        <v>3284</v>
      </c>
      <c r="AI96" s="124" t="s">
        <v>8151</v>
      </c>
      <c r="AJ96" s="124" t="s">
        <v>8153</v>
      </c>
      <c r="AK96" s="124" t="s">
        <v>8154</v>
      </c>
      <c r="AL96" s="124" t="s">
        <v>1918</v>
      </c>
      <c r="AM96" s="124" t="s">
        <v>8155</v>
      </c>
      <c r="AN96" s="124" t="s">
        <v>8156</v>
      </c>
      <c r="AO96" s="124" t="s">
        <v>4278</v>
      </c>
      <c r="AP96" s="124" t="s">
        <v>8157</v>
      </c>
      <c r="AQ96" s="124" t="s">
        <v>8158</v>
      </c>
      <c r="AR96" s="124" t="s">
        <v>8159</v>
      </c>
      <c r="AS96" s="124" t="s">
        <v>3491</v>
      </c>
      <c r="AT96" s="124" t="s">
        <v>8160</v>
      </c>
      <c r="AU96" s="124" t="s">
        <v>8161</v>
      </c>
      <c r="AV96" s="825" t="str">
        <f t="shared" si="1"/>
        <v>5:05</v>
      </c>
      <c r="AW96" s="1264" t="s">
        <v>8162</v>
      </c>
    </row>
    <row r="97">
      <c r="A97" s="1125" t="s">
        <v>3970</v>
      </c>
      <c r="B97" s="1120" t="s">
        <v>5005</v>
      </c>
      <c r="C97" s="1144">
        <v>0.05565972222222222</v>
      </c>
      <c r="D97" s="124" t="s">
        <v>8163</v>
      </c>
      <c r="E97" s="124" t="s">
        <v>6263</v>
      </c>
      <c r="F97" s="124" t="s">
        <v>8164</v>
      </c>
      <c r="G97" s="124" t="s">
        <v>8166</v>
      </c>
      <c r="H97" s="107" t="s">
        <v>5976</v>
      </c>
      <c r="I97" s="124" t="s">
        <v>8167</v>
      </c>
      <c r="J97" s="124" t="s">
        <v>6347</v>
      </c>
      <c r="K97" s="124" t="s">
        <v>3397</v>
      </c>
      <c r="L97" s="124" t="s">
        <v>8170</v>
      </c>
      <c r="M97" s="124" t="s">
        <v>8171</v>
      </c>
      <c r="N97" s="124" t="s">
        <v>8172</v>
      </c>
      <c r="O97" s="124" t="s">
        <v>8174</v>
      </c>
      <c r="P97" s="124" t="s">
        <v>7332</v>
      </c>
      <c r="Q97" s="124" t="s">
        <v>8176</v>
      </c>
      <c r="R97" s="124" t="s">
        <v>7007</v>
      </c>
      <c r="S97" s="124" t="s">
        <v>1382</v>
      </c>
      <c r="T97" s="124" t="s">
        <v>8178</v>
      </c>
      <c r="U97" s="124" t="s">
        <v>8179</v>
      </c>
      <c r="V97" s="124" t="s">
        <v>8180</v>
      </c>
      <c r="W97" s="124" t="s">
        <v>8181</v>
      </c>
      <c r="X97" s="124" t="s">
        <v>8182</v>
      </c>
      <c r="Y97" s="124" t="s">
        <v>6651</v>
      </c>
      <c r="Z97" s="124" t="s">
        <v>8183</v>
      </c>
      <c r="AA97" s="124" t="s">
        <v>7239</v>
      </c>
      <c r="AB97" s="124" t="s">
        <v>7723</v>
      </c>
      <c r="AC97" s="124" t="s">
        <v>7014</v>
      </c>
      <c r="AD97" s="124" t="s">
        <v>8184</v>
      </c>
      <c r="AE97" s="124" t="s">
        <v>8185</v>
      </c>
      <c r="AF97" s="124" t="s">
        <v>8186</v>
      </c>
      <c r="AG97" s="124" t="s">
        <v>8188</v>
      </c>
      <c r="AH97" s="124" t="s">
        <v>8189</v>
      </c>
      <c r="AI97" s="124" t="s">
        <v>8190</v>
      </c>
      <c r="AJ97" s="124" t="s">
        <v>8191</v>
      </c>
      <c r="AK97" s="124" t="s">
        <v>1116</v>
      </c>
      <c r="AL97" s="124" t="s">
        <v>6688</v>
      </c>
      <c r="AM97" s="124" t="s">
        <v>8022</v>
      </c>
      <c r="AN97" s="124" t="s">
        <v>8193</v>
      </c>
      <c r="AO97" s="124" t="s">
        <v>3565</v>
      </c>
      <c r="AP97" s="124" t="s">
        <v>8195</v>
      </c>
      <c r="AQ97" s="124" t="s">
        <v>8196</v>
      </c>
      <c r="AR97" s="124" t="s">
        <v>8197</v>
      </c>
      <c r="AS97" s="124" t="s">
        <v>7689</v>
      </c>
      <c r="AT97" s="124" t="s">
        <v>8198</v>
      </c>
      <c r="AU97" s="124" t="s">
        <v>8199</v>
      </c>
      <c r="AV97" s="825" t="str">
        <f t="shared" si="1"/>
        <v>8:24</v>
      </c>
      <c r="AW97" s="1264" t="s">
        <v>6831</v>
      </c>
    </row>
    <row r="98">
      <c r="A98" s="617" t="s">
        <v>3714</v>
      </c>
      <c r="B98" s="1312" t="s">
        <v>8200</v>
      </c>
      <c r="C98" s="1313">
        <v>0.05614583333333333</v>
      </c>
      <c r="D98" s="107" t="s">
        <v>8201</v>
      </c>
      <c r="E98" s="157" t="s">
        <v>7051</v>
      </c>
      <c r="F98" s="157" t="s">
        <v>8202</v>
      </c>
      <c r="G98" s="157" t="s">
        <v>8203</v>
      </c>
      <c r="H98" s="1314" t="s">
        <v>4700</v>
      </c>
      <c r="I98" s="157" t="s">
        <v>6272</v>
      </c>
      <c r="J98" s="157" t="s">
        <v>8204</v>
      </c>
      <c r="K98" s="157" t="s">
        <v>8205</v>
      </c>
      <c r="L98" s="157" t="s">
        <v>8206</v>
      </c>
      <c r="M98" s="157" t="s">
        <v>2738</v>
      </c>
      <c r="N98" s="157" t="s">
        <v>7081</v>
      </c>
      <c r="O98" s="157" t="s">
        <v>8207</v>
      </c>
      <c r="P98" s="157" t="s">
        <v>5276</v>
      </c>
      <c r="Q98" s="157" t="s">
        <v>8208</v>
      </c>
      <c r="R98" s="157" t="s">
        <v>6462</v>
      </c>
      <c r="S98" s="157" t="s">
        <v>8209</v>
      </c>
      <c r="T98" s="157" t="s">
        <v>5467</v>
      </c>
      <c r="U98" s="157" t="s">
        <v>5597</v>
      </c>
      <c r="V98" s="157" t="s">
        <v>3860</v>
      </c>
      <c r="W98" s="157" t="s">
        <v>8210</v>
      </c>
      <c r="X98" s="157" t="s">
        <v>8211</v>
      </c>
      <c r="Y98" s="157" t="s">
        <v>8212</v>
      </c>
      <c r="Z98" s="157" t="s">
        <v>8214</v>
      </c>
      <c r="AA98" s="605" t="s">
        <v>8215</v>
      </c>
      <c r="AB98" s="157" t="s">
        <v>7803</v>
      </c>
      <c r="AC98" s="157" t="s">
        <v>3261</v>
      </c>
      <c r="AD98" s="157" t="s">
        <v>5423</v>
      </c>
      <c r="AE98" s="157" t="s">
        <v>1792</v>
      </c>
      <c r="AF98" s="157" t="s">
        <v>8217</v>
      </c>
      <c r="AG98" s="157" t="s">
        <v>8219</v>
      </c>
      <c r="AH98" s="157" t="s">
        <v>6365</v>
      </c>
      <c r="AI98" s="157" t="s">
        <v>8221</v>
      </c>
      <c r="AJ98" s="157" t="s">
        <v>8222</v>
      </c>
      <c r="AK98" s="157" t="s">
        <v>8223</v>
      </c>
      <c r="AL98" s="157" t="s">
        <v>7504</v>
      </c>
      <c r="AM98" s="157" t="s">
        <v>6423</v>
      </c>
      <c r="AN98" s="157" t="s">
        <v>8227</v>
      </c>
      <c r="AO98" s="157" t="s">
        <v>8228</v>
      </c>
      <c r="AP98" s="157" t="s">
        <v>8229</v>
      </c>
      <c r="AQ98" s="157" t="s">
        <v>8230</v>
      </c>
      <c r="AR98" s="157" t="s">
        <v>7427</v>
      </c>
      <c r="AS98" s="157" t="s">
        <v>8232</v>
      </c>
      <c r="AT98" s="157" t="s">
        <v>8234</v>
      </c>
      <c r="AU98" s="157" t="s">
        <v>8235</v>
      </c>
      <c r="AV98" s="154" t="str">
        <f t="shared" si="1"/>
        <v>8:47</v>
      </c>
      <c r="AW98" s="1124" t="s">
        <v>8237</v>
      </c>
    </row>
    <row r="99">
      <c r="A99" s="1193" t="s">
        <v>8238</v>
      </c>
      <c r="B99" s="1158" t="s">
        <v>5005</v>
      </c>
      <c r="C99" s="1221">
        <v>0.057881944444444444</v>
      </c>
      <c r="D99" s="124" t="s">
        <v>8240</v>
      </c>
      <c r="E99" s="125" t="s">
        <v>8241</v>
      </c>
      <c r="F99" s="124" t="s">
        <v>8242</v>
      </c>
      <c r="G99" s="124" t="s">
        <v>8243</v>
      </c>
      <c r="H99" s="125" t="s">
        <v>8244</v>
      </c>
      <c r="I99" s="125" t="s">
        <v>4260</v>
      </c>
      <c r="J99" s="125" t="s">
        <v>8245</v>
      </c>
      <c r="K99" s="125" t="s">
        <v>5229</v>
      </c>
      <c r="L99" s="125" t="s">
        <v>8246</v>
      </c>
      <c r="M99" s="125" t="s">
        <v>4343</v>
      </c>
      <c r="N99" s="125" t="s">
        <v>8247</v>
      </c>
      <c r="O99" s="125" t="s">
        <v>8248</v>
      </c>
      <c r="P99" s="125" t="s">
        <v>8249</v>
      </c>
      <c r="Q99" s="125" t="s">
        <v>8250</v>
      </c>
      <c r="R99" s="125" t="s">
        <v>8251</v>
      </c>
      <c r="S99" s="125" t="s">
        <v>8252</v>
      </c>
      <c r="T99" s="125" t="s">
        <v>5504</v>
      </c>
      <c r="U99" s="125" t="s">
        <v>8253</v>
      </c>
      <c r="V99" s="125" t="s">
        <v>8254</v>
      </c>
      <c r="W99" s="125" t="s">
        <v>8255</v>
      </c>
      <c r="X99" s="125" t="s">
        <v>8256</v>
      </c>
      <c r="Y99" s="125" t="s">
        <v>8257</v>
      </c>
      <c r="Z99" s="125" t="s">
        <v>8258</v>
      </c>
      <c r="AA99" s="124" t="s">
        <v>8259</v>
      </c>
      <c r="AB99" s="125" t="s">
        <v>6022</v>
      </c>
      <c r="AC99" s="125" t="s">
        <v>8261</v>
      </c>
      <c r="AD99" s="125" t="s">
        <v>8262</v>
      </c>
      <c r="AE99" s="125" t="s">
        <v>2735</v>
      </c>
      <c r="AF99" s="125" t="s">
        <v>8263</v>
      </c>
      <c r="AG99" s="125" t="s">
        <v>8264</v>
      </c>
      <c r="AH99" s="125" t="s">
        <v>8265</v>
      </c>
      <c r="AI99" s="125" t="s">
        <v>8266</v>
      </c>
      <c r="AJ99" s="125" t="s">
        <v>8267</v>
      </c>
      <c r="AK99" s="125" t="s">
        <v>8268</v>
      </c>
      <c r="AL99" s="125" t="s">
        <v>8269</v>
      </c>
      <c r="AM99" s="125" t="s">
        <v>3852</v>
      </c>
      <c r="AN99" s="125" t="s">
        <v>8271</v>
      </c>
      <c r="AO99" s="125" t="s">
        <v>7333</v>
      </c>
      <c r="AP99" s="125" t="s">
        <v>8272</v>
      </c>
      <c r="AQ99" s="125" t="s">
        <v>1195</v>
      </c>
      <c r="AR99" s="125" t="s">
        <v>8273</v>
      </c>
      <c r="AS99" s="125" t="s">
        <v>2225</v>
      </c>
      <c r="AT99" s="125" t="s">
        <v>8274</v>
      </c>
      <c r="AU99" s="125" t="s">
        <v>8275</v>
      </c>
      <c r="AV99" s="825" t="str">
        <f t="shared" si="1"/>
        <v>2:11</v>
      </c>
      <c r="AW99" s="1271" t="s">
        <v>8276</v>
      </c>
    </row>
    <row r="100">
      <c r="A100" s="1161" t="s">
        <v>3730</v>
      </c>
      <c r="B100" s="1316" t="s">
        <v>8200</v>
      </c>
      <c r="C100" s="1318">
        <v>0.05884259259259259</v>
      </c>
      <c r="D100" s="1319" t="s">
        <v>8277</v>
      </c>
      <c r="E100" s="1320" t="s">
        <v>3680</v>
      </c>
      <c r="F100" s="1320" t="s">
        <v>8278</v>
      </c>
      <c r="G100" s="1320" t="s">
        <v>8279</v>
      </c>
      <c r="H100" s="1319" t="s">
        <v>8280</v>
      </c>
      <c r="I100" s="1321" t="s">
        <v>359</v>
      </c>
      <c r="J100" s="1323" t="s">
        <v>8281</v>
      </c>
      <c r="K100" s="1323" t="s">
        <v>5183</v>
      </c>
      <c r="L100" s="1323" t="s">
        <v>316</v>
      </c>
      <c r="M100" s="1323" t="s">
        <v>6904</v>
      </c>
      <c r="N100" s="1323" t="s">
        <v>8282</v>
      </c>
      <c r="O100" s="1323" t="s">
        <v>8283</v>
      </c>
      <c r="P100" s="1323" t="s">
        <v>4081</v>
      </c>
      <c r="Q100" s="1324" t="s">
        <v>8019</v>
      </c>
      <c r="R100" s="1324" t="s">
        <v>6496</v>
      </c>
      <c r="S100" s="1324" t="s">
        <v>8284</v>
      </c>
      <c r="T100" s="1324" t="s">
        <v>8285</v>
      </c>
      <c r="U100" s="1324" t="s">
        <v>8286</v>
      </c>
      <c r="V100" s="1324" t="s">
        <v>8287</v>
      </c>
      <c r="W100" s="1326" t="s">
        <v>8289</v>
      </c>
      <c r="X100" s="1326" t="s">
        <v>8290</v>
      </c>
      <c r="Y100" s="1326" t="s">
        <v>7858</v>
      </c>
      <c r="Z100" s="1326" t="s">
        <v>6469</v>
      </c>
      <c r="AA100" s="1329" t="s">
        <v>8291</v>
      </c>
      <c r="AB100" s="1326" t="s">
        <v>8292</v>
      </c>
      <c r="AC100" s="1326" t="s">
        <v>8293</v>
      </c>
      <c r="AD100" s="1320" t="s">
        <v>8294</v>
      </c>
      <c r="AE100" s="1320" t="s">
        <v>374</v>
      </c>
      <c r="AF100" s="1333" t="s">
        <v>8296</v>
      </c>
      <c r="AG100" s="1333" t="s">
        <v>1986</v>
      </c>
      <c r="AH100" s="1333" t="s">
        <v>8298</v>
      </c>
      <c r="AI100" s="1333" t="s">
        <v>8299</v>
      </c>
      <c r="AJ100" s="1333" t="s">
        <v>8300</v>
      </c>
      <c r="AK100" s="1333" t="s">
        <v>6926</v>
      </c>
      <c r="AL100" s="1333" t="s">
        <v>7045</v>
      </c>
      <c r="AM100" s="1337" t="s">
        <v>8301</v>
      </c>
      <c r="AN100" s="1337" t="s">
        <v>8302</v>
      </c>
      <c r="AO100" s="1337" t="s">
        <v>3123</v>
      </c>
      <c r="AP100" s="1337" t="s">
        <v>8303</v>
      </c>
      <c r="AQ100" s="1337" t="s">
        <v>8304</v>
      </c>
      <c r="AR100" s="1337" t="s">
        <v>8305</v>
      </c>
      <c r="AS100" s="1337" t="s">
        <v>6365</v>
      </c>
      <c r="AT100" s="1323" t="s">
        <v>8306</v>
      </c>
      <c r="AU100" s="1342" t="s">
        <v>8307</v>
      </c>
      <c r="AV100" s="825" t="str">
        <f t="shared" si="1"/>
        <v>10:59</v>
      </c>
      <c r="AW100" s="1113" t="s">
        <v>8309</v>
      </c>
    </row>
    <row r="101" ht="15.75" customHeight="1">
      <c r="A101" s="1125" t="s">
        <v>8310</v>
      </c>
      <c r="B101" s="1158" t="s">
        <v>5005</v>
      </c>
      <c r="C101" s="1014">
        <v>0.06635416666666667</v>
      </c>
      <c r="D101" s="107" t="s">
        <v>8311</v>
      </c>
      <c r="E101" s="107" t="s">
        <v>3791</v>
      </c>
      <c r="F101" s="107" t="s">
        <v>8312</v>
      </c>
      <c r="G101" s="107" t="s">
        <v>8313</v>
      </c>
      <c r="H101" s="107" t="s">
        <v>8314</v>
      </c>
      <c r="I101" s="107" t="s">
        <v>8315</v>
      </c>
      <c r="J101" s="107" t="s">
        <v>8317</v>
      </c>
      <c r="K101" s="107" t="s">
        <v>8319</v>
      </c>
      <c r="L101" s="107" t="s">
        <v>1435</v>
      </c>
      <c r="M101" s="107" t="s">
        <v>3941</v>
      </c>
      <c r="N101" s="107" t="s">
        <v>8322</v>
      </c>
      <c r="O101" s="107" t="s">
        <v>8323</v>
      </c>
      <c r="P101" s="107" t="s">
        <v>8324</v>
      </c>
      <c r="Q101" s="107" t="s">
        <v>8325</v>
      </c>
      <c r="R101" s="107" t="s">
        <v>3206</v>
      </c>
      <c r="S101" s="107" t="s">
        <v>8326</v>
      </c>
      <c r="T101" s="107" t="s">
        <v>8084</v>
      </c>
      <c r="U101" s="107" t="s">
        <v>8327</v>
      </c>
      <c r="V101" s="107" t="s">
        <v>3542</v>
      </c>
      <c r="W101" s="107" t="s">
        <v>8328</v>
      </c>
      <c r="X101" s="107" t="s">
        <v>8329</v>
      </c>
      <c r="Y101" s="107" t="s">
        <v>2925</v>
      </c>
      <c r="Z101" s="107" t="s">
        <v>8330</v>
      </c>
      <c r="AA101" s="125"/>
      <c r="AB101" s="107" t="s">
        <v>8332</v>
      </c>
      <c r="AC101" s="107" t="s">
        <v>513</v>
      </c>
      <c r="AD101" s="107" t="s">
        <v>8333</v>
      </c>
      <c r="AE101" s="107" t="s">
        <v>8334</v>
      </c>
      <c r="AF101" s="107" t="s">
        <v>8336</v>
      </c>
      <c r="AG101" s="107" t="s">
        <v>8337</v>
      </c>
      <c r="AH101" s="107" t="s">
        <v>8338</v>
      </c>
      <c r="AI101" s="107" t="s">
        <v>8339</v>
      </c>
      <c r="AJ101" s="107" t="s">
        <v>8340</v>
      </c>
      <c r="AK101" s="107" t="s">
        <v>8341</v>
      </c>
      <c r="AL101" s="107" t="s">
        <v>8342</v>
      </c>
      <c r="AM101" s="107" t="s">
        <v>8343</v>
      </c>
      <c r="AN101" s="107" t="s">
        <v>6126</v>
      </c>
      <c r="AO101" s="107" t="s">
        <v>8344</v>
      </c>
      <c r="AP101" s="107" t="s">
        <v>8345</v>
      </c>
      <c r="AQ101" s="107" t="s">
        <v>3631</v>
      </c>
      <c r="AR101" s="107" t="s">
        <v>8347</v>
      </c>
      <c r="AS101" s="107" t="s">
        <v>6320</v>
      </c>
      <c r="AT101" s="107" t="s">
        <v>8348</v>
      </c>
      <c r="AU101" s="538" t="s">
        <v>8349</v>
      </c>
      <c r="AV101" s="825" t="str">
        <f t="shared" si="1"/>
        <v>9:53</v>
      </c>
      <c r="AW101" s="1242" t="s">
        <v>8350</v>
      </c>
    </row>
    <row r="102">
      <c r="A102" s="1125" t="s">
        <v>43</v>
      </c>
      <c r="B102" s="1120" t="s">
        <v>5005</v>
      </c>
      <c r="C102" s="1221"/>
      <c r="D102" s="1095"/>
      <c r="E102" s="1100"/>
      <c r="F102" s="1095"/>
      <c r="G102" s="1095"/>
      <c r="H102" s="1095"/>
      <c r="I102" s="1095"/>
      <c r="J102" s="1095"/>
      <c r="K102" s="1095"/>
      <c r="L102" s="1095"/>
      <c r="M102" s="1095"/>
      <c r="N102" s="1095"/>
      <c r="O102" s="1095"/>
      <c r="P102" s="1095"/>
      <c r="Q102" s="1095"/>
      <c r="R102" s="1095"/>
      <c r="S102" s="1095"/>
      <c r="T102" s="1095"/>
      <c r="U102" s="1095"/>
      <c r="V102" s="1095"/>
      <c r="W102" s="1041" t="s">
        <v>5963</v>
      </c>
      <c r="X102" s="1095"/>
      <c r="Y102" s="1095"/>
      <c r="Z102" s="1095"/>
      <c r="AA102" s="1095"/>
      <c r="AB102" s="1105" t="s">
        <v>8355</v>
      </c>
      <c r="AC102" s="1095"/>
      <c r="AD102" s="1095"/>
      <c r="AE102" s="1100"/>
      <c r="AF102" s="1095"/>
      <c r="AG102" s="1095"/>
      <c r="AH102" s="1095"/>
      <c r="AI102" s="1095"/>
      <c r="AJ102" s="1095"/>
      <c r="AK102" s="1095"/>
      <c r="AL102" s="1095"/>
      <c r="AM102" s="1105" t="s">
        <v>6659</v>
      </c>
      <c r="AN102" s="1095"/>
      <c r="AO102" s="1095"/>
      <c r="AP102" s="1095"/>
      <c r="AQ102" s="1095"/>
      <c r="AR102" s="1095"/>
      <c r="AS102" s="1095"/>
      <c r="AT102" s="1095"/>
      <c r="AU102" s="825"/>
      <c r="AV102" s="825"/>
      <c r="AW102" s="1148"/>
    </row>
    <row r="103">
      <c r="A103" s="1125" t="s">
        <v>4093</v>
      </c>
      <c r="B103" s="1109" t="s">
        <v>5005</v>
      </c>
      <c r="C103" s="1014"/>
      <c r="D103" s="1153"/>
      <c r="E103" s="1153"/>
      <c r="F103" s="1153"/>
      <c r="G103" s="1153"/>
      <c r="H103" s="107"/>
      <c r="I103" s="312"/>
      <c r="J103" s="1132"/>
      <c r="K103" s="1132"/>
      <c r="L103" s="1132"/>
      <c r="M103" s="1132"/>
      <c r="N103" s="1132"/>
      <c r="O103" s="1132"/>
      <c r="P103" s="1132"/>
      <c r="Q103" s="256"/>
      <c r="R103" s="256"/>
      <c r="S103" s="256"/>
      <c r="T103" s="256"/>
      <c r="U103" s="256"/>
      <c r="V103" s="256"/>
      <c r="W103" s="223"/>
      <c r="X103" s="223"/>
      <c r="Y103" s="223"/>
      <c r="Z103" s="223"/>
      <c r="AA103" s="1087"/>
      <c r="AB103" s="223"/>
      <c r="AC103" s="223"/>
      <c r="AD103" s="1153"/>
      <c r="AE103" s="1153"/>
      <c r="AF103" s="1139" t="s">
        <v>5028</v>
      </c>
      <c r="AG103" s="1155"/>
      <c r="AH103" s="1155"/>
      <c r="AI103" s="1155"/>
      <c r="AJ103" s="1155"/>
      <c r="AK103" s="1155"/>
      <c r="AL103" s="1155"/>
      <c r="AM103" s="1156"/>
      <c r="AN103" s="1156"/>
      <c r="AO103" s="1156"/>
      <c r="AP103" s="1156"/>
      <c r="AQ103" s="1156"/>
      <c r="AR103" s="1156"/>
      <c r="AS103" s="1156"/>
      <c r="AT103" s="1132"/>
      <c r="AU103" s="1112"/>
      <c r="AV103" s="1112"/>
      <c r="AW103" s="1113"/>
    </row>
    <row r="104">
      <c r="A104" s="1377"/>
      <c r="B104" s="1378"/>
      <c r="C104" s="1379"/>
      <c r="D104" s="1272"/>
      <c r="E104" s="154"/>
      <c r="F104" s="154"/>
      <c r="G104" s="154"/>
      <c r="H104" s="1380"/>
      <c r="I104" s="154"/>
      <c r="J104" s="154"/>
      <c r="K104" s="154"/>
      <c r="L104" s="154"/>
      <c r="M104" s="154"/>
      <c r="N104" s="154"/>
      <c r="O104" s="154"/>
      <c r="P104" s="154"/>
      <c r="Q104" s="154"/>
      <c r="R104" s="154"/>
      <c r="S104" s="154"/>
      <c r="T104" s="154"/>
      <c r="U104" s="154"/>
      <c r="V104" s="154"/>
      <c r="W104" s="154"/>
      <c r="X104" s="154"/>
      <c r="Y104" s="154"/>
      <c r="Z104" s="154"/>
      <c r="AA104" s="527"/>
      <c r="AB104" s="154"/>
      <c r="AC104" s="154"/>
      <c r="AD104" s="154"/>
      <c r="AE104" s="154"/>
      <c r="AF104" s="154"/>
      <c r="AG104" s="154"/>
      <c r="AH104" s="154"/>
      <c r="AI104" s="154"/>
      <c r="AJ104" s="154"/>
      <c r="AK104" s="154"/>
      <c r="AL104" s="154"/>
      <c r="AM104" s="154"/>
      <c r="AN104" s="154"/>
      <c r="AO104" s="154"/>
      <c r="AP104" s="154"/>
      <c r="AQ104" s="154"/>
      <c r="AR104" s="154"/>
      <c r="AS104" s="154"/>
      <c r="AT104" s="154"/>
      <c r="AU104" s="154"/>
      <c r="AV104" s="154"/>
      <c r="AW104" s="1148"/>
    </row>
    <row r="105">
      <c r="A105" s="1382"/>
      <c r="B105" s="1383"/>
      <c r="C105" s="1384"/>
      <c r="D105" s="1272"/>
      <c r="E105" s="129"/>
      <c r="F105" s="129"/>
      <c r="G105" s="129"/>
      <c r="H105" s="1380"/>
      <c r="I105" s="731"/>
      <c r="J105" s="1212"/>
      <c r="K105" s="1212"/>
      <c r="L105" s="1212"/>
      <c r="M105" s="1212"/>
      <c r="N105" s="1212"/>
      <c r="O105" s="1212"/>
      <c r="P105" s="1212"/>
      <c r="Q105" s="806"/>
      <c r="R105" s="806"/>
      <c r="S105" s="806"/>
      <c r="T105" s="806"/>
      <c r="U105" s="806"/>
      <c r="V105" s="806"/>
      <c r="W105" s="527"/>
      <c r="X105" s="527"/>
      <c r="Y105" s="527"/>
      <c r="Z105" s="527"/>
      <c r="AA105" s="154"/>
      <c r="AB105" s="527"/>
      <c r="AC105" s="527"/>
      <c r="AD105" s="129"/>
      <c r="AE105" s="129"/>
      <c r="AF105" s="883"/>
      <c r="AG105" s="883"/>
      <c r="AH105" s="883"/>
      <c r="AI105" s="883"/>
      <c r="AJ105" s="883"/>
      <c r="AK105" s="883"/>
      <c r="AL105" s="883"/>
      <c r="AM105" s="935"/>
      <c r="AN105" s="935"/>
      <c r="AO105" s="935"/>
      <c r="AP105" s="935"/>
      <c r="AQ105" s="935"/>
      <c r="AR105" s="935"/>
      <c r="AS105" s="935"/>
      <c r="AT105" s="1212"/>
      <c r="AU105" s="1386"/>
      <c r="AV105" s="1386"/>
      <c r="AW105" s="1179"/>
    </row>
    <row r="106">
      <c r="A106" s="1377"/>
      <c r="B106" s="1378"/>
      <c r="C106" s="1379"/>
      <c r="D106" s="1272"/>
      <c r="E106" s="154"/>
      <c r="F106" s="154"/>
      <c r="G106" s="154"/>
      <c r="H106" s="1380"/>
      <c r="I106" s="154"/>
      <c r="J106" s="154"/>
      <c r="K106" s="154"/>
      <c r="L106" s="154"/>
      <c r="M106" s="154"/>
      <c r="N106" s="154"/>
      <c r="O106" s="154"/>
      <c r="P106" s="154"/>
      <c r="Q106" s="154"/>
      <c r="R106" s="154"/>
      <c r="S106" s="154"/>
      <c r="T106" s="154"/>
      <c r="U106" s="154"/>
      <c r="V106" s="154"/>
      <c r="W106" s="154"/>
      <c r="X106" s="154"/>
      <c r="Y106" s="154"/>
      <c r="Z106" s="154"/>
      <c r="AA106" s="527"/>
      <c r="AB106" s="154"/>
      <c r="AC106" s="154"/>
      <c r="AD106" s="154"/>
      <c r="AE106" s="154"/>
      <c r="AF106" s="154"/>
      <c r="AG106" s="154"/>
      <c r="AH106" s="154"/>
      <c r="AI106" s="154"/>
      <c r="AJ106" s="154"/>
      <c r="AK106" s="154"/>
      <c r="AL106" s="154"/>
      <c r="AM106" s="154"/>
      <c r="AN106" s="154"/>
      <c r="AO106" s="154"/>
      <c r="AP106" s="154"/>
      <c r="AQ106" s="154"/>
      <c r="AR106" s="154"/>
      <c r="AS106" s="154"/>
      <c r="AT106" s="154"/>
      <c r="AU106" s="154"/>
      <c r="AV106" s="154"/>
      <c r="AW106" s="1148"/>
    </row>
    <row r="107">
      <c r="A107" s="1382"/>
      <c r="B107" s="1383"/>
      <c r="C107" s="1384"/>
      <c r="D107" s="1272"/>
      <c r="E107" s="129"/>
      <c r="F107" s="129"/>
      <c r="G107" s="129"/>
      <c r="H107" s="1380"/>
      <c r="I107" s="731"/>
      <c r="J107" s="1212"/>
      <c r="K107" s="1212"/>
      <c r="L107" s="1212"/>
      <c r="M107" s="1212"/>
      <c r="N107" s="1212"/>
      <c r="O107" s="1212"/>
      <c r="P107" s="1212"/>
      <c r="Q107" s="806"/>
      <c r="R107" s="806"/>
      <c r="S107" s="806"/>
      <c r="T107" s="806"/>
      <c r="U107" s="806"/>
      <c r="V107" s="806"/>
      <c r="W107" s="527"/>
      <c r="X107" s="527"/>
      <c r="Y107" s="527"/>
      <c r="Z107" s="527"/>
      <c r="AA107" s="154"/>
      <c r="AB107" s="527"/>
      <c r="AC107" s="527"/>
      <c r="AD107" s="129"/>
      <c r="AE107" s="129"/>
      <c r="AF107" s="883"/>
      <c r="AG107" s="883"/>
      <c r="AH107" s="883"/>
      <c r="AI107" s="883"/>
      <c r="AJ107" s="883"/>
      <c r="AK107" s="883"/>
      <c r="AL107" s="883"/>
      <c r="AM107" s="935"/>
      <c r="AN107" s="935"/>
      <c r="AO107" s="935"/>
      <c r="AP107" s="935"/>
      <c r="AQ107" s="935"/>
      <c r="AR107" s="935"/>
      <c r="AS107" s="935"/>
      <c r="AT107" s="1212"/>
      <c r="AU107" s="1386"/>
      <c r="AV107" s="1386"/>
      <c r="AW107" s="1179"/>
    </row>
    <row r="108">
      <c r="A108" s="1377"/>
      <c r="B108" s="1378"/>
      <c r="C108" s="1379"/>
      <c r="D108" s="1272"/>
      <c r="E108" s="154"/>
      <c r="F108" s="154"/>
      <c r="G108" s="154"/>
      <c r="H108" s="1380"/>
      <c r="I108" s="154"/>
      <c r="J108" s="154"/>
      <c r="K108" s="154"/>
      <c r="L108" s="154"/>
      <c r="M108" s="154"/>
      <c r="N108" s="154"/>
      <c r="O108" s="154"/>
      <c r="P108" s="154"/>
      <c r="Q108" s="154"/>
      <c r="R108" s="154"/>
      <c r="S108" s="154"/>
      <c r="T108" s="154"/>
      <c r="U108" s="154"/>
      <c r="V108" s="154"/>
      <c r="W108" s="154"/>
      <c r="X108" s="154"/>
      <c r="Y108" s="154"/>
      <c r="Z108" s="154"/>
      <c r="AA108" s="527"/>
      <c r="AB108" s="154"/>
      <c r="AC108" s="154"/>
      <c r="AD108" s="154"/>
      <c r="AE108" s="154"/>
      <c r="AF108" s="154"/>
      <c r="AG108" s="154"/>
      <c r="AH108" s="154"/>
      <c r="AI108" s="154"/>
      <c r="AJ108" s="154"/>
      <c r="AK108" s="154"/>
      <c r="AL108" s="154"/>
      <c r="AM108" s="154"/>
      <c r="AN108" s="154"/>
      <c r="AO108" s="154"/>
      <c r="AP108" s="154"/>
      <c r="AQ108" s="154"/>
      <c r="AR108" s="154"/>
      <c r="AS108" s="154"/>
      <c r="AT108" s="154"/>
      <c r="AU108" s="154"/>
      <c r="AV108" s="154"/>
      <c r="AW108" s="1148"/>
    </row>
    <row r="109">
      <c r="A109" s="1382"/>
      <c r="B109" s="1383"/>
      <c r="C109" s="1384"/>
      <c r="D109" s="1272"/>
      <c r="E109" s="129"/>
      <c r="F109" s="129"/>
      <c r="G109" s="129"/>
      <c r="H109" s="1380"/>
      <c r="I109" s="731"/>
      <c r="J109" s="1212"/>
      <c r="K109" s="1212"/>
      <c r="L109" s="1212"/>
      <c r="M109" s="1212"/>
      <c r="N109" s="1212"/>
      <c r="O109" s="1212"/>
      <c r="P109" s="1212"/>
      <c r="Q109" s="806"/>
      <c r="R109" s="806"/>
      <c r="S109" s="806"/>
      <c r="T109" s="806"/>
      <c r="U109" s="806"/>
      <c r="V109" s="806"/>
      <c r="W109" s="527"/>
      <c r="X109" s="527"/>
      <c r="Y109" s="527"/>
      <c r="Z109" s="527"/>
      <c r="AA109" s="154"/>
      <c r="AB109" s="527"/>
      <c r="AC109" s="527"/>
      <c r="AD109" s="129"/>
      <c r="AE109" s="129"/>
      <c r="AF109" s="883"/>
      <c r="AG109" s="883"/>
      <c r="AH109" s="883"/>
      <c r="AI109" s="883"/>
      <c r="AJ109" s="883"/>
      <c r="AK109" s="883"/>
      <c r="AL109" s="883"/>
      <c r="AM109" s="935"/>
      <c r="AN109" s="935"/>
      <c r="AO109" s="935"/>
      <c r="AP109" s="935"/>
      <c r="AQ109" s="935"/>
      <c r="AR109" s="935"/>
      <c r="AS109" s="935"/>
      <c r="AT109" s="1212"/>
      <c r="AU109" s="1386"/>
      <c r="AV109" s="1386"/>
      <c r="AW109" s="1179"/>
    </row>
    <row r="110">
      <c r="A110" s="1377"/>
      <c r="B110" s="1378"/>
      <c r="C110" s="1379"/>
      <c r="D110" s="1272"/>
      <c r="E110" s="154"/>
      <c r="F110" s="154"/>
      <c r="G110" s="154"/>
      <c r="H110" s="1380"/>
      <c r="I110" s="154"/>
      <c r="J110" s="154"/>
      <c r="K110" s="154"/>
      <c r="L110" s="154"/>
      <c r="M110" s="154"/>
      <c r="N110" s="154"/>
      <c r="O110" s="154"/>
      <c r="P110" s="154"/>
      <c r="Q110" s="154"/>
      <c r="R110" s="154"/>
      <c r="S110" s="154"/>
      <c r="T110" s="154"/>
      <c r="U110" s="154"/>
      <c r="V110" s="154"/>
      <c r="W110" s="154"/>
      <c r="X110" s="154"/>
      <c r="Y110" s="154"/>
      <c r="Z110" s="154"/>
      <c r="AA110" s="527"/>
      <c r="AB110" s="154"/>
      <c r="AC110" s="154"/>
      <c r="AD110" s="154"/>
      <c r="AE110" s="154"/>
      <c r="AF110" s="154"/>
      <c r="AG110" s="154"/>
      <c r="AH110" s="154"/>
      <c r="AI110" s="154"/>
      <c r="AJ110" s="154"/>
      <c r="AK110" s="154"/>
      <c r="AL110" s="154"/>
      <c r="AM110" s="154"/>
      <c r="AN110" s="154"/>
      <c r="AO110" s="154"/>
      <c r="AP110" s="154"/>
      <c r="AQ110" s="154"/>
      <c r="AR110" s="154"/>
      <c r="AS110" s="154"/>
      <c r="AT110" s="154"/>
      <c r="AU110" s="154"/>
      <c r="AV110" s="154"/>
      <c r="AW110" s="1148"/>
    </row>
    <row r="111">
      <c r="A111" s="1382"/>
      <c r="B111" s="1383"/>
      <c r="C111" s="1384"/>
      <c r="D111" s="1272"/>
      <c r="E111" s="129"/>
      <c r="F111" s="129"/>
      <c r="G111" s="129"/>
      <c r="H111" s="1380"/>
      <c r="I111" s="731"/>
      <c r="J111" s="1212"/>
      <c r="K111" s="1212"/>
      <c r="L111" s="1212"/>
      <c r="M111" s="1212"/>
      <c r="N111" s="1212"/>
      <c r="O111" s="1212"/>
      <c r="P111" s="1212"/>
      <c r="Q111" s="806"/>
      <c r="R111" s="806"/>
      <c r="S111" s="806"/>
      <c r="T111" s="806"/>
      <c r="U111" s="806"/>
      <c r="V111" s="806"/>
      <c r="W111" s="527"/>
      <c r="X111" s="527"/>
      <c r="Y111" s="527"/>
      <c r="Z111" s="527"/>
      <c r="AA111" s="154"/>
      <c r="AB111" s="527"/>
      <c r="AC111" s="527"/>
      <c r="AD111" s="129"/>
      <c r="AE111" s="129"/>
      <c r="AF111" s="883"/>
      <c r="AG111" s="883"/>
      <c r="AH111" s="883"/>
      <c r="AI111" s="883"/>
      <c r="AJ111" s="883"/>
      <c r="AK111" s="883"/>
      <c r="AL111" s="883"/>
      <c r="AM111" s="935"/>
      <c r="AN111" s="935"/>
      <c r="AO111" s="935"/>
      <c r="AP111" s="935"/>
      <c r="AQ111" s="935"/>
      <c r="AR111" s="935"/>
      <c r="AS111" s="935"/>
      <c r="AT111" s="1212"/>
      <c r="AU111" s="1386"/>
      <c r="AV111" s="1386"/>
      <c r="AW111" s="1179"/>
    </row>
    <row r="112">
      <c r="A112" s="1377"/>
      <c r="B112" s="1378"/>
      <c r="C112" s="1379"/>
      <c r="D112" s="1272"/>
      <c r="E112" s="154"/>
      <c r="F112" s="154"/>
      <c r="G112" s="154"/>
      <c r="H112" s="1380"/>
      <c r="I112" s="154"/>
      <c r="J112" s="154"/>
      <c r="K112" s="154"/>
      <c r="L112" s="154"/>
      <c r="M112" s="154"/>
      <c r="N112" s="154"/>
      <c r="O112" s="154"/>
      <c r="P112" s="154"/>
      <c r="Q112" s="154"/>
      <c r="R112" s="154"/>
      <c r="S112" s="154"/>
      <c r="T112" s="154"/>
      <c r="U112" s="154"/>
      <c r="V112" s="154"/>
      <c r="W112" s="154"/>
      <c r="X112" s="154"/>
      <c r="Y112" s="154"/>
      <c r="Z112" s="154"/>
      <c r="AA112" s="527"/>
      <c r="AB112" s="154"/>
      <c r="AC112" s="154"/>
      <c r="AD112" s="154"/>
      <c r="AE112" s="154"/>
      <c r="AF112" s="154"/>
      <c r="AG112" s="154"/>
      <c r="AH112" s="154"/>
      <c r="AI112" s="154"/>
      <c r="AJ112" s="154"/>
      <c r="AK112" s="154"/>
      <c r="AL112" s="154"/>
      <c r="AM112" s="154"/>
      <c r="AN112" s="154"/>
      <c r="AO112" s="154"/>
      <c r="AP112" s="154"/>
      <c r="AQ112" s="154"/>
      <c r="AR112" s="154"/>
      <c r="AS112" s="154"/>
      <c r="AT112" s="154"/>
      <c r="AU112" s="154"/>
      <c r="AV112" s="154"/>
      <c r="AW112" s="1148"/>
    </row>
    <row r="113">
      <c r="A113" s="1382"/>
      <c r="B113" s="1383"/>
      <c r="C113" s="1384"/>
      <c r="D113" s="1272"/>
      <c r="E113" s="129"/>
      <c r="F113" s="129"/>
      <c r="G113" s="129"/>
      <c r="H113" s="1380"/>
      <c r="I113" s="731"/>
      <c r="J113" s="1212"/>
      <c r="K113" s="1212"/>
      <c r="L113" s="1212"/>
      <c r="M113" s="1212"/>
      <c r="N113" s="1212"/>
      <c r="O113" s="1212"/>
      <c r="P113" s="1212"/>
      <c r="Q113" s="806"/>
      <c r="R113" s="806"/>
      <c r="S113" s="806"/>
      <c r="T113" s="806"/>
      <c r="U113" s="806"/>
      <c r="V113" s="806"/>
      <c r="W113" s="527"/>
      <c r="X113" s="527"/>
      <c r="Y113" s="527"/>
      <c r="Z113" s="527"/>
      <c r="AA113" s="154"/>
      <c r="AB113" s="527"/>
      <c r="AC113" s="527"/>
      <c r="AD113" s="129"/>
      <c r="AE113" s="129"/>
      <c r="AF113" s="883"/>
      <c r="AG113" s="883"/>
      <c r="AH113" s="883"/>
      <c r="AI113" s="883"/>
      <c r="AJ113" s="883"/>
      <c r="AK113" s="883"/>
      <c r="AL113" s="883"/>
      <c r="AM113" s="935"/>
      <c r="AN113" s="935"/>
      <c r="AO113" s="935"/>
      <c r="AP113" s="935"/>
      <c r="AQ113" s="935"/>
      <c r="AR113" s="935"/>
      <c r="AS113" s="935"/>
      <c r="AT113" s="1212"/>
      <c r="AU113" s="1386"/>
      <c r="AV113" s="1386"/>
      <c r="AW113" s="1179"/>
    </row>
    <row r="114">
      <c r="A114" s="1377"/>
      <c r="B114" s="1378"/>
      <c r="C114" s="1379"/>
      <c r="D114" s="1272"/>
      <c r="E114" s="154"/>
      <c r="F114" s="154"/>
      <c r="G114" s="154"/>
      <c r="H114" s="1380"/>
      <c r="I114" s="154"/>
      <c r="J114" s="154"/>
      <c r="K114" s="154"/>
      <c r="L114" s="154"/>
      <c r="M114" s="154"/>
      <c r="N114" s="154"/>
      <c r="O114" s="154"/>
      <c r="P114" s="154"/>
      <c r="Q114" s="154"/>
      <c r="R114" s="154"/>
      <c r="S114" s="154"/>
      <c r="T114" s="154"/>
      <c r="U114" s="154"/>
      <c r="V114" s="154"/>
      <c r="W114" s="154"/>
      <c r="X114" s="154"/>
      <c r="Y114" s="154"/>
      <c r="Z114" s="154"/>
      <c r="AA114" s="527"/>
      <c r="AB114" s="154"/>
      <c r="AC114" s="154"/>
      <c r="AD114" s="154"/>
      <c r="AE114" s="154"/>
      <c r="AF114" s="154"/>
      <c r="AG114" s="154"/>
      <c r="AH114" s="154"/>
      <c r="AI114" s="154"/>
      <c r="AJ114" s="154"/>
      <c r="AK114" s="154"/>
      <c r="AL114" s="154"/>
      <c r="AM114" s="154"/>
      <c r="AN114" s="154"/>
      <c r="AO114" s="154"/>
      <c r="AP114" s="154"/>
      <c r="AQ114" s="154"/>
      <c r="AR114" s="154"/>
      <c r="AS114" s="154"/>
      <c r="AT114" s="154"/>
      <c r="AU114" s="154"/>
      <c r="AV114" s="154"/>
      <c r="AW114" s="1148"/>
    </row>
    <row r="115">
      <c r="A115" s="1382"/>
      <c r="B115" s="1383"/>
      <c r="C115" s="1384"/>
      <c r="D115" s="1272"/>
      <c r="E115" s="129"/>
      <c r="F115" s="129"/>
      <c r="G115" s="129"/>
      <c r="H115" s="731"/>
      <c r="I115" s="731"/>
      <c r="J115" s="1212"/>
      <c r="K115" s="1212"/>
      <c r="L115" s="1212"/>
      <c r="M115" s="1212"/>
      <c r="N115" s="1212"/>
      <c r="O115" s="1212"/>
      <c r="P115" s="1212"/>
      <c r="Q115" s="806"/>
      <c r="R115" s="806"/>
      <c r="S115" s="806"/>
      <c r="T115" s="806"/>
      <c r="U115" s="806"/>
      <c r="V115" s="806"/>
      <c r="W115" s="527"/>
      <c r="X115" s="527"/>
      <c r="Y115" s="527"/>
      <c r="Z115" s="527"/>
      <c r="AA115" s="154"/>
      <c r="AB115" s="527"/>
      <c r="AC115" s="527"/>
      <c r="AD115" s="129"/>
      <c r="AE115" s="129"/>
      <c r="AF115" s="883"/>
      <c r="AG115" s="883"/>
      <c r="AH115" s="883"/>
      <c r="AI115" s="883"/>
      <c r="AJ115" s="883"/>
      <c r="AK115" s="883"/>
      <c r="AL115" s="883"/>
      <c r="AM115" s="935"/>
      <c r="AN115" s="935"/>
      <c r="AO115" s="935"/>
      <c r="AP115" s="935"/>
      <c r="AQ115" s="935"/>
      <c r="AR115" s="935"/>
      <c r="AS115" s="935"/>
      <c r="AT115" s="1212"/>
      <c r="AU115" s="1386"/>
      <c r="AV115" s="1386"/>
      <c r="AW115" s="1179"/>
    </row>
    <row r="116">
      <c r="A116" s="1377"/>
      <c r="B116" s="1378"/>
      <c r="C116" s="1379"/>
      <c r="D116" s="1272"/>
      <c r="E116" s="154"/>
      <c r="F116" s="154"/>
      <c r="G116" s="154"/>
      <c r="H116" s="154"/>
      <c r="I116" s="154"/>
      <c r="J116" s="154"/>
      <c r="K116" s="154"/>
      <c r="L116" s="154"/>
      <c r="M116" s="154"/>
      <c r="N116" s="154"/>
      <c r="O116" s="154"/>
      <c r="P116" s="154"/>
      <c r="Q116" s="154"/>
      <c r="R116" s="154"/>
      <c r="S116" s="154"/>
      <c r="T116" s="154"/>
      <c r="U116" s="154"/>
      <c r="V116" s="154"/>
      <c r="W116" s="154"/>
      <c r="X116" s="154"/>
      <c r="Y116" s="154"/>
      <c r="Z116" s="154"/>
      <c r="AA116" s="527"/>
      <c r="AB116" s="154"/>
      <c r="AC116" s="154"/>
      <c r="AD116" s="154"/>
      <c r="AE116" s="154"/>
      <c r="AF116" s="154"/>
      <c r="AG116" s="154"/>
      <c r="AH116" s="154"/>
      <c r="AI116" s="154"/>
      <c r="AJ116" s="154"/>
      <c r="AK116" s="154"/>
      <c r="AL116" s="154"/>
      <c r="AM116" s="154"/>
      <c r="AN116" s="154"/>
      <c r="AO116" s="154"/>
      <c r="AP116" s="154"/>
      <c r="AQ116" s="154"/>
      <c r="AR116" s="154"/>
      <c r="AS116" s="154"/>
      <c r="AT116" s="154"/>
      <c r="AU116" s="154"/>
      <c r="AV116" s="154"/>
      <c r="AW116" s="1148"/>
    </row>
    <row r="117">
      <c r="A117" s="1382"/>
      <c r="B117" s="1383"/>
      <c r="C117" s="1384"/>
      <c r="D117" s="1272"/>
      <c r="E117" s="129"/>
      <c r="F117" s="129"/>
      <c r="G117" s="129"/>
      <c r="H117" s="731"/>
      <c r="I117" s="731"/>
      <c r="J117" s="1212"/>
      <c r="K117" s="1212"/>
      <c r="L117" s="1212"/>
      <c r="M117" s="1212"/>
      <c r="N117" s="1212"/>
      <c r="O117" s="1212"/>
      <c r="P117" s="1212"/>
      <c r="Q117" s="806"/>
      <c r="R117" s="806"/>
      <c r="S117" s="806"/>
      <c r="T117" s="806"/>
      <c r="U117" s="806"/>
      <c r="V117" s="806"/>
      <c r="W117" s="527"/>
      <c r="X117" s="527"/>
      <c r="Y117" s="527"/>
      <c r="Z117" s="527"/>
      <c r="AA117" s="154"/>
      <c r="AB117" s="527"/>
      <c r="AC117" s="527"/>
      <c r="AD117" s="129"/>
      <c r="AE117" s="129"/>
      <c r="AF117" s="883"/>
      <c r="AG117" s="883"/>
      <c r="AH117" s="883"/>
      <c r="AI117" s="883"/>
      <c r="AJ117" s="883"/>
      <c r="AK117" s="883"/>
      <c r="AL117" s="883"/>
      <c r="AM117" s="935"/>
      <c r="AN117" s="935"/>
      <c r="AO117" s="935"/>
      <c r="AP117" s="935"/>
      <c r="AQ117" s="935"/>
      <c r="AR117" s="935"/>
      <c r="AS117" s="935"/>
      <c r="AT117" s="1212"/>
      <c r="AU117" s="1386"/>
      <c r="AV117" s="1386"/>
      <c r="AW117" s="1179"/>
    </row>
    <row r="118">
      <c r="A118" s="1377"/>
      <c r="B118" s="1378"/>
      <c r="C118" s="1379"/>
      <c r="D118" s="1272"/>
      <c r="E118" s="154"/>
      <c r="F118" s="154"/>
      <c r="G118" s="154"/>
      <c r="H118" s="154"/>
      <c r="I118" s="154"/>
      <c r="J118" s="154"/>
      <c r="K118" s="154"/>
      <c r="L118" s="154"/>
      <c r="M118" s="154"/>
      <c r="N118" s="154"/>
      <c r="O118" s="154"/>
      <c r="P118" s="154"/>
      <c r="Q118" s="154"/>
      <c r="R118" s="154"/>
      <c r="S118" s="154"/>
      <c r="T118" s="154"/>
      <c r="U118" s="154"/>
      <c r="V118" s="154"/>
      <c r="W118" s="154"/>
      <c r="X118" s="154"/>
      <c r="Y118" s="154"/>
      <c r="Z118" s="154"/>
      <c r="AA118" s="527"/>
      <c r="AB118" s="154"/>
      <c r="AC118" s="154"/>
      <c r="AD118" s="154"/>
      <c r="AE118" s="154"/>
      <c r="AF118" s="154"/>
      <c r="AG118" s="154"/>
      <c r="AH118" s="154"/>
      <c r="AI118" s="154"/>
      <c r="AJ118" s="154"/>
      <c r="AK118" s="154"/>
      <c r="AL118" s="154"/>
      <c r="AM118" s="154"/>
      <c r="AN118" s="154"/>
      <c r="AO118" s="154"/>
      <c r="AP118" s="154"/>
      <c r="AQ118" s="154"/>
      <c r="AR118" s="154"/>
      <c r="AS118" s="154"/>
      <c r="AT118" s="154"/>
      <c r="AU118" s="154"/>
      <c r="AV118" s="154"/>
      <c r="AW118" s="1148"/>
    </row>
    <row r="119">
      <c r="A119" s="1382"/>
      <c r="B119" s="1383"/>
      <c r="C119" s="1384"/>
      <c r="D119" s="1272"/>
      <c r="E119" s="129"/>
      <c r="F119" s="129"/>
      <c r="G119" s="129"/>
      <c r="H119" s="731"/>
      <c r="I119" s="731"/>
      <c r="J119" s="1212"/>
      <c r="K119" s="1212"/>
      <c r="L119" s="1212"/>
      <c r="M119" s="1212"/>
      <c r="N119" s="1212"/>
      <c r="O119" s="1212"/>
      <c r="P119" s="1212"/>
      <c r="Q119" s="806"/>
      <c r="R119" s="806"/>
      <c r="S119" s="806"/>
      <c r="T119" s="806"/>
      <c r="U119" s="806"/>
      <c r="V119" s="806"/>
      <c r="W119" s="527"/>
      <c r="X119" s="527"/>
      <c r="Y119" s="527"/>
      <c r="Z119" s="527"/>
      <c r="AA119" s="154"/>
      <c r="AB119" s="527"/>
      <c r="AC119" s="527"/>
      <c r="AD119" s="129"/>
      <c r="AE119" s="129"/>
      <c r="AF119" s="883"/>
      <c r="AG119" s="883"/>
      <c r="AH119" s="883"/>
      <c r="AI119" s="883"/>
      <c r="AJ119" s="883"/>
      <c r="AK119" s="883"/>
      <c r="AL119" s="883"/>
      <c r="AM119" s="935"/>
      <c r="AN119" s="935"/>
      <c r="AO119" s="935"/>
      <c r="AP119" s="935"/>
      <c r="AQ119" s="935"/>
      <c r="AR119" s="935"/>
      <c r="AS119" s="935"/>
      <c r="AT119" s="1212"/>
      <c r="AU119" s="1386"/>
      <c r="AV119" s="1386"/>
      <c r="AW119" s="1179"/>
    </row>
    <row r="120">
      <c r="A120" s="1377"/>
      <c r="B120" s="1378"/>
      <c r="C120" s="1379"/>
      <c r="D120" s="1272"/>
      <c r="E120" s="154"/>
      <c r="F120" s="154"/>
      <c r="G120" s="154"/>
      <c r="H120" s="154"/>
      <c r="I120" s="154"/>
      <c r="J120" s="154"/>
      <c r="K120" s="154"/>
      <c r="L120" s="154"/>
      <c r="M120" s="154"/>
      <c r="N120" s="154"/>
      <c r="O120" s="154"/>
      <c r="P120" s="154"/>
      <c r="Q120" s="154"/>
      <c r="R120" s="154"/>
      <c r="S120" s="154"/>
      <c r="T120" s="154"/>
      <c r="U120" s="154"/>
      <c r="V120" s="154"/>
      <c r="W120" s="154"/>
      <c r="X120" s="154"/>
      <c r="Y120" s="154"/>
      <c r="Z120" s="154"/>
      <c r="AA120" s="527"/>
      <c r="AB120" s="154"/>
      <c r="AC120" s="154"/>
      <c r="AD120" s="154"/>
      <c r="AE120" s="154"/>
      <c r="AF120" s="154"/>
      <c r="AG120" s="154"/>
      <c r="AH120" s="154"/>
      <c r="AI120" s="154"/>
      <c r="AJ120" s="154"/>
      <c r="AK120" s="154"/>
      <c r="AL120" s="154"/>
      <c r="AM120" s="154"/>
      <c r="AN120" s="154"/>
      <c r="AO120" s="154"/>
      <c r="AP120" s="154"/>
      <c r="AQ120" s="154"/>
      <c r="AR120" s="154"/>
      <c r="AS120" s="154"/>
      <c r="AT120" s="154"/>
      <c r="AU120" s="154"/>
      <c r="AV120" s="154"/>
      <c r="AW120" s="1148"/>
    </row>
    <row r="121">
      <c r="A121" s="1382"/>
      <c r="B121" s="1383"/>
      <c r="C121" s="1384"/>
      <c r="D121" s="1272"/>
      <c r="E121" s="129"/>
      <c r="F121" s="129"/>
      <c r="G121" s="129"/>
      <c r="H121" s="731"/>
      <c r="I121" s="731"/>
      <c r="J121" s="1212"/>
      <c r="K121" s="1212"/>
      <c r="L121" s="1212"/>
      <c r="M121" s="1212"/>
      <c r="N121" s="1212"/>
      <c r="O121" s="1212"/>
      <c r="P121" s="1212"/>
      <c r="Q121" s="806"/>
      <c r="R121" s="806"/>
      <c r="S121" s="806"/>
      <c r="T121" s="806"/>
      <c r="U121" s="806"/>
      <c r="V121" s="806"/>
      <c r="W121" s="527"/>
      <c r="X121" s="527"/>
      <c r="Y121" s="527"/>
      <c r="Z121" s="527"/>
      <c r="AA121" s="154"/>
      <c r="AB121" s="527"/>
      <c r="AC121" s="527"/>
      <c r="AD121" s="129"/>
      <c r="AE121" s="129"/>
      <c r="AF121" s="883"/>
      <c r="AG121" s="883"/>
      <c r="AH121" s="883"/>
      <c r="AI121" s="883"/>
      <c r="AJ121" s="883"/>
      <c r="AK121" s="883"/>
      <c r="AL121" s="883"/>
      <c r="AM121" s="935"/>
      <c r="AN121" s="935"/>
      <c r="AO121" s="935"/>
      <c r="AP121" s="935"/>
      <c r="AQ121" s="935"/>
      <c r="AR121" s="935"/>
      <c r="AS121" s="935"/>
      <c r="AT121" s="1212"/>
      <c r="AU121" s="1386"/>
      <c r="AV121" s="1386"/>
      <c r="AW121" s="1179"/>
    </row>
    <row r="122">
      <c r="A122" s="1377"/>
      <c r="B122" s="1378"/>
      <c r="C122" s="1379"/>
      <c r="D122" s="1272"/>
      <c r="E122" s="154"/>
      <c r="F122" s="154"/>
      <c r="G122" s="154"/>
      <c r="H122" s="154"/>
      <c r="I122" s="154"/>
      <c r="J122" s="154"/>
      <c r="K122" s="154"/>
      <c r="L122" s="154"/>
      <c r="M122" s="154"/>
      <c r="N122" s="154"/>
      <c r="O122" s="154"/>
      <c r="P122" s="154"/>
      <c r="Q122" s="154"/>
      <c r="R122" s="154"/>
      <c r="S122" s="154"/>
      <c r="T122" s="154"/>
      <c r="U122" s="154"/>
      <c r="V122" s="154"/>
      <c r="W122" s="154"/>
      <c r="X122" s="154"/>
      <c r="Y122" s="154"/>
      <c r="Z122" s="154"/>
      <c r="AA122" s="527"/>
      <c r="AB122" s="154"/>
      <c r="AC122" s="154"/>
      <c r="AD122" s="154"/>
      <c r="AE122" s="154"/>
      <c r="AF122" s="154"/>
      <c r="AG122" s="154"/>
      <c r="AH122" s="154"/>
      <c r="AI122" s="154"/>
      <c r="AJ122" s="154"/>
      <c r="AK122" s="154"/>
      <c r="AL122" s="154"/>
      <c r="AM122" s="154"/>
      <c r="AN122" s="154"/>
      <c r="AO122" s="154"/>
      <c r="AP122" s="154"/>
      <c r="AQ122" s="154"/>
      <c r="AR122" s="154"/>
      <c r="AS122" s="154"/>
      <c r="AT122" s="154"/>
      <c r="AU122" s="154"/>
      <c r="AV122" s="154"/>
      <c r="AW122" s="1148"/>
    </row>
    <row r="123">
      <c r="A123" s="1382"/>
      <c r="B123" s="1383"/>
      <c r="C123" s="1384"/>
      <c r="D123" s="1272"/>
      <c r="E123" s="129"/>
      <c r="F123" s="129"/>
      <c r="G123" s="129"/>
      <c r="H123" s="731"/>
      <c r="I123" s="731"/>
      <c r="J123" s="1212"/>
      <c r="K123" s="1212"/>
      <c r="L123" s="1212"/>
      <c r="M123" s="1212"/>
      <c r="N123" s="1212"/>
      <c r="O123" s="1212"/>
      <c r="P123" s="1212"/>
      <c r="Q123" s="806"/>
      <c r="R123" s="806"/>
      <c r="S123" s="806"/>
      <c r="T123" s="806"/>
      <c r="U123" s="806"/>
      <c r="V123" s="806"/>
      <c r="W123" s="527"/>
      <c r="X123" s="527"/>
      <c r="Y123" s="527"/>
      <c r="Z123" s="527"/>
      <c r="AA123" s="154"/>
      <c r="AB123" s="527"/>
      <c r="AC123" s="527"/>
      <c r="AD123" s="129"/>
      <c r="AE123" s="129"/>
      <c r="AF123" s="883"/>
      <c r="AG123" s="883"/>
      <c r="AH123" s="883"/>
      <c r="AI123" s="883"/>
      <c r="AJ123" s="883"/>
      <c r="AK123" s="883"/>
      <c r="AL123" s="883"/>
      <c r="AM123" s="935"/>
      <c r="AN123" s="935"/>
      <c r="AO123" s="935"/>
      <c r="AP123" s="935"/>
      <c r="AQ123" s="935"/>
      <c r="AR123" s="935"/>
      <c r="AS123" s="935"/>
      <c r="AT123" s="1212"/>
      <c r="AU123" s="1386"/>
      <c r="AV123" s="1386"/>
      <c r="AW123" s="1179"/>
    </row>
    <row r="124">
      <c r="A124" s="1377"/>
      <c r="B124" s="1378"/>
      <c r="C124" s="1379"/>
      <c r="D124" s="1272"/>
      <c r="E124" s="154"/>
      <c r="F124" s="154"/>
      <c r="G124" s="154"/>
      <c r="H124" s="154"/>
      <c r="I124" s="154"/>
      <c r="J124" s="154"/>
      <c r="K124" s="154"/>
      <c r="L124" s="154"/>
      <c r="M124" s="154"/>
      <c r="N124" s="154"/>
      <c r="O124" s="154"/>
      <c r="P124" s="154"/>
      <c r="Q124" s="154"/>
      <c r="R124" s="154"/>
      <c r="S124" s="154"/>
      <c r="T124" s="154"/>
      <c r="U124" s="154"/>
      <c r="V124" s="154"/>
      <c r="W124" s="154"/>
      <c r="X124" s="154"/>
      <c r="Y124" s="154"/>
      <c r="Z124" s="154"/>
      <c r="AA124" s="527"/>
      <c r="AB124" s="154"/>
      <c r="AC124" s="154"/>
      <c r="AD124" s="154"/>
      <c r="AE124" s="154"/>
      <c r="AF124" s="154"/>
      <c r="AG124" s="154"/>
      <c r="AH124" s="154"/>
      <c r="AI124" s="154"/>
      <c r="AJ124" s="154"/>
      <c r="AK124" s="154"/>
      <c r="AL124" s="154"/>
      <c r="AM124" s="154"/>
      <c r="AN124" s="154"/>
      <c r="AO124" s="154"/>
      <c r="AP124" s="154"/>
      <c r="AQ124" s="154"/>
      <c r="AR124" s="154"/>
      <c r="AS124" s="154"/>
      <c r="AT124" s="154"/>
      <c r="AU124" s="154"/>
      <c r="AV124" s="154"/>
      <c r="AW124" s="1148"/>
    </row>
    <row r="125">
      <c r="A125" s="1382"/>
      <c r="B125" s="1383"/>
      <c r="C125" s="1384"/>
      <c r="D125" s="1272"/>
      <c r="E125" s="129"/>
      <c r="F125" s="129"/>
      <c r="G125" s="129"/>
      <c r="H125" s="731"/>
      <c r="I125" s="731"/>
      <c r="J125" s="1212"/>
      <c r="K125" s="1212"/>
      <c r="L125" s="1212"/>
      <c r="M125" s="1212"/>
      <c r="N125" s="1212"/>
      <c r="O125" s="1212"/>
      <c r="P125" s="1212"/>
      <c r="Q125" s="806"/>
      <c r="R125" s="806"/>
      <c r="S125" s="806"/>
      <c r="T125" s="806"/>
      <c r="U125" s="806"/>
      <c r="V125" s="806"/>
      <c r="W125" s="527"/>
      <c r="X125" s="527"/>
      <c r="Y125" s="527"/>
      <c r="Z125" s="527"/>
      <c r="AA125" s="154"/>
      <c r="AB125" s="527"/>
      <c r="AC125" s="527"/>
      <c r="AD125" s="129"/>
      <c r="AE125" s="129"/>
      <c r="AF125" s="883"/>
      <c r="AG125" s="883"/>
      <c r="AH125" s="883"/>
      <c r="AI125" s="883"/>
      <c r="AJ125" s="883"/>
      <c r="AK125" s="883"/>
      <c r="AL125" s="883"/>
      <c r="AM125" s="935"/>
      <c r="AN125" s="935"/>
      <c r="AO125" s="935"/>
      <c r="AP125" s="935"/>
      <c r="AQ125" s="935"/>
      <c r="AR125" s="935"/>
      <c r="AS125" s="935"/>
      <c r="AT125" s="1212"/>
      <c r="AU125" s="1386"/>
      <c r="AV125" s="1386"/>
      <c r="AW125" s="1179"/>
    </row>
    <row r="126">
      <c r="A126" s="1377"/>
      <c r="B126" s="1378"/>
      <c r="C126" s="1379"/>
      <c r="D126" s="1272"/>
      <c r="E126" s="154"/>
      <c r="F126" s="154"/>
      <c r="G126" s="154"/>
      <c r="H126" s="154"/>
      <c r="I126" s="154"/>
      <c r="J126" s="154"/>
      <c r="K126" s="154"/>
      <c r="L126" s="154"/>
      <c r="M126" s="154"/>
      <c r="N126" s="154"/>
      <c r="O126" s="154"/>
      <c r="P126" s="154"/>
      <c r="Q126" s="154"/>
      <c r="R126" s="154"/>
      <c r="S126" s="154"/>
      <c r="T126" s="154"/>
      <c r="U126" s="154"/>
      <c r="V126" s="154"/>
      <c r="W126" s="154"/>
      <c r="X126" s="154"/>
      <c r="Y126" s="154"/>
      <c r="Z126" s="154"/>
      <c r="AA126" s="527"/>
      <c r="AB126" s="154"/>
      <c r="AC126" s="154"/>
      <c r="AD126" s="154"/>
      <c r="AE126" s="154"/>
      <c r="AF126" s="154"/>
      <c r="AG126" s="154"/>
      <c r="AH126" s="154"/>
      <c r="AI126" s="154"/>
      <c r="AJ126" s="154"/>
      <c r="AK126" s="154"/>
      <c r="AL126" s="154"/>
      <c r="AM126" s="154"/>
      <c r="AN126" s="154"/>
      <c r="AO126" s="154"/>
      <c r="AP126" s="154"/>
      <c r="AQ126" s="154"/>
      <c r="AR126" s="154"/>
      <c r="AS126" s="154"/>
      <c r="AT126" s="154"/>
      <c r="AU126" s="154"/>
      <c r="AV126" s="154"/>
      <c r="AW126" s="1148"/>
    </row>
    <row r="127">
      <c r="A127" s="1382"/>
      <c r="B127" s="1383"/>
      <c r="C127" s="1384"/>
      <c r="D127" s="1272"/>
      <c r="E127" s="129"/>
      <c r="F127" s="129"/>
      <c r="G127" s="129"/>
      <c r="H127" s="731"/>
      <c r="I127" s="731"/>
      <c r="J127" s="1212"/>
      <c r="K127" s="1212"/>
      <c r="L127" s="1212"/>
      <c r="M127" s="1212"/>
      <c r="N127" s="1212"/>
      <c r="O127" s="1212"/>
      <c r="P127" s="1212"/>
      <c r="Q127" s="806"/>
      <c r="R127" s="806"/>
      <c r="S127" s="806"/>
      <c r="T127" s="806"/>
      <c r="U127" s="806"/>
      <c r="V127" s="806"/>
      <c r="W127" s="527"/>
      <c r="X127" s="527"/>
      <c r="Y127" s="527"/>
      <c r="Z127" s="527"/>
      <c r="AA127" s="154"/>
      <c r="AB127" s="527"/>
      <c r="AC127" s="527"/>
      <c r="AD127" s="129"/>
      <c r="AE127" s="129"/>
      <c r="AF127" s="883"/>
      <c r="AG127" s="883"/>
      <c r="AH127" s="883"/>
      <c r="AI127" s="883"/>
      <c r="AJ127" s="883"/>
      <c r="AK127" s="883"/>
      <c r="AL127" s="883"/>
      <c r="AM127" s="935"/>
      <c r="AN127" s="935"/>
      <c r="AO127" s="935"/>
      <c r="AP127" s="935"/>
      <c r="AQ127" s="935"/>
      <c r="AR127" s="935"/>
      <c r="AS127" s="935"/>
      <c r="AT127" s="1212"/>
      <c r="AU127" s="1386"/>
      <c r="AV127" s="1386"/>
      <c r="AW127" s="1179"/>
    </row>
    <row r="128">
      <c r="A128" s="1377"/>
      <c r="B128" s="1378"/>
      <c r="C128" s="1379"/>
      <c r="D128" s="1272"/>
      <c r="E128" s="154"/>
      <c r="F128" s="154"/>
      <c r="G128" s="154"/>
      <c r="H128" s="154"/>
      <c r="I128" s="154"/>
      <c r="J128" s="154"/>
      <c r="K128" s="154"/>
      <c r="L128" s="154"/>
      <c r="M128" s="154"/>
      <c r="N128" s="154"/>
      <c r="O128" s="154"/>
      <c r="P128" s="154"/>
      <c r="Q128" s="154"/>
      <c r="R128" s="154"/>
      <c r="S128" s="154"/>
      <c r="T128" s="154"/>
      <c r="U128" s="154"/>
      <c r="V128" s="154"/>
      <c r="W128" s="154"/>
      <c r="X128" s="154"/>
      <c r="Y128" s="154"/>
      <c r="Z128" s="154"/>
      <c r="AA128" s="527"/>
      <c r="AB128" s="154"/>
      <c r="AC128" s="154"/>
      <c r="AD128" s="154"/>
      <c r="AE128" s="154"/>
      <c r="AF128" s="154"/>
      <c r="AG128" s="154"/>
      <c r="AH128" s="154"/>
      <c r="AI128" s="154"/>
      <c r="AJ128" s="154"/>
      <c r="AK128" s="154"/>
      <c r="AL128" s="154"/>
      <c r="AM128" s="154"/>
      <c r="AN128" s="154"/>
      <c r="AO128" s="154"/>
      <c r="AP128" s="154"/>
      <c r="AQ128" s="154"/>
      <c r="AR128" s="154"/>
      <c r="AS128" s="154"/>
      <c r="AT128" s="154"/>
      <c r="AU128" s="154"/>
      <c r="AV128" s="154"/>
      <c r="AW128" s="1148"/>
    </row>
    <row r="129">
      <c r="A129" s="1382"/>
      <c r="B129" s="1383"/>
      <c r="C129" s="1384"/>
      <c r="D129" s="1272"/>
      <c r="E129" s="129"/>
      <c r="F129" s="129"/>
      <c r="G129" s="129"/>
      <c r="H129" s="731"/>
      <c r="I129" s="731"/>
      <c r="J129" s="1212"/>
      <c r="K129" s="1212"/>
      <c r="L129" s="1212"/>
      <c r="M129" s="1212"/>
      <c r="N129" s="1212"/>
      <c r="O129" s="1212"/>
      <c r="P129" s="1212"/>
      <c r="Q129" s="806"/>
      <c r="R129" s="806"/>
      <c r="S129" s="806"/>
      <c r="T129" s="806"/>
      <c r="U129" s="806"/>
      <c r="V129" s="806"/>
      <c r="W129" s="527"/>
      <c r="X129" s="527"/>
      <c r="Y129" s="527"/>
      <c r="Z129" s="527"/>
      <c r="AA129" s="154"/>
      <c r="AB129" s="527"/>
      <c r="AC129" s="527"/>
      <c r="AD129" s="129"/>
      <c r="AE129" s="129"/>
      <c r="AF129" s="883"/>
      <c r="AG129" s="883"/>
      <c r="AH129" s="883"/>
      <c r="AI129" s="883"/>
      <c r="AJ129" s="883"/>
      <c r="AK129" s="883"/>
      <c r="AL129" s="883"/>
      <c r="AM129" s="935"/>
      <c r="AN129" s="935"/>
      <c r="AO129" s="935"/>
      <c r="AP129" s="935"/>
      <c r="AQ129" s="935"/>
      <c r="AR129" s="935"/>
      <c r="AS129" s="935"/>
      <c r="AT129" s="1212"/>
      <c r="AU129" s="1386"/>
      <c r="AV129" s="1386"/>
      <c r="AW129" s="1179"/>
    </row>
    <row r="130">
      <c r="A130" s="1377"/>
      <c r="B130" s="1378"/>
      <c r="C130" s="1379"/>
      <c r="D130" s="1272"/>
      <c r="E130" s="154"/>
      <c r="F130" s="154"/>
      <c r="G130" s="154"/>
      <c r="H130" s="154"/>
      <c r="I130" s="154"/>
      <c r="J130" s="154"/>
      <c r="K130" s="154"/>
      <c r="L130" s="154"/>
      <c r="M130" s="154"/>
      <c r="N130" s="154"/>
      <c r="O130" s="154"/>
      <c r="P130" s="154"/>
      <c r="Q130" s="154"/>
      <c r="R130" s="154"/>
      <c r="S130" s="154"/>
      <c r="T130" s="154"/>
      <c r="U130" s="154"/>
      <c r="V130" s="154"/>
      <c r="W130" s="154"/>
      <c r="X130" s="154"/>
      <c r="Y130" s="154"/>
      <c r="Z130" s="154"/>
      <c r="AA130" s="527"/>
      <c r="AB130" s="154"/>
      <c r="AC130" s="154"/>
      <c r="AD130" s="154"/>
      <c r="AE130" s="154"/>
      <c r="AF130" s="154"/>
      <c r="AG130" s="154"/>
      <c r="AH130" s="154"/>
      <c r="AI130" s="154"/>
      <c r="AJ130" s="154"/>
      <c r="AK130" s="154"/>
      <c r="AL130" s="154"/>
      <c r="AM130" s="154"/>
      <c r="AN130" s="154"/>
      <c r="AO130" s="154"/>
      <c r="AP130" s="154"/>
      <c r="AQ130" s="154"/>
      <c r="AR130" s="154"/>
      <c r="AS130" s="154"/>
      <c r="AT130" s="154"/>
      <c r="AU130" s="154"/>
      <c r="AV130" s="154"/>
      <c r="AW130" s="1148"/>
    </row>
    <row r="131">
      <c r="A131" s="1382"/>
      <c r="B131" s="1383"/>
      <c r="C131" s="1384"/>
      <c r="D131" s="1272"/>
      <c r="E131" s="129"/>
      <c r="F131" s="129"/>
      <c r="G131" s="129"/>
      <c r="H131" s="731"/>
      <c r="I131" s="731"/>
      <c r="J131" s="1212"/>
      <c r="K131" s="1212"/>
      <c r="L131" s="1212"/>
      <c r="M131" s="1212"/>
      <c r="N131" s="1212"/>
      <c r="O131" s="1212"/>
      <c r="P131" s="1212"/>
      <c r="Q131" s="806"/>
      <c r="R131" s="806"/>
      <c r="S131" s="806"/>
      <c r="T131" s="806"/>
      <c r="U131" s="806"/>
      <c r="V131" s="806"/>
      <c r="W131" s="527"/>
      <c r="X131" s="527"/>
      <c r="Y131" s="527"/>
      <c r="Z131" s="527"/>
      <c r="AA131" s="154"/>
      <c r="AB131" s="527"/>
      <c r="AC131" s="527"/>
      <c r="AD131" s="129"/>
      <c r="AE131" s="129"/>
      <c r="AF131" s="883"/>
      <c r="AG131" s="883"/>
      <c r="AH131" s="883"/>
      <c r="AI131" s="883"/>
      <c r="AJ131" s="883"/>
      <c r="AK131" s="883"/>
      <c r="AL131" s="883"/>
      <c r="AM131" s="935"/>
      <c r="AN131" s="935"/>
      <c r="AO131" s="935"/>
      <c r="AP131" s="935"/>
      <c r="AQ131" s="935"/>
      <c r="AR131" s="935"/>
      <c r="AS131" s="935"/>
      <c r="AT131" s="1212"/>
      <c r="AU131" s="1386"/>
      <c r="AV131" s="1386"/>
      <c r="AW131" s="1179"/>
    </row>
    <row r="132">
      <c r="A132" s="1377"/>
      <c r="B132" s="1378"/>
      <c r="C132" s="1379"/>
      <c r="D132" s="1272"/>
      <c r="E132" s="154"/>
      <c r="F132" s="154"/>
      <c r="G132" s="154"/>
      <c r="H132" s="154"/>
      <c r="I132" s="154"/>
      <c r="J132" s="154"/>
      <c r="K132" s="154"/>
      <c r="L132" s="154"/>
      <c r="M132" s="154"/>
      <c r="N132" s="154"/>
      <c r="O132" s="154"/>
      <c r="P132" s="154"/>
      <c r="Q132" s="154"/>
      <c r="R132" s="154"/>
      <c r="S132" s="154"/>
      <c r="T132" s="154"/>
      <c r="U132" s="154"/>
      <c r="V132" s="154"/>
      <c r="W132" s="154"/>
      <c r="X132" s="154"/>
      <c r="Y132" s="154"/>
      <c r="Z132" s="154"/>
      <c r="AA132" s="527"/>
      <c r="AB132" s="154"/>
      <c r="AC132" s="154"/>
      <c r="AD132" s="154"/>
      <c r="AE132" s="154"/>
      <c r="AF132" s="154"/>
      <c r="AG132" s="154"/>
      <c r="AH132" s="154"/>
      <c r="AI132" s="154"/>
      <c r="AJ132" s="154"/>
      <c r="AK132" s="154"/>
      <c r="AL132" s="154"/>
      <c r="AM132" s="154"/>
      <c r="AN132" s="154"/>
      <c r="AO132" s="154"/>
      <c r="AP132" s="154"/>
      <c r="AQ132" s="154"/>
      <c r="AR132" s="154"/>
      <c r="AS132" s="154"/>
      <c r="AT132" s="154"/>
      <c r="AU132" s="154"/>
      <c r="AV132" s="154"/>
      <c r="AW132" s="1148"/>
    </row>
    <row r="133">
      <c r="A133" s="1382"/>
      <c r="B133" s="1383"/>
      <c r="C133" s="1384"/>
      <c r="D133" s="1272"/>
      <c r="E133" s="129"/>
      <c r="F133" s="129"/>
      <c r="G133" s="129"/>
      <c r="H133" s="731"/>
      <c r="I133" s="731"/>
      <c r="J133" s="1212"/>
      <c r="K133" s="1212"/>
      <c r="L133" s="1212"/>
      <c r="M133" s="1212"/>
      <c r="N133" s="1212"/>
      <c r="O133" s="1212"/>
      <c r="P133" s="1212"/>
      <c r="Q133" s="806"/>
      <c r="R133" s="806"/>
      <c r="S133" s="806"/>
      <c r="T133" s="806"/>
      <c r="U133" s="806"/>
      <c r="V133" s="806"/>
      <c r="W133" s="527"/>
      <c r="X133" s="527"/>
      <c r="Y133" s="527"/>
      <c r="Z133" s="527"/>
      <c r="AA133" s="154"/>
      <c r="AB133" s="527"/>
      <c r="AC133" s="527"/>
      <c r="AD133" s="129"/>
      <c r="AE133" s="129"/>
      <c r="AF133" s="883"/>
      <c r="AG133" s="883"/>
      <c r="AH133" s="883"/>
      <c r="AI133" s="883"/>
      <c r="AJ133" s="883"/>
      <c r="AK133" s="883"/>
      <c r="AL133" s="883"/>
      <c r="AM133" s="935"/>
      <c r="AN133" s="935"/>
      <c r="AO133" s="935"/>
      <c r="AP133" s="935"/>
      <c r="AQ133" s="935"/>
      <c r="AR133" s="935"/>
      <c r="AS133" s="935"/>
      <c r="AT133" s="1212"/>
      <c r="AU133" s="1386"/>
      <c r="AV133" s="1386"/>
      <c r="AW133" s="1179"/>
    </row>
    <row r="134">
      <c r="A134" s="1377"/>
      <c r="B134" s="1378"/>
      <c r="C134" s="1379"/>
      <c r="D134" s="1272"/>
      <c r="E134" s="154"/>
      <c r="F134" s="154"/>
      <c r="G134" s="154"/>
      <c r="H134" s="154"/>
      <c r="I134" s="154"/>
      <c r="J134" s="154"/>
      <c r="K134" s="154"/>
      <c r="L134" s="154"/>
      <c r="M134" s="154"/>
      <c r="N134" s="154"/>
      <c r="O134" s="154"/>
      <c r="P134" s="154"/>
      <c r="Q134" s="154"/>
      <c r="R134" s="154"/>
      <c r="S134" s="154"/>
      <c r="T134" s="154"/>
      <c r="U134" s="154"/>
      <c r="V134" s="154"/>
      <c r="W134" s="154"/>
      <c r="X134" s="154"/>
      <c r="Y134" s="154"/>
      <c r="Z134" s="154"/>
      <c r="AA134" s="527"/>
      <c r="AB134" s="154"/>
      <c r="AC134" s="154"/>
      <c r="AD134" s="154"/>
      <c r="AE134" s="154"/>
      <c r="AF134" s="154"/>
      <c r="AG134" s="154"/>
      <c r="AH134" s="154"/>
      <c r="AI134" s="154"/>
      <c r="AJ134" s="154"/>
      <c r="AK134" s="154"/>
      <c r="AL134" s="154"/>
      <c r="AM134" s="154"/>
      <c r="AN134" s="154"/>
      <c r="AO134" s="154"/>
      <c r="AP134" s="154"/>
      <c r="AQ134" s="154"/>
      <c r="AR134" s="154"/>
      <c r="AS134" s="154"/>
      <c r="AT134" s="154"/>
      <c r="AU134" s="154"/>
      <c r="AV134" s="154"/>
      <c r="AW134" s="1148"/>
    </row>
    <row r="135">
      <c r="A135" s="1382"/>
      <c r="B135" s="1383"/>
      <c r="C135" s="1384"/>
      <c r="D135" s="1272"/>
      <c r="E135" s="129"/>
      <c r="F135" s="129"/>
      <c r="G135" s="129"/>
      <c r="H135" s="731"/>
      <c r="I135" s="731"/>
      <c r="J135" s="1212"/>
      <c r="K135" s="1212"/>
      <c r="L135" s="1212"/>
      <c r="M135" s="1212"/>
      <c r="N135" s="1212"/>
      <c r="O135" s="1212"/>
      <c r="P135" s="1212"/>
      <c r="Q135" s="806"/>
      <c r="R135" s="806"/>
      <c r="S135" s="806"/>
      <c r="T135" s="806"/>
      <c r="U135" s="806"/>
      <c r="V135" s="806"/>
      <c r="W135" s="527"/>
      <c r="X135" s="527"/>
      <c r="Y135" s="527"/>
      <c r="Z135" s="527"/>
      <c r="AA135" s="154"/>
      <c r="AB135" s="527"/>
      <c r="AC135" s="527"/>
      <c r="AD135" s="129"/>
      <c r="AE135" s="129"/>
      <c r="AF135" s="883"/>
      <c r="AG135" s="883"/>
      <c r="AH135" s="883"/>
      <c r="AI135" s="883"/>
      <c r="AJ135" s="883"/>
      <c r="AK135" s="883"/>
      <c r="AL135" s="883"/>
      <c r="AM135" s="935"/>
      <c r="AN135" s="935"/>
      <c r="AO135" s="935"/>
      <c r="AP135" s="935"/>
      <c r="AQ135" s="935"/>
      <c r="AR135" s="935"/>
      <c r="AS135" s="935"/>
      <c r="AT135" s="1212"/>
      <c r="AU135" s="1386"/>
      <c r="AV135" s="1386"/>
      <c r="AW135" s="1179"/>
    </row>
    <row r="136">
      <c r="A136" s="1377"/>
      <c r="B136" s="1378"/>
      <c r="C136" s="1379"/>
      <c r="D136" s="154"/>
      <c r="E136" s="154"/>
      <c r="F136" s="154"/>
      <c r="G136" s="154"/>
      <c r="H136" s="154"/>
      <c r="I136" s="154"/>
      <c r="J136" s="154"/>
      <c r="K136" s="154"/>
      <c r="L136" s="154"/>
      <c r="M136" s="154"/>
      <c r="N136" s="154"/>
      <c r="O136" s="154"/>
      <c r="P136" s="154"/>
      <c r="Q136" s="154"/>
      <c r="R136" s="154"/>
      <c r="S136" s="154"/>
      <c r="T136" s="154"/>
      <c r="U136" s="154"/>
      <c r="V136" s="154"/>
      <c r="W136" s="154"/>
      <c r="X136" s="154"/>
      <c r="Y136" s="154"/>
      <c r="Z136" s="154"/>
      <c r="AA136" s="527"/>
      <c r="AB136" s="154"/>
      <c r="AC136" s="154"/>
      <c r="AD136" s="154"/>
      <c r="AE136" s="154"/>
      <c r="AF136" s="154"/>
      <c r="AG136" s="154"/>
      <c r="AH136" s="154"/>
      <c r="AI136" s="154"/>
      <c r="AJ136" s="154"/>
      <c r="AK136" s="154"/>
      <c r="AL136" s="154"/>
      <c r="AM136" s="154"/>
      <c r="AN136" s="154"/>
      <c r="AO136" s="154"/>
      <c r="AP136" s="154"/>
      <c r="AQ136" s="154"/>
      <c r="AR136" s="154"/>
      <c r="AS136" s="154"/>
      <c r="AT136" s="154"/>
      <c r="AU136" s="154"/>
      <c r="AV136" s="154"/>
      <c r="AW136" s="1148"/>
    </row>
    <row r="137">
      <c r="A137" s="1382"/>
      <c r="B137" s="1383"/>
      <c r="C137" s="1384"/>
      <c r="D137" s="129"/>
      <c r="E137" s="129"/>
      <c r="F137" s="129"/>
      <c r="G137" s="129"/>
      <c r="H137" s="731"/>
      <c r="I137" s="731"/>
      <c r="J137" s="1212"/>
      <c r="K137" s="1212"/>
      <c r="L137" s="1212"/>
      <c r="M137" s="1212"/>
      <c r="N137" s="1212"/>
      <c r="O137" s="1212"/>
      <c r="P137" s="1212"/>
      <c r="Q137" s="806"/>
      <c r="R137" s="806"/>
      <c r="S137" s="806"/>
      <c r="T137" s="806"/>
      <c r="U137" s="806"/>
      <c r="V137" s="806"/>
      <c r="W137" s="527"/>
      <c r="X137" s="527"/>
      <c r="Y137" s="527"/>
      <c r="Z137" s="527"/>
      <c r="AA137" s="154"/>
      <c r="AB137" s="527"/>
      <c r="AC137" s="527"/>
      <c r="AD137" s="129"/>
      <c r="AE137" s="129"/>
      <c r="AF137" s="883"/>
      <c r="AG137" s="883"/>
      <c r="AH137" s="883"/>
      <c r="AI137" s="883"/>
      <c r="AJ137" s="883"/>
      <c r="AK137" s="883"/>
      <c r="AL137" s="883"/>
      <c r="AM137" s="935"/>
      <c r="AN137" s="935"/>
      <c r="AO137" s="935"/>
      <c r="AP137" s="935"/>
      <c r="AQ137" s="935"/>
      <c r="AR137" s="935"/>
      <c r="AS137" s="935"/>
      <c r="AT137" s="1212"/>
      <c r="AU137" s="1386"/>
      <c r="AV137" s="1386"/>
      <c r="AW137" s="1179"/>
    </row>
    <row r="138">
      <c r="A138" s="1377"/>
      <c r="B138" s="1378"/>
      <c r="C138" s="1379"/>
      <c r="D138" s="154"/>
      <c r="E138" s="154"/>
      <c r="F138" s="154"/>
      <c r="G138" s="154"/>
      <c r="H138" s="154"/>
      <c r="I138" s="154"/>
      <c r="J138" s="154"/>
      <c r="K138" s="154"/>
      <c r="L138" s="154"/>
      <c r="M138" s="154"/>
      <c r="N138" s="154"/>
      <c r="O138" s="154"/>
      <c r="P138" s="154"/>
      <c r="Q138" s="154"/>
      <c r="R138" s="154"/>
      <c r="S138" s="154"/>
      <c r="T138" s="154"/>
      <c r="U138" s="154"/>
      <c r="V138" s="154"/>
      <c r="W138" s="154"/>
      <c r="X138" s="154"/>
      <c r="Y138" s="154"/>
      <c r="Z138" s="154"/>
      <c r="AA138" s="527"/>
      <c r="AB138" s="154"/>
      <c r="AC138" s="154"/>
      <c r="AD138" s="154"/>
      <c r="AE138" s="154"/>
      <c r="AF138" s="154"/>
      <c r="AG138" s="154"/>
      <c r="AH138" s="154"/>
      <c r="AI138" s="154"/>
      <c r="AJ138" s="154"/>
      <c r="AK138" s="154"/>
      <c r="AL138" s="154"/>
      <c r="AM138" s="154"/>
      <c r="AN138" s="154"/>
      <c r="AO138" s="154"/>
      <c r="AP138" s="154"/>
      <c r="AQ138" s="154"/>
      <c r="AR138" s="154"/>
      <c r="AS138" s="154"/>
      <c r="AT138" s="154"/>
      <c r="AU138" s="154"/>
      <c r="AV138" s="154"/>
      <c r="AW138" s="1148"/>
    </row>
    <row r="139">
      <c r="A139" s="1382"/>
      <c r="B139" s="1383"/>
      <c r="C139" s="1384"/>
      <c r="D139" s="129"/>
      <c r="E139" s="129"/>
      <c r="F139" s="129"/>
      <c r="G139" s="129"/>
      <c r="H139" s="731"/>
      <c r="I139" s="731"/>
      <c r="J139" s="1212"/>
      <c r="K139" s="1212"/>
      <c r="L139" s="1212"/>
      <c r="M139" s="1212"/>
      <c r="N139" s="1212"/>
      <c r="O139" s="1212"/>
      <c r="P139" s="1212"/>
      <c r="Q139" s="806"/>
      <c r="R139" s="806"/>
      <c r="S139" s="806"/>
      <c r="T139" s="806"/>
      <c r="U139" s="806"/>
      <c r="V139" s="806"/>
      <c r="W139" s="527"/>
      <c r="X139" s="527"/>
      <c r="Y139" s="527"/>
      <c r="Z139" s="527"/>
      <c r="AA139" s="154"/>
      <c r="AB139" s="527"/>
      <c r="AC139" s="527"/>
      <c r="AD139" s="129"/>
      <c r="AE139" s="129"/>
      <c r="AF139" s="883"/>
      <c r="AG139" s="883"/>
      <c r="AH139" s="883"/>
      <c r="AI139" s="883"/>
      <c r="AJ139" s="883"/>
      <c r="AK139" s="883"/>
      <c r="AL139" s="883"/>
      <c r="AM139" s="935"/>
      <c r="AN139" s="935"/>
      <c r="AO139" s="935"/>
      <c r="AP139" s="935"/>
      <c r="AQ139" s="935"/>
      <c r="AR139" s="935"/>
      <c r="AS139" s="935"/>
      <c r="AT139" s="1212"/>
      <c r="AU139" s="1386"/>
      <c r="AV139" s="1386"/>
      <c r="AW139" s="1179"/>
    </row>
    <row r="140">
      <c r="A140" s="1377"/>
      <c r="B140" s="1378"/>
      <c r="C140" s="1379"/>
      <c r="D140" s="154"/>
      <c r="E140" s="154"/>
      <c r="F140" s="154"/>
      <c r="G140" s="154"/>
      <c r="H140" s="154"/>
      <c r="I140" s="154"/>
      <c r="J140" s="154"/>
      <c r="K140" s="154"/>
      <c r="L140" s="154"/>
      <c r="M140" s="154"/>
      <c r="N140" s="154"/>
      <c r="O140" s="154"/>
      <c r="P140" s="154"/>
      <c r="Q140" s="154"/>
      <c r="R140" s="154"/>
      <c r="S140" s="154"/>
      <c r="T140" s="154"/>
      <c r="U140" s="154"/>
      <c r="V140" s="154"/>
      <c r="W140" s="154"/>
      <c r="X140" s="154"/>
      <c r="Y140" s="154"/>
      <c r="Z140" s="154"/>
      <c r="AA140" s="527"/>
      <c r="AB140" s="154"/>
      <c r="AC140" s="154"/>
      <c r="AD140" s="154"/>
      <c r="AE140" s="154"/>
      <c r="AF140" s="154"/>
      <c r="AG140" s="154"/>
      <c r="AH140" s="154"/>
      <c r="AI140" s="154"/>
      <c r="AJ140" s="154"/>
      <c r="AK140" s="154"/>
      <c r="AL140" s="154"/>
      <c r="AM140" s="154"/>
      <c r="AN140" s="154"/>
      <c r="AO140" s="154"/>
      <c r="AP140" s="154"/>
      <c r="AQ140" s="154"/>
      <c r="AR140" s="154"/>
      <c r="AS140" s="154"/>
      <c r="AT140" s="154"/>
      <c r="AU140" s="154"/>
      <c r="AV140" s="154"/>
      <c r="AW140" s="1148"/>
    </row>
    <row r="141">
      <c r="A141" s="1382"/>
      <c r="B141" s="1383"/>
      <c r="C141" s="1384"/>
      <c r="D141" s="129"/>
      <c r="E141" s="129"/>
      <c r="F141" s="129"/>
      <c r="G141" s="129"/>
      <c r="H141" s="731"/>
      <c r="I141" s="731"/>
      <c r="J141" s="1212"/>
      <c r="K141" s="1212"/>
      <c r="L141" s="1212"/>
      <c r="M141" s="1212"/>
      <c r="N141" s="1212"/>
      <c r="O141" s="1212"/>
      <c r="P141" s="1212"/>
      <c r="Q141" s="806"/>
      <c r="R141" s="806"/>
      <c r="S141" s="806"/>
      <c r="T141" s="806"/>
      <c r="U141" s="806"/>
      <c r="V141" s="806"/>
      <c r="W141" s="527"/>
      <c r="X141" s="527"/>
      <c r="Y141" s="527"/>
      <c r="Z141" s="527"/>
      <c r="AA141" s="154"/>
      <c r="AB141" s="527"/>
      <c r="AC141" s="527"/>
      <c r="AD141" s="129"/>
      <c r="AE141" s="129"/>
      <c r="AF141" s="883"/>
      <c r="AG141" s="883"/>
      <c r="AH141" s="883"/>
      <c r="AI141" s="883"/>
      <c r="AJ141" s="883"/>
      <c r="AK141" s="883"/>
      <c r="AL141" s="883"/>
      <c r="AM141" s="935"/>
      <c r="AN141" s="935"/>
      <c r="AO141" s="935"/>
      <c r="AP141" s="935"/>
      <c r="AQ141" s="935"/>
      <c r="AR141" s="935"/>
      <c r="AS141" s="935"/>
      <c r="AT141" s="1212"/>
      <c r="AU141" s="1386"/>
      <c r="AV141" s="1386"/>
      <c r="AW141" s="1179"/>
    </row>
    <row r="142">
      <c r="A142" s="1377"/>
      <c r="B142" s="1378"/>
      <c r="C142" s="1379"/>
      <c r="D142" s="154"/>
      <c r="E142" s="154"/>
      <c r="F142" s="154"/>
      <c r="G142" s="154"/>
      <c r="H142" s="154"/>
      <c r="I142" s="154"/>
      <c r="J142" s="154"/>
      <c r="K142" s="154"/>
      <c r="L142" s="154"/>
      <c r="M142" s="154"/>
      <c r="N142" s="154"/>
      <c r="O142" s="154"/>
      <c r="P142" s="154"/>
      <c r="Q142" s="154"/>
      <c r="R142" s="154"/>
      <c r="S142" s="154"/>
      <c r="T142" s="154"/>
      <c r="U142" s="154"/>
      <c r="V142" s="154"/>
      <c r="W142" s="154"/>
      <c r="X142" s="154"/>
      <c r="Y142" s="154"/>
      <c r="Z142" s="154"/>
      <c r="AA142" s="527"/>
      <c r="AB142" s="154"/>
      <c r="AC142" s="154"/>
      <c r="AD142" s="154"/>
      <c r="AE142" s="154"/>
      <c r="AF142" s="154"/>
      <c r="AG142" s="154"/>
      <c r="AH142" s="154"/>
      <c r="AI142" s="154"/>
      <c r="AJ142" s="154"/>
      <c r="AK142" s="154"/>
      <c r="AL142" s="154"/>
      <c r="AM142" s="154"/>
      <c r="AN142" s="154"/>
      <c r="AO142" s="154"/>
      <c r="AP142" s="154"/>
      <c r="AQ142" s="154"/>
      <c r="AR142" s="154"/>
      <c r="AS142" s="154"/>
      <c r="AT142" s="154"/>
      <c r="AU142" s="154"/>
      <c r="AV142" s="154"/>
      <c r="AW142" s="1148"/>
    </row>
    <row r="143">
      <c r="A143" s="1382"/>
      <c r="B143" s="1383"/>
      <c r="C143" s="1384"/>
      <c r="D143" s="129"/>
      <c r="E143" s="129"/>
      <c r="F143" s="129"/>
      <c r="G143" s="129"/>
      <c r="H143" s="731"/>
      <c r="I143" s="731"/>
      <c r="J143" s="1212"/>
      <c r="K143" s="1212"/>
      <c r="L143" s="1212"/>
      <c r="M143" s="1212"/>
      <c r="N143" s="1212"/>
      <c r="O143" s="1212"/>
      <c r="P143" s="1212"/>
      <c r="Q143" s="806"/>
      <c r="R143" s="806"/>
      <c r="S143" s="806"/>
      <c r="T143" s="806"/>
      <c r="U143" s="806"/>
      <c r="V143" s="806"/>
      <c r="W143" s="527"/>
      <c r="X143" s="527"/>
      <c r="Y143" s="527"/>
      <c r="Z143" s="527"/>
      <c r="AA143" s="154"/>
      <c r="AB143" s="527"/>
      <c r="AC143" s="527"/>
      <c r="AD143" s="129"/>
      <c r="AE143" s="129"/>
      <c r="AF143" s="883"/>
      <c r="AG143" s="883"/>
      <c r="AH143" s="883"/>
      <c r="AI143" s="883"/>
      <c r="AJ143" s="883"/>
      <c r="AK143" s="883"/>
      <c r="AL143" s="883"/>
      <c r="AM143" s="935"/>
      <c r="AN143" s="935"/>
      <c r="AO143" s="935"/>
      <c r="AP143" s="935"/>
      <c r="AQ143" s="935"/>
      <c r="AR143" s="935"/>
      <c r="AS143" s="935"/>
      <c r="AT143" s="1212"/>
      <c r="AU143" s="1386"/>
      <c r="AV143" s="1386"/>
      <c r="AW143" s="1179"/>
    </row>
    <row r="144">
      <c r="A144" s="1377"/>
      <c r="B144" s="1378"/>
      <c r="C144" s="1379"/>
      <c r="D144" s="154"/>
      <c r="E144" s="154"/>
      <c r="F144" s="154"/>
      <c r="G144" s="154"/>
      <c r="H144" s="154"/>
      <c r="I144" s="154"/>
      <c r="J144" s="154"/>
      <c r="K144" s="154"/>
      <c r="L144" s="154"/>
      <c r="M144" s="154"/>
      <c r="N144" s="154"/>
      <c r="O144" s="154"/>
      <c r="P144" s="154"/>
      <c r="Q144" s="154"/>
      <c r="R144" s="154"/>
      <c r="S144" s="154"/>
      <c r="T144" s="154"/>
      <c r="U144" s="154"/>
      <c r="V144" s="154"/>
      <c r="W144" s="154"/>
      <c r="X144" s="154"/>
      <c r="Y144" s="154"/>
      <c r="Z144" s="154"/>
      <c r="AA144" s="527"/>
      <c r="AB144" s="154"/>
      <c r="AC144" s="154"/>
      <c r="AD144" s="154"/>
      <c r="AE144" s="154"/>
      <c r="AF144" s="154"/>
      <c r="AG144" s="154"/>
      <c r="AH144" s="154"/>
      <c r="AI144" s="154"/>
      <c r="AJ144" s="154"/>
      <c r="AK144" s="154"/>
      <c r="AL144" s="154"/>
      <c r="AM144" s="154"/>
      <c r="AN144" s="154"/>
      <c r="AO144" s="154"/>
      <c r="AP144" s="154"/>
      <c r="AQ144" s="154"/>
      <c r="AR144" s="154"/>
      <c r="AS144" s="154"/>
      <c r="AT144" s="154"/>
      <c r="AU144" s="154"/>
      <c r="AV144" s="154"/>
      <c r="AW144" s="1148"/>
    </row>
    <row r="145">
      <c r="A145" s="1382"/>
      <c r="B145" s="1383"/>
      <c r="C145" s="1384"/>
      <c r="D145" s="129"/>
      <c r="E145" s="129"/>
      <c r="F145" s="129"/>
      <c r="G145" s="129"/>
      <c r="H145" s="731"/>
      <c r="I145" s="731"/>
      <c r="J145" s="1212"/>
      <c r="K145" s="1212"/>
      <c r="L145" s="1212"/>
      <c r="M145" s="1212"/>
      <c r="N145" s="1212"/>
      <c r="O145" s="1212"/>
      <c r="P145" s="1212"/>
      <c r="Q145" s="806"/>
      <c r="R145" s="806"/>
      <c r="S145" s="806"/>
      <c r="T145" s="806"/>
      <c r="U145" s="806"/>
      <c r="V145" s="806"/>
      <c r="W145" s="527"/>
      <c r="X145" s="527"/>
      <c r="Y145" s="527"/>
      <c r="Z145" s="527"/>
      <c r="AA145" s="154"/>
      <c r="AB145" s="527"/>
      <c r="AC145" s="527"/>
      <c r="AD145" s="129"/>
      <c r="AE145" s="129"/>
      <c r="AF145" s="883"/>
      <c r="AG145" s="883"/>
      <c r="AH145" s="883"/>
      <c r="AI145" s="883"/>
      <c r="AJ145" s="883"/>
      <c r="AK145" s="883"/>
      <c r="AL145" s="883"/>
      <c r="AM145" s="935"/>
      <c r="AN145" s="935"/>
      <c r="AO145" s="935"/>
      <c r="AP145" s="935"/>
      <c r="AQ145" s="935"/>
      <c r="AR145" s="935"/>
      <c r="AS145" s="935"/>
      <c r="AT145" s="1212"/>
      <c r="AU145" s="1386"/>
      <c r="AV145" s="1386"/>
      <c r="AW145" s="1179"/>
    </row>
    <row r="146">
      <c r="A146" s="1377"/>
      <c r="B146" s="1378"/>
      <c r="C146" s="1379"/>
      <c r="D146" s="154"/>
      <c r="E146" s="154"/>
      <c r="F146" s="154"/>
      <c r="G146" s="154"/>
      <c r="H146" s="154"/>
      <c r="I146" s="154"/>
      <c r="J146" s="154"/>
      <c r="K146" s="154"/>
      <c r="L146" s="154"/>
      <c r="M146" s="154"/>
      <c r="N146" s="154"/>
      <c r="O146" s="154"/>
      <c r="P146" s="154"/>
      <c r="Q146" s="154"/>
      <c r="R146" s="154"/>
      <c r="S146" s="154"/>
      <c r="T146" s="154"/>
      <c r="U146" s="154"/>
      <c r="V146" s="154"/>
      <c r="W146" s="154"/>
      <c r="X146" s="154"/>
      <c r="Y146" s="154"/>
      <c r="Z146" s="154"/>
      <c r="AA146" s="527"/>
      <c r="AB146" s="154"/>
      <c r="AC146" s="154"/>
      <c r="AD146" s="154"/>
      <c r="AE146" s="154"/>
      <c r="AF146" s="154"/>
      <c r="AG146" s="154"/>
      <c r="AH146" s="154"/>
      <c r="AI146" s="154"/>
      <c r="AJ146" s="154"/>
      <c r="AK146" s="154"/>
      <c r="AL146" s="154"/>
      <c r="AM146" s="154"/>
      <c r="AN146" s="154"/>
      <c r="AO146" s="154"/>
      <c r="AP146" s="154"/>
      <c r="AQ146" s="154"/>
      <c r="AR146" s="154"/>
      <c r="AS146" s="154"/>
      <c r="AT146" s="154"/>
      <c r="AU146" s="154"/>
      <c r="AV146" s="154"/>
      <c r="AW146" s="1148"/>
    </row>
    <row r="147">
      <c r="A147" s="1382"/>
      <c r="B147" s="1383"/>
      <c r="C147" s="1384"/>
      <c r="D147" s="129"/>
      <c r="E147" s="129"/>
      <c r="F147" s="129"/>
      <c r="G147" s="129"/>
      <c r="H147" s="731"/>
      <c r="I147" s="731"/>
      <c r="J147" s="1212"/>
      <c r="K147" s="1212"/>
      <c r="L147" s="1212"/>
      <c r="M147" s="1212"/>
      <c r="N147" s="1212"/>
      <c r="O147" s="1212"/>
      <c r="P147" s="1212"/>
      <c r="Q147" s="806"/>
      <c r="R147" s="806"/>
      <c r="S147" s="806"/>
      <c r="T147" s="806"/>
      <c r="U147" s="806"/>
      <c r="V147" s="806"/>
      <c r="W147" s="527"/>
      <c r="X147" s="527"/>
      <c r="Y147" s="527"/>
      <c r="Z147" s="527"/>
      <c r="AA147" s="154"/>
      <c r="AB147" s="527"/>
      <c r="AC147" s="527"/>
      <c r="AD147" s="129"/>
      <c r="AE147" s="129"/>
      <c r="AF147" s="883"/>
      <c r="AG147" s="883"/>
      <c r="AH147" s="883"/>
      <c r="AI147" s="883"/>
      <c r="AJ147" s="883"/>
      <c r="AK147" s="883"/>
      <c r="AL147" s="883"/>
      <c r="AM147" s="935"/>
      <c r="AN147" s="935"/>
      <c r="AO147" s="935"/>
      <c r="AP147" s="935"/>
      <c r="AQ147" s="935"/>
      <c r="AR147" s="935"/>
      <c r="AS147" s="935"/>
      <c r="AT147" s="1212"/>
      <c r="AU147" s="1386"/>
      <c r="AV147" s="1386"/>
      <c r="AW147" s="1179"/>
    </row>
    <row r="148">
      <c r="A148" s="1377"/>
      <c r="B148" s="1378"/>
      <c r="C148" s="1379"/>
      <c r="D148" s="154"/>
      <c r="E148" s="154"/>
      <c r="F148" s="154"/>
      <c r="G148" s="154"/>
      <c r="H148" s="154"/>
      <c r="I148" s="154"/>
      <c r="J148" s="154"/>
      <c r="K148" s="154"/>
      <c r="L148" s="154"/>
      <c r="M148" s="154"/>
      <c r="N148" s="154"/>
      <c r="O148" s="154"/>
      <c r="P148" s="154"/>
      <c r="Q148" s="154"/>
      <c r="R148" s="154"/>
      <c r="S148" s="154"/>
      <c r="T148" s="154"/>
      <c r="U148" s="154"/>
      <c r="V148" s="154"/>
      <c r="W148" s="154"/>
      <c r="X148" s="154"/>
      <c r="Y148" s="154"/>
      <c r="Z148" s="154"/>
      <c r="AA148" s="527"/>
      <c r="AB148" s="154"/>
      <c r="AC148" s="154"/>
      <c r="AD148" s="154"/>
      <c r="AE148" s="154"/>
      <c r="AF148" s="154"/>
      <c r="AG148" s="154"/>
      <c r="AH148" s="154"/>
      <c r="AI148" s="154"/>
      <c r="AJ148" s="154"/>
      <c r="AK148" s="154"/>
      <c r="AL148" s="154"/>
      <c r="AM148" s="154"/>
      <c r="AN148" s="154"/>
      <c r="AO148" s="154"/>
      <c r="AP148" s="154"/>
      <c r="AQ148" s="154"/>
      <c r="AR148" s="154"/>
      <c r="AS148" s="154"/>
      <c r="AT148" s="154"/>
      <c r="AU148" s="154"/>
      <c r="AV148" s="154"/>
      <c r="AW148" s="1148"/>
    </row>
    <row r="149">
      <c r="A149" s="1382"/>
      <c r="B149" s="1383"/>
      <c r="C149" s="1384"/>
      <c r="D149" s="129"/>
      <c r="E149" s="129"/>
      <c r="F149" s="129"/>
      <c r="G149" s="129"/>
      <c r="H149" s="731"/>
      <c r="I149" s="731"/>
      <c r="J149" s="1212"/>
      <c r="K149" s="1212"/>
      <c r="L149" s="1212"/>
      <c r="M149" s="1212"/>
      <c r="N149" s="1212"/>
      <c r="O149" s="1212"/>
      <c r="P149" s="1212"/>
      <c r="Q149" s="806"/>
      <c r="R149" s="806"/>
      <c r="S149" s="806"/>
      <c r="T149" s="806"/>
      <c r="U149" s="806"/>
      <c r="V149" s="806"/>
      <c r="W149" s="527"/>
      <c r="X149" s="527"/>
      <c r="Y149" s="527"/>
      <c r="Z149" s="527"/>
      <c r="AA149" s="154"/>
      <c r="AB149" s="527"/>
      <c r="AC149" s="527"/>
      <c r="AD149" s="129"/>
      <c r="AE149" s="129"/>
      <c r="AF149" s="883"/>
      <c r="AG149" s="883"/>
      <c r="AH149" s="883"/>
      <c r="AI149" s="883"/>
      <c r="AJ149" s="883"/>
      <c r="AK149" s="883"/>
      <c r="AL149" s="883"/>
      <c r="AM149" s="935"/>
      <c r="AN149" s="935"/>
      <c r="AO149" s="935"/>
      <c r="AP149" s="935"/>
      <c r="AQ149" s="935"/>
      <c r="AR149" s="935"/>
      <c r="AS149" s="935"/>
      <c r="AT149" s="1212"/>
      <c r="AU149" s="1386"/>
      <c r="AV149" s="1386"/>
      <c r="AW149" s="1179"/>
    </row>
    <row r="150">
      <c r="A150" s="1377"/>
      <c r="B150" s="1378"/>
      <c r="C150" s="1379"/>
      <c r="D150" s="154"/>
      <c r="E150" s="154"/>
      <c r="F150" s="154"/>
      <c r="G150" s="154"/>
      <c r="H150" s="154"/>
      <c r="I150" s="154"/>
      <c r="J150" s="154"/>
      <c r="K150" s="154"/>
      <c r="L150" s="154"/>
      <c r="M150" s="154"/>
      <c r="N150" s="154"/>
      <c r="O150" s="154"/>
      <c r="P150" s="154"/>
      <c r="Q150" s="154"/>
      <c r="R150" s="154"/>
      <c r="S150" s="154"/>
      <c r="T150" s="154"/>
      <c r="U150" s="154"/>
      <c r="V150" s="154"/>
      <c r="W150" s="154"/>
      <c r="X150" s="154"/>
      <c r="Y150" s="154"/>
      <c r="Z150" s="154"/>
      <c r="AA150" s="527"/>
      <c r="AB150" s="154"/>
      <c r="AC150" s="154"/>
      <c r="AD150" s="154"/>
      <c r="AE150" s="154"/>
      <c r="AF150" s="154"/>
      <c r="AG150" s="154"/>
      <c r="AH150" s="154"/>
      <c r="AI150" s="154"/>
      <c r="AJ150" s="154"/>
      <c r="AK150" s="154"/>
      <c r="AL150" s="154"/>
      <c r="AM150" s="154"/>
      <c r="AN150" s="154"/>
      <c r="AO150" s="154"/>
      <c r="AP150" s="154"/>
      <c r="AQ150" s="154"/>
      <c r="AR150" s="154"/>
      <c r="AS150" s="154"/>
      <c r="AT150" s="154"/>
      <c r="AU150" s="154"/>
      <c r="AV150" s="154"/>
      <c r="AW150" s="1148"/>
    </row>
    <row r="151">
      <c r="A151" s="1382"/>
      <c r="B151" s="1383"/>
      <c r="C151" s="1384"/>
      <c r="D151" s="129"/>
      <c r="E151" s="129"/>
      <c r="F151" s="129"/>
      <c r="G151" s="129"/>
      <c r="H151" s="731"/>
      <c r="I151" s="731"/>
      <c r="J151" s="1212"/>
      <c r="K151" s="1212"/>
      <c r="L151" s="1212"/>
      <c r="M151" s="1212"/>
      <c r="N151" s="1212"/>
      <c r="O151" s="1212"/>
      <c r="P151" s="1212"/>
      <c r="Q151" s="806"/>
      <c r="R151" s="806"/>
      <c r="S151" s="806"/>
      <c r="T151" s="806"/>
      <c r="U151" s="806"/>
      <c r="V151" s="806"/>
      <c r="W151" s="527"/>
      <c r="X151" s="527"/>
      <c r="Y151" s="527"/>
      <c r="Z151" s="527"/>
      <c r="AA151" s="154"/>
      <c r="AB151" s="527"/>
      <c r="AC151" s="527"/>
      <c r="AD151" s="129"/>
      <c r="AE151" s="129"/>
      <c r="AF151" s="883"/>
      <c r="AG151" s="883"/>
      <c r="AH151" s="883"/>
      <c r="AI151" s="883"/>
      <c r="AJ151" s="883"/>
      <c r="AK151" s="883"/>
      <c r="AL151" s="883"/>
      <c r="AM151" s="935"/>
      <c r="AN151" s="935"/>
      <c r="AO151" s="935"/>
      <c r="AP151" s="935"/>
      <c r="AQ151" s="935"/>
      <c r="AR151" s="935"/>
      <c r="AS151" s="935"/>
      <c r="AT151" s="1212"/>
      <c r="AU151" s="1386"/>
      <c r="AV151" s="1386"/>
      <c r="AW151" s="1179"/>
    </row>
    <row r="152">
      <c r="A152" s="1377"/>
      <c r="B152" s="1378"/>
      <c r="C152" s="1379"/>
      <c r="D152" s="154"/>
      <c r="E152" s="154"/>
      <c r="F152" s="154"/>
      <c r="G152" s="154"/>
      <c r="H152" s="154"/>
      <c r="I152" s="154"/>
      <c r="J152" s="154"/>
      <c r="K152" s="154"/>
      <c r="L152" s="154"/>
      <c r="M152" s="154"/>
      <c r="N152" s="154"/>
      <c r="O152" s="154"/>
      <c r="P152" s="154"/>
      <c r="Q152" s="154"/>
      <c r="R152" s="154"/>
      <c r="S152" s="154"/>
      <c r="T152" s="154"/>
      <c r="U152" s="154"/>
      <c r="V152" s="154"/>
      <c r="W152" s="154"/>
      <c r="X152" s="154"/>
      <c r="Y152" s="154"/>
      <c r="Z152" s="154"/>
      <c r="AA152" s="527"/>
      <c r="AB152" s="154"/>
      <c r="AC152" s="154"/>
      <c r="AD152" s="154"/>
      <c r="AE152" s="154"/>
      <c r="AF152" s="154"/>
      <c r="AG152" s="154"/>
      <c r="AH152" s="154"/>
      <c r="AI152" s="154"/>
      <c r="AJ152" s="154"/>
      <c r="AK152" s="154"/>
      <c r="AL152" s="154"/>
      <c r="AM152" s="154"/>
      <c r="AN152" s="154"/>
      <c r="AO152" s="154"/>
      <c r="AP152" s="154"/>
      <c r="AQ152" s="154"/>
      <c r="AR152" s="154"/>
      <c r="AS152" s="154"/>
      <c r="AT152" s="154"/>
      <c r="AU152" s="154"/>
      <c r="AV152" s="154"/>
      <c r="AW152" s="1148"/>
    </row>
    <row r="153">
      <c r="A153" s="1382"/>
      <c r="B153" s="1383"/>
      <c r="C153" s="1384"/>
      <c r="D153" s="129"/>
      <c r="E153" s="129"/>
      <c r="F153" s="129"/>
      <c r="G153" s="129"/>
      <c r="H153" s="731"/>
      <c r="I153" s="731"/>
      <c r="J153" s="1212"/>
      <c r="K153" s="1212"/>
      <c r="L153" s="1212"/>
      <c r="M153" s="1212"/>
      <c r="N153" s="1212"/>
      <c r="O153" s="1212"/>
      <c r="P153" s="1212"/>
      <c r="Q153" s="806"/>
      <c r="R153" s="806"/>
      <c r="S153" s="806"/>
      <c r="T153" s="806"/>
      <c r="U153" s="806"/>
      <c r="V153" s="806"/>
      <c r="W153" s="527"/>
      <c r="X153" s="527"/>
      <c r="Y153" s="527"/>
      <c r="Z153" s="527"/>
      <c r="AA153" s="154"/>
      <c r="AB153" s="527"/>
      <c r="AC153" s="527"/>
      <c r="AD153" s="129"/>
      <c r="AE153" s="129"/>
      <c r="AF153" s="883"/>
      <c r="AG153" s="883"/>
      <c r="AH153" s="883"/>
      <c r="AI153" s="883"/>
      <c r="AJ153" s="883"/>
      <c r="AK153" s="883"/>
      <c r="AL153" s="883"/>
      <c r="AM153" s="935"/>
      <c r="AN153" s="935"/>
      <c r="AO153" s="935"/>
      <c r="AP153" s="935"/>
      <c r="AQ153" s="935"/>
      <c r="AR153" s="935"/>
      <c r="AS153" s="935"/>
      <c r="AT153" s="1212"/>
      <c r="AU153" s="1386"/>
      <c r="AV153" s="1386"/>
      <c r="AW153" s="1179"/>
    </row>
    <row r="154">
      <c r="A154" s="1377"/>
      <c r="B154" s="1378"/>
      <c r="C154" s="1379"/>
      <c r="D154" s="154"/>
      <c r="E154" s="154"/>
      <c r="F154" s="154"/>
      <c r="G154" s="154"/>
      <c r="H154" s="154"/>
      <c r="I154" s="154"/>
      <c r="J154" s="154"/>
      <c r="K154" s="154"/>
      <c r="L154" s="154"/>
      <c r="M154" s="154"/>
      <c r="N154" s="154"/>
      <c r="O154" s="154"/>
      <c r="P154" s="154"/>
      <c r="Q154" s="154"/>
      <c r="R154" s="154"/>
      <c r="S154" s="154"/>
      <c r="T154" s="154"/>
      <c r="U154" s="154"/>
      <c r="V154" s="154"/>
      <c r="W154" s="154"/>
      <c r="X154" s="154"/>
      <c r="Y154" s="154"/>
      <c r="Z154" s="154"/>
      <c r="AA154" s="527"/>
      <c r="AB154" s="154"/>
      <c r="AC154" s="154"/>
      <c r="AD154" s="154"/>
      <c r="AE154" s="154"/>
      <c r="AF154" s="154"/>
      <c r="AG154" s="154"/>
      <c r="AH154" s="154"/>
      <c r="AI154" s="154"/>
      <c r="AJ154" s="154"/>
      <c r="AK154" s="154"/>
      <c r="AL154" s="154"/>
      <c r="AM154" s="154"/>
      <c r="AN154" s="154"/>
      <c r="AO154" s="154"/>
      <c r="AP154" s="154"/>
      <c r="AQ154" s="154"/>
      <c r="AR154" s="154"/>
      <c r="AS154" s="154"/>
      <c r="AT154" s="154"/>
      <c r="AU154" s="154"/>
      <c r="AV154" s="154"/>
      <c r="AW154" s="1148"/>
    </row>
    <row r="155">
      <c r="A155" s="1382"/>
      <c r="B155" s="1383"/>
      <c r="C155" s="1384"/>
      <c r="D155" s="129"/>
      <c r="E155" s="129"/>
      <c r="F155" s="129"/>
      <c r="G155" s="129"/>
      <c r="H155" s="731"/>
      <c r="I155" s="731"/>
      <c r="J155" s="1212"/>
      <c r="K155" s="1212"/>
      <c r="L155" s="1212"/>
      <c r="M155" s="1212"/>
      <c r="N155" s="1212"/>
      <c r="O155" s="1212"/>
      <c r="P155" s="1212"/>
      <c r="Q155" s="806"/>
      <c r="R155" s="806"/>
      <c r="S155" s="806"/>
      <c r="T155" s="806"/>
      <c r="U155" s="806"/>
      <c r="V155" s="806"/>
      <c r="W155" s="527"/>
      <c r="X155" s="527"/>
      <c r="Y155" s="527"/>
      <c r="Z155" s="527"/>
      <c r="AA155" s="154"/>
      <c r="AB155" s="527"/>
      <c r="AC155" s="527"/>
      <c r="AD155" s="129"/>
      <c r="AE155" s="129"/>
      <c r="AF155" s="883"/>
      <c r="AG155" s="883"/>
      <c r="AH155" s="883"/>
      <c r="AI155" s="883"/>
      <c r="AJ155" s="883"/>
      <c r="AK155" s="883"/>
      <c r="AL155" s="883"/>
      <c r="AM155" s="935"/>
      <c r="AN155" s="935"/>
      <c r="AO155" s="935"/>
      <c r="AP155" s="935"/>
      <c r="AQ155" s="935"/>
      <c r="AR155" s="935"/>
      <c r="AS155" s="935"/>
      <c r="AT155" s="1212"/>
      <c r="AU155" s="1386"/>
      <c r="AV155" s="1386"/>
      <c r="AW155" s="1179"/>
    </row>
    <row r="156">
      <c r="A156" s="1377"/>
      <c r="B156" s="1378"/>
      <c r="C156" s="1379"/>
      <c r="D156" s="154"/>
      <c r="E156" s="154"/>
      <c r="F156" s="154"/>
      <c r="G156" s="154"/>
      <c r="H156" s="154"/>
      <c r="I156" s="154"/>
      <c r="J156" s="154"/>
      <c r="K156" s="154"/>
      <c r="L156" s="154"/>
      <c r="M156" s="154"/>
      <c r="N156" s="154"/>
      <c r="O156" s="154"/>
      <c r="P156" s="154"/>
      <c r="Q156" s="154"/>
      <c r="R156" s="154"/>
      <c r="S156" s="154"/>
      <c r="T156" s="154"/>
      <c r="U156" s="154"/>
      <c r="V156" s="154"/>
      <c r="W156" s="154"/>
      <c r="X156" s="154"/>
      <c r="Y156" s="154"/>
      <c r="Z156" s="154"/>
      <c r="AA156" s="527"/>
      <c r="AB156" s="154"/>
      <c r="AC156" s="154"/>
      <c r="AD156" s="154"/>
      <c r="AE156" s="154"/>
      <c r="AF156" s="154"/>
      <c r="AG156" s="154"/>
      <c r="AH156" s="154"/>
      <c r="AI156" s="154"/>
      <c r="AJ156" s="154"/>
      <c r="AK156" s="154"/>
      <c r="AL156" s="154"/>
      <c r="AM156" s="154"/>
      <c r="AN156" s="154"/>
      <c r="AO156" s="154"/>
      <c r="AP156" s="154"/>
      <c r="AQ156" s="154"/>
      <c r="AR156" s="154"/>
      <c r="AS156" s="154"/>
      <c r="AT156" s="154"/>
      <c r="AU156" s="154"/>
      <c r="AV156" s="154"/>
      <c r="AW156" s="1148"/>
    </row>
    <row r="157">
      <c r="A157" s="1382"/>
      <c r="B157" s="1383"/>
      <c r="C157" s="1384"/>
      <c r="D157" s="129"/>
      <c r="E157" s="129"/>
      <c r="F157" s="129"/>
      <c r="G157" s="129"/>
      <c r="H157" s="731"/>
      <c r="I157" s="731"/>
      <c r="J157" s="1212"/>
      <c r="K157" s="1212"/>
      <c r="L157" s="1212"/>
      <c r="M157" s="1212"/>
      <c r="N157" s="1212"/>
      <c r="O157" s="1212"/>
      <c r="P157" s="1212"/>
      <c r="Q157" s="806"/>
      <c r="R157" s="806"/>
      <c r="S157" s="806"/>
      <c r="T157" s="806"/>
      <c r="U157" s="806"/>
      <c r="V157" s="806"/>
      <c r="W157" s="527"/>
      <c r="X157" s="527"/>
      <c r="Y157" s="527"/>
      <c r="Z157" s="527"/>
      <c r="AA157" s="154"/>
      <c r="AB157" s="527"/>
      <c r="AC157" s="527"/>
      <c r="AD157" s="129"/>
      <c r="AE157" s="129"/>
      <c r="AF157" s="883"/>
      <c r="AG157" s="883"/>
      <c r="AH157" s="883"/>
      <c r="AI157" s="883"/>
      <c r="AJ157" s="883"/>
      <c r="AK157" s="883"/>
      <c r="AL157" s="883"/>
      <c r="AM157" s="935"/>
      <c r="AN157" s="935"/>
      <c r="AO157" s="935"/>
      <c r="AP157" s="935"/>
      <c r="AQ157" s="935"/>
      <c r="AR157" s="935"/>
      <c r="AS157" s="935"/>
      <c r="AT157" s="1212"/>
      <c r="AU157" s="1386"/>
      <c r="AV157" s="1386"/>
      <c r="AW157" s="1179"/>
    </row>
    <row r="158">
      <c r="A158" s="1377"/>
      <c r="B158" s="1378"/>
      <c r="C158" s="1379"/>
      <c r="D158" s="154"/>
      <c r="E158" s="154"/>
      <c r="F158" s="154"/>
      <c r="G158" s="154"/>
      <c r="H158" s="154"/>
      <c r="I158" s="154"/>
      <c r="J158" s="154"/>
      <c r="K158" s="154"/>
      <c r="L158" s="154"/>
      <c r="M158" s="154"/>
      <c r="N158" s="154"/>
      <c r="O158" s="154"/>
      <c r="P158" s="154"/>
      <c r="Q158" s="154"/>
      <c r="R158" s="154"/>
      <c r="S158" s="154"/>
      <c r="T158" s="154"/>
      <c r="U158" s="154"/>
      <c r="V158" s="154"/>
      <c r="W158" s="154"/>
      <c r="X158" s="154"/>
      <c r="Y158" s="154"/>
      <c r="Z158" s="154"/>
      <c r="AA158" s="527"/>
      <c r="AB158" s="154"/>
      <c r="AC158" s="154"/>
      <c r="AD158" s="154"/>
      <c r="AE158" s="154"/>
      <c r="AF158" s="154"/>
      <c r="AG158" s="154"/>
      <c r="AH158" s="154"/>
      <c r="AI158" s="154"/>
      <c r="AJ158" s="154"/>
      <c r="AK158" s="154"/>
      <c r="AL158" s="154"/>
      <c r="AM158" s="154"/>
      <c r="AN158" s="154"/>
      <c r="AO158" s="154"/>
      <c r="AP158" s="154"/>
      <c r="AQ158" s="154"/>
      <c r="AR158" s="154"/>
      <c r="AS158" s="154"/>
      <c r="AT158" s="154"/>
      <c r="AU158" s="154"/>
      <c r="AV158" s="154"/>
      <c r="AW158" s="1148"/>
    </row>
    <row r="159">
      <c r="A159" s="1382"/>
      <c r="B159" s="1383"/>
      <c r="C159" s="1384"/>
      <c r="D159" s="129"/>
      <c r="E159" s="129"/>
      <c r="F159" s="129"/>
      <c r="G159" s="129"/>
      <c r="H159" s="731"/>
      <c r="I159" s="731"/>
      <c r="J159" s="1212"/>
      <c r="K159" s="1212"/>
      <c r="L159" s="1212"/>
      <c r="M159" s="1212"/>
      <c r="N159" s="1212"/>
      <c r="O159" s="1212"/>
      <c r="P159" s="1212"/>
      <c r="Q159" s="806"/>
      <c r="R159" s="806"/>
      <c r="S159" s="806"/>
      <c r="T159" s="806"/>
      <c r="U159" s="806"/>
      <c r="V159" s="806"/>
      <c r="W159" s="527"/>
      <c r="X159" s="527"/>
      <c r="Y159" s="527"/>
      <c r="Z159" s="527"/>
      <c r="AA159" s="154"/>
      <c r="AB159" s="527"/>
      <c r="AC159" s="527"/>
      <c r="AD159" s="129"/>
      <c r="AE159" s="129"/>
      <c r="AF159" s="883"/>
      <c r="AG159" s="883"/>
      <c r="AH159" s="883"/>
      <c r="AI159" s="883"/>
      <c r="AJ159" s="883"/>
      <c r="AK159" s="883"/>
      <c r="AL159" s="883"/>
      <c r="AM159" s="935"/>
      <c r="AN159" s="935"/>
      <c r="AO159" s="935"/>
      <c r="AP159" s="935"/>
      <c r="AQ159" s="935"/>
      <c r="AR159" s="935"/>
      <c r="AS159" s="935"/>
      <c r="AT159" s="1212"/>
      <c r="AU159" s="1386"/>
      <c r="AV159" s="1386"/>
      <c r="AW159" s="1179"/>
    </row>
    <row r="160">
      <c r="A160" s="1377"/>
      <c r="B160" s="1378"/>
      <c r="C160" s="1379"/>
      <c r="D160" s="154"/>
      <c r="E160" s="154"/>
      <c r="F160" s="154"/>
      <c r="G160" s="154"/>
      <c r="H160" s="154"/>
      <c r="I160" s="154"/>
      <c r="J160" s="154"/>
      <c r="K160" s="154"/>
      <c r="L160" s="154"/>
      <c r="M160" s="154"/>
      <c r="N160" s="154"/>
      <c r="O160" s="154"/>
      <c r="P160" s="154"/>
      <c r="Q160" s="154"/>
      <c r="R160" s="154"/>
      <c r="S160" s="154"/>
      <c r="T160" s="154"/>
      <c r="U160" s="154"/>
      <c r="V160" s="154"/>
      <c r="W160" s="154"/>
      <c r="X160" s="154"/>
      <c r="Y160" s="154"/>
      <c r="Z160" s="154"/>
      <c r="AA160" s="527"/>
      <c r="AB160" s="154"/>
      <c r="AC160" s="154"/>
      <c r="AD160" s="154"/>
      <c r="AE160" s="154"/>
      <c r="AF160" s="154"/>
      <c r="AG160" s="154"/>
      <c r="AH160" s="154"/>
      <c r="AI160" s="154"/>
      <c r="AJ160" s="154"/>
      <c r="AK160" s="154"/>
      <c r="AL160" s="154"/>
      <c r="AM160" s="154"/>
      <c r="AN160" s="154"/>
      <c r="AO160" s="154"/>
      <c r="AP160" s="154"/>
      <c r="AQ160" s="154"/>
      <c r="AR160" s="154"/>
      <c r="AS160" s="154"/>
      <c r="AT160" s="154"/>
      <c r="AU160" s="154"/>
      <c r="AV160" s="154"/>
      <c r="AW160" s="1148"/>
    </row>
    <row r="161">
      <c r="A161" s="1382"/>
      <c r="B161" s="1383"/>
      <c r="C161" s="1384"/>
      <c r="D161" s="129"/>
      <c r="E161" s="129"/>
      <c r="F161" s="129"/>
      <c r="G161" s="129"/>
      <c r="H161" s="731"/>
      <c r="I161" s="731"/>
      <c r="J161" s="1212"/>
      <c r="K161" s="1212"/>
      <c r="L161" s="1212"/>
      <c r="M161" s="1212"/>
      <c r="N161" s="1212"/>
      <c r="O161" s="1212"/>
      <c r="P161" s="1212"/>
      <c r="Q161" s="806"/>
      <c r="R161" s="806"/>
      <c r="S161" s="806"/>
      <c r="T161" s="806"/>
      <c r="U161" s="806"/>
      <c r="V161" s="806"/>
      <c r="W161" s="527"/>
      <c r="X161" s="527"/>
      <c r="Y161" s="527"/>
      <c r="Z161" s="527"/>
      <c r="AA161" s="154"/>
      <c r="AB161" s="527"/>
      <c r="AC161" s="527"/>
      <c r="AD161" s="129"/>
      <c r="AE161" s="129"/>
      <c r="AF161" s="883"/>
      <c r="AG161" s="883"/>
      <c r="AH161" s="883"/>
      <c r="AI161" s="883"/>
      <c r="AJ161" s="883"/>
      <c r="AK161" s="883"/>
      <c r="AL161" s="883"/>
      <c r="AM161" s="935"/>
      <c r="AN161" s="935"/>
      <c r="AO161" s="935"/>
      <c r="AP161" s="935"/>
      <c r="AQ161" s="935"/>
      <c r="AR161" s="935"/>
      <c r="AS161" s="935"/>
      <c r="AT161" s="1212"/>
      <c r="AU161" s="1386"/>
      <c r="AV161" s="1386"/>
      <c r="AW161" s="1179"/>
    </row>
    <row r="162">
      <c r="A162" s="1377"/>
      <c r="B162" s="1378"/>
      <c r="C162" s="1379"/>
      <c r="D162" s="154"/>
      <c r="E162" s="154"/>
      <c r="F162" s="154"/>
      <c r="G162" s="154"/>
      <c r="H162" s="154"/>
      <c r="I162" s="154"/>
      <c r="J162" s="154"/>
      <c r="K162" s="154"/>
      <c r="L162" s="154"/>
      <c r="M162" s="154"/>
      <c r="N162" s="154"/>
      <c r="O162" s="154"/>
      <c r="P162" s="154"/>
      <c r="Q162" s="154"/>
      <c r="R162" s="154"/>
      <c r="S162" s="154"/>
      <c r="T162" s="154"/>
      <c r="U162" s="154"/>
      <c r="V162" s="154"/>
      <c r="W162" s="154"/>
      <c r="X162" s="154"/>
      <c r="Y162" s="154"/>
      <c r="Z162" s="154"/>
      <c r="AA162" s="527"/>
      <c r="AB162" s="154"/>
      <c r="AC162" s="154"/>
      <c r="AD162" s="154"/>
      <c r="AE162" s="154"/>
      <c r="AF162" s="154"/>
      <c r="AG162" s="154"/>
      <c r="AH162" s="154"/>
      <c r="AI162" s="154"/>
      <c r="AJ162" s="154"/>
      <c r="AK162" s="154"/>
      <c r="AL162" s="154"/>
      <c r="AM162" s="154"/>
      <c r="AN162" s="154"/>
      <c r="AO162" s="154"/>
      <c r="AP162" s="154"/>
      <c r="AQ162" s="154"/>
      <c r="AR162" s="154"/>
      <c r="AS162" s="154"/>
      <c r="AT162" s="154"/>
      <c r="AU162" s="154"/>
      <c r="AV162" s="154"/>
      <c r="AW162" s="1148"/>
    </row>
    <row r="163">
      <c r="A163" s="1382"/>
      <c r="B163" s="1383"/>
      <c r="C163" s="1384"/>
      <c r="D163" s="129"/>
      <c r="E163" s="129"/>
      <c r="F163" s="129"/>
      <c r="G163" s="129"/>
      <c r="H163" s="731"/>
      <c r="I163" s="731"/>
      <c r="J163" s="1212"/>
      <c r="K163" s="1212"/>
      <c r="L163" s="1212"/>
      <c r="M163" s="1212"/>
      <c r="N163" s="1212"/>
      <c r="O163" s="1212"/>
      <c r="P163" s="1212"/>
      <c r="Q163" s="806"/>
      <c r="R163" s="806"/>
      <c r="S163" s="806"/>
      <c r="T163" s="806"/>
      <c r="U163" s="806"/>
      <c r="V163" s="806"/>
      <c r="W163" s="527"/>
      <c r="X163" s="527"/>
      <c r="Y163" s="527"/>
      <c r="Z163" s="527"/>
      <c r="AA163" s="154"/>
      <c r="AB163" s="527"/>
      <c r="AC163" s="527"/>
      <c r="AD163" s="129"/>
      <c r="AE163" s="129"/>
      <c r="AF163" s="883"/>
      <c r="AG163" s="883"/>
      <c r="AH163" s="883"/>
      <c r="AI163" s="883"/>
      <c r="AJ163" s="883"/>
      <c r="AK163" s="883"/>
      <c r="AL163" s="883"/>
      <c r="AM163" s="935"/>
      <c r="AN163" s="935"/>
      <c r="AO163" s="935"/>
      <c r="AP163" s="935"/>
      <c r="AQ163" s="935"/>
      <c r="AR163" s="935"/>
      <c r="AS163" s="935"/>
      <c r="AT163" s="1212"/>
      <c r="AU163" s="1386"/>
      <c r="AV163" s="1386"/>
      <c r="AW163" s="1179"/>
    </row>
    <row r="164">
      <c r="A164" s="1377"/>
      <c r="B164" s="1378"/>
      <c r="C164" s="1379"/>
      <c r="D164" s="154"/>
      <c r="E164" s="154"/>
      <c r="F164" s="154"/>
      <c r="G164" s="154"/>
      <c r="H164" s="154"/>
      <c r="I164" s="154"/>
      <c r="J164" s="154"/>
      <c r="K164" s="154"/>
      <c r="L164" s="154"/>
      <c r="M164" s="154"/>
      <c r="N164" s="154"/>
      <c r="O164" s="154"/>
      <c r="P164" s="154"/>
      <c r="Q164" s="154"/>
      <c r="R164" s="154"/>
      <c r="S164" s="154"/>
      <c r="T164" s="154"/>
      <c r="U164" s="154"/>
      <c r="V164" s="154"/>
      <c r="W164" s="154"/>
      <c r="X164" s="154"/>
      <c r="Y164" s="154"/>
      <c r="Z164" s="154"/>
      <c r="AA164" s="527"/>
      <c r="AB164" s="154"/>
      <c r="AC164" s="154"/>
      <c r="AD164" s="154"/>
      <c r="AE164" s="154"/>
      <c r="AF164" s="154"/>
      <c r="AG164" s="154"/>
      <c r="AH164" s="154"/>
      <c r="AI164" s="154"/>
      <c r="AJ164" s="154"/>
      <c r="AK164" s="154"/>
      <c r="AL164" s="154"/>
      <c r="AM164" s="154"/>
      <c r="AN164" s="154"/>
      <c r="AO164" s="154"/>
      <c r="AP164" s="154"/>
      <c r="AQ164" s="154"/>
      <c r="AR164" s="154"/>
      <c r="AS164" s="154"/>
      <c r="AT164" s="154"/>
      <c r="AU164" s="154"/>
      <c r="AV164" s="154"/>
      <c r="AW164" s="1148"/>
    </row>
    <row r="165">
      <c r="A165" s="1382"/>
      <c r="B165" s="1383"/>
      <c r="C165" s="1384"/>
      <c r="D165" s="129"/>
      <c r="E165" s="129"/>
      <c r="F165" s="129"/>
      <c r="G165" s="129"/>
      <c r="H165" s="731"/>
      <c r="I165" s="731"/>
      <c r="J165" s="1212"/>
      <c r="K165" s="1212"/>
      <c r="L165" s="1212"/>
      <c r="M165" s="1212"/>
      <c r="N165" s="1212"/>
      <c r="O165" s="1212"/>
      <c r="P165" s="1212"/>
      <c r="Q165" s="806"/>
      <c r="R165" s="806"/>
      <c r="S165" s="806"/>
      <c r="T165" s="806"/>
      <c r="U165" s="806"/>
      <c r="V165" s="806"/>
      <c r="W165" s="527"/>
      <c r="X165" s="527"/>
      <c r="Y165" s="527"/>
      <c r="Z165" s="527"/>
      <c r="AA165" s="154"/>
      <c r="AB165" s="527"/>
      <c r="AC165" s="527"/>
      <c r="AD165" s="129"/>
      <c r="AE165" s="129"/>
      <c r="AF165" s="883"/>
      <c r="AG165" s="883"/>
      <c r="AH165" s="883"/>
      <c r="AI165" s="883"/>
      <c r="AJ165" s="883"/>
      <c r="AK165" s="883"/>
      <c r="AL165" s="883"/>
      <c r="AM165" s="935"/>
      <c r="AN165" s="935"/>
      <c r="AO165" s="935"/>
      <c r="AP165" s="935"/>
      <c r="AQ165" s="935"/>
      <c r="AR165" s="935"/>
      <c r="AS165" s="935"/>
      <c r="AT165" s="1212"/>
      <c r="AU165" s="1386"/>
      <c r="AV165" s="1386"/>
      <c r="AW165" s="1179"/>
    </row>
    <row r="166">
      <c r="A166" s="1377"/>
      <c r="B166" s="1378"/>
      <c r="C166" s="1379"/>
      <c r="D166" s="154"/>
      <c r="E166" s="154"/>
      <c r="F166" s="154"/>
      <c r="G166" s="154"/>
      <c r="H166" s="154"/>
      <c r="I166" s="154"/>
      <c r="J166" s="154"/>
      <c r="K166" s="154"/>
      <c r="L166" s="154"/>
      <c r="M166" s="154"/>
      <c r="N166" s="154"/>
      <c r="O166" s="154"/>
      <c r="P166" s="154"/>
      <c r="Q166" s="154"/>
      <c r="R166" s="154"/>
      <c r="S166" s="154"/>
      <c r="T166" s="154"/>
      <c r="U166" s="154"/>
      <c r="V166" s="154"/>
      <c r="W166" s="154"/>
      <c r="X166" s="154"/>
      <c r="Y166" s="154"/>
      <c r="Z166" s="154"/>
      <c r="AA166" s="527"/>
      <c r="AB166" s="154"/>
      <c r="AC166" s="154"/>
      <c r="AD166" s="154"/>
      <c r="AE166" s="154"/>
      <c r="AF166" s="154"/>
      <c r="AG166" s="154"/>
      <c r="AH166" s="154"/>
      <c r="AI166" s="154"/>
      <c r="AJ166" s="154"/>
      <c r="AK166" s="154"/>
      <c r="AL166" s="154"/>
      <c r="AM166" s="154"/>
      <c r="AN166" s="154"/>
      <c r="AO166" s="154"/>
      <c r="AP166" s="154"/>
      <c r="AQ166" s="154"/>
      <c r="AR166" s="154"/>
      <c r="AS166" s="154"/>
      <c r="AT166" s="154"/>
      <c r="AU166" s="154"/>
      <c r="AV166" s="154"/>
      <c r="AW166" s="1148"/>
    </row>
    <row r="167">
      <c r="A167" s="1382"/>
      <c r="B167" s="1383"/>
      <c r="C167" s="1384"/>
      <c r="D167" s="129"/>
      <c r="E167" s="129"/>
      <c r="F167" s="129"/>
      <c r="G167" s="129"/>
      <c r="H167" s="731"/>
      <c r="I167" s="731"/>
      <c r="J167" s="1212"/>
      <c r="K167" s="1212"/>
      <c r="L167" s="1212"/>
      <c r="M167" s="1212"/>
      <c r="N167" s="1212"/>
      <c r="O167" s="1212"/>
      <c r="P167" s="1212"/>
      <c r="Q167" s="806"/>
      <c r="R167" s="806"/>
      <c r="S167" s="806"/>
      <c r="T167" s="806"/>
      <c r="U167" s="806"/>
      <c r="V167" s="806"/>
      <c r="W167" s="527"/>
      <c r="X167" s="527"/>
      <c r="Y167" s="527"/>
      <c r="Z167" s="527"/>
      <c r="AA167" s="154"/>
      <c r="AB167" s="527"/>
      <c r="AC167" s="527"/>
      <c r="AD167" s="129"/>
      <c r="AE167" s="129"/>
      <c r="AF167" s="883"/>
      <c r="AG167" s="883"/>
      <c r="AH167" s="883"/>
      <c r="AI167" s="883"/>
      <c r="AJ167" s="883"/>
      <c r="AK167" s="883"/>
      <c r="AL167" s="883"/>
      <c r="AM167" s="935"/>
      <c r="AN167" s="935"/>
      <c r="AO167" s="935"/>
      <c r="AP167" s="935"/>
      <c r="AQ167" s="935"/>
      <c r="AR167" s="935"/>
      <c r="AS167" s="935"/>
      <c r="AT167" s="1212"/>
      <c r="AU167" s="1386"/>
      <c r="AV167" s="1386"/>
      <c r="AW167" s="1179"/>
    </row>
    <row r="168">
      <c r="A168" s="1377"/>
      <c r="B168" s="1378"/>
      <c r="C168" s="1379"/>
      <c r="D168" s="154"/>
      <c r="E168" s="154"/>
      <c r="F168" s="154"/>
      <c r="G168" s="154"/>
      <c r="H168" s="154"/>
      <c r="I168" s="154"/>
      <c r="J168" s="154"/>
      <c r="K168" s="154"/>
      <c r="L168" s="154"/>
      <c r="M168" s="154"/>
      <c r="N168" s="154"/>
      <c r="O168" s="154"/>
      <c r="P168" s="154"/>
      <c r="Q168" s="154"/>
      <c r="R168" s="154"/>
      <c r="S168" s="154"/>
      <c r="T168" s="154"/>
      <c r="U168" s="154"/>
      <c r="V168" s="154"/>
      <c r="W168" s="154"/>
      <c r="X168" s="154"/>
      <c r="Y168" s="154"/>
      <c r="Z168" s="154"/>
      <c r="AA168" s="527"/>
      <c r="AB168" s="154"/>
      <c r="AC168" s="154"/>
      <c r="AD168" s="154"/>
      <c r="AE168" s="154"/>
      <c r="AF168" s="154"/>
      <c r="AG168" s="154"/>
      <c r="AH168" s="154"/>
      <c r="AI168" s="154"/>
      <c r="AJ168" s="154"/>
      <c r="AK168" s="154"/>
      <c r="AL168" s="154"/>
      <c r="AM168" s="154"/>
      <c r="AN168" s="154"/>
      <c r="AO168" s="154"/>
      <c r="AP168" s="154"/>
      <c r="AQ168" s="154"/>
      <c r="AR168" s="154"/>
      <c r="AS168" s="154"/>
      <c r="AT168" s="154"/>
      <c r="AU168" s="154"/>
      <c r="AV168" s="154"/>
      <c r="AW168" s="1148"/>
    </row>
    <row r="169">
      <c r="A169" s="1382"/>
      <c r="B169" s="1383"/>
      <c r="C169" s="1384"/>
      <c r="D169" s="129"/>
      <c r="E169" s="129"/>
      <c r="F169" s="129"/>
      <c r="G169" s="129"/>
      <c r="H169" s="731"/>
      <c r="I169" s="731"/>
      <c r="J169" s="1212"/>
      <c r="K169" s="1212"/>
      <c r="L169" s="1212"/>
      <c r="M169" s="1212"/>
      <c r="N169" s="1212"/>
      <c r="O169" s="1212"/>
      <c r="P169" s="1212"/>
      <c r="Q169" s="806"/>
      <c r="R169" s="806"/>
      <c r="S169" s="806"/>
      <c r="T169" s="806"/>
      <c r="U169" s="806"/>
      <c r="V169" s="806"/>
      <c r="W169" s="527"/>
      <c r="X169" s="527"/>
      <c r="Y169" s="527"/>
      <c r="Z169" s="527"/>
      <c r="AA169" s="154"/>
      <c r="AB169" s="527"/>
      <c r="AC169" s="527"/>
      <c r="AD169" s="129"/>
      <c r="AE169" s="129"/>
      <c r="AF169" s="883"/>
      <c r="AG169" s="883"/>
      <c r="AH169" s="883"/>
      <c r="AI169" s="883"/>
      <c r="AJ169" s="883"/>
      <c r="AK169" s="883"/>
      <c r="AL169" s="883"/>
      <c r="AM169" s="935"/>
      <c r="AN169" s="935"/>
      <c r="AO169" s="935"/>
      <c r="AP169" s="935"/>
      <c r="AQ169" s="935"/>
      <c r="AR169" s="935"/>
      <c r="AS169" s="935"/>
      <c r="AT169" s="1212"/>
      <c r="AU169" s="1386"/>
      <c r="AV169" s="1386"/>
      <c r="AW169" s="1179"/>
    </row>
    <row r="170">
      <c r="A170" s="1377"/>
      <c r="B170" s="1378"/>
      <c r="C170" s="1379"/>
      <c r="D170" s="154"/>
      <c r="E170" s="154"/>
      <c r="F170" s="154"/>
      <c r="G170" s="154"/>
      <c r="H170" s="154"/>
      <c r="I170" s="154"/>
      <c r="J170" s="154"/>
      <c r="K170" s="154"/>
      <c r="L170" s="154"/>
      <c r="M170" s="154"/>
      <c r="N170" s="154"/>
      <c r="O170" s="154"/>
      <c r="P170" s="154"/>
      <c r="Q170" s="154"/>
      <c r="R170" s="154"/>
      <c r="S170" s="154"/>
      <c r="T170" s="154"/>
      <c r="U170" s="154"/>
      <c r="V170" s="154"/>
      <c r="W170" s="154"/>
      <c r="X170" s="154"/>
      <c r="Y170" s="154"/>
      <c r="Z170" s="154"/>
      <c r="AA170" s="527"/>
      <c r="AB170" s="154"/>
      <c r="AC170" s="154"/>
      <c r="AD170" s="154"/>
      <c r="AE170" s="154"/>
      <c r="AF170" s="154"/>
      <c r="AG170" s="154"/>
      <c r="AH170" s="154"/>
      <c r="AI170" s="154"/>
      <c r="AJ170" s="154"/>
      <c r="AK170" s="154"/>
      <c r="AL170" s="154"/>
      <c r="AM170" s="154"/>
      <c r="AN170" s="154"/>
      <c r="AO170" s="154"/>
      <c r="AP170" s="154"/>
      <c r="AQ170" s="154"/>
      <c r="AR170" s="154"/>
      <c r="AS170" s="154"/>
      <c r="AT170" s="154"/>
      <c r="AU170" s="154"/>
      <c r="AV170" s="154"/>
      <c r="AW170" s="1148"/>
    </row>
    <row r="171">
      <c r="A171" s="1382"/>
      <c r="B171" s="1383"/>
      <c r="C171" s="1384"/>
      <c r="D171" s="129"/>
      <c r="E171" s="129"/>
      <c r="F171" s="129"/>
      <c r="G171" s="129"/>
      <c r="H171" s="731"/>
      <c r="I171" s="731"/>
      <c r="J171" s="1212"/>
      <c r="K171" s="1212"/>
      <c r="L171" s="1212"/>
      <c r="M171" s="1212"/>
      <c r="N171" s="1212"/>
      <c r="O171" s="1212"/>
      <c r="P171" s="1212"/>
      <c r="Q171" s="806"/>
      <c r="R171" s="806"/>
      <c r="S171" s="806"/>
      <c r="T171" s="806"/>
      <c r="U171" s="806"/>
      <c r="V171" s="806"/>
      <c r="W171" s="527"/>
      <c r="X171" s="527"/>
      <c r="Y171" s="527"/>
      <c r="Z171" s="527"/>
      <c r="AA171" s="154"/>
      <c r="AB171" s="527"/>
      <c r="AC171" s="527"/>
      <c r="AD171" s="129"/>
      <c r="AE171" s="129"/>
      <c r="AF171" s="883"/>
      <c r="AG171" s="883"/>
      <c r="AH171" s="883"/>
      <c r="AI171" s="883"/>
      <c r="AJ171" s="883"/>
      <c r="AK171" s="883"/>
      <c r="AL171" s="883"/>
      <c r="AM171" s="935"/>
      <c r="AN171" s="935"/>
      <c r="AO171" s="935"/>
      <c r="AP171" s="935"/>
      <c r="AQ171" s="935"/>
      <c r="AR171" s="935"/>
      <c r="AS171" s="935"/>
      <c r="AT171" s="1212"/>
      <c r="AU171" s="1386"/>
      <c r="AV171" s="1386"/>
      <c r="AW171" s="1179"/>
    </row>
    <row r="172">
      <c r="A172" s="1377"/>
      <c r="B172" s="1378"/>
      <c r="C172" s="1379"/>
      <c r="D172" s="154"/>
      <c r="E172" s="154"/>
      <c r="F172" s="154"/>
      <c r="G172" s="154"/>
      <c r="H172" s="154"/>
      <c r="I172" s="154"/>
      <c r="J172" s="154"/>
      <c r="K172" s="154"/>
      <c r="L172" s="154"/>
      <c r="M172" s="154"/>
      <c r="N172" s="154"/>
      <c r="O172" s="154"/>
      <c r="P172" s="154"/>
      <c r="Q172" s="154"/>
      <c r="R172" s="154"/>
      <c r="S172" s="154"/>
      <c r="T172" s="154"/>
      <c r="U172" s="154"/>
      <c r="V172" s="154"/>
      <c r="W172" s="154"/>
      <c r="X172" s="154"/>
      <c r="Y172" s="154"/>
      <c r="Z172" s="154"/>
      <c r="AA172" s="527"/>
      <c r="AB172" s="154"/>
      <c r="AC172" s="154"/>
      <c r="AD172" s="154"/>
      <c r="AE172" s="154"/>
      <c r="AF172" s="154"/>
      <c r="AG172" s="154"/>
      <c r="AH172" s="154"/>
      <c r="AI172" s="154"/>
      <c r="AJ172" s="154"/>
      <c r="AK172" s="154"/>
      <c r="AL172" s="154"/>
      <c r="AM172" s="154"/>
      <c r="AN172" s="154"/>
      <c r="AO172" s="154"/>
      <c r="AP172" s="154"/>
      <c r="AQ172" s="154"/>
      <c r="AR172" s="154"/>
      <c r="AS172" s="154"/>
      <c r="AT172" s="154"/>
      <c r="AU172" s="154"/>
      <c r="AV172" s="154"/>
      <c r="AW172" s="1148"/>
    </row>
    <row r="173">
      <c r="A173" s="1382"/>
      <c r="B173" s="1383"/>
      <c r="C173" s="1384"/>
      <c r="D173" s="129"/>
      <c r="E173" s="129"/>
      <c r="F173" s="129"/>
      <c r="G173" s="129"/>
      <c r="H173" s="731"/>
      <c r="I173" s="731"/>
      <c r="J173" s="1212"/>
      <c r="K173" s="1212"/>
      <c r="L173" s="1212"/>
      <c r="M173" s="1212"/>
      <c r="N173" s="1212"/>
      <c r="O173" s="1212"/>
      <c r="P173" s="1212"/>
      <c r="Q173" s="806"/>
      <c r="R173" s="806"/>
      <c r="S173" s="806"/>
      <c r="T173" s="806"/>
      <c r="U173" s="806"/>
      <c r="V173" s="806"/>
      <c r="W173" s="527"/>
      <c r="X173" s="527"/>
      <c r="Y173" s="527"/>
      <c r="Z173" s="527"/>
      <c r="AA173" s="154"/>
      <c r="AB173" s="527"/>
      <c r="AC173" s="527"/>
      <c r="AD173" s="129"/>
      <c r="AE173" s="129"/>
      <c r="AF173" s="883"/>
      <c r="AG173" s="883"/>
      <c r="AH173" s="883"/>
      <c r="AI173" s="883"/>
      <c r="AJ173" s="883"/>
      <c r="AK173" s="883"/>
      <c r="AL173" s="883"/>
      <c r="AM173" s="935"/>
      <c r="AN173" s="935"/>
      <c r="AO173" s="935"/>
      <c r="AP173" s="935"/>
      <c r="AQ173" s="935"/>
      <c r="AR173" s="935"/>
      <c r="AS173" s="935"/>
      <c r="AT173" s="1212"/>
      <c r="AU173" s="1386"/>
      <c r="AV173" s="1386"/>
      <c r="AW173" s="1179"/>
    </row>
    <row r="174">
      <c r="A174" s="1377"/>
      <c r="B174" s="1378"/>
      <c r="C174" s="1379"/>
      <c r="D174" s="154"/>
      <c r="E174" s="154"/>
      <c r="F174" s="154"/>
      <c r="G174" s="154"/>
      <c r="H174" s="154"/>
      <c r="I174" s="154"/>
      <c r="J174" s="154"/>
      <c r="K174" s="154"/>
      <c r="L174" s="154"/>
      <c r="M174" s="154"/>
      <c r="N174" s="154"/>
      <c r="O174" s="154"/>
      <c r="P174" s="154"/>
      <c r="Q174" s="154"/>
      <c r="R174" s="154"/>
      <c r="S174" s="154"/>
      <c r="T174" s="154"/>
      <c r="U174" s="154"/>
      <c r="V174" s="154"/>
      <c r="W174" s="154"/>
      <c r="X174" s="154"/>
      <c r="Y174" s="154"/>
      <c r="Z174" s="154"/>
      <c r="AA174" s="527"/>
      <c r="AB174" s="154"/>
      <c r="AC174" s="154"/>
      <c r="AD174" s="154"/>
      <c r="AE174" s="154"/>
      <c r="AF174" s="154"/>
      <c r="AG174" s="154"/>
      <c r="AH174" s="154"/>
      <c r="AI174" s="154"/>
      <c r="AJ174" s="154"/>
      <c r="AK174" s="154"/>
      <c r="AL174" s="154"/>
      <c r="AM174" s="154"/>
      <c r="AN174" s="154"/>
      <c r="AO174" s="154"/>
      <c r="AP174" s="154"/>
      <c r="AQ174" s="154"/>
      <c r="AR174" s="154"/>
      <c r="AS174" s="154"/>
      <c r="AT174" s="154"/>
      <c r="AU174" s="154"/>
      <c r="AV174" s="154"/>
      <c r="AW174" s="1148"/>
    </row>
    <row r="175">
      <c r="A175" s="1382"/>
      <c r="B175" s="1383"/>
      <c r="C175" s="1384"/>
      <c r="D175" s="129"/>
      <c r="E175" s="129"/>
      <c r="F175" s="129"/>
      <c r="G175" s="129"/>
      <c r="H175" s="731"/>
      <c r="I175" s="731"/>
      <c r="J175" s="1212"/>
      <c r="K175" s="1212"/>
      <c r="L175" s="1212"/>
      <c r="M175" s="1212"/>
      <c r="N175" s="1212"/>
      <c r="O175" s="1212"/>
      <c r="P175" s="1212"/>
      <c r="Q175" s="806"/>
      <c r="R175" s="806"/>
      <c r="S175" s="806"/>
      <c r="T175" s="806"/>
      <c r="U175" s="806"/>
      <c r="V175" s="806"/>
      <c r="W175" s="527"/>
      <c r="X175" s="527"/>
      <c r="Y175" s="527"/>
      <c r="Z175" s="527"/>
      <c r="AA175" s="154"/>
      <c r="AB175" s="527"/>
      <c r="AC175" s="527"/>
      <c r="AD175" s="129"/>
      <c r="AE175" s="129"/>
      <c r="AF175" s="883"/>
      <c r="AG175" s="883"/>
      <c r="AH175" s="883"/>
      <c r="AI175" s="883"/>
      <c r="AJ175" s="883"/>
      <c r="AK175" s="883"/>
      <c r="AL175" s="883"/>
      <c r="AM175" s="935"/>
      <c r="AN175" s="935"/>
      <c r="AO175" s="935"/>
      <c r="AP175" s="935"/>
      <c r="AQ175" s="935"/>
      <c r="AR175" s="935"/>
      <c r="AS175" s="935"/>
      <c r="AT175" s="1212"/>
      <c r="AU175" s="1386"/>
      <c r="AV175" s="1386"/>
      <c r="AW175" s="1179"/>
    </row>
    <row r="176">
      <c r="A176" s="1377"/>
      <c r="B176" s="1378"/>
      <c r="C176" s="1379"/>
      <c r="D176" s="154"/>
      <c r="E176" s="154"/>
      <c r="F176" s="154"/>
      <c r="G176" s="154"/>
      <c r="H176" s="154"/>
      <c r="I176" s="154"/>
      <c r="J176" s="154"/>
      <c r="K176" s="154"/>
      <c r="L176" s="154"/>
      <c r="M176" s="154"/>
      <c r="N176" s="154"/>
      <c r="O176" s="154"/>
      <c r="P176" s="154"/>
      <c r="Q176" s="154"/>
      <c r="R176" s="154"/>
      <c r="S176" s="154"/>
      <c r="T176" s="154"/>
      <c r="U176" s="154"/>
      <c r="V176" s="154"/>
      <c r="W176" s="154"/>
      <c r="X176" s="154"/>
      <c r="Y176" s="154"/>
      <c r="Z176" s="154"/>
      <c r="AA176" s="527"/>
      <c r="AB176" s="154"/>
      <c r="AC176" s="154"/>
      <c r="AD176" s="154"/>
      <c r="AE176" s="154"/>
      <c r="AF176" s="154"/>
      <c r="AG176" s="154"/>
      <c r="AH176" s="154"/>
      <c r="AI176" s="154"/>
      <c r="AJ176" s="154"/>
      <c r="AK176" s="154"/>
      <c r="AL176" s="154"/>
      <c r="AM176" s="154"/>
      <c r="AN176" s="154"/>
      <c r="AO176" s="154"/>
      <c r="AP176" s="154"/>
      <c r="AQ176" s="154"/>
      <c r="AR176" s="154"/>
      <c r="AS176" s="154"/>
      <c r="AT176" s="154"/>
      <c r="AU176" s="154"/>
      <c r="AV176" s="154"/>
      <c r="AW176" s="1148"/>
    </row>
    <row r="177">
      <c r="A177" s="1382"/>
      <c r="B177" s="1383"/>
      <c r="C177" s="1384"/>
      <c r="D177" s="129"/>
      <c r="E177" s="129"/>
      <c r="F177" s="129"/>
      <c r="G177" s="129"/>
      <c r="H177" s="731"/>
      <c r="I177" s="731"/>
      <c r="J177" s="1212"/>
      <c r="K177" s="1212"/>
      <c r="L177" s="1212"/>
      <c r="M177" s="1212"/>
      <c r="N177" s="1212"/>
      <c r="O177" s="1212"/>
      <c r="P177" s="1212"/>
      <c r="Q177" s="806"/>
      <c r="R177" s="806"/>
      <c r="S177" s="806"/>
      <c r="T177" s="806"/>
      <c r="U177" s="806"/>
      <c r="V177" s="806"/>
      <c r="W177" s="527"/>
      <c r="X177" s="527"/>
      <c r="Y177" s="527"/>
      <c r="Z177" s="527"/>
      <c r="AA177" s="154"/>
      <c r="AB177" s="527"/>
      <c r="AC177" s="527"/>
      <c r="AD177" s="129"/>
      <c r="AE177" s="129"/>
      <c r="AF177" s="883"/>
      <c r="AG177" s="883"/>
      <c r="AH177" s="883"/>
      <c r="AI177" s="883"/>
      <c r="AJ177" s="883"/>
      <c r="AK177" s="883"/>
      <c r="AL177" s="883"/>
      <c r="AM177" s="935"/>
      <c r="AN177" s="935"/>
      <c r="AO177" s="935"/>
      <c r="AP177" s="935"/>
      <c r="AQ177" s="935"/>
      <c r="AR177" s="935"/>
      <c r="AS177" s="935"/>
      <c r="AT177" s="1212"/>
      <c r="AU177" s="1386"/>
      <c r="AV177" s="1386"/>
      <c r="AW177" s="1179"/>
    </row>
    <row r="178">
      <c r="A178" s="1377"/>
      <c r="B178" s="1378"/>
      <c r="C178" s="1379"/>
      <c r="D178" s="154"/>
      <c r="E178" s="154"/>
      <c r="F178" s="154"/>
      <c r="G178" s="154"/>
      <c r="H178" s="154"/>
      <c r="I178" s="154"/>
      <c r="J178" s="154"/>
      <c r="K178" s="154"/>
      <c r="L178" s="154"/>
      <c r="M178" s="154"/>
      <c r="N178" s="154"/>
      <c r="O178" s="154"/>
      <c r="P178" s="154"/>
      <c r="Q178" s="154"/>
      <c r="R178" s="154"/>
      <c r="S178" s="154"/>
      <c r="T178" s="154"/>
      <c r="U178" s="154"/>
      <c r="V178" s="154"/>
      <c r="W178" s="154"/>
      <c r="X178" s="154"/>
      <c r="Y178" s="154"/>
      <c r="Z178" s="154"/>
      <c r="AA178" s="527"/>
      <c r="AB178" s="154"/>
      <c r="AC178" s="154"/>
      <c r="AD178" s="154"/>
      <c r="AE178" s="154"/>
      <c r="AF178" s="154"/>
      <c r="AG178" s="154"/>
      <c r="AH178" s="154"/>
      <c r="AI178" s="154"/>
      <c r="AJ178" s="154"/>
      <c r="AK178" s="154"/>
      <c r="AL178" s="154"/>
      <c r="AM178" s="154"/>
      <c r="AN178" s="154"/>
      <c r="AO178" s="154"/>
      <c r="AP178" s="154"/>
      <c r="AQ178" s="154"/>
      <c r="AR178" s="154"/>
      <c r="AS178" s="154"/>
      <c r="AT178" s="154"/>
      <c r="AU178" s="154"/>
      <c r="AV178" s="154"/>
      <c r="AW178" s="1148"/>
    </row>
    <row r="179">
      <c r="A179" s="1382"/>
      <c r="B179" s="1383"/>
      <c r="C179" s="1384"/>
      <c r="D179" s="129"/>
      <c r="E179" s="129"/>
      <c r="F179" s="129"/>
      <c r="G179" s="129"/>
      <c r="H179" s="731"/>
      <c r="I179" s="731"/>
      <c r="J179" s="1212"/>
      <c r="K179" s="1212"/>
      <c r="L179" s="1212"/>
      <c r="M179" s="1212"/>
      <c r="N179" s="1212"/>
      <c r="O179" s="1212"/>
      <c r="P179" s="1212"/>
      <c r="Q179" s="806"/>
      <c r="R179" s="806"/>
      <c r="S179" s="806"/>
      <c r="T179" s="806"/>
      <c r="U179" s="806"/>
      <c r="V179" s="806"/>
      <c r="W179" s="527"/>
      <c r="X179" s="527"/>
      <c r="Y179" s="527"/>
      <c r="Z179" s="527"/>
      <c r="AA179" s="154"/>
      <c r="AB179" s="527"/>
      <c r="AC179" s="527"/>
      <c r="AD179" s="129"/>
      <c r="AE179" s="129"/>
      <c r="AF179" s="883"/>
      <c r="AG179" s="883"/>
      <c r="AH179" s="883"/>
      <c r="AI179" s="883"/>
      <c r="AJ179" s="883"/>
      <c r="AK179" s="883"/>
      <c r="AL179" s="883"/>
      <c r="AM179" s="935"/>
      <c r="AN179" s="935"/>
      <c r="AO179" s="935"/>
      <c r="AP179" s="935"/>
      <c r="AQ179" s="935"/>
      <c r="AR179" s="935"/>
      <c r="AS179" s="935"/>
      <c r="AT179" s="1212"/>
      <c r="AU179" s="1386"/>
      <c r="AV179" s="1386"/>
      <c r="AW179" s="1179"/>
    </row>
    <row r="180">
      <c r="A180" s="1377"/>
      <c r="B180" s="1378"/>
      <c r="C180" s="1379"/>
      <c r="D180" s="154"/>
      <c r="E180" s="154"/>
      <c r="F180" s="154"/>
      <c r="G180" s="154"/>
      <c r="H180" s="154"/>
      <c r="I180" s="154"/>
      <c r="J180" s="154"/>
      <c r="K180" s="154"/>
      <c r="L180" s="154"/>
      <c r="M180" s="154"/>
      <c r="N180" s="154"/>
      <c r="O180" s="154"/>
      <c r="P180" s="154"/>
      <c r="Q180" s="154"/>
      <c r="R180" s="154"/>
      <c r="S180" s="154"/>
      <c r="T180" s="154"/>
      <c r="U180" s="154"/>
      <c r="V180" s="154"/>
      <c r="W180" s="154"/>
      <c r="X180" s="154"/>
      <c r="Y180" s="154"/>
      <c r="Z180" s="154"/>
      <c r="AA180" s="527"/>
      <c r="AB180" s="154"/>
      <c r="AC180" s="154"/>
      <c r="AD180" s="154"/>
      <c r="AE180" s="154"/>
      <c r="AF180" s="154"/>
      <c r="AG180" s="154"/>
      <c r="AH180" s="154"/>
      <c r="AI180" s="154"/>
      <c r="AJ180" s="154"/>
      <c r="AK180" s="154"/>
      <c r="AL180" s="154"/>
      <c r="AM180" s="154"/>
      <c r="AN180" s="154"/>
      <c r="AO180" s="154"/>
      <c r="AP180" s="154"/>
      <c r="AQ180" s="154"/>
      <c r="AR180" s="154"/>
      <c r="AS180" s="154"/>
      <c r="AT180" s="154"/>
      <c r="AU180" s="154"/>
      <c r="AV180" s="154"/>
      <c r="AW180" s="1148"/>
    </row>
    <row r="181">
      <c r="A181" s="1382"/>
      <c r="B181" s="1383"/>
      <c r="C181" s="1384"/>
      <c r="D181" s="129"/>
      <c r="E181" s="129"/>
      <c r="F181" s="129"/>
      <c r="G181" s="129"/>
      <c r="H181" s="731"/>
      <c r="I181" s="731"/>
      <c r="J181" s="1212"/>
      <c r="K181" s="1212"/>
      <c r="L181" s="1212"/>
      <c r="M181" s="1212"/>
      <c r="N181" s="1212"/>
      <c r="O181" s="1212"/>
      <c r="P181" s="1212"/>
      <c r="Q181" s="806"/>
      <c r="R181" s="806"/>
      <c r="S181" s="806"/>
      <c r="T181" s="806"/>
      <c r="U181" s="806"/>
      <c r="V181" s="806"/>
      <c r="W181" s="527"/>
      <c r="X181" s="527"/>
      <c r="Y181" s="527"/>
      <c r="Z181" s="527"/>
      <c r="AA181" s="154"/>
      <c r="AB181" s="527"/>
      <c r="AC181" s="527"/>
      <c r="AD181" s="129"/>
      <c r="AE181" s="129"/>
      <c r="AF181" s="883"/>
      <c r="AG181" s="883"/>
      <c r="AH181" s="883"/>
      <c r="AI181" s="883"/>
      <c r="AJ181" s="883"/>
      <c r="AK181" s="883"/>
      <c r="AL181" s="883"/>
      <c r="AM181" s="935"/>
      <c r="AN181" s="935"/>
      <c r="AO181" s="935"/>
      <c r="AP181" s="935"/>
      <c r="AQ181" s="935"/>
      <c r="AR181" s="935"/>
      <c r="AS181" s="935"/>
      <c r="AT181" s="1212"/>
      <c r="AU181" s="1386"/>
      <c r="AV181" s="1386"/>
      <c r="AW181" s="1179"/>
    </row>
    <row r="182">
      <c r="A182" s="1377"/>
      <c r="B182" s="1378"/>
      <c r="C182" s="1379"/>
      <c r="D182" s="154"/>
      <c r="E182" s="154"/>
      <c r="F182" s="154"/>
      <c r="G182" s="154"/>
      <c r="H182" s="154"/>
      <c r="I182" s="154"/>
      <c r="J182" s="154"/>
      <c r="K182" s="154"/>
      <c r="L182" s="154"/>
      <c r="M182" s="154"/>
      <c r="N182" s="154"/>
      <c r="O182" s="154"/>
      <c r="P182" s="154"/>
      <c r="Q182" s="154"/>
      <c r="R182" s="154"/>
      <c r="S182" s="154"/>
      <c r="T182" s="154"/>
      <c r="U182" s="154"/>
      <c r="V182" s="154"/>
      <c r="W182" s="154"/>
      <c r="X182" s="154"/>
      <c r="Y182" s="154"/>
      <c r="Z182" s="154"/>
      <c r="AA182" s="527"/>
      <c r="AB182" s="154"/>
      <c r="AC182" s="154"/>
      <c r="AD182" s="154"/>
      <c r="AE182" s="154"/>
      <c r="AF182" s="154"/>
      <c r="AG182" s="154"/>
      <c r="AH182" s="154"/>
      <c r="AI182" s="154"/>
      <c r="AJ182" s="154"/>
      <c r="AK182" s="154"/>
      <c r="AL182" s="154"/>
      <c r="AM182" s="154"/>
      <c r="AN182" s="154"/>
      <c r="AO182" s="154"/>
      <c r="AP182" s="154"/>
      <c r="AQ182" s="154"/>
      <c r="AR182" s="154"/>
      <c r="AS182" s="154"/>
      <c r="AT182" s="154"/>
      <c r="AU182" s="154"/>
      <c r="AV182" s="154"/>
      <c r="AW182" s="1148"/>
    </row>
    <row r="183">
      <c r="A183" s="1382"/>
      <c r="B183" s="1383"/>
      <c r="C183" s="1384"/>
      <c r="D183" s="129"/>
      <c r="E183" s="129"/>
      <c r="F183" s="129"/>
      <c r="G183" s="129"/>
      <c r="H183" s="731"/>
      <c r="I183" s="731"/>
      <c r="J183" s="1212"/>
      <c r="K183" s="1212"/>
      <c r="L183" s="1212"/>
      <c r="M183" s="1212"/>
      <c r="N183" s="1212"/>
      <c r="O183" s="1212"/>
      <c r="P183" s="1212"/>
      <c r="Q183" s="806"/>
      <c r="R183" s="806"/>
      <c r="S183" s="806"/>
      <c r="T183" s="806"/>
      <c r="U183" s="806"/>
      <c r="V183" s="806"/>
      <c r="W183" s="527"/>
      <c r="X183" s="527"/>
      <c r="Y183" s="527"/>
      <c r="Z183" s="527"/>
      <c r="AA183" s="154"/>
      <c r="AB183" s="527"/>
      <c r="AC183" s="527"/>
      <c r="AD183" s="129"/>
      <c r="AE183" s="129"/>
      <c r="AF183" s="883"/>
      <c r="AG183" s="883"/>
      <c r="AH183" s="883"/>
      <c r="AI183" s="883"/>
      <c r="AJ183" s="883"/>
      <c r="AK183" s="883"/>
      <c r="AL183" s="883"/>
      <c r="AM183" s="935"/>
      <c r="AN183" s="935"/>
      <c r="AO183" s="935"/>
      <c r="AP183" s="935"/>
      <c r="AQ183" s="935"/>
      <c r="AR183" s="935"/>
      <c r="AS183" s="935"/>
      <c r="AT183" s="1212"/>
      <c r="AU183" s="1386"/>
      <c r="AV183" s="1386"/>
      <c r="AW183" s="1179"/>
    </row>
    <row r="184">
      <c r="A184" s="1377"/>
      <c r="B184" s="1378"/>
      <c r="C184" s="1379"/>
      <c r="D184" s="154"/>
      <c r="E184" s="154"/>
      <c r="F184" s="154"/>
      <c r="G184" s="154"/>
      <c r="H184" s="154"/>
      <c r="I184" s="154"/>
      <c r="J184" s="154"/>
      <c r="K184" s="154"/>
      <c r="L184" s="154"/>
      <c r="M184" s="154"/>
      <c r="N184" s="154"/>
      <c r="O184" s="154"/>
      <c r="P184" s="154"/>
      <c r="Q184" s="154"/>
      <c r="R184" s="154"/>
      <c r="S184" s="154"/>
      <c r="T184" s="154"/>
      <c r="U184" s="154"/>
      <c r="V184" s="154"/>
      <c r="W184" s="154"/>
      <c r="X184" s="154"/>
      <c r="Y184" s="154"/>
      <c r="Z184" s="154"/>
      <c r="AA184" s="527"/>
      <c r="AB184" s="154"/>
      <c r="AC184" s="154"/>
      <c r="AD184" s="154"/>
      <c r="AE184" s="154"/>
      <c r="AF184" s="154"/>
      <c r="AG184" s="154"/>
      <c r="AH184" s="154"/>
      <c r="AI184" s="154"/>
      <c r="AJ184" s="154"/>
      <c r="AK184" s="154"/>
      <c r="AL184" s="154"/>
      <c r="AM184" s="154"/>
      <c r="AN184" s="154"/>
      <c r="AO184" s="154"/>
      <c r="AP184" s="154"/>
      <c r="AQ184" s="154"/>
      <c r="AR184" s="154"/>
      <c r="AS184" s="154"/>
      <c r="AT184" s="154"/>
      <c r="AU184" s="154"/>
      <c r="AV184" s="154"/>
      <c r="AW184" s="1148"/>
    </row>
    <row r="185">
      <c r="A185" s="1382"/>
      <c r="B185" s="1383"/>
      <c r="C185" s="1384"/>
      <c r="D185" s="129"/>
      <c r="E185" s="129"/>
      <c r="F185" s="129"/>
      <c r="G185" s="129"/>
      <c r="H185" s="731"/>
      <c r="I185" s="731"/>
      <c r="J185" s="1212"/>
      <c r="K185" s="1212"/>
      <c r="L185" s="1212"/>
      <c r="M185" s="1212"/>
      <c r="N185" s="1212"/>
      <c r="O185" s="1212"/>
      <c r="P185" s="1212"/>
      <c r="Q185" s="806"/>
      <c r="R185" s="806"/>
      <c r="S185" s="806"/>
      <c r="T185" s="806"/>
      <c r="U185" s="806"/>
      <c r="V185" s="806"/>
      <c r="W185" s="527"/>
      <c r="X185" s="527"/>
      <c r="Y185" s="527"/>
      <c r="Z185" s="527"/>
      <c r="AA185" s="154"/>
      <c r="AB185" s="527"/>
      <c r="AC185" s="527"/>
      <c r="AD185" s="129"/>
      <c r="AE185" s="129"/>
      <c r="AF185" s="883"/>
      <c r="AG185" s="883"/>
      <c r="AH185" s="883"/>
      <c r="AI185" s="883"/>
      <c r="AJ185" s="883"/>
      <c r="AK185" s="883"/>
      <c r="AL185" s="883"/>
      <c r="AM185" s="935"/>
      <c r="AN185" s="935"/>
      <c r="AO185" s="935"/>
      <c r="AP185" s="935"/>
      <c r="AQ185" s="935"/>
      <c r="AR185" s="935"/>
      <c r="AS185" s="935"/>
      <c r="AT185" s="1212"/>
      <c r="AU185" s="1386"/>
      <c r="AV185" s="1386"/>
      <c r="AW185" s="1179"/>
    </row>
    <row r="186">
      <c r="A186" s="1377"/>
      <c r="B186" s="1378"/>
      <c r="C186" s="1379"/>
      <c r="D186" s="154"/>
      <c r="E186" s="154"/>
      <c r="F186" s="154"/>
      <c r="G186" s="154"/>
      <c r="H186" s="154"/>
      <c r="I186" s="154"/>
      <c r="J186" s="154"/>
      <c r="K186" s="154"/>
      <c r="L186" s="154"/>
      <c r="M186" s="154"/>
      <c r="N186" s="154"/>
      <c r="O186" s="154"/>
      <c r="P186" s="154"/>
      <c r="Q186" s="154"/>
      <c r="R186" s="154"/>
      <c r="S186" s="154"/>
      <c r="T186" s="154"/>
      <c r="U186" s="154"/>
      <c r="V186" s="154"/>
      <c r="W186" s="154"/>
      <c r="X186" s="154"/>
      <c r="Y186" s="154"/>
      <c r="Z186" s="154"/>
      <c r="AA186" s="527"/>
      <c r="AB186" s="154"/>
      <c r="AC186" s="154"/>
      <c r="AD186" s="154"/>
      <c r="AE186" s="154"/>
      <c r="AF186" s="154"/>
      <c r="AG186" s="154"/>
      <c r="AH186" s="154"/>
      <c r="AI186" s="154"/>
      <c r="AJ186" s="154"/>
      <c r="AK186" s="154"/>
      <c r="AL186" s="154"/>
      <c r="AM186" s="154"/>
      <c r="AN186" s="154"/>
      <c r="AO186" s="154"/>
      <c r="AP186" s="154"/>
      <c r="AQ186" s="154"/>
      <c r="AR186" s="154"/>
      <c r="AS186" s="154"/>
      <c r="AT186" s="154"/>
      <c r="AU186" s="154"/>
      <c r="AV186" s="154"/>
      <c r="AW186" s="1148"/>
    </row>
    <row r="187">
      <c r="A187" s="1382"/>
      <c r="B187" s="1383"/>
      <c r="C187" s="1384"/>
      <c r="D187" s="129"/>
      <c r="E187" s="129"/>
      <c r="F187" s="129"/>
      <c r="G187" s="129"/>
      <c r="H187" s="731"/>
      <c r="I187" s="731"/>
      <c r="J187" s="1212"/>
      <c r="K187" s="1212"/>
      <c r="L187" s="1212"/>
      <c r="M187" s="1212"/>
      <c r="N187" s="1212"/>
      <c r="O187" s="1212"/>
      <c r="P187" s="1212"/>
      <c r="Q187" s="806"/>
      <c r="R187" s="806"/>
      <c r="S187" s="806"/>
      <c r="T187" s="806"/>
      <c r="U187" s="806"/>
      <c r="V187" s="806"/>
      <c r="W187" s="527"/>
      <c r="X187" s="527"/>
      <c r="Y187" s="527"/>
      <c r="Z187" s="527"/>
      <c r="AA187" s="154"/>
      <c r="AB187" s="527"/>
      <c r="AC187" s="527"/>
      <c r="AD187" s="129"/>
      <c r="AE187" s="129"/>
      <c r="AF187" s="883"/>
      <c r="AG187" s="883"/>
      <c r="AH187" s="883"/>
      <c r="AI187" s="883"/>
      <c r="AJ187" s="883"/>
      <c r="AK187" s="883"/>
      <c r="AL187" s="883"/>
      <c r="AM187" s="935"/>
      <c r="AN187" s="935"/>
      <c r="AO187" s="935"/>
      <c r="AP187" s="935"/>
      <c r="AQ187" s="935"/>
      <c r="AR187" s="935"/>
      <c r="AS187" s="935"/>
      <c r="AT187" s="1212"/>
      <c r="AU187" s="1386"/>
      <c r="AV187" s="1386"/>
      <c r="AW187" s="1179"/>
    </row>
    <row r="188">
      <c r="A188" s="1377"/>
      <c r="B188" s="1378"/>
      <c r="C188" s="1379"/>
      <c r="D188" s="154"/>
      <c r="E188" s="154"/>
      <c r="F188" s="154"/>
      <c r="G188" s="154"/>
      <c r="H188" s="154"/>
      <c r="I188" s="154"/>
      <c r="J188" s="154"/>
      <c r="K188" s="154"/>
      <c r="L188" s="154"/>
      <c r="M188" s="154"/>
      <c r="N188" s="154"/>
      <c r="O188" s="154"/>
      <c r="P188" s="154"/>
      <c r="Q188" s="154"/>
      <c r="R188" s="154"/>
      <c r="S188" s="154"/>
      <c r="T188" s="154"/>
      <c r="U188" s="154"/>
      <c r="V188" s="154"/>
      <c r="W188" s="154"/>
      <c r="X188" s="154"/>
      <c r="Y188" s="154"/>
      <c r="Z188" s="154"/>
      <c r="AA188" s="527"/>
      <c r="AB188" s="154"/>
      <c r="AC188" s="154"/>
      <c r="AD188" s="154"/>
      <c r="AE188" s="154"/>
      <c r="AF188" s="154"/>
      <c r="AG188" s="154"/>
      <c r="AH188" s="154"/>
      <c r="AI188" s="154"/>
      <c r="AJ188" s="154"/>
      <c r="AK188" s="154"/>
      <c r="AL188" s="154"/>
      <c r="AM188" s="154"/>
      <c r="AN188" s="154"/>
      <c r="AO188" s="154"/>
      <c r="AP188" s="154"/>
      <c r="AQ188" s="154"/>
      <c r="AR188" s="154"/>
      <c r="AS188" s="154"/>
      <c r="AT188" s="154"/>
      <c r="AU188" s="154"/>
      <c r="AV188" s="154"/>
      <c r="AW188" s="1148"/>
    </row>
    <row r="189">
      <c r="A189" s="1382"/>
      <c r="B189" s="1383"/>
      <c r="C189" s="1384"/>
      <c r="D189" s="129"/>
      <c r="E189" s="129"/>
      <c r="F189" s="129"/>
      <c r="G189" s="129"/>
      <c r="H189" s="731"/>
      <c r="I189" s="731"/>
      <c r="J189" s="1212"/>
      <c r="K189" s="1212"/>
      <c r="L189" s="1212"/>
      <c r="M189" s="1212"/>
      <c r="N189" s="1212"/>
      <c r="O189" s="1212"/>
      <c r="P189" s="1212"/>
      <c r="Q189" s="806"/>
      <c r="R189" s="806"/>
      <c r="S189" s="806"/>
      <c r="T189" s="806"/>
      <c r="U189" s="806"/>
      <c r="V189" s="806"/>
      <c r="W189" s="527"/>
      <c r="X189" s="527"/>
      <c r="Y189" s="527"/>
      <c r="Z189" s="527"/>
      <c r="AA189" s="154"/>
      <c r="AB189" s="527"/>
      <c r="AC189" s="527"/>
      <c r="AD189" s="129"/>
      <c r="AE189" s="129"/>
      <c r="AF189" s="883"/>
      <c r="AG189" s="883"/>
      <c r="AH189" s="883"/>
      <c r="AI189" s="883"/>
      <c r="AJ189" s="883"/>
      <c r="AK189" s="883"/>
      <c r="AL189" s="883"/>
      <c r="AM189" s="935"/>
      <c r="AN189" s="935"/>
      <c r="AO189" s="935"/>
      <c r="AP189" s="935"/>
      <c r="AQ189" s="935"/>
      <c r="AR189" s="935"/>
      <c r="AS189" s="935"/>
      <c r="AT189" s="1212"/>
      <c r="AU189" s="1386"/>
      <c r="AV189" s="1386"/>
      <c r="AW189" s="1179"/>
    </row>
    <row r="190">
      <c r="A190" s="1377"/>
      <c r="B190" s="1378"/>
      <c r="C190" s="1379"/>
      <c r="D190" s="154"/>
      <c r="E190" s="154"/>
      <c r="F190" s="154"/>
      <c r="G190" s="154"/>
      <c r="H190" s="154"/>
      <c r="I190" s="154"/>
      <c r="J190" s="154"/>
      <c r="K190" s="154"/>
      <c r="L190" s="154"/>
      <c r="M190" s="154"/>
      <c r="N190" s="154"/>
      <c r="O190" s="154"/>
      <c r="P190" s="154"/>
      <c r="Q190" s="154"/>
      <c r="R190" s="154"/>
      <c r="S190" s="154"/>
      <c r="T190" s="154"/>
      <c r="U190" s="154"/>
      <c r="V190" s="154"/>
      <c r="W190" s="154"/>
      <c r="X190" s="154"/>
      <c r="Y190" s="154"/>
      <c r="Z190" s="154"/>
      <c r="AA190" s="527"/>
      <c r="AB190" s="154"/>
      <c r="AC190" s="154"/>
      <c r="AD190" s="154"/>
      <c r="AE190" s="154"/>
      <c r="AF190" s="154"/>
      <c r="AG190" s="154"/>
      <c r="AH190" s="154"/>
      <c r="AI190" s="154"/>
      <c r="AJ190" s="154"/>
      <c r="AK190" s="154"/>
      <c r="AL190" s="154"/>
      <c r="AM190" s="154"/>
      <c r="AN190" s="154"/>
      <c r="AO190" s="154"/>
      <c r="AP190" s="154"/>
      <c r="AQ190" s="154"/>
      <c r="AR190" s="154"/>
      <c r="AS190" s="154"/>
      <c r="AT190" s="154"/>
      <c r="AU190" s="154"/>
      <c r="AV190" s="154"/>
      <c r="AW190" s="1148"/>
    </row>
    <row r="191">
      <c r="A191" s="1382"/>
      <c r="B191" s="1383"/>
      <c r="C191" s="1384"/>
      <c r="D191" s="129"/>
      <c r="E191" s="129"/>
      <c r="F191" s="129"/>
      <c r="G191" s="129"/>
      <c r="H191" s="731"/>
      <c r="I191" s="731"/>
      <c r="J191" s="1212"/>
      <c r="K191" s="1212"/>
      <c r="L191" s="1212"/>
      <c r="M191" s="1212"/>
      <c r="N191" s="1212"/>
      <c r="O191" s="1212"/>
      <c r="P191" s="1212"/>
      <c r="Q191" s="806"/>
      <c r="R191" s="806"/>
      <c r="S191" s="806"/>
      <c r="T191" s="806"/>
      <c r="U191" s="806"/>
      <c r="V191" s="806"/>
      <c r="W191" s="527"/>
      <c r="X191" s="527"/>
      <c r="Y191" s="527"/>
      <c r="Z191" s="527"/>
      <c r="AA191" s="154"/>
      <c r="AB191" s="527"/>
      <c r="AC191" s="527"/>
      <c r="AD191" s="129"/>
      <c r="AE191" s="129"/>
      <c r="AF191" s="883"/>
      <c r="AG191" s="883"/>
      <c r="AH191" s="883"/>
      <c r="AI191" s="883"/>
      <c r="AJ191" s="883"/>
      <c r="AK191" s="883"/>
      <c r="AL191" s="883"/>
      <c r="AM191" s="935"/>
      <c r="AN191" s="935"/>
      <c r="AO191" s="935"/>
      <c r="AP191" s="935"/>
      <c r="AQ191" s="935"/>
      <c r="AR191" s="935"/>
      <c r="AS191" s="935"/>
      <c r="AT191" s="1212"/>
      <c r="AU191" s="1386"/>
      <c r="AV191" s="1386"/>
      <c r="AW191" s="1179"/>
    </row>
    <row r="192">
      <c r="A192" s="1377"/>
      <c r="B192" s="1378"/>
      <c r="C192" s="1379"/>
      <c r="D192" s="154"/>
      <c r="E192" s="154"/>
      <c r="F192" s="154"/>
      <c r="G192" s="154"/>
      <c r="H192" s="154"/>
      <c r="I192" s="154"/>
      <c r="J192" s="154"/>
      <c r="K192" s="154"/>
      <c r="L192" s="154"/>
      <c r="M192" s="154"/>
      <c r="N192" s="154"/>
      <c r="O192" s="154"/>
      <c r="P192" s="154"/>
      <c r="Q192" s="154"/>
      <c r="R192" s="154"/>
      <c r="S192" s="154"/>
      <c r="T192" s="154"/>
      <c r="U192" s="154"/>
      <c r="V192" s="154"/>
      <c r="W192" s="154"/>
      <c r="X192" s="154"/>
      <c r="Y192" s="154"/>
      <c r="Z192" s="154"/>
      <c r="AA192" s="527"/>
      <c r="AB192" s="154"/>
      <c r="AC192" s="154"/>
      <c r="AD192" s="154"/>
      <c r="AE192" s="154"/>
      <c r="AF192" s="154"/>
      <c r="AG192" s="154"/>
      <c r="AH192" s="154"/>
      <c r="AI192" s="154"/>
      <c r="AJ192" s="154"/>
      <c r="AK192" s="154"/>
      <c r="AL192" s="154"/>
      <c r="AM192" s="154"/>
      <c r="AN192" s="154"/>
      <c r="AO192" s="154"/>
      <c r="AP192" s="154"/>
      <c r="AQ192" s="154"/>
      <c r="AR192" s="154"/>
      <c r="AS192" s="154"/>
      <c r="AT192" s="154"/>
      <c r="AU192" s="154"/>
      <c r="AV192" s="154"/>
      <c r="AW192" s="1148"/>
    </row>
    <row r="193">
      <c r="A193" s="1382"/>
      <c r="B193" s="1383"/>
      <c r="C193" s="1384"/>
      <c r="D193" s="129"/>
      <c r="E193" s="129"/>
      <c r="F193" s="129"/>
      <c r="G193" s="129"/>
      <c r="H193" s="731"/>
      <c r="I193" s="731"/>
      <c r="J193" s="1212"/>
      <c r="K193" s="1212"/>
      <c r="L193" s="1212"/>
      <c r="M193" s="1212"/>
      <c r="N193" s="1212"/>
      <c r="O193" s="1212"/>
      <c r="P193" s="1212"/>
      <c r="Q193" s="806"/>
      <c r="R193" s="806"/>
      <c r="S193" s="806"/>
      <c r="T193" s="806"/>
      <c r="U193" s="806"/>
      <c r="V193" s="806"/>
      <c r="W193" s="527"/>
      <c r="X193" s="527"/>
      <c r="Y193" s="527"/>
      <c r="Z193" s="527"/>
      <c r="AA193" s="154"/>
      <c r="AB193" s="527"/>
      <c r="AC193" s="527"/>
      <c r="AD193" s="129"/>
      <c r="AE193" s="129"/>
      <c r="AF193" s="883"/>
      <c r="AG193" s="883"/>
      <c r="AH193" s="883"/>
      <c r="AI193" s="883"/>
      <c r="AJ193" s="883"/>
      <c r="AK193" s="883"/>
      <c r="AL193" s="883"/>
      <c r="AM193" s="935"/>
      <c r="AN193" s="935"/>
      <c r="AO193" s="935"/>
      <c r="AP193" s="935"/>
      <c r="AQ193" s="935"/>
      <c r="AR193" s="935"/>
      <c r="AS193" s="935"/>
      <c r="AT193" s="1212"/>
      <c r="AU193" s="1386"/>
      <c r="AV193" s="1386"/>
      <c r="AW193" s="1179"/>
    </row>
    <row r="194">
      <c r="A194" s="1377"/>
      <c r="B194" s="1378"/>
      <c r="C194" s="1379"/>
      <c r="D194" s="154"/>
      <c r="E194" s="154"/>
      <c r="F194" s="154"/>
      <c r="G194" s="154"/>
      <c r="H194" s="154"/>
      <c r="I194" s="154"/>
      <c r="J194" s="154"/>
      <c r="K194" s="154"/>
      <c r="L194" s="154"/>
      <c r="M194" s="154"/>
      <c r="N194" s="154"/>
      <c r="O194" s="154"/>
      <c r="P194" s="154"/>
      <c r="Q194" s="154"/>
      <c r="R194" s="154"/>
      <c r="S194" s="154"/>
      <c r="T194" s="154"/>
      <c r="U194" s="154"/>
      <c r="V194" s="154"/>
      <c r="W194" s="154"/>
      <c r="X194" s="154"/>
      <c r="Y194" s="154"/>
      <c r="Z194" s="154"/>
      <c r="AA194" s="527"/>
      <c r="AB194" s="154"/>
      <c r="AC194" s="154"/>
      <c r="AD194" s="154"/>
      <c r="AE194" s="154"/>
      <c r="AF194" s="154"/>
      <c r="AG194" s="154"/>
      <c r="AH194" s="154"/>
      <c r="AI194" s="154"/>
      <c r="AJ194" s="154"/>
      <c r="AK194" s="154"/>
      <c r="AL194" s="154"/>
      <c r="AM194" s="154"/>
      <c r="AN194" s="154"/>
      <c r="AO194" s="154"/>
      <c r="AP194" s="154"/>
      <c r="AQ194" s="154"/>
      <c r="AR194" s="154"/>
      <c r="AS194" s="154"/>
      <c r="AT194" s="154"/>
      <c r="AU194" s="154"/>
      <c r="AV194" s="154"/>
      <c r="AW194" s="1148"/>
    </row>
    <row r="195">
      <c r="A195" s="1382"/>
      <c r="B195" s="1383"/>
      <c r="C195" s="1384"/>
      <c r="D195" s="129"/>
      <c r="E195" s="129"/>
      <c r="F195" s="129"/>
      <c r="G195" s="129"/>
      <c r="H195" s="731"/>
      <c r="I195" s="731"/>
      <c r="J195" s="1212"/>
      <c r="K195" s="1212"/>
      <c r="L195" s="1212"/>
      <c r="M195" s="1212"/>
      <c r="N195" s="1212"/>
      <c r="O195" s="1212"/>
      <c r="P195" s="1212"/>
      <c r="Q195" s="806"/>
      <c r="R195" s="806"/>
      <c r="S195" s="806"/>
      <c r="T195" s="806"/>
      <c r="U195" s="806"/>
      <c r="V195" s="806"/>
      <c r="W195" s="527"/>
      <c r="X195" s="527"/>
      <c r="Y195" s="527"/>
      <c r="Z195" s="527"/>
      <c r="AA195" s="154"/>
      <c r="AB195" s="527"/>
      <c r="AC195" s="527"/>
      <c r="AD195" s="129"/>
      <c r="AE195" s="129"/>
      <c r="AF195" s="883"/>
      <c r="AG195" s="883"/>
      <c r="AH195" s="883"/>
      <c r="AI195" s="883"/>
      <c r="AJ195" s="883"/>
      <c r="AK195" s="883"/>
      <c r="AL195" s="883"/>
      <c r="AM195" s="935"/>
      <c r="AN195" s="935"/>
      <c r="AO195" s="935"/>
      <c r="AP195" s="935"/>
      <c r="AQ195" s="935"/>
      <c r="AR195" s="935"/>
      <c r="AS195" s="935"/>
      <c r="AT195" s="1212"/>
      <c r="AU195" s="1386"/>
      <c r="AV195" s="1386"/>
      <c r="AW195" s="1179"/>
    </row>
    <row r="196">
      <c r="A196" s="1377"/>
      <c r="B196" s="1378"/>
      <c r="C196" s="1379"/>
      <c r="D196" s="154"/>
      <c r="E196" s="154"/>
      <c r="F196" s="154"/>
      <c r="G196" s="154"/>
      <c r="H196" s="154"/>
      <c r="I196" s="154"/>
      <c r="J196" s="154"/>
      <c r="K196" s="154"/>
      <c r="L196" s="154"/>
      <c r="M196" s="154"/>
      <c r="N196" s="154"/>
      <c r="O196" s="154"/>
      <c r="P196" s="154"/>
      <c r="Q196" s="154"/>
      <c r="R196" s="154"/>
      <c r="S196" s="154"/>
      <c r="T196" s="154"/>
      <c r="U196" s="154"/>
      <c r="V196" s="154"/>
      <c r="W196" s="154"/>
      <c r="X196" s="154"/>
      <c r="Y196" s="154"/>
      <c r="Z196" s="154"/>
      <c r="AA196" s="527"/>
      <c r="AB196" s="154"/>
      <c r="AC196" s="154"/>
      <c r="AD196" s="154"/>
      <c r="AE196" s="154"/>
      <c r="AF196" s="154"/>
      <c r="AG196" s="154"/>
      <c r="AH196" s="154"/>
      <c r="AI196" s="154"/>
      <c r="AJ196" s="154"/>
      <c r="AK196" s="154"/>
      <c r="AL196" s="154"/>
      <c r="AM196" s="154"/>
      <c r="AN196" s="154"/>
      <c r="AO196" s="154"/>
      <c r="AP196" s="154"/>
      <c r="AQ196" s="154"/>
      <c r="AR196" s="154"/>
      <c r="AS196" s="154"/>
      <c r="AT196" s="154"/>
      <c r="AU196" s="154"/>
      <c r="AV196" s="154"/>
      <c r="AW196" s="1148"/>
    </row>
    <row r="197">
      <c r="A197" s="1382"/>
      <c r="B197" s="1383"/>
      <c r="C197" s="1384"/>
      <c r="D197" s="129"/>
      <c r="E197" s="129"/>
      <c r="F197" s="129"/>
      <c r="G197" s="129"/>
      <c r="H197" s="731"/>
      <c r="I197" s="731"/>
      <c r="J197" s="1212"/>
      <c r="K197" s="1212"/>
      <c r="L197" s="1212"/>
      <c r="M197" s="1212"/>
      <c r="N197" s="1212"/>
      <c r="O197" s="1212"/>
      <c r="P197" s="1212"/>
      <c r="Q197" s="806"/>
      <c r="R197" s="806"/>
      <c r="S197" s="806"/>
      <c r="T197" s="806"/>
      <c r="U197" s="806"/>
      <c r="V197" s="806"/>
      <c r="W197" s="527"/>
      <c r="X197" s="527"/>
      <c r="Y197" s="527"/>
      <c r="Z197" s="527"/>
      <c r="AA197" s="154"/>
      <c r="AB197" s="527"/>
      <c r="AC197" s="527"/>
      <c r="AD197" s="129"/>
      <c r="AE197" s="129"/>
      <c r="AF197" s="883"/>
      <c r="AG197" s="883"/>
      <c r="AH197" s="883"/>
      <c r="AI197" s="883"/>
      <c r="AJ197" s="883"/>
      <c r="AK197" s="883"/>
      <c r="AL197" s="883"/>
      <c r="AM197" s="935"/>
      <c r="AN197" s="935"/>
      <c r="AO197" s="935"/>
      <c r="AP197" s="935"/>
      <c r="AQ197" s="935"/>
      <c r="AR197" s="935"/>
      <c r="AS197" s="935"/>
      <c r="AT197" s="1212"/>
      <c r="AU197" s="1386"/>
      <c r="AV197" s="1386"/>
      <c r="AW197" s="1179"/>
    </row>
    <row r="198">
      <c r="A198" s="1377"/>
      <c r="B198" s="1378"/>
      <c r="C198" s="1379"/>
      <c r="D198" s="154"/>
      <c r="E198" s="154"/>
      <c r="F198" s="154"/>
      <c r="G198" s="154"/>
      <c r="H198" s="154"/>
      <c r="I198" s="154"/>
      <c r="J198" s="154"/>
      <c r="K198" s="154"/>
      <c r="L198" s="154"/>
      <c r="M198" s="154"/>
      <c r="N198" s="154"/>
      <c r="O198" s="154"/>
      <c r="P198" s="154"/>
      <c r="Q198" s="154"/>
      <c r="R198" s="154"/>
      <c r="S198" s="154"/>
      <c r="T198" s="154"/>
      <c r="U198" s="154"/>
      <c r="V198" s="154"/>
      <c r="W198" s="154"/>
      <c r="X198" s="154"/>
      <c r="Y198" s="154"/>
      <c r="Z198" s="154"/>
      <c r="AA198" s="527"/>
      <c r="AB198" s="154"/>
      <c r="AC198" s="154"/>
      <c r="AD198" s="154"/>
      <c r="AE198" s="154"/>
      <c r="AF198" s="154"/>
      <c r="AG198" s="154"/>
      <c r="AH198" s="154"/>
      <c r="AI198" s="154"/>
      <c r="AJ198" s="154"/>
      <c r="AK198" s="154"/>
      <c r="AL198" s="154"/>
      <c r="AM198" s="154"/>
      <c r="AN198" s="154"/>
      <c r="AO198" s="154"/>
      <c r="AP198" s="154"/>
      <c r="AQ198" s="154"/>
      <c r="AR198" s="154"/>
      <c r="AS198" s="154"/>
      <c r="AT198" s="154"/>
      <c r="AU198" s="154"/>
      <c r="AV198" s="154"/>
      <c r="AW198" s="114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0" t="s">
        <v>34</v>
      </c>
      <c r="B1" s="941" t="s">
        <v>4919</v>
      </c>
      <c r="C1" s="942" t="s">
        <v>4921</v>
      </c>
      <c r="D1" s="1325" t="s">
        <v>8288</v>
      </c>
      <c r="E1" s="1327" t="s">
        <v>129</v>
      </c>
      <c r="F1" s="1328" t="s">
        <v>131</v>
      </c>
      <c r="G1" s="1330" t="s">
        <v>107</v>
      </c>
      <c r="H1" s="1331" t="s">
        <v>96</v>
      </c>
      <c r="I1" s="1325" t="s">
        <v>8295</v>
      </c>
      <c r="J1" s="1332" t="s">
        <v>108</v>
      </c>
      <c r="K1" s="1334" t="s">
        <v>130</v>
      </c>
      <c r="L1" s="951" t="s">
        <v>4959</v>
      </c>
      <c r="M1" s="952" t="s">
        <v>4960</v>
      </c>
      <c r="N1" s="1335" t="s">
        <v>4961</v>
      </c>
      <c r="O1" s="1336" t="s">
        <v>4962</v>
      </c>
    </row>
    <row r="2" ht="15.75" customHeight="1">
      <c r="A2" s="1338" t="s">
        <v>4963</v>
      </c>
      <c r="B2" s="1340" t="s">
        <v>4964</v>
      </c>
      <c r="C2" s="1341">
        <v>0.0496875</v>
      </c>
      <c r="D2" s="958" t="s">
        <v>8308</v>
      </c>
      <c r="E2" s="1343" t="s">
        <v>8318</v>
      </c>
      <c r="F2" s="1344" t="s">
        <v>8320</v>
      </c>
      <c r="G2" s="1345" t="s">
        <v>8321</v>
      </c>
      <c r="H2" s="967" t="s">
        <v>8331</v>
      </c>
      <c r="I2" s="1347" t="s">
        <v>8346</v>
      </c>
      <c r="J2" s="1348" t="s">
        <v>8351</v>
      </c>
      <c r="K2" s="1349" t="s">
        <v>8352</v>
      </c>
      <c r="L2" s="1350" t="s">
        <v>5002</v>
      </c>
      <c r="M2" s="1341">
        <v>0.05017361111111111</v>
      </c>
      <c r="N2" s="1351" t="str">
        <f t="shared" ref="N2:N41" si="1">TEXT(M2-C2, "m:ss")</f>
        <v>0:42</v>
      </c>
      <c r="O2" s="1352"/>
    </row>
    <row r="3" ht="15.75" customHeight="1">
      <c r="A3" s="1353" t="s">
        <v>5004</v>
      </c>
      <c r="B3" s="1354" t="s">
        <v>5005</v>
      </c>
      <c r="C3" s="1355">
        <v>0.051458333333333335</v>
      </c>
      <c r="D3" s="982" t="s">
        <v>8358</v>
      </c>
      <c r="E3" s="983" t="s">
        <v>8359</v>
      </c>
      <c r="F3" s="984" t="s">
        <v>8360</v>
      </c>
      <c r="G3" s="985" t="s">
        <v>8361</v>
      </c>
      <c r="H3" s="987" t="s">
        <v>8363</v>
      </c>
      <c r="I3" s="982" t="s">
        <v>8364</v>
      </c>
      <c r="J3" s="989" t="s">
        <v>8365</v>
      </c>
      <c r="K3" s="992" t="s">
        <v>8366</v>
      </c>
      <c r="L3" s="984" t="s">
        <v>5040</v>
      </c>
      <c r="M3" s="1355">
        <v>0.05236111111111111</v>
      </c>
      <c r="N3" s="1358" t="str">
        <f t="shared" si="1"/>
        <v>1:18</v>
      </c>
      <c r="O3" s="1359"/>
    </row>
    <row r="4" ht="15.75" customHeight="1">
      <c r="A4" s="1360" t="s">
        <v>5042</v>
      </c>
      <c r="B4" s="1361" t="s">
        <v>5043</v>
      </c>
      <c r="C4" s="1363">
        <f>C26</f>
        <v>0.05158564815</v>
      </c>
      <c r="D4" s="1364" t="s">
        <v>8370</v>
      </c>
      <c r="E4" s="1365" t="s">
        <v>8371</v>
      </c>
      <c r="F4" s="1366" t="s">
        <v>8372</v>
      </c>
      <c r="G4" s="1367" t="s">
        <v>8373</v>
      </c>
      <c r="H4" s="1368" t="s">
        <v>8374</v>
      </c>
      <c r="I4" s="1364" t="s">
        <v>8375</v>
      </c>
      <c r="J4" s="1369" t="s">
        <v>8376</v>
      </c>
      <c r="K4" s="1370" t="s">
        <v>8377</v>
      </c>
      <c r="L4" s="1371" t="s">
        <v>5082</v>
      </c>
      <c r="M4" s="1372">
        <f>M26</f>
        <v>0.0521412037</v>
      </c>
      <c r="N4" s="1372" t="str">
        <f t="shared" si="1"/>
        <v>0:48</v>
      </c>
      <c r="O4" s="1352"/>
    </row>
    <row r="5" ht="15.75" customHeight="1">
      <c r="A5" s="617" t="s">
        <v>39</v>
      </c>
      <c r="B5" s="1244" t="s">
        <v>4964</v>
      </c>
      <c r="C5" s="1374">
        <v>0.04954861111111111</v>
      </c>
      <c r="D5" s="1376" t="s">
        <v>8308</v>
      </c>
      <c r="E5" s="1096" t="s">
        <v>8380</v>
      </c>
      <c r="F5" s="1381" t="s">
        <v>8320</v>
      </c>
      <c r="G5" s="1376" t="s">
        <v>8321</v>
      </c>
      <c r="H5" s="1376" t="s">
        <v>8331</v>
      </c>
      <c r="I5" s="1376" t="s">
        <v>8381</v>
      </c>
      <c r="J5" s="1376" t="s">
        <v>8382</v>
      </c>
      <c r="K5" s="1376" t="s">
        <v>8352</v>
      </c>
      <c r="L5" s="1017" t="s">
        <v>5151</v>
      </c>
      <c r="M5" s="1389">
        <v>0.05017361111111111</v>
      </c>
      <c r="N5" s="1390" t="str">
        <f t="shared" si="1"/>
        <v>0:54</v>
      </c>
      <c r="O5" s="1157" t="s">
        <v>8389</v>
      </c>
    </row>
    <row r="6">
      <c r="A6" s="1391" t="s">
        <v>36</v>
      </c>
      <c r="B6" s="1392" t="s">
        <v>4964</v>
      </c>
      <c r="C6" s="1393">
        <v>0.049861342592592596</v>
      </c>
      <c r="D6" s="1394" t="s">
        <v>8390</v>
      </c>
      <c r="E6" s="1395" t="s">
        <v>8391</v>
      </c>
      <c r="F6" s="1396" t="s">
        <v>8393</v>
      </c>
      <c r="G6" s="1396" t="s">
        <v>8394</v>
      </c>
      <c r="H6" s="1398" t="s">
        <v>8395</v>
      </c>
      <c r="I6" s="1396" t="s">
        <v>8396</v>
      </c>
      <c r="J6" s="1396" t="s">
        <v>8399</v>
      </c>
      <c r="K6" s="1399" t="s">
        <v>8400</v>
      </c>
      <c r="L6" s="1396" t="s">
        <v>5209</v>
      </c>
      <c r="M6" s="1401">
        <v>0.05049768518518519</v>
      </c>
      <c r="N6" s="1401" t="str">
        <f t="shared" si="1"/>
        <v>0:55</v>
      </c>
      <c r="O6" s="1157"/>
    </row>
    <row r="7" ht="15.75" customHeight="1">
      <c r="A7" s="1377" t="s">
        <v>51</v>
      </c>
      <c r="B7" s="1013" t="s">
        <v>4964</v>
      </c>
      <c r="C7" s="1402">
        <v>0.0499537037037037</v>
      </c>
      <c r="D7" s="1093" t="s">
        <v>8401</v>
      </c>
      <c r="E7" s="1093" t="s">
        <v>8402</v>
      </c>
      <c r="F7" s="1093" t="s">
        <v>8403</v>
      </c>
      <c r="G7" s="1093" t="s">
        <v>8404</v>
      </c>
      <c r="H7" s="1093" t="s">
        <v>8405</v>
      </c>
      <c r="I7" s="1093" t="s">
        <v>8406</v>
      </c>
      <c r="J7" s="1093" t="s">
        <v>8407</v>
      </c>
      <c r="K7" s="1405" t="s">
        <v>8408</v>
      </c>
      <c r="L7" s="1020" t="s">
        <v>5002</v>
      </c>
      <c r="M7" s="1401">
        <v>0.05056712962962963</v>
      </c>
      <c r="N7" s="1406" t="str">
        <f t="shared" si="1"/>
        <v>0:53</v>
      </c>
      <c r="O7" s="1157" t="s">
        <v>8411</v>
      </c>
    </row>
    <row r="8" ht="15.75" customHeight="1">
      <c r="A8" s="1407" t="s">
        <v>599</v>
      </c>
      <c r="B8" s="1013" t="s">
        <v>4964</v>
      </c>
      <c r="C8" s="1393">
        <v>0.04998842592592593</v>
      </c>
      <c r="D8" s="1093" t="s">
        <v>8412</v>
      </c>
      <c r="E8" s="1409" t="s">
        <v>8318</v>
      </c>
      <c r="F8" s="1093" t="s">
        <v>8413</v>
      </c>
      <c r="G8" s="1093" t="s">
        <v>8414</v>
      </c>
      <c r="H8" s="1093" t="s">
        <v>8415</v>
      </c>
      <c r="I8" s="1093" t="s">
        <v>1692</v>
      </c>
      <c r="J8" s="1093" t="s">
        <v>8416</v>
      </c>
      <c r="K8" s="1093" t="s">
        <v>8417</v>
      </c>
      <c r="L8" s="1093" t="s">
        <v>5244</v>
      </c>
      <c r="M8" s="1401">
        <v>0.0508912037037037</v>
      </c>
      <c r="N8" s="1406" t="str">
        <f t="shared" si="1"/>
        <v>1:18</v>
      </c>
      <c r="O8" s="1157" t="s">
        <v>8411</v>
      </c>
    </row>
    <row r="9" ht="15.75" customHeight="1">
      <c r="A9" s="1407" t="s">
        <v>5410</v>
      </c>
      <c r="B9" s="1126" t="s">
        <v>4964</v>
      </c>
      <c r="C9" s="1402">
        <v>0.05025462962962963</v>
      </c>
      <c r="D9" s="118" t="s">
        <v>8422</v>
      </c>
      <c r="E9" s="1094" t="s">
        <v>8423</v>
      </c>
      <c r="F9" s="1093" t="s">
        <v>8424</v>
      </c>
      <c r="G9" s="1093" t="s">
        <v>8425</v>
      </c>
      <c r="H9" s="1093" t="s">
        <v>8426</v>
      </c>
      <c r="I9" s="1093" t="s">
        <v>8045</v>
      </c>
      <c r="J9" s="1093" t="s">
        <v>8427</v>
      </c>
      <c r="K9" s="1093" t="s">
        <v>8428</v>
      </c>
      <c r="L9" s="1093" t="s">
        <v>5444</v>
      </c>
      <c r="M9" s="1401">
        <v>0.0506712962962963</v>
      </c>
      <c r="N9" s="1406" t="str">
        <f t="shared" si="1"/>
        <v>0:36</v>
      </c>
      <c r="O9" s="1157"/>
    </row>
    <row r="10" ht="15.75" customHeight="1">
      <c r="A10" s="1377" t="s">
        <v>61</v>
      </c>
      <c r="B10" s="1013" t="s">
        <v>4964</v>
      </c>
      <c r="C10" s="1402">
        <v>0.050416666666666665</v>
      </c>
      <c r="D10" s="1093" t="s">
        <v>8429</v>
      </c>
      <c r="E10" s="1094" t="s">
        <v>8430</v>
      </c>
      <c r="F10" s="1096" t="s">
        <v>8431</v>
      </c>
      <c r="G10" s="1096" t="s">
        <v>8432</v>
      </c>
      <c r="H10" s="1093" t="s">
        <v>8433</v>
      </c>
      <c r="I10" s="1093" t="s">
        <v>8434</v>
      </c>
      <c r="J10" s="1093" t="s">
        <v>8435</v>
      </c>
      <c r="K10" s="1093" t="s">
        <v>8436</v>
      </c>
      <c r="L10" s="1096" t="s">
        <v>8437</v>
      </c>
      <c r="M10" s="1401">
        <v>0.0512037037037037</v>
      </c>
      <c r="N10" s="1406" t="str">
        <f t="shared" si="1"/>
        <v>1:08</v>
      </c>
      <c r="O10" s="1157" t="s">
        <v>8411</v>
      </c>
    </row>
    <row r="11">
      <c r="A11" s="1411" t="s">
        <v>86</v>
      </c>
      <c r="B11" s="1412" t="s">
        <v>4964</v>
      </c>
      <c r="C11" s="1402">
        <v>0.05047453703703704</v>
      </c>
      <c r="D11" s="157" t="s">
        <v>8439</v>
      </c>
      <c r="E11" s="1094" t="s">
        <v>8441</v>
      </c>
      <c r="F11" s="1396" t="s">
        <v>8442</v>
      </c>
      <c r="G11" s="1396" t="s">
        <v>8443</v>
      </c>
      <c r="H11" s="1396" t="s">
        <v>8445</v>
      </c>
      <c r="I11" s="1093" t="s">
        <v>8447</v>
      </c>
      <c r="J11" s="1093" t="s">
        <v>8448</v>
      </c>
      <c r="K11" s="1396" t="s">
        <v>8449</v>
      </c>
      <c r="L11" s="1093" t="s">
        <v>8450</v>
      </c>
      <c r="M11" s="1401">
        <v>0.051076388888888886</v>
      </c>
      <c r="N11" s="1406" t="str">
        <f t="shared" si="1"/>
        <v>0:52</v>
      </c>
      <c r="O11" s="1157" t="s">
        <v>8451</v>
      </c>
    </row>
    <row r="12">
      <c r="A12" s="1161" t="s">
        <v>99</v>
      </c>
      <c r="B12" s="1412" t="s">
        <v>4964</v>
      </c>
      <c r="C12" s="1393">
        <v>0.050514884259259256</v>
      </c>
      <c r="D12" s="118" t="s">
        <v>8452</v>
      </c>
      <c r="E12" s="1094" t="s">
        <v>8453</v>
      </c>
      <c r="F12" s="1093" t="s">
        <v>8455</v>
      </c>
      <c r="G12" s="1093" t="s">
        <v>8457</v>
      </c>
      <c r="H12" s="1093" t="s">
        <v>8458</v>
      </c>
      <c r="I12" s="1093" t="s">
        <v>8459</v>
      </c>
      <c r="J12" s="1093" t="s">
        <v>8460</v>
      </c>
      <c r="K12" s="1093" t="s">
        <v>8461</v>
      </c>
      <c r="L12" s="1093" t="s">
        <v>5545</v>
      </c>
      <c r="M12" s="1401">
        <v>0.051319444444444445</v>
      </c>
      <c r="N12" s="1406" t="str">
        <f t="shared" si="1"/>
        <v>1:10</v>
      </c>
      <c r="O12" s="1157"/>
    </row>
    <row r="13" ht="15.75" customHeight="1">
      <c r="A13" s="617" t="s">
        <v>37</v>
      </c>
      <c r="B13" s="1416" t="s">
        <v>4964</v>
      </c>
      <c r="C13" s="1402">
        <v>0.05061342592592592</v>
      </c>
      <c r="D13" s="1417" t="s">
        <v>8462</v>
      </c>
      <c r="E13" s="1094" t="s">
        <v>8463</v>
      </c>
      <c r="F13" s="1418" t="s">
        <v>8464</v>
      </c>
      <c r="G13" s="1093" t="s">
        <v>8465</v>
      </c>
      <c r="H13" s="1418" t="s">
        <v>8466</v>
      </c>
      <c r="I13" s="1418" t="s">
        <v>8467</v>
      </c>
      <c r="J13" s="1093" t="s">
        <v>8468</v>
      </c>
      <c r="K13" s="1093" t="s">
        <v>8469</v>
      </c>
      <c r="L13" s="1093" t="s">
        <v>8470</v>
      </c>
      <c r="M13" s="1401">
        <v>0.05122685185185185</v>
      </c>
      <c r="N13" s="1406" t="str">
        <f t="shared" si="1"/>
        <v>0:53</v>
      </c>
      <c r="O13" s="1157" t="s">
        <v>8471</v>
      </c>
    </row>
    <row r="14" ht="15.75" customHeight="1">
      <c r="A14" s="1382" t="s">
        <v>70</v>
      </c>
      <c r="B14" s="1013" t="s">
        <v>4964</v>
      </c>
      <c r="C14" s="1393">
        <v>0.05061342592592592</v>
      </c>
      <c r="D14" s="157" t="s">
        <v>8472</v>
      </c>
      <c r="E14" s="1420" t="s">
        <v>8473</v>
      </c>
      <c r="F14" s="1093" t="s">
        <v>8474</v>
      </c>
      <c r="G14" s="1093" t="s">
        <v>8475</v>
      </c>
      <c r="H14" s="1093" t="s">
        <v>8476</v>
      </c>
      <c r="I14" s="1093" t="s">
        <v>8477</v>
      </c>
      <c r="J14" s="1093" t="s">
        <v>8478</v>
      </c>
      <c r="K14" s="1093" t="s">
        <v>8479</v>
      </c>
      <c r="L14" s="1093" t="s">
        <v>5766</v>
      </c>
      <c r="M14" s="1401">
        <v>0.05153935185185185</v>
      </c>
      <c r="N14" s="1406" t="str">
        <f t="shared" si="1"/>
        <v>1:20</v>
      </c>
      <c r="O14" s="1157" t="s">
        <v>8411</v>
      </c>
    </row>
    <row r="15" ht="15.75" customHeight="1">
      <c r="A15" s="1407" t="s">
        <v>1007</v>
      </c>
      <c r="B15" s="1013" t="s">
        <v>4964</v>
      </c>
      <c r="C15" s="1393">
        <v>0.05068287037037037</v>
      </c>
      <c r="D15" s="1093" t="s">
        <v>8480</v>
      </c>
      <c r="E15" s="1420" t="s">
        <v>8481</v>
      </c>
      <c r="F15" s="1093" t="s">
        <v>8482</v>
      </c>
      <c r="G15" s="1093" t="s">
        <v>8483</v>
      </c>
      <c r="H15" s="1093" t="s">
        <v>8485</v>
      </c>
      <c r="I15" s="1093" t="s">
        <v>8486</v>
      </c>
      <c r="J15" s="1093" t="s">
        <v>8488</v>
      </c>
      <c r="K15" s="1093" t="s">
        <v>8489</v>
      </c>
      <c r="L15" s="1093" t="s">
        <v>5408</v>
      </c>
      <c r="M15" s="1401">
        <v>0.05164351851851852</v>
      </c>
      <c r="N15" s="1406" t="str">
        <f t="shared" si="1"/>
        <v>1:23</v>
      </c>
      <c r="O15" s="1157" t="s">
        <v>8411</v>
      </c>
    </row>
    <row r="16" ht="15.75" customHeight="1">
      <c r="A16" s="1161" t="s">
        <v>5666</v>
      </c>
      <c r="B16" s="1244" t="s">
        <v>5005</v>
      </c>
      <c r="C16" s="1421">
        <v>0.050729166666666665</v>
      </c>
      <c r="D16" s="118" t="s">
        <v>8490</v>
      </c>
      <c r="E16" s="1422" t="s">
        <v>8491</v>
      </c>
      <c r="F16" s="1423" t="s">
        <v>8360</v>
      </c>
      <c r="G16" s="1423" t="s">
        <v>8361</v>
      </c>
      <c r="H16" s="1423" t="s">
        <v>8363</v>
      </c>
      <c r="I16" s="1423" t="s">
        <v>8364</v>
      </c>
      <c r="J16" s="1423" t="s">
        <v>8365</v>
      </c>
      <c r="K16" s="1423" t="s">
        <v>8366</v>
      </c>
      <c r="L16" s="1211" t="s">
        <v>5728</v>
      </c>
      <c r="M16" s="1401">
        <v>0.05143506944444444</v>
      </c>
      <c r="N16" s="1426" t="str">
        <f t="shared" si="1"/>
        <v>1:01</v>
      </c>
      <c r="O16" s="1157"/>
    </row>
    <row r="17" ht="15.75" customHeight="1">
      <c r="A17" s="1161" t="s">
        <v>5447</v>
      </c>
      <c r="B17" s="1244" t="s">
        <v>5005</v>
      </c>
      <c r="C17" s="1402">
        <v>0.05085648148148148</v>
      </c>
      <c r="D17" s="1427" t="s">
        <v>8498</v>
      </c>
      <c r="E17" s="1428" t="s">
        <v>8359</v>
      </c>
      <c r="F17" s="1429" t="s">
        <v>8499</v>
      </c>
      <c r="G17" s="1429" t="s">
        <v>8500</v>
      </c>
      <c r="H17" s="1429" t="s">
        <v>8501</v>
      </c>
      <c r="I17" s="1429" t="s">
        <v>8502</v>
      </c>
      <c r="J17" s="1429" t="s">
        <v>8503</v>
      </c>
      <c r="K17" s="1429" t="s">
        <v>8504</v>
      </c>
      <c r="L17" s="1432" t="s">
        <v>5040</v>
      </c>
      <c r="M17" s="1401">
        <v>0.05197916666666667</v>
      </c>
      <c r="N17" s="1406" t="str">
        <f t="shared" si="1"/>
        <v>1:37</v>
      </c>
      <c r="O17" s="1157" t="s">
        <v>8411</v>
      </c>
    </row>
    <row r="18" ht="15.75" customHeight="1">
      <c r="A18" s="1433" t="s">
        <v>3492</v>
      </c>
      <c r="B18" s="1013" t="s">
        <v>4964</v>
      </c>
      <c r="C18" s="1434">
        <v>0.05103009259259259</v>
      </c>
      <c r="D18" s="1093" t="s">
        <v>8506</v>
      </c>
      <c r="E18" s="1420" t="s">
        <v>7762</v>
      </c>
      <c r="F18" s="1093" t="s">
        <v>8507</v>
      </c>
      <c r="G18" s="1093" t="s">
        <v>8508</v>
      </c>
      <c r="H18" s="1396" t="s">
        <v>8509</v>
      </c>
      <c r="I18" s="1093" t="s">
        <v>3026</v>
      </c>
      <c r="J18" s="1093" t="s">
        <v>8511</v>
      </c>
      <c r="K18" s="1093" t="s">
        <v>8512</v>
      </c>
      <c r="L18" s="1093" t="s">
        <v>8513</v>
      </c>
      <c r="M18" s="1401">
        <v>0.051909722222222225</v>
      </c>
      <c r="N18" s="1406" t="str">
        <f t="shared" si="1"/>
        <v>1:16</v>
      </c>
      <c r="O18" s="1157" t="s">
        <v>8411</v>
      </c>
    </row>
    <row r="19" ht="15.75" customHeight="1">
      <c r="A19" s="1161" t="s">
        <v>5830</v>
      </c>
      <c r="B19" s="1126" t="s">
        <v>4964</v>
      </c>
      <c r="C19" s="1393">
        <v>0.051145833333333335</v>
      </c>
      <c r="D19" s="157" t="s">
        <v>8515</v>
      </c>
      <c r="E19" s="1094" t="s">
        <v>8516</v>
      </c>
      <c r="F19" s="1093" t="s">
        <v>8517</v>
      </c>
      <c r="G19" s="1093" t="s">
        <v>8518</v>
      </c>
      <c r="H19" s="1093" t="s">
        <v>8519</v>
      </c>
      <c r="I19" s="1093" t="s">
        <v>8520</v>
      </c>
      <c r="J19" s="1093" t="s">
        <v>8521</v>
      </c>
      <c r="K19" s="1093" t="s">
        <v>8522</v>
      </c>
      <c r="L19" s="1093" t="s">
        <v>5860</v>
      </c>
      <c r="M19" s="1401">
        <v>0.05228009259259259</v>
      </c>
      <c r="N19" s="1406" t="str">
        <f t="shared" si="1"/>
        <v>1:38</v>
      </c>
      <c r="O19" s="1157" t="s">
        <v>8523</v>
      </c>
    </row>
    <row r="20" ht="15.75" customHeight="1">
      <c r="A20" s="1407" t="s">
        <v>687</v>
      </c>
      <c r="B20" s="1013" t="s">
        <v>4964</v>
      </c>
      <c r="C20" s="1393">
        <v>0.05122685185185185</v>
      </c>
      <c r="D20" s="1093" t="s">
        <v>8524</v>
      </c>
      <c r="E20" s="1420" t="s">
        <v>5047</v>
      </c>
      <c r="F20" s="1093" t="s">
        <v>8525</v>
      </c>
      <c r="G20" s="1093" t="s">
        <v>8526</v>
      </c>
      <c r="H20" s="1093" t="s">
        <v>8527</v>
      </c>
      <c r="I20" s="1093" t="s">
        <v>8528</v>
      </c>
      <c r="J20" s="1093" t="s">
        <v>8529</v>
      </c>
      <c r="K20" s="1093" t="s">
        <v>8530</v>
      </c>
      <c r="L20" s="1093" t="s">
        <v>8531</v>
      </c>
      <c r="M20" s="1401">
        <v>0.052037037037037034</v>
      </c>
      <c r="N20" s="1406" t="str">
        <f t="shared" si="1"/>
        <v>1:10</v>
      </c>
      <c r="O20" s="1157" t="s">
        <v>8411</v>
      </c>
    </row>
    <row r="21" ht="15.75" customHeight="1">
      <c r="A21" s="1161" t="s">
        <v>68</v>
      </c>
      <c r="B21" s="1126" t="s">
        <v>4964</v>
      </c>
      <c r="C21" s="1393">
        <v>0.05122685185185185</v>
      </c>
      <c r="D21" s="118" t="s">
        <v>8532</v>
      </c>
      <c r="E21" s="1094" t="s">
        <v>8533</v>
      </c>
      <c r="F21" s="1093" t="s">
        <v>8534</v>
      </c>
      <c r="G21" s="1093" t="s">
        <v>8536</v>
      </c>
      <c r="H21" s="1093" t="s">
        <v>8537</v>
      </c>
      <c r="I21" s="1093" t="s">
        <v>8538</v>
      </c>
      <c r="J21" s="1093" t="s">
        <v>8539</v>
      </c>
      <c r="K21" s="1093" t="s">
        <v>8540</v>
      </c>
      <c r="L21" s="1093" t="s">
        <v>8541</v>
      </c>
      <c r="M21" s="1401">
        <v>0.05224537037037037</v>
      </c>
      <c r="N21" s="1406" t="str">
        <f t="shared" si="1"/>
        <v>1:28</v>
      </c>
      <c r="O21" s="1157" t="s">
        <v>8542</v>
      </c>
    </row>
    <row r="22" ht="15.75" customHeight="1">
      <c r="A22" s="1161" t="s">
        <v>43</v>
      </c>
      <c r="B22" s="1126" t="s">
        <v>4964</v>
      </c>
      <c r="C22" s="1393">
        <v>0.05133101851851852</v>
      </c>
      <c r="D22" s="1093" t="s">
        <v>8543</v>
      </c>
      <c r="E22" s="1094" t="s">
        <v>8544</v>
      </c>
      <c r="F22" s="1093" t="s">
        <v>8545</v>
      </c>
      <c r="G22" s="1096" t="s">
        <v>8546</v>
      </c>
      <c r="H22" s="1096" t="s">
        <v>8547</v>
      </c>
      <c r="I22" s="1093" t="s">
        <v>8549</v>
      </c>
      <c r="J22" s="1093" t="s">
        <v>8550</v>
      </c>
      <c r="K22" s="1093" t="s">
        <v>8551</v>
      </c>
      <c r="L22" s="1093" t="s">
        <v>8552</v>
      </c>
      <c r="M22" s="1401">
        <v>0.05197916666666667</v>
      </c>
      <c r="N22" s="1406" t="str">
        <f t="shared" si="1"/>
        <v>0:56</v>
      </c>
      <c r="O22" s="1157" t="s">
        <v>8553</v>
      </c>
    </row>
    <row r="23" ht="15.75" customHeight="1">
      <c r="A23" s="1377" t="s">
        <v>5863</v>
      </c>
      <c r="B23" s="1013" t="s">
        <v>4964</v>
      </c>
      <c r="C23" s="1402">
        <v>0.05144675925925926</v>
      </c>
      <c r="D23" s="1093" t="s">
        <v>8555</v>
      </c>
      <c r="E23" s="1420" t="s">
        <v>8556</v>
      </c>
      <c r="F23" s="1093" t="s">
        <v>8557</v>
      </c>
      <c r="G23" s="1093" t="s">
        <v>8558</v>
      </c>
      <c r="H23" s="1093" t="s">
        <v>8559</v>
      </c>
      <c r="I23" s="1093" t="s">
        <v>8560</v>
      </c>
      <c r="J23" s="1093" t="s">
        <v>8561</v>
      </c>
      <c r="K23" s="1093" t="s">
        <v>8562</v>
      </c>
      <c r="L23" s="1046" t="s">
        <v>5656</v>
      </c>
      <c r="M23" s="1401">
        <v>0.05258101851851852</v>
      </c>
      <c r="N23" s="1406" t="str">
        <f t="shared" si="1"/>
        <v>1:38</v>
      </c>
      <c r="O23" s="1157" t="s">
        <v>8411</v>
      </c>
    </row>
    <row r="24" ht="15.75" customHeight="1">
      <c r="A24" s="1161" t="s">
        <v>6075</v>
      </c>
      <c r="B24" s="1126" t="s">
        <v>5005</v>
      </c>
      <c r="C24" s="1393">
        <v>0.05146990740740741</v>
      </c>
      <c r="D24" s="1428" t="s">
        <v>8358</v>
      </c>
      <c r="E24" s="1094" t="s">
        <v>7522</v>
      </c>
      <c r="F24" s="1094" t="s">
        <v>8563</v>
      </c>
      <c r="G24" s="1094" t="s">
        <v>8564</v>
      </c>
      <c r="H24" s="1094" t="s">
        <v>8565</v>
      </c>
      <c r="I24" s="1093" t="s">
        <v>8566</v>
      </c>
      <c r="J24" s="157" t="s">
        <v>8567</v>
      </c>
      <c r="K24" s="1093" t="s">
        <v>8568</v>
      </c>
      <c r="L24" s="157" t="s">
        <v>6111</v>
      </c>
      <c r="M24" s="1441">
        <v>0.05236111111111111</v>
      </c>
      <c r="N24" s="1406" t="str">
        <f t="shared" si="1"/>
        <v>1:17</v>
      </c>
      <c r="O24" s="1157" t="s">
        <v>8411</v>
      </c>
    </row>
    <row r="25" ht="15.75" customHeight="1">
      <c r="A25" s="1407" t="s">
        <v>536</v>
      </c>
      <c r="B25" s="1013" t="s">
        <v>4964</v>
      </c>
      <c r="C25" s="1402">
        <v>0.051550925925925924</v>
      </c>
      <c r="D25" s="1093" t="s">
        <v>8571</v>
      </c>
      <c r="E25" s="1420" t="s">
        <v>7503</v>
      </c>
      <c r="F25" s="1093" t="s">
        <v>8572</v>
      </c>
      <c r="G25" s="1093" t="s">
        <v>8573</v>
      </c>
      <c r="H25" s="1093" t="s">
        <v>8574</v>
      </c>
      <c r="I25" s="1093" t="s">
        <v>8575</v>
      </c>
      <c r="J25" s="1093" t="s">
        <v>8576</v>
      </c>
      <c r="K25" s="1093" t="s">
        <v>8577</v>
      </c>
      <c r="L25" s="1046" t="s">
        <v>8579</v>
      </c>
      <c r="M25" s="1401">
        <v>0.05229166666666667</v>
      </c>
      <c r="N25" s="1406" t="str">
        <f t="shared" si="1"/>
        <v>1:04</v>
      </c>
      <c r="O25" s="1157" t="s">
        <v>8411</v>
      </c>
    </row>
    <row r="26">
      <c r="A26" s="1391" t="s">
        <v>51</v>
      </c>
      <c r="B26" s="1244" t="s">
        <v>5043</v>
      </c>
      <c r="C26" s="1443">
        <v>0.05158564814814815</v>
      </c>
      <c r="D26" s="1444" t="s">
        <v>8370</v>
      </c>
      <c r="E26" s="1445" t="s">
        <v>8371</v>
      </c>
      <c r="F26" s="1444" t="s">
        <v>8372</v>
      </c>
      <c r="G26" s="1444" t="s">
        <v>8373</v>
      </c>
      <c r="H26" s="1444" t="s">
        <v>8374</v>
      </c>
      <c r="I26" s="1444" t="s">
        <v>8375</v>
      </c>
      <c r="J26" s="1444" t="s">
        <v>8376</v>
      </c>
      <c r="K26" s="1444" t="s">
        <v>8377</v>
      </c>
      <c r="L26" s="1444" t="s">
        <v>5082</v>
      </c>
      <c r="M26" s="1446">
        <v>0.052141203703703703</v>
      </c>
      <c r="N26" s="1406" t="str">
        <f t="shared" si="1"/>
        <v>0:48</v>
      </c>
      <c r="O26" s="1157" t="s">
        <v>8581</v>
      </c>
    </row>
    <row r="27" ht="15.75" customHeight="1">
      <c r="A27" s="617" t="s">
        <v>6549</v>
      </c>
      <c r="B27" s="1126" t="s">
        <v>4964</v>
      </c>
      <c r="C27" s="1402">
        <v>0.051706365740740744</v>
      </c>
      <c r="D27" s="157" t="s">
        <v>8582</v>
      </c>
      <c r="E27" s="1094" t="s">
        <v>8583</v>
      </c>
      <c r="F27" s="1093" t="s">
        <v>8584</v>
      </c>
      <c r="G27" s="1093" t="s">
        <v>8585</v>
      </c>
      <c r="H27" s="1093" t="s">
        <v>8586</v>
      </c>
      <c r="I27" s="1093" t="s">
        <v>8587</v>
      </c>
      <c r="J27" s="1093" t="s">
        <v>8588</v>
      </c>
      <c r="K27" s="1093" t="s">
        <v>8589</v>
      </c>
      <c r="L27" s="1093" t="s">
        <v>6580</v>
      </c>
      <c r="M27" s="1401">
        <v>0.0525</v>
      </c>
      <c r="N27" s="1401" t="str">
        <f t="shared" si="1"/>
        <v>1:09</v>
      </c>
      <c r="O27" s="1157"/>
    </row>
    <row r="28" ht="15.75" customHeight="1">
      <c r="A28" s="1449" t="s">
        <v>5797</v>
      </c>
      <c r="B28" s="1232" t="s">
        <v>4964</v>
      </c>
      <c r="C28" s="1402">
        <v>0.05171296296296296</v>
      </c>
      <c r="D28" s="1101" t="s">
        <v>8590</v>
      </c>
      <c r="E28" s="1101" t="s">
        <v>8591</v>
      </c>
      <c r="F28" s="1101" t="s">
        <v>8592</v>
      </c>
      <c r="G28" s="1101" t="s">
        <v>8593</v>
      </c>
      <c r="H28" s="157" t="s">
        <v>8594</v>
      </c>
      <c r="I28" s="1101" t="s">
        <v>8595</v>
      </c>
      <c r="J28" s="157" t="s">
        <v>8596</v>
      </c>
      <c r="K28" s="1101" t="s">
        <v>8597</v>
      </c>
      <c r="L28" s="157" t="s">
        <v>5827</v>
      </c>
      <c r="M28" s="1401">
        <v>0.054375</v>
      </c>
      <c r="N28" s="1406" t="str">
        <f t="shared" si="1"/>
        <v>3:50</v>
      </c>
      <c r="O28" s="1157" t="s">
        <v>8598</v>
      </c>
    </row>
    <row r="29" ht="15.75" customHeight="1">
      <c r="A29" s="1161" t="s">
        <v>4261</v>
      </c>
      <c r="B29" s="1126" t="s">
        <v>4964</v>
      </c>
      <c r="C29" s="1393">
        <v>0.05180160879629629</v>
      </c>
      <c r="D29" s="157" t="s">
        <v>8599</v>
      </c>
      <c r="E29" s="1094" t="s">
        <v>8600</v>
      </c>
      <c r="F29" s="1093" t="s">
        <v>8601</v>
      </c>
      <c r="G29" s="1093" t="s">
        <v>8603</v>
      </c>
      <c r="H29" s="1093" t="s">
        <v>8604</v>
      </c>
      <c r="I29" s="1093" t="s">
        <v>8605</v>
      </c>
      <c r="J29" s="1093" t="s">
        <v>8606</v>
      </c>
      <c r="K29" s="1093" t="s">
        <v>8608</v>
      </c>
      <c r="L29" s="1093" t="s">
        <v>8609</v>
      </c>
      <c r="M29" s="1401">
        <v>0.05303240740740741</v>
      </c>
      <c r="N29" s="1406" t="str">
        <f t="shared" si="1"/>
        <v>1:46</v>
      </c>
      <c r="O29" s="1157"/>
    </row>
    <row r="30" ht="15.75" customHeight="1">
      <c r="A30" s="617" t="s">
        <v>4665</v>
      </c>
      <c r="B30" s="1244" t="s">
        <v>5043</v>
      </c>
      <c r="C30" s="1402">
        <v>0.052088194444444444</v>
      </c>
      <c r="D30" s="157" t="s">
        <v>8610</v>
      </c>
      <c r="E30" s="1094" t="s">
        <v>8611</v>
      </c>
      <c r="F30" s="1093" t="s">
        <v>8612</v>
      </c>
      <c r="G30" s="1093" t="s">
        <v>8613</v>
      </c>
      <c r="H30" s="1093" t="s">
        <v>8614</v>
      </c>
      <c r="I30" s="1093" t="s">
        <v>8615</v>
      </c>
      <c r="J30" s="1093" t="s">
        <v>8616</v>
      </c>
      <c r="K30" s="1093" t="s">
        <v>8617</v>
      </c>
      <c r="L30" s="1093" t="s">
        <v>7021</v>
      </c>
      <c r="M30" s="1401">
        <v>0.053043981481481484</v>
      </c>
      <c r="N30" s="1406" t="str">
        <f t="shared" si="1"/>
        <v>1:23</v>
      </c>
      <c r="O30" s="1157" t="s">
        <v>8411</v>
      </c>
    </row>
    <row r="31" ht="15.75" customHeight="1">
      <c r="A31" s="617" t="s">
        <v>731</v>
      </c>
      <c r="B31" s="1126" t="s">
        <v>5005</v>
      </c>
      <c r="C31" s="1402">
        <v>0.05215277777777778</v>
      </c>
      <c r="D31" s="1093" t="s">
        <v>8619</v>
      </c>
      <c r="E31" s="1093" t="s">
        <v>8620</v>
      </c>
      <c r="F31" s="1093" t="s">
        <v>8621</v>
      </c>
      <c r="G31" s="1093" t="s">
        <v>8622</v>
      </c>
      <c r="H31" s="1093" t="s">
        <v>8623</v>
      </c>
      <c r="I31" s="1093" t="s">
        <v>8463</v>
      </c>
      <c r="J31" s="1093" t="s">
        <v>8624</v>
      </c>
      <c r="K31" s="1093" t="s">
        <v>8625</v>
      </c>
      <c r="L31" s="1093" t="s">
        <v>6662</v>
      </c>
      <c r="M31" s="1401">
        <v>0.05399305555555556</v>
      </c>
      <c r="N31" s="1406" t="str">
        <f t="shared" si="1"/>
        <v>2:39</v>
      </c>
      <c r="O31" s="1157" t="s">
        <v>8626</v>
      </c>
    </row>
    <row r="32" ht="15.75" customHeight="1">
      <c r="A32" s="1161" t="s">
        <v>2596</v>
      </c>
      <c r="B32" s="1126" t="s">
        <v>4964</v>
      </c>
      <c r="C32" s="1393">
        <v>0.05216435185185185</v>
      </c>
      <c r="D32" s="1093" t="s">
        <v>8628</v>
      </c>
      <c r="E32" s="1094" t="s">
        <v>8629</v>
      </c>
      <c r="F32" s="1093" t="s">
        <v>8630</v>
      </c>
      <c r="G32" s="1093" t="s">
        <v>8631</v>
      </c>
      <c r="H32" s="1093" t="s">
        <v>8632</v>
      </c>
      <c r="I32" s="1093" t="s">
        <v>8633</v>
      </c>
      <c r="J32" s="1093" t="s">
        <v>8634</v>
      </c>
      <c r="K32" s="1093" t="s">
        <v>8635</v>
      </c>
      <c r="L32" s="1093" t="s">
        <v>8636</v>
      </c>
      <c r="M32" s="1401">
        <v>0.05337962962962963</v>
      </c>
      <c r="N32" s="1406" t="str">
        <f t="shared" si="1"/>
        <v>1:45</v>
      </c>
      <c r="O32" s="1157" t="s">
        <v>8637</v>
      </c>
    </row>
    <row r="33" ht="15.75" customHeight="1">
      <c r="A33" s="617" t="s">
        <v>52</v>
      </c>
      <c r="B33" s="1126" t="s">
        <v>4964</v>
      </c>
      <c r="C33" s="1402">
        <v>0.0522337962962963</v>
      </c>
      <c r="D33" s="157" t="s">
        <v>8639</v>
      </c>
      <c r="E33" s="1094" t="s">
        <v>8640</v>
      </c>
      <c r="F33" s="1093" t="s">
        <v>8641</v>
      </c>
      <c r="G33" s="1093" t="s">
        <v>8642</v>
      </c>
      <c r="H33" s="1093" t="s">
        <v>8643</v>
      </c>
      <c r="I33" s="1093" t="s">
        <v>8644</v>
      </c>
      <c r="J33" s="1093" t="s">
        <v>8645</v>
      </c>
      <c r="K33" s="1093" t="s">
        <v>8646</v>
      </c>
      <c r="L33" s="1093" t="s">
        <v>8647</v>
      </c>
      <c r="M33" s="1401">
        <v>0.053634259259259257</v>
      </c>
      <c r="N33" s="1406" t="str">
        <f t="shared" si="1"/>
        <v>2:01</v>
      </c>
      <c r="O33" s="1157" t="s">
        <v>8649</v>
      </c>
    </row>
    <row r="34" ht="15.75" customHeight="1">
      <c r="A34" s="617" t="s">
        <v>47</v>
      </c>
      <c r="B34" s="1126" t="s">
        <v>5005</v>
      </c>
      <c r="C34" s="1402">
        <v>0.05224537037037037</v>
      </c>
      <c r="D34" s="1093" t="s">
        <v>8651</v>
      </c>
      <c r="E34" s="1452" t="s">
        <v>8652</v>
      </c>
      <c r="F34" s="1093" t="s">
        <v>8653</v>
      </c>
      <c r="G34" s="1093" t="s">
        <v>8654</v>
      </c>
      <c r="H34" s="1093" t="s">
        <v>8655</v>
      </c>
      <c r="I34" s="1093" t="s">
        <v>8656</v>
      </c>
      <c r="J34" s="1093" t="s">
        <v>8657</v>
      </c>
      <c r="K34" s="1096" t="s">
        <v>8658</v>
      </c>
      <c r="L34" s="1093" t="s">
        <v>8660</v>
      </c>
      <c r="M34" s="1401">
        <v>0.053043981481481484</v>
      </c>
      <c r="N34" s="1406" t="str">
        <f t="shared" si="1"/>
        <v>1:09</v>
      </c>
      <c r="O34" s="1157" t="s">
        <v>8523</v>
      </c>
    </row>
    <row r="35" ht="15.75" customHeight="1">
      <c r="A35" s="1161" t="s">
        <v>4261</v>
      </c>
      <c r="B35" s="1244" t="s">
        <v>5005</v>
      </c>
      <c r="C35" s="1393">
        <v>0.052316898148148154</v>
      </c>
      <c r="D35" s="157" t="s">
        <v>8662</v>
      </c>
      <c r="E35" s="1094" t="s">
        <v>8664</v>
      </c>
      <c r="F35" s="1093" t="s">
        <v>8665</v>
      </c>
      <c r="G35" s="1093" t="s">
        <v>8666</v>
      </c>
      <c r="H35" s="1093" t="s">
        <v>8667</v>
      </c>
      <c r="I35" s="1093" t="s">
        <v>8668</v>
      </c>
      <c r="J35" s="1093" t="s">
        <v>8669</v>
      </c>
      <c r="K35" s="1093" t="s">
        <v>8670</v>
      </c>
      <c r="L35" s="1093" t="s">
        <v>6247</v>
      </c>
      <c r="M35" s="1401">
        <v>0.05376157407407407</v>
      </c>
      <c r="N35" s="1406" t="str">
        <f t="shared" si="1"/>
        <v>2:05</v>
      </c>
      <c r="O35" s="1157" t="s">
        <v>8411</v>
      </c>
    </row>
    <row r="36" ht="15.75" customHeight="1">
      <c r="A36" s="617" t="s">
        <v>59</v>
      </c>
      <c r="B36" s="1126" t="s">
        <v>4964</v>
      </c>
      <c r="C36" s="1402">
        <v>0.05238425925925926</v>
      </c>
      <c r="D36" s="118" t="s">
        <v>8672</v>
      </c>
      <c r="E36" s="1094" t="s">
        <v>8629</v>
      </c>
      <c r="F36" s="1093" t="s">
        <v>8673</v>
      </c>
      <c r="G36" s="1405" t="s">
        <v>8674</v>
      </c>
      <c r="H36" s="1093" t="s">
        <v>8675</v>
      </c>
      <c r="I36" s="1093" t="s">
        <v>8676</v>
      </c>
      <c r="J36" s="1093" t="s">
        <v>8677</v>
      </c>
      <c r="K36" s="1093" t="s">
        <v>8678</v>
      </c>
      <c r="L36" s="1093" t="s">
        <v>7047</v>
      </c>
      <c r="M36" s="1401">
        <v>0.05340277777777778</v>
      </c>
      <c r="N36" s="1406" t="str">
        <f t="shared" si="1"/>
        <v>1:28</v>
      </c>
      <c r="O36" s="1157" t="s">
        <v>8681</v>
      </c>
    </row>
    <row r="37" ht="15.75" customHeight="1">
      <c r="A37" s="1161" t="s">
        <v>7078</v>
      </c>
      <c r="B37" s="1126" t="s">
        <v>4964</v>
      </c>
      <c r="C37" s="1393">
        <v>0.05268518518518518</v>
      </c>
      <c r="D37" s="157" t="s">
        <v>8682</v>
      </c>
      <c r="E37" s="1094" t="s">
        <v>8683</v>
      </c>
      <c r="F37" s="1093" t="s">
        <v>8684</v>
      </c>
      <c r="G37" s="1093" t="s">
        <v>8685</v>
      </c>
      <c r="H37" s="1093" t="s">
        <v>8686</v>
      </c>
      <c r="I37" s="1093" t="s">
        <v>3483</v>
      </c>
      <c r="J37" s="1093" t="s">
        <v>8687</v>
      </c>
      <c r="K37" s="1093" t="s">
        <v>8688</v>
      </c>
      <c r="L37" s="1093" t="s">
        <v>7099</v>
      </c>
      <c r="M37" s="1401">
        <v>0.05331018518518518</v>
      </c>
      <c r="N37" s="1406" t="str">
        <f t="shared" si="1"/>
        <v>0:54</v>
      </c>
      <c r="O37" s="1157" t="s">
        <v>8689</v>
      </c>
    </row>
    <row r="38" ht="15.75" customHeight="1">
      <c r="A38" s="1161" t="s">
        <v>6832</v>
      </c>
      <c r="B38" s="1412" t="s">
        <v>4964</v>
      </c>
      <c r="C38" s="1393">
        <v>0.05270034722222223</v>
      </c>
      <c r="D38" s="118" t="s">
        <v>8691</v>
      </c>
      <c r="E38" s="1094" t="s">
        <v>8692</v>
      </c>
      <c r="F38" s="1093" t="s">
        <v>8693</v>
      </c>
      <c r="G38" s="1093" t="s">
        <v>8694</v>
      </c>
      <c r="H38" s="1093" t="s">
        <v>8695</v>
      </c>
      <c r="I38" s="1093" t="s">
        <v>8696</v>
      </c>
      <c r="J38" s="1093" t="s">
        <v>8697</v>
      </c>
      <c r="K38" s="1093" t="s">
        <v>8698</v>
      </c>
      <c r="L38" s="1093" t="s">
        <v>8699</v>
      </c>
      <c r="M38" s="1401">
        <v>0.05425925925925926</v>
      </c>
      <c r="N38" s="1406" t="str">
        <f t="shared" si="1"/>
        <v>2:15</v>
      </c>
      <c r="O38" s="1157" t="s">
        <v>8411</v>
      </c>
    </row>
    <row r="39">
      <c r="A39" s="1454" t="s">
        <v>2547</v>
      </c>
      <c r="B39" s="1412" t="s">
        <v>4964</v>
      </c>
      <c r="C39" s="1393">
        <v>0.05243055555555556</v>
      </c>
      <c r="D39" s="118" t="s">
        <v>8703</v>
      </c>
      <c r="E39" s="1094" t="s">
        <v>8704</v>
      </c>
      <c r="F39" s="1093" t="s">
        <v>8705</v>
      </c>
      <c r="G39" s="1093" t="s">
        <v>8706</v>
      </c>
      <c r="H39" s="1093" t="s">
        <v>8707</v>
      </c>
      <c r="I39" s="1093" t="s">
        <v>8709</v>
      </c>
      <c r="J39" s="1093" t="s">
        <v>8710</v>
      </c>
      <c r="K39" s="1093" t="s">
        <v>8711</v>
      </c>
      <c r="L39" s="1093" t="s">
        <v>8712</v>
      </c>
      <c r="M39" s="1401">
        <v>0.05372685185185185</v>
      </c>
      <c r="N39" s="1406" t="str">
        <f t="shared" si="1"/>
        <v>1:52</v>
      </c>
      <c r="O39" s="1157" t="s">
        <v>8411</v>
      </c>
    </row>
    <row r="40" ht="15.75" customHeight="1">
      <c r="A40" s="617" t="s">
        <v>49</v>
      </c>
      <c r="B40" s="1354" t="s">
        <v>5005</v>
      </c>
      <c r="C40" s="1402">
        <v>0.05378472222222222</v>
      </c>
      <c r="D40" s="157" t="s">
        <v>8713</v>
      </c>
      <c r="E40" s="1094" t="s">
        <v>8714</v>
      </c>
      <c r="F40" s="1093" t="s">
        <v>8715</v>
      </c>
      <c r="G40" s="1093" t="s">
        <v>8716</v>
      </c>
      <c r="H40" s="1093" t="s">
        <v>8717</v>
      </c>
      <c r="I40" s="1093" t="s">
        <v>6044</v>
      </c>
      <c r="J40" s="1093" t="s">
        <v>8718</v>
      </c>
      <c r="K40" s="1093" t="s">
        <v>8719</v>
      </c>
      <c r="L40" s="1093" t="s">
        <v>6768</v>
      </c>
      <c r="M40" s="1401">
        <v>0.054560185185185184</v>
      </c>
      <c r="N40" s="1406" t="str">
        <f t="shared" si="1"/>
        <v>1:07</v>
      </c>
      <c r="O40" s="1157"/>
    </row>
    <row r="41" ht="15.75" customHeight="1">
      <c r="A41" s="617" t="s">
        <v>3970</v>
      </c>
      <c r="B41" s="1244" t="s">
        <v>5005</v>
      </c>
      <c r="C41" s="1402">
        <v>0.05748842592592593</v>
      </c>
      <c r="D41" s="1094" t="s">
        <v>8721</v>
      </c>
      <c r="E41" s="1094" t="s">
        <v>8722</v>
      </c>
      <c r="F41" s="1093" t="s">
        <v>8723</v>
      </c>
      <c r="G41" s="1093" t="s">
        <v>8724</v>
      </c>
      <c r="H41" s="1093" t="s">
        <v>8725</v>
      </c>
      <c r="I41" s="1093" t="s">
        <v>8726</v>
      </c>
      <c r="J41" s="1093" t="s">
        <v>8727</v>
      </c>
      <c r="K41" s="1093" t="s">
        <v>8728</v>
      </c>
      <c r="L41" s="1093" t="s">
        <v>8198</v>
      </c>
      <c r="M41" s="1401">
        <v>0.06149305555555556</v>
      </c>
      <c r="N41" s="1406" t="str">
        <f t="shared" si="1"/>
        <v>5:46</v>
      </c>
      <c r="O41" s="1157" t="s">
        <v>8411</v>
      </c>
    </row>
    <row r="42" ht="15.75" customHeight="1">
      <c r="A42" s="617" t="s">
        <v>3730</v>
      </c>
      <c r="B42" s="1316" t="s">
        <v>8200</v>
      </c>
      <c r="C42" s="1455">
        <v>0.05884259259259259</v>
      </c>
      <c r="D42" s="1329" t="s">
        <v>8729</v>
      </c>
      <c r="E42" s="1456" t="s">
        <v>8730</v>
      </c>
      <c r="F42" s="1456" t="s">
        <v>8731</v>
      </c>
      <c r="G42" s="1456" t="s">
        <v>8732</v>
      </c>
      <c r="H42" s="1456" t="s">
        <v>8733</v>
      </c>
      <c r="I42" s="1456" t="s">
        <v>8734</v>
      </c>
      <c r="J42" s="1456" t="s">
        <v>8735</v>
      </c>
      <c r="K42" s="1456" t="s">
        <v>8736</v>
      </c>
      <c r="L42" s="1456" t="s">
        <v>8737</v>
      </c>
      <c r="M42" s="1457">
        <v>0.06646990740740741</v>
      </c>
      <c r="N42" s="1456" t="s">
        <v>8738</v>
      </c>
      <c r="O42" s="1157" t="s">
        <v>8739</v>
      </c>
    </row>
    <row r="43" ht="15.75" customHeight="1">
      <c r="A43" s="1161"/>
      <c r="B43" s="1126"/>
      <c r="C43" s="1458"/>
      <c r="D43" s="118"/>
      <c r="E43" s="1420"/>
      <c r="F43" s="1093"/>
      <c r="G43" s="1093"/>
      <c r="H43" s="1093"/>
      <c r="I43" s="1093"/>
      <c r="J43" s="1093"/>
      <c r="K43" s="1093"/>
      <c r="L43" s="1093"/>
      <c r="M43" s="1093"/>
      <c r="N43" s="1401"/>
      <c r="O43" s="1157"/>
    </row>
    <row r="44">
      <c r="A44" s="1391"/>
      <c r="B44" s="1392"/>
      <c r="C44" s="1458"/>
      <c r="D44" s="154"/>
      <c r="E44" s="1420"/>
      <c r="F44" s="1093"/>
      <c r="G44" s="1093"/>
      <c r="H44" s="1093"/>
      <c r="I44" s="1093"/>
      <c r="J44" s="1093"/>
      <c r="K44" s="1093"/>
      <c r="L44" s="1093"/>
      <c r="M44" s="1093"/>
      <c r="N44" s="1401"/>
      <c r="O44" s="1157"/>
    </row>
    <row r="45" ht="15.75" customHeight="1">
      <c r="A45" s="1161"/>
      <c r="B45" s="1126"/>
      <c r="C45" s="1458"/>
      <c r="D45" s="129"/>
      <c r="E45" s="1420"/>
      <c r="F45" s="1093"/>
      <c r="G45" s="1093"/>
      <c r="H45" s="1093"/>
      <c r="I45" s="1093"/>
      <c r="J45" s="1093"/>
      <c r="K45" s="1093"/>
      <c r="L45" s="1093"/>
      <c r="M45" s="1093"/>
      <c r="N45" s="1401"/>
      <c r="O45" s="1157"/>
    </row>
    <row r="46" ht="15.75" customHeight="1">
      <c r="A46" s="1382"/>
      <c r="B46" s="1248"/>
      <c r="C46" s="1459"/>
      <c r="D46" s="154"/>
      <c r="E46" s="1420"/>
      <c r="F46" s="1093"/>
      <c r="G46" s="1093"/>
      <c r="H46" s="1093"/>
      <c r="I46" s="1093"/>
      <c r="J46" s="1093"/>
      <c r="K46" s="1093"/>
      <c r="L46" s="1093"/>
      <c r="M46" s="1093"/>
      <c r="N46" s="1401"/>
      <c r="O46" s="1157"/>
    </row>
    <row r="47">
      <c r="A47" s="1454"/>
      <c r="B47" s="1412"/>
      <c r="C47" s="1460"/>
      <c r="D47" s="129"/>
      <c r="E47" s="1420"/>
      <c r="F47" s="1093"/>
      <c r="G47" s="1093"/>
      <c r="H47" s="1093"/>
      <c r="I47" s="1093"/>
      <c r="J47" s="1093"/>
      <c r="K47" s="1093"/>
      <c r="L47" s="1093"/>
      <c r="M47" s="1093"/>
      <c r="N47" s="1401"/>
      <c r="O47" s="1157"/>
    </row>
    <row r="48" ht="15.75" customHeight="1">
      <c r="A48" s="1377"/>
      <c r="B48" s="1013"/>
      <c r="C48" s="1461"/>
      <c r="D48" s="154"/>
      <c r="E48" s="1420"/>
      <c r="F48" s="1093"/>
      <c r="G48" s="1093"/>
      <c r="H48" s="1093"/>
      <c r="I48" s="1093"/>
      <c r="J48" s="1093"/>
      <c r="K48" s="1093"/>
      <c r="L48" s="1093"/>
      <c r="M48" s="1093"/>
      <c r="N48" s="1401"/>
      <c r="O48" s="1157"/>
    </row>
    <row r="49" ht="15.75" customHeight="1">
      <c r="A49" s="1382"/>
      <c r="B49" s="1013"/>
      <c r="C49" s="1459"/>
      <c r="D49" s="129"/>
      <c r="E49" s="1420"/>
      <c r="F49" s="1093"/>
      <c r="G49" s="1093"/>
      <c r="H49" s="1093"/>
      <c r="I49" s="1093"/>
      <c r="J49" s="1093"/>
      <c r="K49" s="1093"/>
      <c r="L49" s="1093"/>
      <c r="M49" s="1093"/>
      <c r="N49" s="1401"/>
      <c r="O49" s="1157"/>
    </row>
    <row r="50" ht="15.75" customHeight="1">
      <c r="A50" s="1391"/>
      <c r="B50" s="1392"/>
      <c r="C50" s="1458"/>
      <c r="D50" s="154"/>
      <c r="E50" s="1420"/>
      <c r="F50" s="1093"/>
      <c r="G50" s="1093"/>
      <c r="H50" s="1093"/>
      <c r="I50" s="1093"/>
      <c r="J50" s="1093"/>
      <c r="K50" s="1093"/>
      <c r="L50" s="1093"/>
      <c r="M50" s="1093"/>
      <c r="N50" s="1401"/>
      <c r="O50" s="1157"/>
    </row>
    <row r="51" ht="15.75" customHeight="1">
      <c r="A51" s="1377"/>
      <c r="B51" s="1158"/>
      <c r="C51" s="1461"/>
      <c r="D51" s="129"/>
      <c r="E51" s="1420"/>
      <c r="F51" s="1093"/>
      <c r="G51" s="1093"/>
      <c r="H51" s="1093"/>
      <c r="I51" s="1093"/>
      <c r="J51" s="1093"/>
      <c r="K51" s="1093"/>
      <c r="L51" s="1093"/>
      <c r="M51" s="1093"/>
      <c r="N51" s="1401"/>
      <c r="O51" s="1157"/>
    </row>
    <row r="52" ht="15.75" customHeight="1">
      <c r="A52" s="1382"/>
      <c r="B52" s="1248"/>
      <c r="C52" s="1459"/>
      <c r="D52" s="154"/>
      <c r="E52" s="1420"/>
      <c r="F52" s="1093"/>
      <c r="G52" s="1093"/>
      <c r="H52" s="1093"/>
      <c r="I52" s="1093"/>
      <c r="J52" s="1093"/>
      <c r="K52" s="1093"/>
      <c r="L52" s="1093"/>
      <c r="M52" s="1093"/>
      <c r="N52" s="1401"/>
      <c r="O52" s="1157"/>
    </row>
    <row r="53" ht="15.75" customHeight="1">
      <c r="A53" s="1391"/>
      <c r="B53" s="1126"/>
      <c r="C53" s="1458"/>
      <c r="D53" s="129"/>
      <c r="E53" s="1420"/>
      <c r="F53" s="1093"/>
      <c r="G53" s="1093"/>
      <c r="H53" s="1093"/>
      <c r="I53" s="1093"/>
      <c r="J53" s="1093"/>
      <c r="K53" s="1093"/>
      <c r="L53" s="1093"/>
      <c r="M53" s="1093"/>
      <c r="N53" s="1401"/>
      <c r="O53" s="1157"/>
    </row>
    <row r="54" ht="15.75" customHeight="1">
      <c r="A54" s="1161"/>
      <c r="B54" s="1244"/>
      <c r="C54" s="1458"/>
      <c r="D54" s="154"/>
      <c r="E54" s="1420"/>
      <c r="F54" s="1093"/>
      <c r="G54" s="1093"/>
      <c r="H54" s="1093"/>
      <c r="I54" s="1093"/>
      <c r="J54" s="1093"/>
      <c r="K54" s="1093"/>
      <c r="L54" s="1093"/>
      <c r="M54" s="1093"/>
      <c r="N54" s="1401"/>
      <c r="O54" s="1157"/>
    </row>
    <row r="55" ht="15.75" customHeight="1">
      <c r="A55" s="1391"/>
      <c r="B55" s="1392"/>
      <c r="C55" s="1458"/>
      <c r="D55" s="129"/>
      <c r="E55" s="1420"/>
      <c r="F55" s="1093"/>
      <c r="G55" s="1093"/>
      <c r="H55" s="1093"/>
      <c r="I55" s="1093"/>
      <c r="J55" s="1093"/>
      <c r="K55" s="1093"/>
      <c r="L55" s="1093"/>
      <c r="M55" s="1093"/>
      <c r="N55" s="1401"/>
      <c r="O55" s="1157"/>
    </row>
    <row r="56" ht="15.75" customHeight="1">
      <c r="A56" s="1382"/>
      <c r="B56" s="1248"/>
      <c r="C56" s="1459"/>
      <c r="D56" s="154"/>
      <c r="E56" s="1420"/>
      <c r="F56" s="1093"/>
      <c r="G56" s="1093"/>
      <c r="H56" s="1093"/>
      <c r="I56" s="1093"/>
      <c r="J56" s="1093"/>
      <c r="K56" s="1093"/>
      <c r="L56" s="1093"/>
      <c r="M56" s="1093"/>
      <c r="N56" s="1401"/>
      <c r="O56" s="1157"/>
    </row>
    <row r="57" ht="16.5" customHeight="1">
      <c r="A57" s="1377"/>
      <c r="B57" s="1248"/>
      <c r="C57" s="1461"/>
      <c r="D57" s="129"/>
      <c r="E57" s="1420"/>
      <c r="F57" s="1093"/>
      <c r="G57" s="1093"/>
      <c r="H57" s="1093"/>
      <c r="I57" s="1093"/>
      <c r="J57" s="1093"/>
      <c r="K57" s="1093"/>
      <c r="L57" s="1093"/>
      <c r="M57" s="1093"/>
      <c r="N57" s="1401"/>
      <c r="O57" s="1157"/>
    </row>
    <row r="58">
      <c r="A58" s="1391"/>
      <c r="B58" s="1392"/>
      <c r="C58" s="1462"/>
      <c r="D58" s="154"/>
      <c r="E58" s="1420"/>
      <c r="F58" s="1093"/>
      <c r="G58" s="1093"/>
      <c r="H58" s="1093"/>
      <c r="I58" s="1093"/>
      <c r="J58" s="1093"/>
      <c r="K58" s="1093"/>
      <c r="L58" s="1093"/>
      <c r="M58" s="1093"/>
      <c r="N58" s="1401"/>
      <c r="O58" s="1157"/>
    </row>
    <row r="59">
      <c r="A59" s="1454"/>
      <c r="B59" s="1232"/>
      <c r="C59" s="1462"/>
      <c r="D59" s="154"/>
      <c r="E59" s="1420"/>
      <c r="F59" s="1093"/>
      <c r="G59" s="1093"/>
      <c r="H59" s="1093"/>
      <c r="I59" s="1093"/>
      <c r="J59" s="1093"/>
      <c r="K59" s="1093"/>
      <c r="L59" s="1093"/>
      <c r="M59" s="1093"/>
      <c r="N59" s="1401"/>
      <c r="O59" s="1157"/>
    </row>
    <row r="60">
      <c r="A60" s="1391"/>
      <c r="B60" s="1392"/>
      <c r="C60" s="1458"/>
      <c r="D60" s="1093"/>
      <c r="E60" s="1420"/>
      <c r="F60" s="1093"/>
      <c r="G60" s="1093"/>
      <c r="H60" s="1093"/>
      <c r="I60" s="1093"/>
      <c r="J60" s="1093"/>
      <c r="K60" s="1093"/>
      <c r="L60" s="1093"/>
      <c r="M60" s="1093"/>
      <c r="N60" s="1401"/>
      <c r="O60" s="1157"/>
    </row>
    <row r="61">
      <c r="A61" s="1382"/>
      <c r="B61" s="1158"/>
      <c r="C61" s="1459"/>
      <c r="D61" s="1093"/>
      <c r="E61" s="1420"/>
      <c r="F61" s="1093"/>
      <c r="G61" s="1093"/>
      <c r="H61" s="1093"/>
      <c r="I61" s="1093"/>
      <c r="J61" s="1093"/>
      <c r="K61" s="1093"/>
      <c r="L61" s="1093"/>
      <c r="M61" s="1093"/>
      <c r="N61" s="1401"/>
      <c r="O61" s="1157"/>
    </row>
    <row r="62">
      <c r="A62" s="1463"/>
      <c r="B62" s="1464"/>
      <c r="C62" s="1465"/>
      <c r="D62" s="1466"/>
      <c r="E62" s="1467"/>
      <c r="F62" s="1468"/>
      <c r="G62" s="1469"/>
      <c r="H62" s="1470"/>
      <c r="I62" s="1471"/>
      <c r="J62" s="1472"/>
      <c r="K62" s="1473"/>
      <c r="L62" s="1468"/>
      <c r="M62" s="1386"/>
      <c r="N62" s="1474"/>
      <c r="O62" s="1475"/>
    </row>
    <row r="63">
      <c r="A63" s="1476"/>
      <c r="B63" s="1477"/>
      <c r="C63" s="1478"/>
      <c r="D63" s="1466"/>
      <c r="E63" s="1479"/>
      <c r="F63" s="1480"/>
      <c r="G63" s="1480"/>
      <c r="H63" s="1480"/>
      <c r="I63" s="1480"/>
      <c r="J63" s="1480"/>
      <c r="K63" s="1480"/>
      <c r="L63" s="1480"/>
      <c r="M63" s="154"/>
      <c r="N63" s="1481"/>
      <c r="O63" s="1482"/>
    </row>
    <row r="64">
      <c r="A64" s="1463"/>
      <c r="B64" s="1464"/>
      <c r="C64" s="1465"/>
      <c r="D64" s="1466"/>
      <c r="E64" s="1467"/>
      <c r="F64" s="1468"/>
      <c r="G64" s="1469"/>
      <c r="H64" s="1470"/>
      <c r="I64" s="1471"/>
      <c r="J64" s="1472"/>
      <c r="K64" s="1473"/>
      <c r="L64" s="1468"/>
      <c r="M64" s="1386"/>
      <c r="N64" s="1474"/>
      <c r="O64" s="1475"/>
    </row>
    <row r="65">
      <c r="A65" s="1476"/>
      <c r="B65" s="1477"/>
      <c r="C65" s="1478"/>
      <c r="D65" s="1466"/>
      <c r="E65" s="1479"/>
      <c r="F65" s="1480"/>
      <c r="G65" s="1480"/>
      <c r="H65" s="1480"/>
      <c r="I65" s="1480"/>
      <c r="J65" s="1480"/>
      <c r="K65" s="1480"/>
      <c r="L65" s="1480"/>
      <c r="M65" s="154"/>
      <c r="N65" s="1481"/>
      <c r="O65" s="1482"/>
    </row>
    <row r="66">
      <c r="A66" s="1463"/>
      <c r="B66" s="1464"/>
      <c r="C66" s="1465"/>
      <c r="D66" s="1466"/>
      <c r="E66" s="1467"/>
      <c r="F66" s="1468"/>
      <c r="G66" s="1469"/>
      <c r="H66" s="1470"/>
      <c r="I66" s="1471"/>
      <c r="J66" s="1472"/>
      <c r="K66" s="1473"/>
      <c r="L66" s="1468"/>
      <c r="M66" s="1386"/>
      <c r="N66" s="1474"/>
      <c r="O66" s="1475"/>
    </row>
    <row r="67">
      <c r="A67" s="1476"/>
      <c r="B67" s="1477"/>
      <c r="C67" s="1478"/>
      <c r="D67" s="1466"/>
      <c r="E67" s="1479"/>
      <c r="F67" s="1480"/>
      <c r="G67" s="1480"/>
      <c r="H67" s="1480"/>
      <c r="I67" s="1480"/>
      <c r="J67" s="1480"/>
      <c r="K67" s="1480"/>
      <c r="L67" s="1480"/>
      <c r="M67" s="154"/>
      <c r="N67" s="1481"/>
      <c r="O67" s="1482"/>
    </row>
    <row r="68">
      <c r="A68" s="1463"/>
      <c r="B68" s="1464"/>
      <c r="C68" s="1465"/>
      <c r="D68" s="1466"/>
      <c r="E68" s="1467"/>
      <c r="F68" s="1468"/>
      <c r="G68" s="1469"/>
      <c r="H68" s="1470"/>
      <c r="I68" s="1471"/>
      <c r="J68" s="1472"/>
      <c r="K68" s="1473"/>
      <c r="L68" s="1468"/>
      <c r="M68" s="1386"/>
      <c r="N68" s="1474"/>
      <c r="O68" s="1475"/>
    </row>
    <row r="69">
      <c r="A69" s="1476"/>
      <c r="B69" s="1477"/>
      <c r="C69" s="1478"/>
      <c r="D69" s="1466"/>
      <c r="E69" s="1479"/>
      <c r="F69" s="1480"/>
      <c r="G69" s="1480"/>
      <c r="H69" s="1480"/>
      <c r="I69" s="1480"/>
      <c r="J69" s="1480"/>
      <c r="K69" s="1480"/>
      <c r="L69" s="1480"/>
      <c r="M69" s="154"/>
      <c r="N69" s="1481"/>
      <c r="O69" s="1482"/>
    </row>
    <row r="70">
      <c r="A70" s="1463"/>
      <c r="B70" s="1464"/>
      <c r="C70" s="1465"/>
      <c r="D70" s="1466"/>
      <c r="E70" s="1467"/>
      <c r="F70" s="1468"/>
      <c r="G70" s="1469"/>
      <c r="H70" s="1470"/>
      <c r="I70" s="1471"/>
      <c r="J70" s="1472"/>
      <c r="K70" s="1473"/>
      <c r="L70" s="1468"/>
      <c r="M70" s="1386"/>
      <c r="N70" s="1474"/>
      <c r="O70" s="1475"/>
    </row>
    <row r="71">
      <c r="A71" s="1476"/>
      <c r="B71" s="1477"/>
      <c r="C71" s="1478"/>
      <c r="D71" s="1466"/>
      <c r="E71" s="1479"/>
      <c r="F71" s="1480"/>
      <c r="G71" s="1480"/>
      <c r="H71" s="1480"/>
      <c r="I71" s="1480"/>
      <c r="J71" s="1480"/>
      <c r="K71" s="1480"/>
      <c r="L71" s="1480"/>
      <c r="M71" s="154"/>
      <c r="N71" s="1481"/>
      <c r="O71" s="1482"/>
    </row>
    <row r="72">
      <c r="A72" s="1463"/>
      <c r="B72" s="1464"/>
      <c r="C72" s="1465"/>
      <c r="D72" s="1466"/>
      <c r="E72" s="1467"/>
      <c r="F72" s="1468"/>
      <c r="G72" s="1469"/>
      <c r="H72" s="1470"/>
      <c r="I72" s="1471"/>
      <c r="J72" s="1472"/>
      <c r="K72" s="1473"/>
      <c r="L72" s="1468"/>
      <c r="M72" s="1386"/>
      <c r="N72" s="1474"/>
      <c r="O72" s="1475"/>
    </row>
    <row r="73">
      <c r="A73" s="1476"/>
      <c r="B73" s="1477"/>
      <c r="C73" s="1478"/>
      <c r="D73" s="1466"/>
      <c r="E73" s="1479"/>
      <c r="F73" s="1480"/>
      <c r="G73" s="1480"/>
      <c r="H73" s="1480"/>
      <c r="I73" s="1480"/>
      <c r="J73" s="1480"/>
      <c r="K73" s="1480"/>
      <c r="L73" s="1480"/>
      <c r="M73" s="154"/>
      <c r="N73" s="1481"/>
      <c r="O73" s="1482"/>
    </row>
    <row r="74">
      <c r="A74" s="1463"/>
      <c r="B74" s="1464"/>
      <c r="C74" s="1465"/>
      <c r="D74" s="1466"/>
      <c r="E74" s="1467"/>
      <c r="F74" s="1468"/>
      <c r="G74" s="1469"/>
      <c r="H74" s="1470"/>
      <c r="I74" s="1471"/>
      <c r="J74" s="1472"/>
      <c r="K74" s="1473"/>
      <c r="L74" s="1468"/>
      <c r="M74" s="1386"/>
      <c r="N74" s="1474"/>
      <c r="O74" s="1475"/>
    </row>
    <row r="75">
      <c r="A75" s="1476"/>
      <c r="B75" s="1477"/>
      <c r="C75" s="1478"/>
      <c r="D75" s="1466"/>
      <c r="E75" s="1479"/>
      <c r="F75" s="1480"/>
      <c r="G75" s="1480"/>
      <c r="H75" s="1480"/>
      <c r="I75" s="1480"/>
      <c r="J75" s="1480"/>
      <c r="K75" s="1480"/>
      <c r="L75" s="1480"/>
      <c r="M75" s="154"/>
      <c r="N75" s="1481"/>
      <c r="O75" s="1482"/>
    </row>
    <row r="76">
      <c r="A76" s="1463"/>
      <c r="B76" s="1464"/>
      <c r="C76" s="1465"/>
      <c r="D76" s="1466"/>
      <c r="E76" s="1467"/>
      <c r="F76" s="1468"/>
      <c r="G76" s="1469"/>
      <c r="H76" s="1470"/>
      <c r="I76" s="1471"/>
      <c r="J76" s="1472"/>
      <c r="K76" s="1473"/>
      <c r="L76" s="1468"/>
      <c r="M76" s="1386"/>
      <c r="N76" s="1474"/>
      <c r="O76" s="1475"/>
    </row>
    <row r="77">
      <c r="A77" s="1476"/>
      <c r="B77" s="1477"/>
      <c r="C77" s="1478"/>
      <c r="D77" s="1466"/>
      <c r="E77" s="1479"/>
      <c r="F77" s="1480"/>
      <c r="G77" s="1480"/>
      <c r="H77" s="1480"/>
      <c r="I77" s="1480"/>
      <c r="J77" s="1480"/>
      <c r="K77" s="1480"/>
      <c r="L77" s="1480"/>
      <c r="M77" s="154"/>
      <c r="N77" s="1481"/>
      <c r="O77" s="1482"/>
    </row>
    <row r="78">
      <c r="A78" s="1463"/>
      <c r="B78" s="1464"/>
      <c r="C78" s="1465"/>
      <c r="D78" s="1466"/>
      <c r="E78" s="1467"/>
      <c r="F78" s="1468"/>
      <c r="G78" s="1469"/>
      <c r="H78" s="1470"/>
      <c r="I78" s="1471"/>
      <c r="J78" s="1472"/>
      <c r="K78" s="1473"/>
      <c r="L78" s="1468"/>
      <c r="M78" s="1386"/>
      <c r="N78" s="1474"/>
      <c r="O78" s="1475"/>
    </row>
    <row r="79">
      <c r="A79" s="1476"/>
      <c r="B79" s="1477"/>
      <c r="C79" s="1478"/>
      <c r="D79" s="1466"/>
      <c r="E79" s="1479"/>
      <c r="F79" s="1480"/>
      <c r="G79" s="1480"/>
      <c r="H79" s="1480"/>
      <c r="I79" s="1480"/>
      <c r="J79" s="1480"/>
      <c r="K79" s="1480"/>
      <c r="L79" s="1480"/>
      <c r="M79" s="154"/>
      <c r="N79" s="1481"/>
      <c r="O79" s="1482"/>
    </row>
    <row r="80">
      <c r="A80" s="1463"/>
      <c r="B80" s="1464"/>
      <c r="C80" s="1465"/>
      <c r="D80" s="1466"/>
      <c r="E80" s="1467"/>
      <c r="F80" s="1468"/>
      <c r="G80" s="1469"/>
      <c r="H80" s="1470"/>
      <c r="I80" s="1471"/>
      <c r="J80" s="1472"/>
      <c r="K80" s="1473"/>
      <c r="L80" s="1468"/>
      <c r="M80" s="1386"/>
      <c r="N80" s="1474"/>
      <c r="O80" s="1475"/>
    </row>
    <row r="81">
      <c r="A81" s="1476"/>
      <c r="B81" s="1477"/>
      <c r="C81" s="1478"/>
      <c r="D81" s="1466"/>
      <c r="E81" s="1479"/>
      <c r="F81" s="1480"/>
      <c r="G81" s="1480"/>
      <c r="H81" s="1480"/>
      <c r="I81" s="1480"/>
      <c r="J81" s="1480"/>
      <c r="K81" s="1480"/>
      <c r="L81" s="1480"/>
      <c r="M81" s="154"/>
      <c r="N81" s="1481"/>
      <c r="O81" s="1482"/>
    </row>
    <row r="82">
      <c r="A82" s="1463"/>
      <c r="B82" s="1464"/>
      <c r="C82" s="1465"/>
      <c r="D82" s="1466"/>
      <c r="E82" s="1467"/>
      <c r="F82" s="1468"/>
      <c r="G82" s="1469"/>
      <c r="H82" s="1470"/>
      <c r="I82" s="1471"/>
      <c r="J82" s="1472"/>
      <c r="K82" s="1473"/>
      <c r="L82" s="1468"/>
      <c r="M82" s="1386"/>
      <c r="N82" s="1474"/>
      <c r="O82" s="1475"/>
    </row>
    <row r="83">
      <c r="A83" s="1476"/>
      <c r="B83" s="1477"/>
      <c r="C83" s="1478"/>
      <c r="D83" s="1466"/>
      <c r="E83" s="1479"/>
      <c r="F83" s="1480"/>
      <c r="G83" s="1480"/>
      <c r="H83" s="1480"/>
      <c r="I83" s="1480"/>
      <c r="J83" s="1480"/>
      <c r="K83" s="1480"/>
      <c r="L83" s="1480"/>
      <c r="M83" s="154"/>
      <c r="N83" s="1481"/>
      <c r="O83" s="1482"/>
    </row>
    <row r="84">
      <c r="A84" s="1463"/>
      <c r="B84" s="1464"/>
      <c r="C84" s="1465"/>
      <c r="D84" s="1466"/>
      <c r="E84" s="1467"/>
      <c r="F84" s="1468"/>
      <c r="G84" s="1469"/>
      <c r="H84" s="1470"/>
      <c r="I84" s="1471"/>
      <c r="J84" s="1472"/>
      <c r="K84" s="1473"/>
      <c r="L84" s="1468"/>
      <c r="M84" s="1386"/>
      <c r="N84" s="1474"/>
      <c r="O84" s="1475"/>
    </row>
    <row r="85">
      <c r="A85" s="1476"/>
      <c r="B85" s="1477"/>
      <c r="C85" s="1478"/>
      <c r="D85" s="1466"/>
      <c r="E85" s="1479"/>
      <c r="F85" s="1480"/>
      <c r="G85" s="1480"/>
      <c r="H85" s="1480"/>
      <c r="I85" s="1480"/>
      <c r="J85" s="1480"/>
      <c r="K85" s="1480"/>
      <c r="L85" s="1480"/>
      <c r="M85" s="154"/>
      <c r="N85" s="1481"/>
      <c r="O85" s="1482"/>
    </row>
    <row r="86">
      <c r="A86" s="1463"/>
      <c r="B86" s="1464"/>
      <c r="C86" s="1465"/>
      <c r="D86" s="1466"/>
      <c r="E86" s="1467"/>
      <c r="F86" s="1468"/>
      <c r="G86" s="1469"/>
      <c r="H86" s="1470"/>
      <c r="I86" s="1471"/>
      <c r="J86" s="1472"/>
      <c r="K86" s="1473"/>
      <c r="L86" s="1468"/>
      <c r="M86" s="1386"/>
      <c r="N86" s="1474"/>
      <c r="O86" s="1475"/>
    </row>
    <row r="87">
      <c r="A87" s="1476"/>
      <c r="B87" s="1477"/>
      <c r="C87" s="1478"/>
      <c r="D87" s="1466"/>
      <c r="E87" s="1479"/>
      <c r="F87" s="1480"/>
      <c r="G87" s="1480"/>
      <c r="H87" s="1480"/>
      <c r="I87" s="1480"/>
      <c r="J87" s="1480"/>
      <c r="K87" s="1480"/>
      <c r="L87" s="1480"/>
      <c r="M87" s="154"/>
      <c r="N87" s="1481"/>
      <c r="O87" s="1482"/>
    </row>
    <row r="88">
      <c r="A88" s="1463"/>
      <c r="B88" s="1464"/>
      <c r="C88" s="1465"/>
      <c r="D88" s="1466"/>
      <c r="E88" s="1467"/>
      <c r="F88" s="1468"/>
      <c r="G88" s="1469"/>
      <c r="H88" s="1470"/>
      <c r="I88" s="1471"/>
      <c r="J88" s="1472"/>
      <c r="K88" s="1473"/>
      <c r="L88" s="1468"/>
      <c r="M88" s="1386"/>
      <c r="N88" s="1474"/>
      <c r="O88" s="1475"/>
    </row>
    <row r="89">
      <c r="A89" s="1476"/>
      <c r="B89" s="1477"/>
      <c r="C89" s="1478"/>
      <c r="D89" s="1466"/>
      <c r="E89" s="1479"/>
      <c r="F89" s="1480"/>
      <c r="G89" s="1480"/>
      <c r="H89" s="1480"/>
      <c r="I89" s="1480"/>
      <c r="J89" s="1480"/>
      <c r="K89" s="1480"/>
      <c r="L89" s="1480"/>
      <c r="M89" s="154"/>
      <c r="N89" s="1481"/>
      <c r="O89" s="1482"/>
    </row>
    <row r="90">
      <c r="A90" s="1463"/>
      <c r="B90" s="1464"/>
      <c r="C90" s="1465"/>
      <c r="D90" s="1471"/>
      <c r="E90" s="1467"/>
      <c r="F90" s="1468"/>
      <c r="G90" s="1469"/>
      <c r="H90" s="1470"/>
      <c r="I90" s="1471"/>
      <c r="J90" s="1472"/>
      <c r="K90" s="1473"/>
      <c r="L90" s="1468"/>
      <c r="M90" s="1386"/>
      <c r="N90" s="1474"/>
      <c r="O90" s="1475"/>
    </row>
    <row r="91">
      <c r="A91" s="1476"/>
      <c r="B91" s="1477"/>
      <c r="C91" s="1478"/>
      <c r="D91" s="1480"/>
      <c r="E91" s="1479"/>
      <c r="F91" s="1480"/>
      <c r="G91" s="1480"/>
      <c r="H91" s="1480"/>
      <c r="I91" s="1480"/>
      <c r="J91" s="1480"/>
      <c r="K91" s="1480"/>
      <c r="L91" s="1480"/>
      <c r="M91" s="154"/>
      <c r="N91" s="1481"/>
      <c r="O91" s="1482"/>
    </row>
    <row r="92">
      <c r="A92" s="1463"/>
      <c r="B92" s="1464"/>
      <c r="C92" s="1465"/>
      <c r="D92" s="1471"/>
      <c r="E92" s="1467"/>
      <c r="F92" s="1468"/>
      <c r="G92" s="1469"/>
      <c r="H92" s="1470"/>
      <c r="I92" s="1471"/>
      <c r="J92" s="1472"/>
      <c r="K92" s="1473"/>
      <c r="L92" s="1468"/>
      <c r="M92" s="1386"/>
      <c r="N92" s="1474"/>
      <c r="O92" s="1475"/>
    </row>
    <row r="93">
      <c r="A93" s="1476"/>
      <c r="B93" s="1477"/>
      <c r="C93" s="1478"/>
      <c r="D93" s="1480"/>
      <c r="E93" s="1479"/>
      <c r="F93" s="1480"/>
      <c r="G93" s="1480"/>
      <c r="H93" s="1480"/>
      <c r="I93" s="1480"/>
      <c r="J93" s="1480"/>
      <c r="K93" s="1480"/>
      <c r="L93" s="1480"/>
      <c r="M93" s="154"/>
      <c r="N93" s="1481"/>
      <c r="O93" s="1482"/>
    </row>
    <row r="94">
      <c r="A94" s="1463"/>
      <c r="B94" s="1464"/>
      <c r="C94" s="1465"/>
      <c r="D94" s="1471"/>
      <c r="E94" s="1467"/>
      <c r="F94" s="1468"/>
      <c r="G94" s="1469"/>
      <c r="H94" s="1470"/>
      <c r="I94" s="1471"/>
      <c r="J94" s="1472"/>
      <c r="K94" s="1473"/>
      <c r="L94" s="1468"/>
      <c r="M94" s="1386"/>
      <c r="N94" s="1474"/>
      <c r="O94" s="1475"/>
    </row>
    <row r="95">
      <c r="A95" s="1476"/>
      <c r="B95" s="1477"/>
      <c r="C95" s="1478"/>
      <c r="D95" s="1480"/>
      <c r="E95" s="1479"/>
      <c r="F95" s="1480"/>
      <c r="G95" s="1480"/>
      <c r="H95" s="1480"/>
      <c r="I95" s="1480"/>
      <c r="J95" s="1480"/>
      <c r="K95" s="1480"/>
      <c r="L95" s="1480"/>
      <c r="M95" s="154"/>
      <c r="N95" s="1481"/>
      <c r="O95" s="1482"/>
    </row>
    <row r="96">
      <c r="A96" s="1463"/>
      <c r="B96" s="1464"/>
      <c r="C96" s="1465"/>
      <c r="D96" s="1471"/>
      <c r="E96" s="1467"/>
      <c r="F96" s="1468"/>
      <c r="G96" s="1469"/>
      <c r="H96" s="1470"/>
      <c r="I96" s="1471"/>
      <c r="J96" s="1472"/>
      <c r="K96" s="1473"/>
      <c r="L96" s="1468"/>
      <c r="M96" s="1386"/>
      <c r="N96" s="1474"/>
      <c r="O96" s="1475"/>
    </row>
    <row r="97">
      <c r="A97" s="1476"/>
      <c r="B97" s="1477"/>
      <c r="C97" s="1478"/>
      <c r="D97" s="1480"/>
      <c r="E97" s="1479"/>
      <c r="F97" s="1480"/>
      <c r="G97" s="1480"/>
      <c r="H97" s="1480"/>
      <c r="I97" s="1480"/>
      <c r="J97" s="1480"/>
      <c r="K97" s="1480"/>
      <c r="L97" s="1480"/>
      <c r="M97" s="154"/>
      <c r="N97" s="1481"/>
      <c r="O97" s="1482"/>
    </row>
    <row r="98">
      <c r="A98" s="1463"/>
      <c r="B98" s="1464"/>
      <c r="C98" s="1465"/>
      <c r="D98" s="1471"/>
      <c r="E98" s="1467"/>
      <c r="F98" s="1468"/>
      <c r="G98" s="1469"/>
      <c r="H98" s="1470"/>
      <c r="I98" s="1471"/>
      <c r="J98" s="1472"/>
      <c r="K98" s="1473"/>
      <c r="L98" s="1468"/>
      <c r="M98" s="1386"/>
      <c r="N98" s="1474"/>
      <c r="O98" s="1475"/>
    </row>
    <row r="99">
      <c r="A99" s="1476"/>
      <c r="B99" s="1477"/>
      <c r="C99" s="1478"/>
      <c r="D99" s="1480"/>
      <c r="E99" s="1479"/>
      <c r="F99" s="1480"/>
      <c r="G99" s="1480"/>
      <c r="H99" s="1480"/>
      <c r="I99" s="1480"/>
      <c r="J99" s="1480"/>
      <c r="K99" s="1480"/>
      <c r="L99" s="1480"/>
      <c r="M99" s="154"/>
      <c r="N99" s="1481"/>
      <c r="O99" s="1482"/>
    </row>
    <row r="100">
      <c r="A100" s="1463"/>
      <c r="B100" s="1464"/>
      <c r="C100" s="1465"/>
      <c r="D100" s="1471"/>
      <c r="E100" s="1467"/>
      <c r="F100" s="1468"/>
      <c r="G100" s="1469"/>
      <c r="H100" s="1470"/>
      <c r="I100" s="1471"/>
      <c r="J100" s="1472"/>
      <c r="K100" s="1473"/>
      <c r="L100" s="1468"/>
      <c r="M100" s="1386"/>
      <c r="N100" s="1474"/>
      <c r="O100" s="1475"/>
    </row>
    <row r="101">
      <c r="A101" s="1476"/>
      <c r="B101" s="1477"/>
      <c r="C101" s="1478"/>
      <c r="D101" s="1480"/>
      <c r="E101" s="1479"/>
      <c r="F101" s="1480"/>
      <c r="G101" s="1480"/>
      <c r="H101" s="1480"/>
      <c r="I101" s="1480"/>
      <c r="J101" s="1480"/>
      <c r="K101" s="1480"/>
      <c r="L101" s="1480"/>
      <c r="M101" s="154"/>
      <c r="N101" s="1481"/>
      <c r="O101" s="1482"/>
    </row>
    <row r="102">
      <c r="A102" s="1463"/>
      <c r="B102" s="1464"/>
      <c r="C102" s="1465"/>
      <c r="D102" s="1471"/>
      <c r="E102" s="1467"/>
      <c r="F102" s="1468"/>
      <c r="G102" s="1469"/>
      <c r="H102" s="1470"/>
      <c r="I102" s="1471"/>
      <c r="J102" s="1472"/>
      <c r="K102" s="1473"/>
      <c r="L102" s="1468"/>
      <c r="M102" s="1386"/>
      <c r="N102" s="1474"/>
      <c r="O102" s="1475"/>
    </row>
    <row r="103">
      <c r="A103" s="1476"/>
      <c r="B103" s="1477"/>
      <c r="C103" s="1478"/>
      <c r="D103" s="1480"/>
      <c r="E103" s="1479"/>
      <c r="F103" s="1480"/>
      <c r="G103" s="1480"/>
      <c r="H103" s="1480"/>
      <c r="I103" s="1480"/>
      <c r="J103" s="1480"/>
      <c r="K103" s="1480"/>
      <c r="L103" s="1480"/>
      <c r="M103" s="154"/>
      <c r="N103" s="1481"/>
      <c r="O103" s="1482"/>
    </row>
    <row r="104">
      <c r="A104" s="1463"/>
      <c r="B104" s="1464"/>
      <c r="C104" s="1465"/>
      <c r="D104" s="1471"/>
      <c r="E104" s="1467"/>
      <c r="F104" s="1468"/>
      <c r="G104" s="1469"/>
      <c r="H104" s="1470"/>
      <c r="I104" s="1471"/>
      <c r="J104" s="1472"/>
      <c r="K104" s="1473"/>
      <c r="L104" s="1468"/>
      <c r="M104" s="1386"/>
      <c r="N104" s="1474"/>
      <c r="O104" s="1475"/>
    </row>
    <row r="105">
      <c r="A105" s="1476"/>
      <c r="B105" s="1477"/>
      <c r="C105" s="1478"/>
      <c r="D105" s="1480"/>
      <c r="E105" s="1479"/>
      <c r="F105" s="1480"/>
      <c r="G105" s="1480"/>
      <c r="H105" s="1480"/>
      <c r="I105" s="1480"/>
      <c r="J105" s="1480"/>
      <c r="K105" s="1480"/>
      <c r="L105" s="1480"/>
      <c r="M105" s="154"/>
      <c r="N105" s="1481"/>
      <c r="O105" s="1482"/>
    </row>
    <row r="106">
      <c r="A106" s="1463"/>
      <c r="B106" s="1464"/>
      <c r="C106" s="1465"/>
      <c r="D106" s="1471"/>
      <c r="E106" s="1467"/>
      <c r="F106" s="1468"/>
      <c r="G106" s="1469"/>
      <c r="H106" s="1470"/>
      <c r="I106" s="1471"/>
      <c r="J106" s="1472"/>
      <c r="K106" s="1473"/>
      <c r="L106" s="1468"/>
      <c r="M106" s="1386"/>
      <c r="N106" s="1474"/>
      <c r="O106" s="1475"/>
    </row>
    <row r="107">
      <c r="A107" s="1476"/>
      <c r="B107" s="1477"/>
      <c r="C107" s="1478"/>
      <c r="D107" s="1480"/>
      <c r="E107" s="1479"/>
      <c r="F107" s="1480"/>
      <c r="G107" s="1480"/>
      <c r="H107" s="1480"/>
      <c r="I107" s="1480"/>
      <c r="J107" s="1480"/>
      <c r="K107" s="1480"/>
      <c r="L107" s="1480"/>
      <c r="M107" s="154"/>
      <c r="N107" s="1481"/>
      <c r="O107" s="1482"/>
    </row>
    <row r="108">
      <c r="A108" s="1463"/>
      <c r="B108" s="1464"/>
      <c r="C108" s="1465"/>
      <c r="D108" s="1471"/>
      <c r="E108" s="1467"/>
      <c r="F108" s="1468"/>
      <c r="G108" s="1469"/>
      <c r="H108" s="1470"/>
      <c r="I108" s="1471"/>
      <c r="J108" s="1472"/>
      <c r="K108" s="1473"/>
      <c r="L108" s="1468"/>
      <c r="M108" s="1386"/>
      <c r="N108" s="1474"/>
      <c r="O108" s="1475"/>
    </row>
    <row r="109">
      <c r="A109" s="1476"/>
      <c r="B109" s="1477"/>
      <c r="C109" s="1478"/>
      <c r="D109" s="1480"/>
      <c r="E109" s="1479"/>
      <c r="F109" s="1480"/>
      <c r="G109" s="1480"/>
      <c r="H109" s="1480"/>
      <c r="I109" s="1480"/>
      <c r="J109" s="1480"/>
      <c r="K109" s="1480"/>
      <c r="L109" s="1480"/>
      <c r="M109" s="154"/>
      <c r="N109" s="1481"/>
      <c r="O109" s="1482"/>
    </row>
    <row r="110">
      <c r="A110" s="1463"/>
      <c r="B110" s="1464"/>
      <c r="C110" s="1465"/>
      <c r="D110" s="1471"/>
      <c r="E110" s="1467"/>
      <c r="F110" s="1468"/>
      <c r="G110" s="1469"/>
      <c r="H110" s="1470"/>
      <c r="I110" s="1471"/>
      <c r="J110" s="1472"/>
      <c r="K110" s="1473"/>
      <c r="L110" s="1468"/>
      <c r="M110" s="1386"/>
      <c r="N110" s="1474"/>
      <c r="O110" s="1475"/>
    </row>
    <row r="111">
      <c r="A111" s="1476"/>
      <c r="B111" s="1477"/>
      <c r="C111" s="1478"/>
      <c r="D111" s="1480"/>
      <c r="E111" s="1479"/>
      <c r="F111" s="1480"/>
      <c r="G111" s="1480"/>
      <c r="H111" s="1480"/>
      <c r="I111" s="1480"/>
      <c r="J111" s="1480"/>
      <c r="K111" s="1480"/>
      <c r="L111" s="1480"/>
      <c r="M111" s="154"/>
      <c r="N111" s="1481"/>
      <c r="O111" s="1482"/>
    </row>
    <row r="112">
      <c r="A112" s="1463"/>
      <c r="B112" s="1464"/>
      <c r="C112" s="1465"/>
      <c r="D112" s="1471"/>
      <c r="E112" s="1467"/>
      <c r="F112" s="1468"/>
      <c r="G112" s="1469"/>
      <c r="H112" s="1470"/>
      <c r="I112" s="1471"/>
      <c r="J112" s="1472"/>
      <c r="K112" s="1473"/>
      <c r="L112" s="1468"/>
      <c r="M112" s="1386"/>
      <c r="N112" s="1474"/>
      <c r="O112" s="1475"/>
    </row>
    <row r="113">
      <c r="A113" s="1476"/>
      <c r="B113" s="1477"/>
      <c r="C113" s="1478"/>
      <c r="D113" s="1480"/>
      <c r="E113" s="1479"/>
      <c r="F113" s="1480"/>
      <c r="G113" s="1480"/>
      <c r="H113" s="1480"/>
      <c r="I113" s="1480"/>
      <c r="J113" s="1480"/>
      <c r="K113" s="1480"/>
      <c r="L113" s="1480"/>
      <c r="M113" s="154"/>
      <c r="N113" s="1481"/>
      <c r="O113" s="1482"/>
    </row>
    <row r="114">
      <c r="A114" s="1463"/>
      <c r="B114" s="1464"/>
      <c r="C114" s="1465"/>
      <c r="D114" s="1471"/>
      <c r="E114" s="1467"/>
      <c r="F114" s="1468"/>
      <c r="G114" s="1469"/>
      <c r="H114" s="1470"/>
      <c r="I114" s="1471"/>
      <c r="J114" s="1472"/>
      <c r="K114" s="1473"/>
      <c r="L114" s="1468"/>
      <c r="M114" s="1386"/>
      <c r="N114" s="1474"/>
      <c r="O114" s="1475"/>
    </row>
    <row r="115">
      <c r="A115" s="1476"/>
      <c r="B115" s="1477"/>
      <c r="C115" s="1478"/>
      <c r="D115" s="1480"/>
      <c r="E115" s="1479"/>
      <c r="F115" s="1480"/>
      <c r="G115" s="1480"/>
      <c r="H115" s="1480"/>
      <c r="I115" s="1480"/>
      <c r="J115" s="1480"/>
      <c r="K115" s="1480"/>
      <c r="L115" s="1480"/>
      <c r="M115" s="154"/>
      <c r="N115" s="1481"/>
      <c r="O115" s="1482"/>
    </row>
    <row r="116">
      <c r="A116" s="1463"/>
      <c r="B116" s="1464"/>
      <c r="C116" s="1465"/>
      <c r="D116" s="1471"/>
      <c r="E116" s="1467"/>
      <c r="F116" s="1468"/>
      <c r="G116" s="1469"/>
      <c r="H116" s="1470"/>
      <c r="I116" s="1471"/>
      <c r="J116" s="1472"/>
      <c r="K116" s="1473"/>
      <c r="L116" s="1468"/>
      <c r="M116" s="1386"/>
      <c r="N116" s="1474"/>
      <c r="O116" s="1475"/>
    </row>
    <row r="117">
      <c r="A117" s="1476"/>
      <c r="B117" s="1477"/>
      <c r="C117" s="1478"/>
      <c r="D117" s="1480"/>
      <c r="E117" s="1479"/>
      <c r="F117" s="1480"/>
      <c r="G117" s="1480"/>
      <c r="H117" s="1480"/>
      <c r="I117" s="1480"/>
      <c r="J117" s="1480"/>
      <c r="K117" s="1480"/>
      <c r="L117" s="1480"/>
      <c r="M117" s="154"/>
      <c r="N117" s="1481"/>
      <c r="O117" s="1482"/>
    </row>
    <row r="118">
      <c r="A118" s="1463"/>
      <c r="B118" s="1464"/>
      <c r="C118" s="1465"/>
      <c r="D118" s="1471"/>
      <c r="E118" s="1467"/>
      <c r="F118" s="1468"/>
      <c r="G118" s="1469"/>
      <c r="H118" s="1470"/>
      <c r="I118" s="1471"/>
      <c r="J118" s="1472"/>
      <c r="K118" s="1473"/>
      <c r="L118" s="1468"/>
      <c r="M118" s="1386"/>
      <c r="N118" s="1474"/>
      <c r="O118" s="1475"/>
    </row>
    <row r="119">
      <c r="A119" s="1476"/>
      <c r="B119" s="1477"/>
      <c r="C119" s="1478"/>
      <c r="D119" s="1480"/>
      <c r="E119" s="1479"/>
      <c r="F119" s="1480"/>
      <c r="G119" s="1480"/>
      <c r="H119" s="1480"/>
      <c r="I119" s="1480"/>
      <c r="J119" s="1480"/>
      <c r="K119" s="1480"/>
      <c r="L119" s="1480"/>
      <c r="M119" s="154"/>
      <c r="N119" s="1481"/>
      <c r="O119" s="1482"/>
    </row>
    <row r="120">
      <c r="A120" s="1463"/>
      <c r="B120" s="1464"/>
      <c r="C120" s="1465"/>
      <c r="D120" s="1471"/>
      <c r="E120" s="1467"/>
      <c r="F120" s="1468"/>
      <c r="G120" s="1469"/>
      <c r="H120" s="1470"/>
      <c r="I120" s="1471"/>
      <c r="J120" s="1472"/>
      <c r="K120" s="1473"/>
      <c r="L120" s="1468"/>
      <c r="M120" s="1386"/>
      <c r="N120" s="1474"/>
      <c r="O120" s="1475"/>
    </row>
    <row r="121">
      <c r="A121" s="1476"/>
      <c r="B121" s="1477"/>
      <c r="C121" s="1478"/>
      <c r="D121" s="1480"/>
      <c r="E121" s="1479"/>
      <c r="F121" s="1480"/>
      <c r="G121" s="1480"/>
      <c r="H121" s="1480"/>
      <c r="I121" s="1480"/>
      <c r="J121" s="1480"/>
      <c r="K121" s="1480"/>
      <c r="L121" s="1480"/>
      <c r="M121" s="154"/>
      <c r="N121" s="1481"/>
      <c r="O121" s="1482"/>
    </row>
    <row r="122">
      <c r="A122" s="1463"/>
      <c r="B122" s="1464"/>
      <c r="C122" s="1465"/>
      <c r="D122" s="1471"/>
      <c r="E122" s="1467"/>
      <c r="F122" s="1468"/>
      <c r="G122" s="1469"/>
      <c r="H122" s="1470"/>
      <c r="I122" s="1471"/>
      <c r="J122" s="1472"/>
      <c r="K122" s="1473"/>
      <c r="L122" s="1468"/>
      <c r="M122" s="1386"/>
      <c r="N122" s="1474"/>
      <c r="O122" s="1475"/>
    </row>
    <row r="123">
      <c r="A123" s="1476"/>
      <c r="B123" s="1477"/>
      <c r="C123" s="1478"/>
      <c r="D123" s="1480"/>
      <c r="E123" s="1479"/>
      <c r="F123" s="1480"/>
      <c r="G123" s="1480"/>
      <c r="H123" s="1480"/>
      <c r="I123" s="1480"/>
      <c r="J123" s="1480"/>
      <c r="K123" s="1480"/>
      <c r="L123" s="1480"/>
      <c r="M123" s="154"/>
      <c r="N123" s="1481"/>
      <c r="O123" s="1482"/>
    </row>
    <row r="124">
      <c r="A124" s="1463"/>
      <c r="B124" s="1464"/>
      <c r="C124" s="1465"/>
      <c r="D124" s="1471"/>
      <c r="E124" s="1467"/>
      <c r="F124" s="1468"/>
      <c r="G124" s="1469"/>
      <c r="H124" s="1470"/>
      <c r="I124" s="1471"/>
      <c r="J124" s="1472"/>
      <c r="K124" s="1473"/>
      <c r="L124" s="1468"/>
      <c r="M124" s="1386"/>
      <c r="N124" s="1474"/>
      <c r="O124" s="1475"/>
    </row>
    <row r="125">
      <c r="A125" s="1476"/>
      <c r="B125" s="1477"/>
      <c r="C125" s="1478"/>
      <c r="D125" s="1480"/>
      <c r="E125" s="1479"/>
      <c r="F125" s="1480"/>
      <c r="G125" s="1480"/>
      <c r="H125" s="1480"/>
      <c r="I125" s="1480"/>
      <c r="J125" s="1480"/>
      <c r="K125" s="1480"/>
      <c r="L125" s="1480"/>
      <c r="M125" s="154"/>
      <c r="N125" s="1481"/>
      <c r="O125" s="1482"/>
    </row>
    <row r="126">
      <c r="A126" s="1463"/>
      <c r="B126" s="1464"/>
      <c r="C126" s="1465"/>
      <c r="D126" s="1471"/>
      <c r="E126" s="1467"/>
      <c r="F126" s="1468"/>
      <c r="G126" s="1469"/>
      <c r="H126" s="1470"/>
      <c r="I126" s="1471"/>
      <c r="J126" s="1472"/>
      <c r="K126" s="1473"/>
      <c r="L126" s="1468"/>
      <c r="M126" s="1386"/>
      <c r="N126" s="1474"/>
      <c r="O126" s="1475"/>
    </row>
    <row r="127">
      <c r="A127" s="1476"/>
      <c r="B127" s="1477"/>
      <c r="C127" s="1478"/>
      <c r="D127" s="1480"/>
      <c r="E127" s="1479"/>
      <c r="F127" s="1480"/>
      <c r="G127" s="1480"/>
      <c r="H127" s="1480"/>
      <c r="I127" s="1480"/>
      <c r="J127" s="1480"/>
      <c r="K127" s="1480"/>
      <c r="L127" s="1480"/>
      <c r="M127" s="154"/>
      <c r="N127" s="1481"/>
      <c r="O127" s="1482"/>
    </row>
    <row r="128">
      <c r="A128" s="1463"/>
      <c r="B128" s="1464"/>
      <c r="C128" s="1465"/>
      <c r="D128" s="1471"/>
      <c r="E128" s="1467"/>
      <c r="F128" s="1468"/>
      <c r="G128" s="1469"/>
      <c r="H128" s="1470"/>
      <c r="I128" s="1471"/>
      <c r="J128" s="1472"/>
      <c r="K128" s="1473"/>
      <c r="L128" s="1468"/>
      <c r="M128" s="1386"/>
      <c r="N128" s="1474"/>
      <c r="O128" s="1475"/>
    </row>
    <row r="129">
      <c r="A129" s="1476"/>
      <c r="B129" s="1477"/>
      <c r="C129" s="1478"/>
      <c r="D129" s="1480"/>
      <c r="E129" s="1479"/>
      <c r="F129" s="1480"/>
      <c r="G129" s="1480"/>
      <c r="H129" s="1480"/>
      <c r="I129" s="1480"/>
      <c r="J129" s="1480"/>
      <c r="K129" s="1480"/>
      <c r="L129" s="1480"/>
      <c r="M129" s="154"/>
      <c r="N129" s="1481"/>
      <c r="O129" s="1482"/>
    </row>
    <row r="130">
      <c r="A130" s="1463"/>
      <c r="B130" s="1464"/>
      <c r="C130" s="1465"/>
      <c r="D130" s="1471"/>
      <c r="E130" s="1467"/>
      <c r="F130" s="1468"/>
      <c r="G130" s="1469"/>
      <c r="H130" s="1470"/>
      <c r="I130" s="1471"/>
      <c r="J130" s="1472"/>
      <c r="K130" s="1473"/>
      <c r="L130" s="1468"/>
      <c r="M130" s="1386"/>
      <c r="N130" s="1474"/>
      <c r="O130" s="1475"/>
    </row>
    <row r="131">
      <c r="A131" s="1476"/>
      <c r="B131" s="1477"/>
      <c r="C131" s="1478"/>
      <c r="D131" s="1480"/>
      <c r="E131" s="1479"/>
      <c r="F131" s="1480"/>
      <c r="G131" s="1480"/>
      <c r="H131" s="1480"/>
      <c r="I131" s="1480"/>
      <c r="J131" s="1480"/>
      <c r="K131" s="1480"/>
      <c r="L131" s="1480"/>
      <c r="M131" s="154"/>
      <c r="N131" s="1481"/>
      <c r="O131" s="1482"/>
    </row>
    <row r="132">
      <c r="A132" s="1463"/>
      <c r="B132" s="1464"/>
      <c r="C132" s="1465"/>
      <c r="D132" s="1471"/>
      <c r="E132" s="1467"/>
      <c r="F132" s="1468"/>
      <c r="G132" s="1469"/>
      <c r="H132" s="1470"/>
      <c r="I132" s="1471"/>
      <c r="J132" s="1472"/>
      <c r="K132" s="1473"/>
      <c r="L132" s="1468"/>
      <c r="M132" s="1386"/>
      <c r="N132" s="1474"/>
      <c r="O132" s="1475"/>
    </row>
    <row r="133">
      <c r="A133" s="1476"/>
      <c r="B133" s="1477"/>
      <c r="C133" s="1478"/>
      <c r="D133" s="1480"/>
      <c r="E133" s="1479"/>
      <c r="F133" s="1480"/>
      <c r="G133" s="1480"/>
      <c r="H133" s="1480"/>
      <c r="I133" s="1480"/>
      <c r="J133" s="1480"/>
      <c r="K133" s="1480"/>
      <c r="L133" s="1480"/>
      <c r="M133" s="154"/>
      <c r="N133" s="1481"/>
      <c r="O133" s="1482"/>
    </row>
    <row r="134">
      <c r="A134" s="1463"/>
      <c r="B134" s="1464"/>
      <c r="C134" s="1465"/>
      <c r="D134" s="1471"/>
      <c r="E134" s="1467"/>
      <c r="F134" s="1468"/>
      <c r="G134" s="1469"/>
      <c r="H134" s="1470"/>
      <c r="I134" s="1471"/>
      <c r="J134" s="1472"/>
      <c r="K134" s="1473"/>
      <c r="L134" s="1468"/>
      <c r="M134" s="1386"/>
      <c r="N134" s="1474"/>
      <c r="O134" s="1475"/>
    </row>
    <row r="135">
      <c r="A135" s="1476"/>
      <c r="B135" s="1477"/>
      <c r="C135" s="1478"/>
      <c r="D135" s="1480"/>
      <c r="E135" s="1479"/>
      <c r="F135" s="1480"/>
      <c r="G135" s="1480"/>
      <c r="H135" s="1480"/>
      <c r="I135" s="1480"/>
      <c r="J135" s="1480"/>
      <c r="K135" s="1480"/>
      <c r="L135" s="1480"/>
      <c r="M135" s="154"/>
      <c r="N135" s="1481"/>
      <c r="O135" s="1482"/>
    </row>
    <row r="136">
      <c r="A136" s="1463"/>
      <c r="B136" s="1464"/>
      <c r="C136" s="1465"/>
      <c r="D136" s="1471"/>
      <c r="E136" s="1467"/>
      <c r="F136" s="1468"/>
      <c r="G136" s="1469"/>
      <c r="H136" s="1470"/>
      <c r="I136" s="1471"/>
      <c r="J136" s="1472"/>
      <c r="K136" s="1473"/>
      <c r="L136" s="1468"/>
      <c r="M136" s="1386"/>
      <c r="N136" s="1474"/>
      <c r="O136" s="1475"/>
    </row>
    <row r="137">
      <c r="A137" s="1476"/>
      <c r="B137" s="1477"/>
      <c r="C137" s="1478"/>
      <c r="D137" s="1480"/>
      <c r="E137" s="1479"/>
      <c r="F137" s="1480"/>
      <c r="G137" s="1480"/>
      <c r="H137" s="1480"/>
      <c r="I137" s="1480"/>
      <c r="J137" s="1480"/>
      <c r="K137" s="1480"/>
      <c r="L137" s="1480"/>
      <c r="M137" s="154"/>
      <c r="N137" s="1481"/>
      <c r="O137" s="1482"/>
    </row>
    <row r="138">
      <c r="A138" s="1463"/>
      <c r="B138" s="1464"/>
      <c r="C138" s="1465"/>
      <c r="D138" s="1471"/>
      <c r="E138" s="1467"/>
      <c r="F138" s="1468"/>
      <c r="G138" s="1469"/>
      <c r="H138" s="1470"/>
      <c r="I138" s="1471"/>
      <c r="J138" s="1472"/>
      <c r="K138" s="1473"/>
      <c r="L138" s="1468"/>
      <c r="M138" s="1386"/>
      <c r="N138" s="1474"/>
      <c r="O138" s="1475"/>
    </row>
    <row r="139">
      <c r="A139" s="1476"/>
      <c r="B139" s="1477"/>
      <c r="C139" s="1478"/>
      <c r="D139" s="1480"/>
      <c r="E139" s="1479"/>
      <c r="F139" s="1480"/>
      <c r="G139" s="1480"/>
      <c r="H139" s="1480"/>
      <c r="I139" s="1480"/>
      <c r="J139" s="1480"/>
      <c r="K139" s="1480"/>
      <c r="L139" s="1480"/>
      <c r="M139" s="154"/>
      <c r="N139" s="1481"/>
      <c r="O139" s="1482"/>
    </row>
    <row r="140">
      <c r="A140" s="1463"/>
      <c r="B140" s="1464"/>
      <c r="C140" s="1465"/>
      <c r="D140" s="1471"/>
      <c r="E140" s="1467"/>
      <c r="F140" s="1468"/>
      <c r="G140" s="1469"/>
      <c r="H140" s="1470"/>
      <c r="I140" s="1471"/>
      <c r="J140" s="1472"/>
      <c r="K140" s="1473"/>
      <c r="L140" s="1468"/>
      <c r="M140" s="1386"/>
      <c r="N140" s="1474"/>
      <c r="O140" s="1475"/>
    </row>
    <row r="141">
      <c r="A141" s="1476"/>
      <c r="B141" s="1477"/>
      <c r="C141" s="1478"/>
      <c r="D141" s="1480"/>
      <c r="E141" s="1479"/>
      <c r="F141" s="1480"/>
      <c r="G141" s="1480"/>
      <c r="H141" s="1480"/>
      <c r="I141" s="1480"/>
      <c r="J141" s="1480"/>
      <c r="K141" s="1480"/>
      <c r="L141" s="1480"/>
      <c r="M141" s="154"/>
      <c r="N141" s="1481"/>
      <c r="O141" s="1482"/>
    </row>
    <row r="142">
      <c r="A142" s="1463"/>
      <c r="B142" s="1464"/>
      <c r="C142" s="1465"/>
      <c r="D142" s="1471"/>
      <c r="E142" s="1467"/>
      <c r="F142" s="1468"/>
      <c r="G142" s="1469"/>
      <c r="H142" s="1470"/>
      <c r="I142" s="1471"/>
      <c r="J142" s="1472"/>
      <c r="K142" s="1473"/>
      <c r="L142" s="1468"/>
      <c r="M142" s="1386"/>
      <c r="N142" s="1474"/>
      <c r="O142" s="1475"/>
    </row>
    <row r="143">
      <c r="A143" s="1476"/>
      <c r="B143" s="1477"/>
      <c r="C143" s="1478"/>
      <c r="D143" s="1480"/>
      <c r="E143" s="1479"/>
      <c r="F143" s="1480"/>
      <c r="G143" s="1480"/>
      <c r="H143" s="1480"/>
      <c r="I143" s="1480"/>
      <c r="J143" s="1480"/>
      <c r="K143" s="1480"/>
      <c r="L143" s="1480"/>
      <c r="M143" s="154"/>
      <c r="N143" s="1481"/>
      <c r="O143" s="1482"/>
    </row>
    <row r="144">
      <c r="A144" s="1463"/>
      <c r="B144" s="1464"/>
      <c r="C144" s="1465"/>
      <c r="D144" s="1471"/>
      <c r="E144" s="1467"/>
      <c r="F144" s="1468"/>
      <c r="G144" s="1469"/>
      <c r="H144" s="1470"/>
      <c r="I144" s="1471"/>
      <c r="J144" s="1472"/>
      <c r="K144" s="1473"/>
      <c r="L144" s="1468"/>
      <c r="M144" s="1386"/>
      <c r="N144" s="1474"/>
      <c r="O144" s="1475"/>
    </row>
    <row r="145">
      <c r="A145" s="1476"/>
      <c r="B145" s="1477"/>
      <c r="C145" s="1478"/>
      <c r="D145" s="1480"/>
      <c r="E145" s="1479"/>
      <c r="F145" s="1480"/>
      <c r="G145" s="1480"/>
      <c r="H145" s="1480"/>
      <c r="I145" s="1480"/>
      <c r="J145" s="1480"/>
      <c r="K145" s="1480"/>
      <c r="L145" s="1480"/>
      <c r="M145" s="154"/>
      <c r="N145" s="1481"/>
      <c r="O145" s="1482"/>
    </row>
    <row r="146">
      <c r="A146" s="1463"/>
      <c r="B146" s="1464"/>
      <c r="C146" s="1465"/>
      <c r="D146" s="1471"/>
      <c r="E146" s="1467"/>
      <c r="F146" s="1468"/>
      <c r="G146" s="1469"/>
      <c r="H146" s="1470"/>
      <c r="I146" s="1471"/>
      <c r="J146" s="1472"/>
      <c r="K146" s="1473"/>
      <c r="L146" s="1468"/>
      <c r="M146" s="1386"/>
      <c r="N146" s="1474"/>
      <c r="O146" s="1475"/>
    </row>
    <row r="147">
      <c r="A147" s="1476"/>
      <c r="B147" s="1477"/>
      <c r="C147" s="1478"/>
      <c r="D147" s="1480"/>
      <c r="E147" s="1479"/>
      <c r="F147" s="1480"/>
      <c r="G147" s="1480"/>
      <c r="H147" s="1480"/>
      <c r="I147" s="1480"/>
      <c r="J147" s="1480"/>
      <c r="K147" s="1480"/>
      <c r="L147" s="1480"/>
      <c r="M147" s="154"/>
      <c r="N147" s="1481"/>
      <c r="O147" s="1482"/>
    </row>
    <row r="148">
      <c r="A148" s="1463"/>
      <c r="B148" s="1464"/>
      <c r="C148" s="1465"/>
      <c r="D148" s="1471"/>
      <c r="E148" s="1467"/>
      <c r="F148" s="1468"/>
      <c r="G148" s="1469"/>
      <c r="H148" s="1470"/>
      <c r="I148" s="1471"/>
      <c r="J148" s="1472"/>
      <c r="K148" s="1473"/>
      <c r="L148" s="1468"/>
      <c r="M148" s="1386"/>
      <c r="N148" s="1474"/>
      <c r="O148" s="1475"/>
    </row>
    <row r="149">
      <c r="A149" s="1476"/>
      <c r="B149" s="1477"/>
      <c r="C149" s="1478"/>
      <c r="D149" s="1480"/>
      <c r="E149" s="1479"/>
      <c r="F149" s="1480"/>
      <c r="G149" s="1480"/>
      <c r="H149" s="1480"/>
      <c r="I149" s="1480"/>
      <c r="J149" s="1480"/>
      <c r="K149" s="1480"/>
      <c r="L149" s="1480"/>
      <c r="M149" s="154"/>
      <c r="N149" s="1481"/>
      <c r="O149" s="1482"/>
    </row>
    <row r="150">
      <c r="A150" s="1463"/>
      <c r="B150" s="1464"/>
      <c r="C150" s="1465"/>
      <c r="D150" s="1471"/>
      <c r="E150" s="1467"/>
      <c r="F150" s="1468"/>
      <c r="G150" s="1469"/>
      <c r="H150" s="1470"/>
      <c r="I150" s="1471"/>
      <c r="J150" s="1472"/>
      <c r="K150" s="1473"/>
      <c r="L150" s="1468"/>
      <c r="M150" s="1386"/>
      <c r="N150" s="1474"/>
      <c r="O150" s="1475"/>
    </row>
    <row r="151">
      <c r="A151" s="1476"/>
      <c r="B151" s="1477"/>
      <c r="C151" s="1478"/>
      <c r="D151" s="1480"/>
      <c r="E151" s="1479"/>
      <c r="F151" s="1480"/>
      <c r="G151" s="1480"/>
      <c r="H151" s="1480"/>
      <c r="I151" s="1480"/>
      <c r="J151" s="1480"/>
      <c r="K151" s="1480"/>
      <c r="L151" s="1480"/>
      <c r="M151" s="154"/>
      <c r="N151" s="1481"/>
      <c r="O151" s="1482"/>
    </row>
    <row r="152">
      <c r="A152" s="1463"/>
      <c r="B152" s="1464"/>
      <c r="C152" s="1465"/>
      <c r="D152" s="1471"/>
      <c r="E152" s="1467"/>
      <c r="F152" s="1468"/>
      <c r="G152" s="1469"/>
      <c r="H152" s="1470"/>
      <c r="I152" s="1471"/>
      <c r="J152" s="1472"/>
      <c r="K152" s="1473"/>
      <c r="L152" s="1468"/>
      <c r="M152" s="1386"/>
      <c r="N152" s="1474"/>
      <c r="O152" s="1475"/>
    </row>
    <row r="153">
      <c r="A153" s="1476"/>
      <c r="B153" s="1477"/>
      <c r="C153" s="1478"/>
      <c r="D153" s="1480"/>
      <c r="E153" s="1479"/>
      <c r="F153" s="1480"/>
      <c r="G153" s="1480"/>
      <c r="H153" s="1480"/>
      <c r="I153" s="1480"/>
      <c r="J153" s="1480"/>
      <c r="K153" s="1480"/>
      <c r="L153" s="1480"/>
      <c r="M153" s="154"/>
      <c r="N153" s="1481"/>
      <c r="O153" s="1482"/>
    </row>
    <row r="154">
      <c r="A154" s="1463"/>
      <c r="B154" s="1464"/>
      <c r="C154" s="1465"/>
      <c r="D154" s="1471"/>
      <c r="E154" s="1467"/>
      <c r="F154" s="1468"/>
      <c r="G154" s="1469"/>
      <c r="H154" s="1470"/>
      <c r="I154" s="1471"/>
      <c r="J154" s="1472"/>
      <c r="K154" s="1473"/>
      <c r="L154" s="1468"/>
      <c r="M154" s="1386"/>
      <c r="N154" s="1474"/>
      <c r="O154" s="1475"/>
    </row>
    <row r="155">
      <c r="A155" s="1476"/>
      <c r="B155" s="1477"/>
      <c r="C155" s="1478"/>
      <c r="D155" s="1480"/>
      <c r="E155" s="1479"/>
      <c r="F155" s="1480"/>
      <c r="G155" s="1480"/>
      <c r="H155" s="1480"/>
      <c r="I155" s="1480"/>
      <c r="J155" s="1480"/>
      <c r="K155" s="1480"/>
      <c r="L155" s="1480"/>
      <c r="M155" s="154"/>
      <c r="N155" s="1481"/>
      <c r="O155" s="1482"/>
    </row>
    <row r="156">
      <c r="A156" s="1463"/>
      <c r="B156" s="1464"/>
      <c r="C156" s="1465"/>
      <c r="D156" s="1471"/>
      <c r="E156" s="1467"/>
      <c r="F156" s="1468"/>
      <c r="G156" s="1469"/>
      <c r="H156" s="1470"/>
      <c r="I156" s="1471"/>
      <c r="J156" s="1472"/>
      <c r="K156" s="1473"/>
      <c r="L156" s="1468"/>
      <c r="M156" s="1386"/>
      <c r="N156" s="1474"/>
      <c r="O156" s="1475"/>
    </row>
    <row r="157">
      <c r="A157" s="1476"/>
      <c r="B157" s="1477"/>
      <c r="C157" s="1478"/>
      <c r="D157" s="1480"/>
      <c r="E157" s="1479"/>
      <c r="F157" s="1480"/>
      <c r="G157" s="1480"/>
      <c r="H157" s="1480"/>
      <c r="I157" s="1480"/>
      <c r="J157" s="1480"/>
      <c r="K157" s="1480"/>
      <c r="L157" s="1480"/>
      <c r="M157" s="154"/>
      <c r="N157" s="1481"/>
      <c r="O157" s="1482"/>
    </row>
    <row r="158">
      <c r="A158" s="1463"/>
      <c r="B158" s="1464"/>
      <c r="C158" s="1465"/>
      <c r="D158" s="1471"/>
      <c r="E158" s="1467"/>
      <c r="F158" s="1468"/>
      <c r="G158" s="1469"/>
      <c r="H158" s="1470"/>
      <c r="I158" s="1471"/>
      <c r="J158" s="1472"/>
      <c r="K158" s="1473"/>
      <c r="L158" s="1468"/>
      <c r="M158" s="1386"/>
      <c r="N158" s="1474"/>
      <c r="O158" s="1475"/>
    </row>
    <row r="159">
      <c r="A159" s="1476"/>
      <c r="B159" s="1477"/>
      <c r="C159" s="1478"/>
      <c r="D159" s="1480"/>
      <c r="E159" s="1479"/>
      <c r="F159" s="1480"/>
      <c r="G159" s="1480"/>
      <c r="H159" s="1480"/>
      <c r="I159" s="1480"/>
      <c r="J159" s="1480"/>
      <c r="K159" s="1480"/>
      <c r="L159" s="1480"/>
      <c r="M159" s="154"/>
      <c r="N159" s="1481"/>
      <c r="O159" s="1482"/>
    </row>
    <row r="160">
      <c r="A160" s="1463"/>
      <c r="B160" s="1464"/>
      <c r="C160" s="1465"/>
      <c r="D160" s="1471"/>
      <c r="E160" s="1467"/>
      <c r="F160" s="1468"/>
      <c r="G160" s="1469"/>
      <c r="H160" s="1470"/>
      <c r="I160" s="1471"/>
      <c r="J160" s="1472"/>
      <c r="K160" s="1473"/>
      <c r="L160" s="1468"/>
      <c r="M160" s="1386"/>
      <c r="N160" s="1474"/>
      <c r="O160" s="1475"/>
    </row>
    <row r="161">
      <c r="A161" s="1476"/>
      <c r="B161" s="1477"/>
      <c r="C161" s="1478"/>
      <c r="D161" s="1480"/>
      <c r="E161" s="1479"/>
      <c r="F161" s="1480"/>
      <c r="G161" s="1480"/>
      <c r="H161" s="1480"/>
      <c r="I161" s="1480"/>
      <c r="J161" s="1480"/>
      <c r="K161" s="1480"/>
      <c r="L161" s="1480"/>
      <c r="M161" s="154"/>
      <c r="N161" s="1481"/>
      <c r="O161" s="1482"/>
    </row>
    <row r="162">
      <c r="A162" s="1463"/>
      <c r="B162" s="1464"/>
      <c r="C162" s="1465"/>
      <c r="D162" s="1471"/>
      <c r="E162" s="1467"/>
      <c r="F162" s="1468"/>
      <c r="G162" s="1469"/>
      <c r="H162" s="1470"/>
      <c r="I162" s="1471"/>
      <c r="J162" s="1472"/>
      <c r="K162" s="1473"/>
      <c r="L162" s="1468"/>
      <c r="M162" s="1386"/>
      <c r="N162" s="1474"/>
      <c r="O162" s="1475"/>
    </row>
    <row r="163">
      <c r="A163" s="1476"/>
      <c r="B163" s="1477"/>
      <c r="C163" s="1478"/>
      <c r="D163" s="1480"/>
      <c r="E163" s="1479"/>
      <c r="F163" s="1480"/>
      <c r="G163" s="1480"/>
      <c r="H163" s="1480"/>
      <c r="I163" s="1480"/>
      <c r="J163" s="1480"/>
      <c r="K163" s="1480"/>
      <c r="L163" s="1480"/>
      <c r="M163" s="154"/>
      <c r="N163" s="1481"/>
      <c r="O163" s="1482"/>
    </row>
    <row r="164">
      <c r="A164" s="1463"/>
      <c r="B164" s="1464"/>
      <c r="C164" s="1465"/>
      <c r="D164" s="1471"/>
      <c r="E164" s="1467"/>
      <c r="F164" s="1468"/>
      <c r="G164" s="1469"/>
      <c r="H164" s="1470"/>
      <c r="I164" s="1471"/>
      <c r="J164" s="1472"/>
      <c r="K164" s="1473"/>
      <c r="L164" s="1468"/>
      <c r="M164" s="1386"/>
      <c r="N164" s="1474"/>
      <c r="O164" s="1475"/>
    </row>
    <row r="165">
      <c r="A165" s="1476"/>
      <c r="B165" s="1477"/>
      <c r="C165" s="1478"/>
      <c r="D165" s="1480"/>
      <c r="E165" s="1479"/>
      <c r="F165" s="1480"/>
      <c r="G165" s="1480"/>
      <c r="H165" s="1480"/>
      <c r="I165" s="1480"/>
      <c r="J165" s="1480"/>
      <c r="K165" s="1480"/>
      <c r="L165" s="1480"/>
      <c r="M165" s="154"/>
      <c r="N165" s="1481"/>
      <c r="O165" s="1482"/>
    </row>
    <row r="166">
      <c r="A166" s="1463"/>
      <c r="B166" s="1464"/>
      <c r="C166" s="1465"/>
      <c r="D166" s="1471"/>
      <c r="E166" s="1467"/>
      <c r="F166" s="1468"/>
      <c r="G166" s="1469"/>
      <c r="H166" s="1470"/>
      <c r="I166" s="1471"/>
      <c r="J166" s="1472"/>
      <c r="K166" s="1473"/>
      <c r="L166" s="1468"/>
      <c r="M166" s="1386"/>
      <c r="N166" s="1474"/>
      <c r="O166" s="1475"/>
    </row>
    <row r="167">
      <c r="A167" s="1476"/>
      <c r="B167" s="1477"/>
      <c r="C167" s="1478"/>
      <c r="D167" s="1480"/>
      <c r="E167" s="1479"/>
      <c r="F167" s="1480"/>
      <c r="G167" s="1480"/>
      <c r="H167" s="1480"/>
      <c r="I167" s="1480"/>
      <c r="J167" s="1480"/>
      <c r="K167" s="1480"/>
      <c r="L167" s="1480"/>
      <c r="M167" s="154"/>
      <c r="N167" s="1481"/>
      <c r="O167" s="1482"/>
    </row>
    <row r="168">
      <c r="A168" s="1463"/>
      <c r="B168" s="1464"/>
      <c r="C168" s="1465"/>
      <c r="D168" s="1471"/>
      <c r="E168" s="1467"/>
      <c r="F168" s="1468"/>
      <c r="G168" s="1469"/>
      <c r="H168" s="1470"/>
      <c r="I168" s="1471"/>
      <c r="J168" s="1472"/>
      <c r="K168" s="1473"/>
      <c r="L168" s="1468"/>
      <c r="M168" s="1386"/>
      <c r="N168" s="1474"/>
      <c r="O168" s="1475"/>
    </row>
    <row r="169">
      <c r="A169" s="1476"/>
      <c r="B169" s="1477"/>
      <c r="C169" s="1478"/>
      <c r="D169" s="1480"/>
      <c r="E169" s="1479"/>
      <c r="F169" s="1480"/>
      <c r="G169" s="1480"/>
      <c r="H169" s="1480"/>
      <c r="I169" s="1480"/>
      <c r="J169" s="1480"/>
      <c r="K169" s="1480"/>
      <c r="L169" s="1480"/>
      <c r="M169" s="154"/>
      <c r="N169" s="1481"/>
      <c r="O169" s="1482"/>
    </row>
    <row r="170">
      <c r="A170" s="1463"/>
      <c r="B170" s="1464"/>
      <c r="C170" s="1465"/>
      <c r="D170" s="1471"/>
      <c r="E170" s="1467"/>
      <c r="F170" s="1468"/>
      <c r="G170" s="1469"/>
      <c r="H170" s="1470"/>
      <c r="I170" s="1471"/>
      <c r="J170" s="1472"/>
      <c r="K170" s="1473"/>
      <c r="L170" s="1468"/>
      <c r="M170" s="1386"/>
      <c r="N170" s="1474"/>
      <c r="O170" s="1475"/>
    </row>
    <row r="171">
      <c r="A171" s="1476"/>
      <c r="B171" s="1477"/>
      <c r="C171" s="1478"/>
      <c r="D171" s="1480"/>
      <c r="E171" s="1479"/>
      <c r="F171" s="1480"/>
      <c r="G171" s="1480"/>
      <c r="H171" s="1480"/>
      <c r="I171" s="1480"/>
      <c r="J171" s="1480"/>
      <c r="K171" s="1480"/>
      <c r="L171" s="1480"/>
      <c r="M171" s="154"/>
      <c r="N171" s="1481"/>
      <c r="O171" s="1482"/>
    </row>
    <row r="172">
      <c r="A172" s="1463"/>
      <c r="B172" s="1464"/>
      <c r="C172" s="1465"/>
      <c r="D172" s="1471"/>
      <c r="E172" s="1467"/>
      <c r="F172" s="1468"/>
      <c r="G172" s="1469"/>
      <c r="H172" s="1470"/>
      <c r="I172" s="1471"/>
      <c r="J172" s="1472"/>
      <c r="K172" s="1473"/>
      <c r="L172" s="1468"/>
      <c r="M172" s="1386"/>
      <c r="N172" s="1474"/>
      <c r="O172" s="1475"/>
    </row>
    <row r="173">
      <c r="A173" s="1476"/>
      <c r="B173" s="1477"/>
      <c r="C173" s="1478"/>
      <c r="D173" s="1480"/>
      <c r="E173" s="1479"/>
      <c r="F173" s="1480"/>
      <c r="G173" s="1480"/>
      <c r="H173" s="1480"/>
      <c r="I173" s="1480"/>
      <c r="J173" s="1480"/>
      <c r="K173" s="1480"/>
      <c r="L173" s="1480"/>
      <c r="M173" s="154"/>
      <c r="N173" s="1481"/>
      <c r="O173" s="1482"/>
    </row>
    <row r="174">
      <c r="A174" s="1463"/>
      <c r="B174" s="1464"/>
      <c r="C174" s="1465"/>
      <c r="D174" s="1471"/>
      <c r="E174" s="1467"/>
      <c r="F174" s="1468"/>
      <c r="G174" s="1469"/>
      <c r="H174" s="1470"/>
      <c r="I174" s="1471"/>
      <c r="J174" s="1472"/>
      <c r="K174" s="1473"/>
      <c r="L174" s="1468"/>
      <c r="M174" s="1386"/>
      <c r="N174" s="1474"/>
      <c r="O174" s="1475"/>
    </row>
    <row r="175">
      <c r="A175" s="1476"/>
      <c r="B175" s="1477"/>
      <c r="C175" s="1478"/>
      <c r="D175" s="1480"/>
      <c r="E175" s="1479"/>
      <c r="F175" s="1480"/>
      <c r="G175" s="1480"/>
      <c r="H175" s="1480"/>
      <c r="I175" s="1480"/>
      <c r="J175" s="1480"/>
      <c r="K175" s="1480"/>
      <c r="L175" s="1480"/>
      <c r="M175" s="154"/>
      <c r="N175" s="1481"/>
      <c r="O175" s="1482"/>
    </row>
    <row r="176">
      <c r="A176" s="1463"/>
      <c r="B176" s="1464"/>
      <c r="C176" s="1465"/>
      <c r="D176" s="1471"/>
      <c r="E176" s="1467"/>
      <c r="F176" s="1468"/>
      <c r="G176" s="1469"/>
      <c r="H176" s="1470"/>
      <c r="I176" s="1471"/>
      <c r="J176" s="1472"/>
      <c r="K176" s="1473"/>
      <c r="L176" s="1468"/>
      <c r="M176" s="1386"/>
      <c r="N176" s="1474"/>
      <c r="O176" s="1475"/>
    </row>
    <row r="177">
      <c r="A177" s="1476"/>
      <c r="B177" s="1477"/>
      <c r="C177" s="1478"/>
      <c r="D177" s="1480"/>
      <c r="E177" s="1479"/>
      <c r="F177" s="1480"/>
      <c r="G177" s="1480"/>
      <c r="H177" s="1480"/>
      <c r="I177" s="1480"/>
      <c r="J177" s="1480"/>
      <c r="K177" s="1480"/>
      <c r="L177" s="1480"/>
      <c r="M177" s="154"/>
      <c r="N177" s="1481"/>
      <c r="O177" s="1482"/>
    </row>
    <row r="178">
      <c r="A178" s="1463"/>
      <c r="B178" s="1464"/>
      <c r="C178" s="1465"/>
      <c r="D178" s="1471"/>
      <c r="E178" s="1467"/>
      <c r="F178" s="1468"/>
      <c r="G178" s="1469"/>
      <c r="H178" s="1470"/>
      <c r="I178" s="1471"/>
      <c r="J178" s="1472"/>
      <c r="K178" s="1473"/>
      <c r="L178" s="1468"/>
      <c r="M178" s="1386"/>
      <c r="N178" s="1474"/>
      <c r="O178" s="1475"/>
    </row>
    <row r="179">
      <c r="A179" s="1476"/>
      <c r="B179" s="1477"/>
      <c r="C179" s="1478"/>
      <c r="D179" s="1480"/>
      <c r="E179" s="1479"/>
      <c r="F179" s="1480"/>
      <c r="G179" s="1480"/>
      <c r="H179" s="1480"/>
      <c r="I179" s="1480"/>
      <c r="J179" s="1480"/>
      <c r="K179" s="1480"/>
      <c r="L179" s="1480"/>
      <c r="M179" s="154"/>
      <c r="N179" s="1481"/>
      <c r="O179" s="1482"/>
    </row>
    <row r="180">
      <c r="A180" s="1463"/>
      <c r="B180" s="1464"/>
      <c r="C180" s="1465"/>
      <c r="D180" s="1471"/>
      <c r="E180" s="1467"/>
      <c r="F180" s="1468"/>
      <c r="G180" s="1469"/>
      <c r="H180" s="1470"/>
      <c r="I180" s="1471"/>
      <c r="J180" s="1472"/>
      <c r="K180" s="1473"/>
      <c r="L180" s="1468"/>
      <c r="M180" s="1386"/>
      <c r="N180" s="1474"/>
      <c r="O180" s="1475"/>
    </row>
    <row r="181">
      <c r="A181" s="1476"/>
      <c r="B181" s="1477"/>
      <c r="C181" s="1478"/>
      <c r="D181" s="1480"/>
      <c r="E181" s="1479"/>
      <c r="F181" s="1480"/>
      <c r="G181" s="1480"/>
      <c r="H181" s="1480"/>
      <c r="I181" s="1480"/>
      <c r="J181" s="1480"/>
      <c r="K181" s="1480"/>
      <c r="L181" s="1480"/>
      <c r="M181" s="154"/>
      <c r="N181" s="1481"/>
      <c r="O181" s="1482"/>
    </row>
    <row r="182">
      <c r="A182" s="1463"/>
      <c r="B182" s="1464"/>
      <c r="C182" s="1465"/>
      <c r="D182" s="1471"/>
      <c r="E182" s="1467"/>
      <c r="F182" s="1468"/>
      <c r="G182" s="1469"/>
      <c r="H182" s="1470"/>
      <c r="I182" s="1471"/>
      <c r="J182" s="1472"/>
      <c r="K182" s="1473"/>
      <c r="L182" s="1468"/>
      <c r="M182" s="1386"/>
      <c r="N182" s="1474"/>
      <c r="O182" s="1475"/>
    </row>
    <row r="183">
      <c r="A183" s="1476"/>
      <c r="B183" s="1477"/>
      <c r="C183" s="1478"/>
      <c r="D183" s="1480"/>
      <c r="E183" s="1479"/>
      <c r="F183" s="1480"/>
      <c r="G183" s="1480"/>
      <c r="H183" s="1480"/>
      <c r="I183" s="1480"/>
      <c r="J183" s="1480"/>
      <c r="K183" s="1480"/>
      <c r="L183" s="1480"/>
      <c r="M183" s="154"/>
      <c r="N183" s="1481"/>
      <c r="O183" s="1482"/>
    </row>
    <row r="184">
      <c r="A184" s="1463"/>
      <c r="B184" s="1464"/>
      <c r="C184" s="1465"/>
      <c r="D184" s="1471"/>
      <c r="E184" s="1467"/>
      <c r="F184" s="1468"/>
      <c r="G184" s="1469"/>
      <c r="H184" s="1470"/>
      <c r="I184" s="1471"/>
      <c r="J184" s="1472"/>
      <c r="K184" s="1473"/>
      <c r="L184" s="1468"/>
      <c r="M184" s="1386"/>
      <c r="N184" s="1474"/>
      <c r="O184" s="1475"/>
    </row>
    <row r="185">
      <c r="A185" s="1476"/>
      <c r="B185" s="1477"/>
      <c r="C185" s="1478"/>
      <c r="D185" s="1480"/>
      <c r="E185" s="1479"/>
      <c r="F185" s="1480"/>
      <c r="G185" s="1480"/>
      <c r="H185" s="1480"/>
      <c r="I185" s="1480"/>
      <c r="J185" s="1480"/>
      <c r="K185" s="1480"/>
      <c r="L185" s="1480"/>
      <c r="M185" s="154"/>
      <c r="N185" s="1481"/>
      <c r="O185" s="1482"/>
    </row>
    <row r="186">
      <c r="A186" s="1463"/>
      <c r="B186" s="1464"/>
      <c r="C186" s="1465"/>
      <c r="D186" s="1471"/>
      <c r="E186" s="1467"/>
      <c r="F186" s="1468"/>
      <c r="G186" s="1469"/>
      <c r="H186" s="1470"/>
      <c r="I186" s="1471"/>
      <c r="J186" s="1472"/>
      <c r="K186" s="1473"/>
      <c r="L186" s="1468"/>
      <c r="M186" s="1386"/>
      <c r="N186" s="1474"/>
      <c r="O186" s="1475"/>
    </row>
    <row r="187">
      <c r="A187" s="1476"/>
      <c r="B187" s="1477"/>
      <c r="C187" s="1478"/>
      <c r="D187" s="1480"/>
      <c r="E187" s="1479"/>
      <c r="F187" s="1480"/>
      <c r="G187" s="1480"/>
      <c r="H187" s="1480"/>
      <c r="I187" s="1480"/>
      <c r="J187" s="1480"/>
      <c r="K187" s="1480"/>
      <c r="L187" s="1480"/>
      <c r="M187" s="154"/>
      <c r="N187" s="1481"/>
      <c r="O187" s="1482"/>
    </row>
    <row r="188">
      <c r="A188" s="1463"/>
      <c r="B188" s="1464"/>
      <c r="C188" s="1465"/>
      <c r="D188" s="1471"/>
      <c r="E188" s="1467"/>
      <c r="F188" s="1468"/>
      <c r="G188" s="1469"/>
      <c r="H188" s="1470"/>
      <c r="I188" s="1471"/>
      <c r="J188" s="1472"/>
      <c r="K188" s="1473"/>
      <c r="L188" s="1468"/>
      <c r="M188" s="1386"/>
      <c r="N188" s="1474"/>
      <c r="O188" s="1475"/>
    </row>
    <row r="189">
      <c r="A189" s="1476"/>
      <c r="B189" s="1477"/>
      <c r="C189" s="1478"/>
      <c r="D189" s="1480"/>
      <c r="E189" s="1479"/>
      <c r="F189" s="1480"/>
      <c r="G189" s="1480"/>
      <c r="H189" s="1480"/>
      <c r="I189" s="1480"/>
      <c r="J189" s="1480"/>
      <c r="K189" s="1480"/>
      <c r="L189" s="1480"/>
      <c r="M189" s="154"/>
      <c r="N189" s="1481"/>
      <c r="O189" s="1482"/>
    </row>
    <row r="190">
      <c r="A190" s="1463"/>
      <c r="B190" s="1464"/>
      <c r="C190" s="1465"/>
      <c r="D190" s="1471"/>
      <c r="E190" s="1467"/>
      <c r="F190" s="1468"/>
      <c r="G190" s="1469"/>
      <c r="H190" s="1470"/>
      <c r="I190" s="1471"/>
      <c r="J190" s="1472"/>
      <c r="K190" s="1473"/>
      <c r="L190" s="1468"/>
      <c r="M190" s="1386"/>
      <c r="N190" s="1474"/>
      <c r="O190" s="1475"/>
    </row>
    <row r="191">
      <c r="A191" s="1476"/>
      <c r="B191" s="1477"/>
      <c r="C191" s="1478"/>
      <c r="D191" s="1480"/>
      <c r="E191" s="1479"/>
      <c r="F191" s="1480"/>
      <c r="G191" s="1480"/>
      <c r="H191" s="1480"/>
      <c r="I191" s="1480"/>
      <c r="J191" s="1480"/>
      <c r="K191" s="1480"/>
      <c r="L191" s="1480"/>
      <c r="M191" s="154"/>
      <c r="N191" s="1481"/>
      <c r="O191" s="1482"/>
    </row>
    <row r="192">
      <c r="A192" s="1463"/>
      <c r="B192" s="1464"/>
      <c r="C192" s="1465"/>
      <c r="D192" s="1471"/>
      <c r="E192" s="1467"/>
      <c r="F192" s="1468"/>
      <c r="G192" s="1469"/>
      <c r="H192" s="1470"/>
      <c r="I192" s="1471"/>
      <c r="J192" s="1472"/>
      <c r="K192" s="1473"/>
      <c r="L192" s="1468"/>
      <c r="M192" s="1386"/>
      <c r="N192" s="1474"/>
      <c r="O192" s="1475"/>
    </row>
    <row r="193">
      <c r="A193" s="1476"/>
      <c r="B193" s="1477"/>
      <c r="C193" s="1478"/>
      <c r="D193" s="1480"/>
      <c r="E193" s="1479"/>
      <c r="F193" s="1480"/>
      <c r="G193" s="1480"/>
      <c r="H193" s="1480"/>
      <c r="I193" s="1480"/>
      <c r="J193" s="1480"/>
      <c r="K193" s="1480"/>
      <c r="L193" s="1480"/>
      <c r="M193" s="154"/>
      <c r="N193" s="1481"/>
      <c r="O193" s="1482"/>
    </row>
    <row r="194">
      <c r="A194" s="1463"/>
      <c r="B194" s="1464"/>
      <c r="C194" s="1465"/>
      <c r="D194" s="1471"/>
      <c r="E194" s="1467"/>
      <c r="F194" s="1468"/>
      <c r="G194" s="1469"/>
      <c r="H194" s="1470"/>
      <c r="I194" s="1471"/>
      <c r="J194" s="1472"/>
      <c r="K194" s="1473"/>
      <c r="L194" s="1468"/>
      <c r="M194" s="1386"/>
      <c r="N194" s="1474"/>
      <c r="O194" s="1475"/>
    </row>
    <row r="195">
      <c r="A195" s="1476"/>
      <c r="B195" s="1477"/>
      <c r="C195" s="1478"/>
      <c r="D195" s="1480"/>
      <c r="E195" s="1479"/>
      <c r="F195" s="1480"/>
      <c r="G195" s="1480"/>
      <c r="H195" s="1480"/>
      <c r="I195" s="1480"/>
      <c r="J195" s="1480"/>
      <c r="K195" s="1480"/>
      <c r="L195" s="1480"/>
      <c r="M195" s="154"/>
      <c r="N195" s="1481"/>
      <c r="O195" s="1482"/>
    </row>
    <row r="196">
      <c r="A196" s="1463"/>
      <c r="B196" s="1464"/>
      <c r="C196" s="1465"/>
      <c r="D196" s="1471"/>
      <c r="E196" s="1467"/>
      <c r="F196" s="1468"/>
      <c r="G196" s="1469"/>
      <c r="H196" s="1470"/>
      <c r="I196" s="1471"/>
      <c r="J196" s="1472"/>
      <c r="K196" s="1473"/>
      <c r="L196" s="1468"/>
      <c r="M196" s="1386"/>
      <c r="N196" s="1474"/>
      <c r="O196" s="1475"/>
    </row>
    <row r="197">
      <c r="A197" s="1476"/>
      <c r="B197" s="1477"/>
      <c r="C197" s="1478"/>
      <c r="D197" s="1480"/>
      <c r="E197" s="1479"/>
      <c r="F197" s="1480"/>
      <c r="G197" s="1480"/>
      <c r="H197" s="1480"/>
      <c r="I197" s="1480"/>
      <c r="J197" s="1480"/>
      <c r="K197" s="1480"/>
      <c r="L197" s="1480"/>
      <c r="M197" s="154"/>
      <c r="N197" s="1481"/>
      <c r="O197" s="1482"/>
    </row>
    <row r="198">
      <c r="A198" s="1463"/>
      <c r="B198" s="1464"/>
      <c r="C198" s="1465"/>
      <c r="D198" s="1471"/>
      <c r="E198" s="1467"/>
      <c r="F198" s="1468"/>
      <c r="G198" s="1469"/>
      <c r="H198" s="1470"/>
      <c r="I198" s="1471"/>
      <c r="J198" s="1472"/>
      <c r="K198" s="1473"/>
      <c r="L198" s="1468"/>
      <c r="M198" s="1386"/>
      <c r="N198" s="1474"/>
      <c r="O198" s="1475"/>
    </row>
    <row r="199">
      <c r="A199" s="1476"/>
      <c r="B199" s="1477"/>
      <c r="C199" s="1478"/>
      <c r="D199" s="1480"/>
      <c r="E199" s="1479"/>
      <c r="F199" s="1480"/>
      <c r="G199" s="1480"/>
      <c r="H199" s="1480"/>
      <c r="I199" s="1480"/>
      <c r="J199" s="1480"/>
      <c r="K199" s="1480"/>
      <c r="L199" s="1480"/>
      <c r="M199" s="154"/>
      <c r="N199" s="1481"/>
      <c r="O199" s="1482"/>
    </row>
    <row r="200">
      <c r="A200" s="1463"/>
      <c r="B200" s="1464"/>
      <c r="C200" s="1465"/>
      <c r="D200" s="1471"/>
      <c r="E200" s="1467"/>
      <c r="F200" s="1468"/>
      <c r="G200" s="1469"/>
      <c r="H200" s="1470"/>
      <c r="I200" s="1471"/>
      <c r="J200" s="1472"/>
      <c r="K200" s="1473"/>
      <c r="L200" s="1468"/>
      <c r="M200" s="1386"/>
      <c r="N200" s="1474"/>
      <c r="O200" s="1475"/>
    </row>
    <row r="201">
      <c r="A201" s="1476"/>
      <c r="B201" s="1477"/>
      <c r="C201" s="1478"/>
      <c r="D201" s="1480"/>
      <c r="E201" s="1479"/>
      <c r="F201" s="1480"/>
      <c r="G201" s="1480"/>
      <c r="H201" s="1480"/>
      <c r="I201" s="1480"/>
      <c r="J201" s="1480"/>
      <c r="K201" s="1480"/>
      <c r="L201" s="1480"/>
      <c r="M201" s="154"/>
      <c r="N201" s="1481"/>
      <c r="O201" s="1482"/>
    </row>
    <row r="202">
      <c r="A202" s="1463"/>
      <c r="B202" s="1464"/>
      <c r="C202" s="1465"/>
      <c r="D202" s="1471"/>
      <c r="E202" s="1467"/>
      <c r="F202" s="1468"/>
      <c r="G202" s="1469"/>
      <c r="H202" s="1470"/>
      <c r="I202" s="1471"/>
      <c r="J202" s="1472"/>
      <c r="K202" s="1473"/>
      <c r="L202" s="1468"/>
      <c r="M202" s="1386"/>
      <c r="N202" s="1474"/>
      <c r="O202" s="1475"/>
    </row>
    <row r="203">
      <c r="A203" s="1476"/>
      <c r="B203" s="1477"/>
      <c r="C203" s="1478"/>
      <c r="D203" s="1480"/>
      <c r="E203" s="1479"/>
      <c r="F203" s="1480"/>
      <c r="G203" s="1480"/>
      <c r="H203" s="1480"/>
      <c r="I203" s="1480"/>
      <c r="J203" s="1480"/>
      <c r="K203" s="1480"/>
      <c r="L203" s="1480"/>
      <c r="M203" s="154"/>
      <c r="N203" s="1481"/>
      <c r="O203" s="1482"/>
    </row>
    <row r="204">
      <c r="A204" s="1463"/>
      <c r="B204" s="1464"/>
      <c r="C204" s="1465"/>
      <c r="D204" s="1471"/>
      <c r="E204" s="1467"/>
      <c r="F204" s="1468"/>
      <c r="G204" s="1469"/>
      <c r="H204" s="1470"/>
      <c r="I204" s="1471"/>
      <c r="J204" s="1472"/>
      <c r="K204" s="1473"/>
      <c r="L204" s="1468"/>
      <c r="M204" s="1386"/>
      <c r="N204" s="1474"/>
      <c r="O204" s="1475"/>
    </row>
    <row r="205">
      <c r="A205" s="1476"/>
      <c r="B205" s="1477"/>
      <c r="C205" s="1478"/>
      <c r="D205" s="1480"/>
      <c r="E205" s="1479"/>
      <c r="F205" s="1480"/>
      <c r="G205" s="1480"/>
      <c r="H205" s="1480"/>
      <c r="I205" s="1480"/>
      <c r="J205" s="1480"/>
      <c r="K205" s="1480"/>
      <c r="L205" s="1480"/>
      <c r="M205" s="154"/>
      <c r="N205" s="1481"/>
      <c r="O205" s="1482"/>
    </row>
    <row r="206">
      <c r="A206" s="1463"/>
      <c r="B206" s="1464"/>
      <c r="C206" s="1465"/>
      <c r="D206" s="1471"/>
      <c r="E206" s="1467"/>
      <c r="F206" s="1468"/>
      <c r="G206" s="1469"/>
      <c r="H206" s="1470"/>
      <c r="I206" s="1471"/>
      <c r="J206" s="1472"/>
      <c r="K206" s="1473"/>
      <c r="L206" s="1468"/>
      <c r="M206" s="1386"/>
      <c r="N206" s="1474"/>
      <c r="O206" s="1475"/>
    </row>
    <row r="207">
      <c r="A207" s="1476"/>
      <c r="B207" s="1477"/>
      <c r="C207" s="1478"/>
      <c r="D207" s="1480"/>
      <c r="E207" s="1479"/>
      <c r="F207" s="1480"/>
      <c r="G207" s="1480"/>
      <c r="H207" s="1480"/>
      <c r="I207" s="1480"/>
      <c r="J207" s="1480"/>
      <c r="K207" s="1480"/>
      <c r="L207" s="1480"/>
      <c r="M207" s="154"/>
      <c r="N207" s="1481"/>
      <c r="O207" s="1482"/>
    </row>
    <row r="208">
      <c r="A208" s="1463"/>
      <c r="B208" s="1464"/>
      <c r="C208" s="1465"/>
      <c r="D208" s="1471"/>
      <c r="E208" s="1467"/>
      <c r="F208" s="1468"/>
      <c r="G208" s="1469"/>
      <c r="H208" s="1470"/>
      <c r="I208" s="1471"/>
      <c r="J208" s="1472"/>
      <c r="K208" s="1473"/>
      <c r="L208" s="1468"/>
      <c r="M208" s="1386"/>
      <c r="N208" s="1474"/>
      <c r="O208" s="1475"/>
    </row>
    <row r="209">
      <c r="A209" s="1476"/>
      <c r="B209" s="1477"/>
      <c r="C209" s="1478"/>
      <c r="D209" s="1480"/>
      <c r="E209" s="1479"/>
      <c r="F209" s="1480"/>
      <c r="G209" s="1480"/>
      <c r="H209" s="1480"/>
      <c r="I209" s="1480"/>
      <c r="J209" s="1480"/>
      <c r="K209" s="1480"/>
      <c r="L209" s="1480"/>
      <c r="M209" s="154"/>
      <c r="N209" s="1481"/>
      <c r="O209" s="1482"/>
    </row>
    <row r="210">
      <c r="A210" s="1463"/>
      <c r="B210" s="1464"/>
      <c r="C210" s="1465"/>
      <c r="D210" s="1471"/>
      <c r="E210" s="1467"/>
      <c r="F210" s="1468"/>
      <c r="G210" s="1469"/>
      <c r="H210" s="1470"/>
      <c r="I210" s="1471"/>
      <c r="J210" s="1472"/>
      <c r="K210" s="1473"/>
      <c r="L210" s="1468"/>
      <c r="M210" s="1386"/>
      <c r="N210" s="1474"/>
      <c r="O210" s="1475"/>
    </row>
    <row r="211">
      <c r="A211" s="1476"/>
      <c r="B211" s="1477"/>
      <c r="C211" s="1478"/>
      <c r="D211" s="1480"/>
      <c r="E211" s="1479"/>
      <c r="F211" s="1480"/>
      <c r="G211" s="1480"/>
      <c r="H211" s="1480"/>
      <c r="I211" s="1480"/>
      <c r="J211" s="1480"/>
      <c r="K211" s="1480"/>
      <c r="L211" s="1480"/>
      <c r="M211" s="154"/>
      <c r="N211" s="1481"/>
      <c r="O211" s="1482"/>
    </row>
    <row r="212">
      <c r="A212" s="1463"/>
      <c r="B212" s="1464"/>
      <c r="C212" s="1465"/>
      <c r="D212" s="1471"/>
      <c r="E212" s="1467"/>
      <c r="F212" s="1468"/>
      <c r="G212" s="1469"/>
      <c r="H212" s="1470"/>
      <c r="I212" s="1471"/>
      <c r="J212" s="1472"/>
      <c r="K212" s="1473"/>
      <c r="L212" s="1468"/>
      <c r="M212" s="1386"/>
      <c r="N212" s="1474"/>
      <c r="O212" s="1475"/>
    </row>
    <row r="213">
      <c r="A213" s="1476"/>
      <c r="B213" s="1477"/>
      <c r="C213" s="1478"/>
      <c r="D213" s="1480"/>
      <c r="E213" s="1479"/>
      <c r="F213" s="1480"/>
      <c r="G213" s="1480"/>
      <c r="H213" s="1480"/>
      <c r="I213" s="1480"/>
      <c r="J213" s="1480"/>
      <c r="K213" s="1480"/>
      <c r="L213" s="1480"/>
      <c r="M213" s="154"/>
      <c r="N213" s="1481"/>
      <c r="O213" s="1482"/>
    </row>
    <row r="214">
      <c r="A214" s="1463"/>
      <c r="B214" s="1464"/>
      <c r="C214" s="1465"/>
      <c r="D214" s="1471"/>
      <c r="E214" s="1467"/>
      <c r="F214" s="1468"/>
      <c r="G214" s="1469"/>
      <c r="H214" s="1470"/>
      <c r="I214" s="1471"/>
      <c r="J214" s="1472"/>
      <c r="K214" s="1473"/>
      <c r="L214" s="1468"/>
      <c r="M214" s="1386"/>
      <c r="N214" s="1474"/>
      <c r="O214" s="1475"/>
    </row>
    <row r="215">
      <c r="A215" s="1476"/>
      <c r="B215" s="1477"/>
      <c r="C215" s="1478"/>
      <c r="D215" s="1480"/>
      <c r="E215" s="1479"/>
      <c r="F215" s="1480"/>
      <c r="G215" s="1480"/>
      <c r="H215" s="1480"/>
      <c r="I215" s="1480"/>
      <c r="J215" s="1480"/>
      <c r="K215" s="1480"/>
      <c r="L215" s="1480"/>
      <c r="M215" s="154"/>
      <c r="N215" s="1481"/>
      <c r="O215" s="1482"/>
    </row>
    <row r="216">
      <c r="A216" s="1463"/>
      <c r="B216" s="1464"/>
      <c r="C216" s="1465"/>
      <c r="D216" s="1471"/>
      <c r="E216" s="1467"/>
      <c r="F216" s="1468"/>
      <c r="G216" s="1469"/>
      <c r="H216" s="1470"/>
      <c r="I216" s="1471"/>
      <c r="J216" s="1472"/>
      <c r="K216" s="1473"/>
      <c r="L216" s="1468"/>
      <c r="M216" s="1386"/>
      <c r="N216" s="1474"/>
      <c r="O216" s="1475"/>
    </row>
    <row r="217">
      <c r="A217" s="1476"/>
      <c r="B217" s="1477"/>
      <c r="C217" s="1478"/>
      <c r="D217" s="1480"/>
      <c r="E217" s="1479"/>
      <c r="F217" s="1480"/>
      <c r="G217" s="1480"/>
      <c r="H217" s="1480"/>
      <c r="I217" s="1480"/>
      <c r="J217" s="1480"/>
      <c r="K217" s="1480"/>
      <c r="L217" s="1480"/>
      <c r="M217" s="154"/>
      <c r="N217" s="1481"/>
      <c r="O217" s="1482"/>
    </row>
    <row r="218">
      <c r="A218" s="1463"/>
      <c r="B218" s="1464"/>
      <c r="C218" s="1465"/>
      <c r="D218" s="1471"/>
      <c r="E218" s="1467"/>
      <c r="F218" s="1468"/>
      <c r="G218" s="1469"/>
      <c r="H218" s="1470"/>
      <c r="I218" s="1471"/>
      <c r="J218" s="1472"/>
      <c r="K218" s="1473"/>
      <c r="L218" s="1468"/>
      <c r="M218" s="1386"/>
      <c r="N218" s="1474"/>
      <c r="O218" s="1475"/>
    </row>
    <row r="219">
      <c r="A219" s="1476"/>
      <c r="B219" s="1477"/>
      <c r="C219" s="1478"/>
      <c r="D219" s="1480"/>
      <c r="E219" s="1479"/>
      <c r="F219" s="1480"/>
      <c r="G219" s="1480"/>
      <c r="H219" s="1480"/>
      <c r="I219" s="1480"/>
      <c r="J219" s="1480"/>
      <c r="K219" s="1480"/>
      <c r="L219" s="1480"/>
      <c r="M219" s="154"/>
      <c r="N219" s="1481"/>
      <c r="O219" s="1482"/>
    </row>
    <row r="220">
      <c r="A220" s="1463"/>
      <c r="B220" s="1464"/>
      <c r="C220" s="1465"/>
      <c r="D220" s="1471"/>
      <c r="E220" s="1467"/>
      <c r="F220" s="1468"/>
      <c r="G220" s="1469"/>
      <c r="H220" s="1470"/>
      <c r="I220" s="1471"/>
      <c r="J220" s="1472"/>
      <c r="K220" s="1473"/>
      <c r="L220" s="1468"/>
      <c r="M220" s="1386"/>
      <c r="N220" s="1474"/>
      <c r="O220" s="1475"/>
    </row>
    <row r="221">
      <c r="A221" s="1476"/>
      <c r="B221" s="1477"/>
      <c r="C221" s="1478"/>
      <c r="D221" s="1480"/>
      <c r="E221" s="1479"/>
      <c r="F221" s="1480"/>
      <c r="G221" s="1480"/>
      <c r="H221" s="1480"/>
      <c r="I221" s="1480"/>
      <c r="J221" s="1480"/>
      <c r="K221" s="1480"/>
      <c r="L221" s="1480"/>
      <c r="M221" s="154"/>
      <c r="N221" s="1481"/>
      <c r="O221" s="1482"/>
    </row>
    <row r="222">
      <c r="A222" s="1463"/>
      <c r="B222" s="1464"/>
      <c r="C222" s="1465"/>
      <c r="D222" s="1471"/>
      <c r="E222" s="1467"/>
      <c r="F222" s="1468"/>
      <c r="G222" s="1469"/>
      <c r="H222" s="1470"/>
      <c r="I222" s="1471"/>
      <c r="J222" s="1472"/>
      <c r="K222" s="1473"/>
      <c r="L222" s="1468"/>
      <c r="M222" s="1386"/>
      <c r="N222" s="1474"/>
      <c r="O222" s="1475"/>
    </row>
    <row r="223">
      <c r="A223" s="1476"/>
      <c r="B223" s="1477"/>
      <c r="C223" s="1478"/>
      <c r="D223" s="1480"/>
      <c r="E223" s="1479"/>
      <c r="F223" s="1480"/>
      <c r="G223" s="1480"/>
      <c r="H223" s="1480"/>
      <c r="I223" s="1480"/>
      <c r="J223" s="1480"/>
      <c r="K223" s="1480"/>
      <c r="L223" s="1480"/>
      <c r="M223" s="154"/>
      <c r="N223" s="1481"/>
      <c r="O223" s="1482"/>
    </row>
    <row r="224">
      <c r="A224" s="1463"/>
      <c r="B224" s="1464"/>
      <c r="C224" s="1465"/>
      <c r="D224" s="1471"/>
      <c r="E224" s="1467"/>
      <c r="F224" s="1468"/>
      <c r="G224" s="1469"/>
      <c r="H224" s="1470"/>
      <c r="I224" s="1471"/>
      <c r="J224" s="1472"/>
      <c r="K224" s="1473"/>
      <c r="L224" s="1468"/>
      <c r="M224" s="1386"/>
      <c r="N224" s="1474"/>
      <c r="O224" s="1475"/>
    </row>
    <row r="225">
      <c r="A225" s="1476"/>
      <c r="B225" s="1477"/>
      <c r="C225" s="1478"/>
      <c r="D225" s="1480"/>
      <c r="E225" s="1479"/>
      <c r="F225" s="1480"/>
      <c r="G225" s="1480"/>
      <c r="H225" s="1480"/>
      <c r="I225" s="1480"/>
      <c r="J225" s="1480"/>
      <c r="K225" s="1480"/>
      <c r="L225" s="1480"/>
      <c r="M225" s="154"/>
      <c r="N225" s="1481"/>
      <c r="O225" s="1482"/>
    </row>
    <row r="226">
      <c r="A226" s="1463"/>
      <c r="B226" s="1464"/>
      <c r="C226" s="1465"/>
      <c r="D226" s="1471"/>
      <c r="E226" s="1467"/>
      <c r="F226" s="1468"/>
      <c r="G226" s="1469"/>
      <c r="H226" s="1470"/>
      <c r="I226" s="1471"/>
      <c r="J226" s="1472"/>
      <c r="K226" s="1473"/>
      <c r="L226" s="1468"/>
      <c r="M226" s="1386"/>
      <c r="N226" s="1474"/>
      <c r="O226" s="1475"/>
    </row>
    <row r="227">
      <c r="A227" s="1476"/>
      <c r="B227" s="1477"/>
      <c r="C227" s="1478"/>
      <c r="D227" s="1480"/>
      <c r="E227" s="1479"/>
      <c r="F227" s="1480"/>
      <c r="G227" s="1480"/>
      <c r="H227" s="1480"/>
      <c r="I227" s="1480"/>
      <c r="J227" s="1480"/>
      <c r="K227" s="1480"/>
      <c r="L227" s="1480"/>
      <c r="M227" s="154"/>
      <c r="N227" s="1481"/>
      <c r="O227" s="1482"/>
    </row>
    <row r="228">
      <c r="A228" s="1463"/>
      <c r="B228" s="1464"/>
      <c r="C228" s="1465"/>
      <c r="D228" s="1471"/>
      <c r="E228" s="1467"/>
      <c r="F228" s="1468"/>
      <c r="G228" s="1469"/>
      <c r="H228" s="1470"/>
      <c r="I228" s="1471"/>
      <c r="J228" s="1472"/>
      <c r="K228" s="1473"/>
      <c r="L228" s="1468"/>
      <c r="M228" s="1386"/>
      <c r="N228" s="1474"/>
      <c r="O228" s="1475"/>
    </row>
    <row r="229">
      <c r="A229" s="1476"/>
      <c r="B229" s="1477"/>
      <c r="C229" s="1478"/>
      <c r="D229" s="1480"/>
      <c r="E229" s="1479"/>
      <c r="F229" s="1480"/>
      <c r="G229" s="1480"/>
      <c r="H229" s="1480"/>
      <c r="I229" s="1480"/>
      <c r="J229" s="1480"/>
      <c r="K229" s="1480"/>
      <c r="L229" s="1480"/>
      <c r="M229" s="154"/>
      <c r="N229" s="1481"/>
      <c r="O229" s="1482"/>
    </row>
    <row r="230">
      <c r="A230" s="1463"/>
      <c r="B230" s="1464"/>
      <c r="C230" s="1465"/>
      <c r="D230" s="1471"/>
      <c r="E230" s="1467"/>
      <c r="F230" s="1468"/>
      <c r="G230" s="1469"/>
      <c r="H230" s="1470"/>
      <c r="I230" s="1471"/>
      <c r="J230" s="1472"/>
      <c r="K230" s="1473"/>
      <c r="L230" s="1468"/>
      <c r="M230" s="1386"/>
      <c r="N230" s="1474"/>
      <c r="O230" s="1475"/>
    </row>
    <row r="231">
      <c r="A231" s="1476"/>
      <c r="B231" s="1477"/>
      <c r="C231" s="1478"/>
      <c r="D231" s="1480"/>
      <c r="E231" s="1479"/>
      <c r="F231" s="1480"/>
      <c r="G231" s="1480"/>
      <c r="H231" s="1480"/>
      <c r="I231" s="1480"/>
      <c r="J231" s="1480"/>
      <c r="K231" s="1480"/>
      <c r="L231" s="1480"/>
      <c r="M231" s="154"/>
      <c r="N231" s="1481"/>
      <c r="O231" s="1482"/>
    </row>
    <row r="232">
      <c r="A232" s="1463"/>
      <c r="B232" s="1464"/>
      <c r="C232" s="1465"/>
      <c r="D232" s="1471"/>
      <c r="E232" s="1467"/>
      <c r="F232" s="1468"/>
      <c r="G232" s="1469"/>
      <c r="H232" s="1470"/>
      <c r="I232" s="1471"/>
      <c r="J232" s="1472"/>
      <c r="K232" s="1473"/>
      <c r="L232" s="1468"/>
      <c r="M232" s="1386"/>
      <c r="N232" s="1474"/>
      <c r="O232" s="1475"/>
    </row>
    <row r="233">
      <c r="A233" s="1476"/>
      <c r="B233" s="1477"/>
      <c r="C233" s="1478"/>
      <c r="D233" s="1480"/>
      <c r="E233" s="1479"/>
      <c r="F233" s="1480"/>
      <c r="G233" s="1480"/>
      <c r="H233" s="1480"/>
      <c r="I233" s="1480"/>
      <c r="J233" s="1480"/>
      <c r="K233" s="1480"/>
      <c r="L233" s="1480"/>
      <c r="M233" s="154"/>
      <c r="N233" s="1481"/>
      <c r="O233" s="1482"/>
    </row>
    <row r="234">
      <c r="A234" s="1463"/>
      <c r="B234" s="1464"/>
      <c r="C234" s="1465"/>
      <c r="D234" s="1471"/>
      <c r="E234" s="1467"/>
      <c r="F234" s="1468"/>
      <c r="G234" s="1469"/>
      <c r="H234" s="1470"/>
      <c r="I234" s="1471"/>
      <c r="J234" s="1472"/>
      <c r="K234" s="1473"/>
      <c r="L234" s="1468"/>
      <c r="M234" s="1386"/>
      <c r="N234" s="1474"/>
      <c r="O234" s="1475"/>
    </row>
    <row r="235">
      <c r="A235" s="1476"/>
      <c r="B235" s="1477"/>
      <c r="C235" s="1478"/>
      <c r="D235" s="1480"/>
      <c r="E235" s="1479"/>
      <c r="F235" s="1480"/>
      <c r="G235" s="1480"/>
      <c r="H235" s="1480"/>
      <c r="I235" s="1480"/>
      <c r="J235" s="1480"/>
      <c r="K235" s="1480"/>
      <c r="L235" s="1480"/>
      <c r="M235" s="154"/>
      <c r="N235" s="1481"/>
      <c r="O235" s="1482"/>
    </row>
    <row r="236">
      <c r="A236" s="1463"/>
      <c r="B236" s="1464"/>
      <c r="C236" s="1465"/>
      <c r="D236" s="1471"/>
      <c r="E236" s="1467"/>
      <c r="F236" s="1468"/>
      <c r="G236" s="1469"/>
      <c r="H236" s="1470"/>
      <c r="I236" s="1471"/>
      <c r="J236" s="1472"/>
      <c r="K236" s="1473"/>
      <c r="L236" s="1468"/>
      <c r="M236" s="1386"/>
      <c r="N236" s="1474"/>
      <c r="O236" s="1475"/>
    </row>
    <row r="237">
      <c r="A237" s="1476"/>
      <c r="B237" s="1477"/>
      <c r="C237" s="1478"/>
      <c r="D237" s="1480"/>
      <c r="E237" s="1479"/>
      <c r="F237" s="1480"/>
      <c r="G237" s="1480"/>
      <c r="H237" s="1480"/>
      <c r="I237" s="1480"/>
      <c r="J237" s="1480"/>
      <c r="K237" s="1480"/>
      <c r="L237" s="1480"/>
      <c r="M237" s="154"/>
      <c r="N237" s="1481"/>
      <c r="O237" s="1482"/>
    </row>
    <row r="238">
      <c r="A238" s="1463"/>
      <c r="B238" s="1464"/>
      <c r="C238" s="1465"/>
      <c r="D238" s="1471"/>
      <c r="E238" s="1467"/>
      <c r="F238" s="1468"/>
      <c r="G238" s="1469"/>
      <c r="H238" s="1470"/>
      <c r="I238" s="1471"/>
      <c r="J238" s="1472"/>
      <c r="K238" s="1473"/>
      <c r="L238" s="1468"/>
      <c r="M238" s="1386"/>
      <c r="N238" s="1474"/>
      <c r="O238" s="1475"/>
    </row>
    <row r="239">
      <c r="A239" s="1476"/>
      <c r="B239" s="1477"/>
      <c r="C239" s="1478"/>
      <c r="D239" s="1480"/>
      <c r="E239" s="1479"/>
      <c r="F239" s="1480"/>
      <c r="G239" s="1480"/>
      <c r="H239" s="1480"/>
      <c r="I239" s="1480"/>
      <c r="J239" s="1480"/>
      <c r="K239" s="1480"/>
      <c r="L239" s="1480"/>
      <c r="M239" s="154"/>
      <c r="N239" s="1481"/>
      <c r="O239" s="1482"/>
    </row>
    <row r="240">
      <c r="A240" s="1463"/>
      <c r="B240" s="1464"/>
      <c r="C240" s="1465"/>
      <c r="D240" s="1471"/>
      <c r="E240" s="1467"/>
      <c r="F240" s="1468"/>
      <c r="G240" s="1469"/>
      <c r="H240" s="1470"/>
      <c r="I240" s="1471"/>
      <c r="J240" s="1472"/>
      <c r="K240" s="1473"/>
      <c r="L240" s="1468"/>
      <c r="M240" s="1386"/>
      <c r="N240" s="1474"/>
      <c r="O240" s="1475"/>
    </row>
    <row r="241">
      <c r="A241" s="1476"/>
      <c r="B241" s="1477"/>
      <c r="C241" s="1478"/>
      <c r="D241" s="1480"/>
      <c r="E241" s="1479"/>
      <c r="F241" s="1480"/>
      <c r="G241" s="1480"/>
      <c r="H241" s="1480"/>
      <c r="I241" s="1480"/>
      <c r="J241" s="1480"/>
      <c r="K241" s="1480"/>
      <c r="L241" s="1480"/>
      <c r="M241" s="154"/>
      <c r="N241" s="1481"/>
      <c r="O241" s="1482"/>
    </row>
    <row r="242">
      <c r="A242" s="1463"/>
      <c r="B242" s="1464"/>
      <c r="C242" s="1465"/>
      <c r="D242" s="1471"/>
      <c r="E242" s="1467"/>
      <c r="F242" s="1468"/>
      <c r="G242" s="1469"/>
      <c r="H242" s="1470"/>
      <c r="I242" s="1471"/>
      <c r="J242" s="1472"/>
      <c r="K242" s="1473"/>
      <c r="L242" s="1468"/>
      <c r="M242" s="1386"/>
      <c r="N242" s="1474"/>
      <c r="O242" s="1475"/>
    </row>
    <row r="243">
      <c r="A243" s="1476"/>
      <c r="B243" s="1477"/>
      <c r="C243" s="1478"/>
      <c r="D243" s="1480"/>
      <c r="E243" s="1479"/>
      <c r="F243" s="1480"/>
      <c r="G243" s="1480"/>
      <c r="H243" s="1480"/>
      <c r="I243" s="1480"/>
      <c r="J243" s="1480"/>
      <c r="K243" s="1480"/>
      <c r="L243" s="1480"/>
      <c r="M243" s="154"/>
      <c r="N243" s="1481"/>
      <c r="O243" s="1482"/>
    </row>
    <row r="244">
      <c r="A244" s="1463"/>
      <c r="B244" s="1464"/>
      <c r="C244" s="1465"/>
      <c r="D244" s="1471"/>
      <c r="E244" s="1467"/>
      <c r="F244" s="1468"/>
      <c r="G244" s="1469"/>
      <c r="H244" s="1470"/>
      <c r="I244" s="1471"/>
      <c r="J244" s="1472"/>
      <c r="K244" s="1473"/>
      <c r="L244" s="1468"/>
      <c r="M244" s="1386"/>
      <c r="N244" s="1474"/>
      <c r="O244" s="1475"/>
    </row>
    <row r="245">
      <c r="A245" s="1476"/>
      <c r="B245" s="1477"/>
      <c r="C245" s="1478"/>
      <c r="D245" s="1480"/>
      <c r="E245" s="1479"/>
      <c r="F245" s="1480"/>
      <c r="G245" s="1480"/>
      <c r="H245" s="1480"/>
      <c r="I245" s="1480"/>
      <c r="J245" s="1480"/>
      <c r="K245" s="1480"/>
      <c r="L245" s="1480"/>
      <c r="M245" s="154"/>
      <c r="N245" s="1481"/>
      <c r="O245" s="1482"/>
    </row>
    <row r="246">
      <c r="A246" s="1463"/>
      <c r="B246" s="1464"/>
      <c r="C246" s="1465"/>
      <c r="D246" s="1471"/>
      <c r="E246" s="1467"/>
      <c r="F246" s="1468"/>
      <c r="G246" s="1469"/>
      <c r="H246" s="1470"/>
      <c r="I246" s="1471"/>
      <c r="J246" s="1472"/>
      <c r="K246" s="1473"/>
      <c r="L246" s="1468"/>
      <c r="M246" s="1386"/>
      <c r="N246" s="1474"/>
      <c r="O246" s="1475"/>
    </row>
    <row r="247">
      <c r="A247" s="1476"/>
      <c r="B247" s="1477"/>
      <c r="C247" s="1478"/>
      <c r="D247" s="1480"/>
      <c r="E247" s="1479"/>
      <c r="F247" s="1480"/>
      <c r="G247" s="1480"/>
      <c r="H247" s="1480"/>
      <c r="I247" s="1480"/>
      <c r="J247" s="1480"/>
      <c r="K247" s="1480"/>
      <c r="L247" s="1480"/>
      <c r="M247" s="154"/>
      <c r="N247" s="1481"/>
      <c r="O247" s="1482"/>
    </row>
    <row r="248">
      <c r="A248" s="1463"/>
      <c r="B248" s="1464"/>
      <c r="C248" s="1465"/>
      <c r="D248" s="1471"/>
      <c r="E248" s="1467"/>
      <c r="F248" s="1468"/>
      <c r="G248" s="1469"/>
      <c r="H248" s="1470"/>
      <c r="I248" s="1471"/>
      <c r="J248" s="1472"/>
      <c r="K248" s="1473"/>
      <c r="L248" s="1468"/>
      <c r="M248" s="1386"/>
      <c r="N248" s="1474"/>
      <c r="O248" s="1475"/>
    </row>
    <row r="249">
      <c r="A249" s="1476"/>
      <c r="B249" s="1477"/>
      <c r="C249" s="1478"/>
      <c r="D249" s="1480"/>
      <c r="E249" s="1479"/>
      <c r="F249" s="1480"/>
      <c r="G249" s="1480"/>
      <c r="H249" s="1480"/>
      <c r="I249" s="1480"/>
      <c r="J249" s="1480"/>
      <c r="K249" s="1480"/>
      <c r="L249" s="1480"/>
      <c r="M249" s="154"/>
      <c r="N249" s="1481"/>
      <c r="O249" s="1482"/>
    </row>
    <row r="250">
      <c r="A250" s="1463"/>
      <c r="B250" s="1464"/>
      <c r="C250" s="1465"/>
      <c r="D250" s="1471"/>
      <c r="E250" s="1467"/>
      <c r="F250" s="1468"/>
      <c r="G250" s="1469"/>
      <c r="H250" s="1470"/>
      <c r="I250" s="1471"/>
      <c r="J250" s="1472"/>
      <c r="K250" s="1473"/>
      <c r="L250" s="1468"/>
      <c r="M250" s="1386"/>
      <c r="N250" s="1474"/>
      <c r="O250" s="1475"/>
    </row>
    <row r="251">
      <c r="A251" s="1476"/>
      <c r="B251" s="1477"/>
      <c r="C251" s="1478"/>
      <c r="D251" s="1480"/>
      <c r="E251" s="1479"/>
      <c r="F251" s="1480"/>
      <c r="G251" s="1480"/>
      <c r="H251" s="1480"/>
      <c r="I251" s="1480"/>
      <c r="J251" s="1480"/>
      <c r="K251" s="1480"/>
      <c r="L251" s="1480"/>
      <c r="M251" s="154"/>
      <c r="N251" s="1481"/>
      <c r="O251" s="1482"/>
    </row>
    <row r="252">
      <c r="A252" s="1463"/>
      <c r="B252" s="1464"/>
      <c r="C252" s="1465"/>
      <c r="D252" s="1471"/>
      <c r="E252" s="1467"/>
      <c r="F252" s="1468"/>
      <c r="G252" s="1469"/>
      <c r="H252" s="1470"/>
      <c r="I252" s="1471"/>
      <c r="J252" s="1472"/>
      <c r="K252" s="1473"/>
      <c r="L252" s="1468"/>
      <c r="M252" s="1386"/>
      <c r="N252" s="1474"/>
      <c r="O252" s="1475"/>
    </row>
    <row r="253">
      <c r="A253" s="1476"/>
      <c r="B253" s="1477"/>
      <c r="C253" s="1478"/>
      <c r="D253" s="1480"/>
      <c r="E253" s="1479"/>
      <c r="F253" s="1480"/>
      <c r="G253" s="1480"/>
      <c r="H253" s="1480"/>
      <c r="I253" s="1480"/>
      <c r="J253" s="1480"/>
      <c r="K253" s="1480"/>
      <c r="L253" s="1480"/>
      <c r="M253" s="154"/>
      <c r="N253" s="1481"/>
      <c r="O253" s="1482"/>
    </row>
    <row r="254">
      <c r="A254" s="1463"/>
      <c r="B254" s="1464"/>
      <c r="C254" s="1465"/>
      <c r="D254" s="1471"/>
      <c r="E254" s="1467"/>
      <c r="F254" s="1468"/>
      <c r="G254" s="1469"/>
      <c r="H254" s="1470"/>
      <c r="I254" s="1471"/>
      <c r="J254" s="1472"/>
      <c r="K254" s="1473"/>
      <c r="L254" s="1468"/>
      <c r="M254" s="1386"/>
      <c r="N254" s="1474"/>
      <c r="O254" s="1475"/>
    </row>
    <row r="255">
      <c r="A255" s="1476"/>
      <c r="B255" s="1477"/>
      <c r="C255" s="1478"/>
      <c r="D255" s="1480"/>
      <c r="E255" s="1479"/>
      <c r="F255" s="1480"/>
      <c r="G255" s="1480"/>
      <c r="H255" s="1480"/>
      <c r="I255" s="1480"/>
      <c r="J255" s="1480"/>
      <c r="K255" s="1480"/>
      <c r="L255" s="1480"/>
      <c r="M255" s="154"/>
      <c r="N255" s="1481"/>
      <c r="O255" s="1482"/>
    </row>
    <row r="256">
      <c r="A256" s="1463"/>
      <c r="B256" s="1464"/>
      <c r="C256" s="1465"/>
      <c r="D256" s="1471"/>
      <c r="E256" s="1467"/>
      <c r="F256" s="1468"/>
      <c r="G256" s="1469"/>
      <c r="H256" s="1470"/>
      <c r="I256" s="1471"/>
      <c r="J256" s="1472"/>
      <c r="K256" s="1473"/>
      <c r="L256" s="1468"/>
      <c r="M256" s="1386"/>
      <c r="N256" s="1474"/>
      <c r="O256" s="1475"/>
    </row>
    <row r="257">
      <c r="A257" s="1476"/>
      <c r="B257" s="1477"/>
      <c r="C257" s="1478"/>
      <c r="D257" s="1480"/>
      <c r="E257" s="1479"/>
      <c r="F257" s="1480"/>
      <c r="G257" s="1480"/>
      <c r="H257" s="1480"/>
      <c r="I257" s="1480"/>
      <c r="J257" s="1480"/>
      <c r="K257" s="1480"/>
      <c r="L257" s="1480"/>
      <c r="M257" s="154"/>
      <c r="N257" s="1481"/>
      <c r="O257" s="1482"/>
    </row>
    <row r="258">
      <c r="A258" s="1463"/>
      <c r="B258" s="1464"/>
      <c r="C258" s="1465"/>
      <c r="D258" s="1471"/>
      <c r="E258" s="1467"/>
      <c r="F258" s="1468"/>
      <c r="G258" s="1469"/>
      <c r="H258" s="1470"/>
      <c r="I258" s="1471"/>
      <c r="J258" s="1472"/>
      <c r="K258" s="1473"/>
      <c r="L258" s="1468"/>
      <c r="M258" s="1386"/>
      <c r="N258" s="1474"/>
      <c r="O258" s="1475"/>
    </row>
    <row r="259">
      <c r="A259" s="1476"/>
      <c r="B259" s="1477"/>
      <c r="C259" s="1478"/>
      <c r="D259" s="1480"/>
      <c r="E259" s="1479"/>
      <c r="F259" s="1480"/>
      <c r="G259" s="1480"/>
      <c r="H259" s="1480"/>
      <c r="I259" s="1480"/>
      <c r="J259" s="1480"/>
      <c r="K259" s="1480"/>
      <c r="L259" s="1480"/>
      <c r="M259" s="154"/>
      <c r="N259" s="1481"/>
      <c r="O259" s="1482"/>
    </row>
    <row r="260">
      <c r="A260" s="1463"/>
      <c r="B260" s="1464"/>
      <c r="C260" s="1465"/>
      <c r="D260" s="1471"/>
      <c r="E260" s="1467"/>
      <c r="F260" s="1468"/>
      <c r="G260" s="1469"/>
      <c r="H260" s="1470"/>
      <c r="I260" s="1471"/>
      <c r="J260" s="1472"/>
      <c r="K260" s="1473"/>
      <c r="L260" s="1468"/>
      <c r="M260" s="1386"/>
      <c r="N260" s="1474"/>
      <c r="O260" s="1475"/>
    </row>
    <row r="261">
      <c r="A261" s="1476"/>
      <c r="B261" s="1477"/>
      <c r="C261" s="1478"/>
      <c r="D261" s="1480"/>
      <c r="E261" s="1479"/>
      <c r="F261" s="1480"/>
      <c r="G261" s="1480"/>
      <c r="H261" s="1480"/>
      <c r="I261" s="1480"/>
      <c r="J261" s="1480"/>
      <c r="K261" s="1480"/>
      <c r="L261" s="1480"/>
      <c r="M261" s="154"/>
      <c r="N261" s="1481"/>
      <c r="O261" s="1482"/>
    </row>
    <row r="262">
      <c r="A262" s="1463"/>
      <c r="B262" s="1464"/>
      <c r="C262" s="1465"/>
      <c r="D262" s="1471"/>
      <c r="E262" s="1467"/>
      <c r="F262" s="1468"/>
      <c r="G262" s="1469"/>
      <c r="H262" s="1470"/>
      <c r="I262" s="1471"/>
      <c r="J262" s="1472"/>
      <c r="K262" s="1473"/>
      <c r="L262" s="1468"/>
      <c r="M262" s="1386"/>
      <c r="N262" s="1474"/>
      <c r="O262" s="1475"/>
    </row>
    <row r="263">
      <c r="A263" s="1476"/>
      <c r="B263" s="1477"/>
      <c r="C263" s="1478"/>
      <c r="D263" s="1480"/>
      <c r="E263" s="1479"/>
      <c r="F263" s="1480"/>
      <c r="G263" s="1480"/>
      <c r="H263" s="1480"/>
      <c r="I263" s="1480"/>
      <c r="J263" s="1480"/>
      <c r="K263" s="1480"/>
      <c r="L263" s="1480"/>
      <c r="M263" s="154"/>
      <c r="N263" s="1481"/>
      <c r="O263" s="1482"/>
    </row>
    <row r="264">
      <c r="A264" s="1463"/>
      <c r="B264" s="1464"/>
      <c r="C264" s="1465"/>
      <c r="D264" s="1471"/>
      <c r="E264" s="1467"/>
      <c r="F264" s="1468"/>
      <c r="G264" s="1469"/>
      <c r="H264" s="1470"/>
      <c r="I264" s="1471"/>
      <c r="J264" s="1472"/>
      <c r="K264" s="1473"/>
      <c r="L264" s="1468"/>
      <c r="M264" s="1386"/>
      <c r="N264" s="1474"/>
      <c r="O264" s="1475"/>
    </row>
    <row r="265">
      <c r="A265" s="1476"/>
      <c r="B265" s="1477"/>
      <c r="C265" s="1478"/>
      <c r="D265" s="1480"/>
      <c r="E265" s="1479"/>
      <c r="F265" s="1480"/>
      <c r="G265" s="1480"/>
      <c r="H265" s="1480"/>
      <c r="I265" s="1480"/>
      <c r="J265" s="1480"/>
      <c r="K265" s="1480"/>
      <c r="L265" s="1480"/>
      <c r="M265" s="154"/>
      <c r="N265" s="1481"/>
      <c r="O265" s="1482"/>
    </row>
    <row r="266">
      <c r="A266" s="1463"/>
      <c r="B266" s="1464"/>
      <c r="C266" s="1465"/>
      <c r="D266" s="1471"/>
      <c r="E266" s="1467"/>
      <c r="F266" s="1468"/>
      <c r="G266" s="1469"/>
      <c r="H266" s="1470"/>
      <c r="I266" s="1471"/>
      <c r="J266" s="1472"/>
      <c r="K266" s="1473"/>
      <c r="L266" s="1468"/>
      <c r="M266" s="1386"/>
      <c r="N266" s="1474"/>
      <c r="O266" s="1475"/>
    </row>
    <row r="267">
      <c r="A267" s="1476"/>
      <c r="B267" s="1477"/>
      <c r="C267" s="1478"/>
      <c r="D267" s="1480"/>
      <c r="E267" s="1479"/>
      <c r="F267" s="1480"/>
      <c r="G267" s="1480"/>
      <c r="H267" s="1480"/>
      <c r="I267" s="1480"/>
      <c r="J267" s="1480"/>
      <c r="K267" s="1480"/>
      <c r="L267" s="1480"/>
      <c r="M267" s="154"/>
      <c r="N267" s="1481"/>
      <c r="O267" s="1482"/>
    </row>
    <row r="268">
      <c r="A268" s="1463"/>
      <c r="B268" s="1464"/>
      <c r="C268" s="1465"/>
      <c r="D268" s="1471"/>
      <c r="E268" s="1467"/>
      <c r="F268" s="1468"/>
      <c r="G268" s="1469"/>
      <c r="H268" s="1470"/>
      <c r="I268" s="1471"/>
      <c r="J268" s="1472"/>
      <c r="K268" s="1473"/>
      <c r="L268" s="1468"/>
      <c r="M268" s="1386"/>
      <c r="N268" s="1474"/>
      <c r="O268" s="1475"/>
    </row>
    <row r="269">
      <c r="A269" s="1476"/>
      <c r="B269" s="1477"/>
      <c r="C269" s="1478"/>
      <c r="D269" s="1480"/>
      <c r="E269" s="1479"/>
      <c r="F269" s="1480"/>
      <c r="G269" s="1480"/>
      <c r="H269" s="1480"/>
      <c r="I269" s="1480"/>
      <c r="J269" s="1480"/>
      <c r="K269" s="1480"/>
      <c r="L269" s="1480"/>
      <c r="M269" s="154"/>
      <c r="N269" s="1481"/>
      <c r="O269" s="1482"/>
    </row>
    <row r="270">
      <c r="A270" s="1463"/>
      <c r="B270" s="1464"/>
      <c r="C270" s="1465"/>
      <c r="D270" s="1471"/>
      <c r="E270" s="1467"/>
      <c r="F270" s="1468"/>
      <c r="G270" s="1469"/>
      <c r="H270" s="1470"/>
      <c r="I270" s="1471"/>
      <c r="J270" s="1472"/>
      <c r="K270" s="1473"/>
      <c r="L270" s="1468"/>
      <c r="M270" s="1386"/>
      <c r="N270" s="1474"/>
      <c r="O270" s="1475"/>
    </row>
    <row r="271">
      <c r="A271" s="1476"/>
      <c r="B271" s="1477"/>
      <c r="C271" s="1478"/>
      <c r="D271" s="1480"/>
      <c r="E271" s="1479"/>
      <c r="F271" s="1480"/>
      <c r="G271" s="1480"/>
      <c r="H271" s="1480"/>
      <c r="I271" s="1480"/>
      <c r="J271" s="1480"/>
      <c r="K271" s="1480"/>
      <c r="L271" s="1480"/>
      <c r="M271" s="154"/>
      <c r="N271" s="1481"/>
      <c r="O271" s="1482"/>
    </row>
    <row r="272">
      <c r="A272" s="1463"/>
      <c r="B272" s="1464"/>
      <c r="C272" s="1465"/>
      <c r="D272" s="1471"/>
      <c r="E272" s="1467"/>
      <c r="F272" s="1468"/>
      <c r="G272" s="1469"/>
      <c r="H272" s="1470"/>
      <c r="I272" s="1471"/>
      <c r="J272" s="1472"/>
      <c r="K272" s="1473"/>
      <c r="L272" s="1468"/>
      <c r="M272" s="1386"/>
      <c r="N272" s="1474"/>
      <c r="O272" s="1475"/>
    </row>
    <row r="273">
      <c r="A273" s="1476"/>
      <c r="B273" s="1477"/>
      <c r="C273" s="1478"/>
      <c r="D273" s="1480"/>
      <c r="E273" s="1479"/>
      <c r="F273" s="1480"/>
      <c r="G273" s="1480"/>
      <c r="H273" s="1480"/>
      <c r="I273" s="1480"/>
      <c r="J273" s="1480"/>
      <c r="K273" s="1480"/>
      <c r="L273" s="1480"/>
      <c r="M273" s="154"/>
      <c r="N273" s="1481"/>
      <c r="O273" s="1482"/>
    </row>
    <row r="274">
      <c r="A274" s="1463"/>
      <c r="B274" s="1464"/>
      <c r="C274" s="1465"/>
      <c r="D274" s="1471"/>
      <c r="E274" s="1467"/>
      <c r="F274" s="1468"/>
      <c r="G274" s="1469"/>
      <c r="H274" s="1470"/>
      <c r="I274" s="1471"/>
      <c r="J274" s="1472"/>
      <c r="K274" s="1473"/>
      <c r="L274" s="1468"/>
      <c r="M274" s="1386"/>
      <c r="N274" s="1474"/>
      <c r="O274" s="1475"/>
    </row>
    <row r="275">
      <c r="A275" s="1476"/>
      <c r="B275" s="1477"/>
      <c r="C275" s="1478"/>
      <c r="D275" s="1480"/>
      <c r="E275" s="1479"/>
      <c r="F275" s="1480"/>
      <c r="G275" s="1480"/>
      <c r="H275" s="1480"/>
      <c r="I275" s="1480"/>
      <c r="J275" s="1480"/>
      <c r="K275" s="1480"/>
      <c r="L275" s="1480"/>
      <c r="M275" s="154"/>
      <c r="N275" s="1481"/>
      <c r="O275" s="1482"/>
    </row>
    <row r="276">
      <c r="A276" s="1463"/>
      <c r="B276" s="1464"/>
      <c r="C276" s="1465"/>
      <c r="D276" s="1471"/>
      <c r="E276" s="1467"/>
      <c r="F276" s="1468"/>
      <c r="G276" s="1469"/>
      <c r="H276" s="1470"/>
      <c r="I276" s="1471"/>
      <c r="J276" s="1472"/>
      <c r="K276" s="1473"/>
      <c r="L276" s="1468"/>
      <c r="M276" s="1386"/>
      <c r="N276" s="1474"/>
      <c r="O276" s="1475"/>
    </row>
    <row r="277">
      <c r="A277" s="1476"/>
      <c r="B277" s="1477"/>
      <c r="C277" s="1478"/>
      <c r="D277" s="1480"/>
      <c r="E277" s="1479"/>
      <c r="F277" s="1480"/>
      <c r="G277" s="1480"/>
      <c r="H277" s="1480"/>
      <c r="I277" s="1480"/>
      <c r="J277" s="1480"/>
      <c r="K277" s="1480"/>
      <c r="L277" s="1480"/>
      <c r="M277" s="154"/>
      <c r="N277" s="1481"/>
      <c r="O277" s="1482"/>
    </row>
    <row r="278">
      <c r="A278" s="1463"/>
      <c r="B278" s="1464"/>
      <c r="C278" s="1465"/>
      <c r="D278" s="1471"/>
      <c r="E278" s="1467"/>
      <c r="F278" s="1468"/>
      <c r="G278" s="1469"/>
      <c r="H278" s="1470"/>
      <c r="I278" s="1471"/>
      <c r="J278" s="1472"/>
      <c r="K278" s="1473"/>
      <c r="L278" s="1468"/>
      <c r="M278" s="1386"/>
      <c r="N278" s="1474"/>
      <c r="O278" s="1475"/>
    </row>
    <row r="279">
      <c r="A279" s="1476"/>
      <c r="B279" s="1477"/>
      <c r="C279" s="1478"/>
      <c r="D279" s="1480"/>
      <c r="E279" s="1479"/>
      <c r="F279" s="1480"/>
      <c r="G279" s="1480"/>
      <c r="H279" s="1480"/>
      <c r="I279" s="1480"/>
      <c r="J279" s="1480"/>
      <c r="K279" s="1480"/>
      <c r="L279" s="1480"/>
      <c r="M279" s="154"/>
      <c r="N279" s="1481"/>
      <c r="O279" s="1482"/>
    </row>
    <row r="280">
      <c r="A280" s="1463"/>
      <c r="B280" s="1464"/>
      <c r="C280" s="1465"/>
      <c r="D280" s="1471"/>
      <c r="E280" s="1467"/>
      <c r="F280" s="1468"/>
      <c r="G280" s="1469"/>
      <c r="H280" s="1470"/>
      <c r="I280" s="1471"/>
      <c r="J280" s="1472"/>
      <c r="K280" s="1473"/>
      <c r="L280" s="1468"/>
      <c r="M280" s="1386"/>
      <c r="N280" s="1474"/>
      <c r="O280" s="1475"/>
    </row>
    <row r="281">
      <c r="A281" s="1476"/>
      <c r="B281" s="1477"/>
      <c r="C281" s="1478"/>
      <c r="D281" s="1480"/>
      <c r="E281" s="1479"/>
      <c r="F281" s="1480"/>
      <c r="G281" s="1480"/>
      <c r="H281" s="1480"/>
      <c r="I281" s="1480"/>
      <c r="J281" s="1480"/>
      <c r="K281" s="1480"/>
      <c r="L281" s="1480"/>
      <c r="M281" s="154"/>
      <c r="N281" s="1481"/>
      <c r="O281" s="1482"/>
    </row>
    <row r="282">
      <c r="A282" s="1463"/>
      <c r="B282" s="1464"/>
      <c r="C282" s="1465"/>
      <c r="D282" s="1471"/>
      <c r="E282" s="1467"/>
      <c r="F282" s="1468"/>
      <c r="G282" s="1469"/>
      <c r="H282" s="1470"/>
      <c r="I282" s="1471"/>
      <c r="J282" s="1472"/>
      <c r="K282" s="1473"/>
      <c r="L282" s="1468"/>
      <c r="M282" s="1386"/>
      <c r="N282" s="1474"/>
      <c r="O282" s="1475"/>
    </row>
    <row r="283">
      <c r="A283" s="1476"/>
      <c r="B283" s="1477"/>
      <c r="C283" s="1478"/>
      <c r="D283" s="1480"/>
      <c r="E283" s="1479"/>
      <c r="F283" s="1480"/>
      <c r="G283" s="1480"/>
      <c r="H283" s="1480"/>
      <c r="I283" s="1480"/>
      <c r="J283" s="1480"/>
      <c r="K283" s="1480"/>
      <c r="L283" s="1480"/>
      <c r="M283" s="154"/>
      <c r="N283" s="1481"/>
      <c r="O283" s="1482"/>
    </row>
    <row r="284">
      <c r="A284" s="1463"/>
      <c r="B284" s="1464"/>
      <c r="C284" s="1465"/>
      <c r="D284" s="1471"/>
      <c r="E284" s="1467"/>
      <c r="F284" s="1468"/>
      <c r="G284" s="1469"/>
      <c r="H284" s="1470"/>
      <c r="I284" s="1471"/>
      <c r="J284" s="1472"/>
      <c r="K284" s="1473"/>
      <c r="L284" s="1468"/>
      <c r="M284" s="1386"/>
      <c r="N284" s="1474"/>
      <c r="O284" s="1475"/>
    </row>
    <row r="285">
      <c r="A285" s="1476"/>
      <c r="B285" s="1477"/>
      <c r="C285" s="1478"/>
      <c r="D285" s="1480"/>
      <c r="E285" s="1479"/>
      <c r="F285" s="1480"/>
      <c r="G285" s="1480"/>
      <c r="H285" s="1480"/>
      <c r="I285" s="1480"/>
      <c r="J285" s="1480"/>
      <c r="K285" s="1480"/>
      <c r="L285" s="1480"/>
      <c r="M285" s="154"/>
      <c r="N285" s="1481"/>
      <c r="O285" s="1482"/>
    </row>
    <row r="286">
      <c r="A286" s="1463"/>
      <c r="B286" s="1464"/>
      <c r="C286" s="1465"/>
      <c r="D286" s="1471"/>
      <c r="E286" s="1467"/>
      <c r="F286" s="1468"/>
      <c r="G286" s="1469"/>
      <c r="H286" s="1470"/>
      <c r="I286" s="1471"/>
      <c r="J286" s="1472"/>
      <c r="K286" s="1473"/>
      <c r="L286" s="1468"/>
      <c r="M286" s="1386"/>
      <c r="N286" s="1474"/>
      <c r="O286" s="1475"/>
    </row>
    <row r="287">
      <c r="A287" s="1476"/>
      <c r="B287" s="1477"/>
      <c r="C287" s="1478"/>
      <c r="D287" s="1480"/>
      <c r="E287" s="1479"/>
      <c r="F287" s="1480"/>
      <c r="G287" s="1480"/>
      <c r="H287" s="1480"/>
      <c r="I287" s="1480"/>
      <c r="J287" s="1480"/>
      <c r="K287" s="1480"/>
      <c r="L287" s="1480"/>
      <c r="M287" s="154"/>
      <c r="N287" s="1481"/>
      <c r="O287" s="1482"/>
    </row>
    <row r="288">
      <c r="A288" s="1463"/>
      <c r="B288" s="1464"/>
      <c r="C288" s="1465"/>
      <c r="D288" s="1471"/>
      <c r="E288" s="1467"/>
      <c r="F288" s="1468"/>
      <c r="G288" s="1469"/>
      <c r="H288" s="1470"/>
      <c r="I288" s="1471"/>
      <c r="J288" s="1472"/>
      <c r="K288" s="1473"/>
      <c r="L288" s="1468"/>
      <c r="M288" s="1386"/>
      <c r="N288" s="1474"/>
      <c r="O288" s="1475"/>
    </row>
    <row r="289">
      <c r="A289" s="1476"/>
      <c r="B289" s="1477"/>
      <c r="C289" s="1478"/>
      <c r="D289" s="1480"/>
      <c r="E289" s="1479"/>
      <c r="F289" s="1480"/>
      <c r="G289" s="1480"/>
      <c r="H289" s="1480"/>
      <c r="I289" s="1480"/>
      <c r="J289" s="1480"/>
      <c r="K289" s="1480"/>
      <c r="L289" s="1480"/>
      <c r="M289" s="154"/>
      <c r="N289" s="1481"/>
      <c r="O289" s="1482"/>
    </row>
    <row r="290">
      <c r="A290" s="1463"/>
      <c r="B290" s="1464"/>
      <c r="C290" s="1465"/>
      <c r="D290" s="1471"/>
      <c r="E290" s="1467"/>
      <c r="F290" s="1468"/>
      <c r="G290" s="1469"/>
      <c r="H290" s="1470"/>
      <c r="I290" s="1471"/>
      <c r="J290" s="1472"/>
      <c r="K290" s="1473"/>
      <c r="L290" s="1468"/>
      <c r="M290" s="1386"/>
      <c r="N290" s="1474"/>
      <c r="O290" s="1475"/>
    </row>
    <row r="291">
      <c r="A291" s="1476"/>
      <c r="B291" s="1477"/>
      <c r="C291" s="1478"/>
      <c r="D291" s="1480"/>
      <c r="E291" s="1479"/>
      <c r="F291" s="1480"/>
      <c r="G291" s="1480"/>
      <c r="H291" s="1480"/>
      <c r="I291" s="1480"/>
      <c r="J291" s="1480"/>
      <c r="K291" s="1480"/>
      <c r="L291" s="1480"/>
      <c r="M291" s="154"/>
      <c r="N291" s="1481"/>
      <c r="O291" s="1482"/>
    </row>
    <row r="292">
      <c r="A292" s="1463"/>
      <c r="B292" s="1464"/>
      <c r="C292" s="1465"/>
      <c r="D292" s="1471"/>
      <c r="E292" s="1467"/>
      <c r="F292" s="1468"/>
      <c r="G292" s="1469"/>
      <c r="H292" s="1470"/>
      <c r="I292" s="1471"/>
      <c r="J292" s="1472"/>
      <c r="K292" s="1473"/>
      <c r="L292" s="1468"/>
      <c r="M292" s="1386"/>
      <c r="N292" s="1474"/>
      <c r="O292" s="1475"/>
    </row>
    <row r="293">
      <c r="A293" s="1476"/>
      <c r="B293" s="1477"/>
      <c r="C293" s="1478"/>
      <c r="D293" s="1480"/>
      <c r="E293" s="1479"/>
      <c r="F293" s="1480"/>
      <c r="G293" s="1480"/>
      <c r="H293" s="1480"/>
      <c r="I293" s="1480"/>
      <c r="J293" s="1480"/>
      <c r="K293" s="1480"/>
      <c r="L293" s="1480"/>
      <c r="M293" s="154"/>
      <c r="N293" s="1481"/>
      <c r="O293" s="1482"/>
    </row>
    <row r="294">
      <c r="A294" s="1463"/>
      <c r="B294" s="1464"/>
      <c r="C294" s="1465"/>
      <c r="D294" s="1471"/>
      <c r="E294" s="1467"/>
      <c r="F294" s="1468"/>
      <c r="G294" s="1469"/>
      <c r="H294" s="1470"/>
      <c r="I294" s="1471"/>
      <c r="J294" s="1472"/>
      <c r="K294" s="1473"/>
      <c r="L294" s="1468"/>
      <c r="M294" s="1386"/>
      <c r="N294" s="1474"/>
      <c r="O294" s="1475"/>
    </row>
    <row r="295">
      <c r="A295" s="1476"/>
      <c r="B295" s="1477"/>
      <c r="C295" s="1478"/>
      <c r="D295" s="1480"/>
      <c r="E295" s="1479"/>
      <c r="F295" s="1480"/>
      <c r="G295" s="1480"/>
      <c r="H295" s="1480"/>
      <c r="I295" s="1480"/>
      <c r="J295" s="1480"/>
      <c r="K295" s="1480"/>
      <c r="L295" s="1480"/>
      <c r="M295" s="154"/>
      <c r="N295" s="1481"/>
      <c r="O295" s="1482"/>
    </row>
    <row r="296">
      <c r="A296" s="1463"/>
      <c r="B296" s="1464"/>
      <c r="C296" s="1465"/>
      <c r="D296" s="1471"/>
      <c r="E296" s="1467"/>
      <c r="F296" s="1468"/>
      <c r="G296" s="1469"/>
      <c r="H296" s="1470"/>
      <c r="I296" s="1471"/>
      <c r="J296" s="1472"/>
      <c r="K296" s="1473"/>
      <c r="L296" s="1468"/>
      <c r="M296" s="1386"/>
      <c r="N296" s="1474"/>
      <c r="O296" s="1475"/>
    </row>
    <row r="297">
      <c r="A297" s="1476"/>
      <c r="B297" s="1477"/>
      <c r="C297" s="1478"/>
      <c r="D297" s="1480"/>
      <c r="E297" s="1479"/>
      <c r="F297" s="1480"/>
      <c r="G297" s="1480"/>
      <c r="H297" s="1480"/>
      <c r="I297" s="1480"/>
      <c r="J297" s="1480"/>
      <c r="K297" s="1480"/>
      <c r="L297" s="1480"/>
      <c r="M297" s="154"/>
      <c r="N297" s="1481"/>
      <c r="O297" s="1482"/>
    </row>
    <row r="298">
      <c r="A298" s="1463"/>
      <c r="B298" s="1464"/>
      <c r="C298" s="1465"/>
      <c r="D298" s="1471"/>
      <c r="E298" s="1467"/>
      <c r="F298" s="1468"/>
      <c r="G298" s="1469"/>
      <c r="H298" s="1470"/>
      <c r="I298" s="1471"/>
      <c r="J298" s="1472"/>
      <c r="K298" s="1473"/>
      <c r="L298" s="1468"/>
      <c r="M298" s="1386"/>
      <c r="N298" s="1474"/>
      <c r="O298" s="1475"/>
    </row>
    <row r="299">
      <c r="A299" s="1476"/>
      <c r="B299" s="1477"/>
      <c r="C299" s="1478"/>
      <c r="D299" s="1480"/>
      <c r="E299" s="1479"/>
      <c r="F299" s="1480"/>
      <c r="G299" s="1480"/>
      <c r="H299" s="1480"/>
      <c r="I299" s="1480"/>
      <c r="J299" s="1480"/>
      <c r="K299" s="1480"/>
      <c r="L299" s="1480"/>
      <c r="M299" s="154"/>
      <c r="N299" s="1481"/>
      <c r="O299" s="1482"/>
    </row>
    <row r="300">
      <c r="A300" s="1463"/>
      <c r="B300" s="1464"/>
      <c r="C300" s="1465"/>
      <c r="D300" s="1471"/>
      <c r="E300" s="1467"/>
      <c r="F300" s="1468"/>
      <c r="G300" s="1469"/>
      <c r="H300" s="1470"/>
      <c r="I300" s="1471"/>
      <c r="J300" s="1472"/>
      <c r="K300" s="1473"/>
      <c r="L300" s="1468"/>
      <c r="M300" s="1386"/>
      <c r="N300" s="1474"/>
      <c r="O300" s="1475"/>
    </row>
    <row r="301">
      <c r="A301" s="1476"/>
      <c r="B301" s="1477"/>
      <c r="C301" s="1478"/>
      <c r="D301" s="1480"/>
      <c r="E301" s="1479"/>
      <c r="F301" s="1480"/>
      <c r="G301" s="1480"/>
      <c r="H301" s="1480"/>
      <c r="I301" s="1480"/>
      <c r="J301" s="1480"/>
      <c r="K301" s="1480"/>
      <c r="L301" s="1480"/>
      <c r="M301" s="154"/>
      <c r="N301" s="1481"/>
      <c r="O301" s="1482"/>
    </row>
    <row r="302">
      <c r="A302" s="1463"/>
      <c r="B302" s="1464"/>
      <c r="C302" s="1465"/>
      <c r="D302" s="1471"/>
      <c r="E302" s="1467"/>
      <c r="F302" s="1468"/>
      <c r="G302" s="1469"/>
      <c r="H302" s="1470"/>
      <c r="I302" s="1471"/>
      <c r="J302" s="1472"/>
      <c r="K302" s="1473"/>
      <c r="L302" s="1468"/>
      <c r="M302" s="1386"/>
      <c r="N302" s="1474"/>
      <c r="O302" s="1475"/>
    </row>
    <row r="303">
      <c r="A303" s="1476"/>
      <c r="B303" s="1477"/>
      <c r="C303" s="1478"/>
      <c r="D303" s="1480"/>
      <c r="E303" s="1479"/>
      <c r="F303" s="1480"/>
      <c r="G303" s="1480"/>
      <c r="H303" s="1480"/>
      <c r="I303" s="1480"/>
      <c r="J303" s="1480"/>
      <c r="K303" s="1480"/>
      <c r="L303" s="1480"/>
      <c r="M303" s="154"/>
      <c r="N303" s="1481"/>
      <c r="O303" s="1482"/>
    </row>
    <row r="304">
      <c r="A304" s="1463"/>
      <c r="B304" s="1464"/>
      <c r="C304" s="1465"/>
      <c r="D304" s="1471"/>
      <c r="E304" s="1467"/>
      <c r="F304" s="1468"/>
      <c r="G304" s="1469"/>
      <c r="H304" s="1470"/>
      <c r="I304" s="1471"/>
      <c r="J304" s="1472"/>
      <c r="K304" s="1473"/>
      <c r="L304" s="1468"/>
      <c r="M304" s="1386"/>
      <c r="N304" s="1474"/>
      <c r="O304" s="1475"/>
    </row>
    <row r="305">
      <c r="A305" s="1476"/>
      <c r="B305" s="1477"/>
      <c r="C305" s="1478"/>
      <c r="D305" s="1480"/>
      <c r="E305" s="1479"/>
      <c r="F305" s="1480"/>
      <c r="G305" s="1480"/>
      <c r="H305" s="1480"/>
      <c r="I305" s="1480"/>
      <c r="J305" s="1480"/>
      <c r="K305" s="1480"/>
      <c r="L305" s="1480"/>
      <c r="M305" s="154"/>
      <c r="N305" s="1481"/>
      <c r="O305" s="1482"/>
    </row>
    <row r="306">
      <c r="A306" s="1463"/>
      <c r="B306" s="1464"/>
      <c r="C306" s="1465"/>
      <c r="D306" s="1471"/>
      <c r="E306" s="1467"/>
      <c r="F306" s="1468"/>
      <c r="G306" s="1469"/>
      <c r="H306" s="1470"/>
      <c r="I306" s="1471"/>
      <c r="J306" s="1472"/>
      <c r="K306" s="1473"/>
      <c r="L306" s="1468"/>
      <c r="M306" s="1386"/>
      <c r="N306" s="1474"/>
      <c r="O306" s="1475"/>
    </row>
    <row r="307">
      <c r="A307" s="1476"/>
      <c r="B307" s="1477"/>
      <c r="C307" s="1478"/>
      <c r="D307" s="1480"/>
      <c r="E307" s="1479"/>
      <c r="F307" s="1480"/>
      <c r="G307" s="1480"/>
      <c r="H307" s="1480"/>
      <c r="I307" s="1480"/>
      <c r="J307" s="1480"/>
      <c r="K307" s="1480"/>
      <c r="L307" s="1480"/>
      <c r="M307" s="154"/>
      <c r="N307" s="1481"/>
      <c r="O307" s="1482"/>
    </row>
    <row r="308">
      <c r="A308" s="1463"/>
      <c r="B308" s="1464"/>
      <c r="C308" s="1465"/>
      <c r="D308" s="1471"/>
      <c r="E308" s="1467"/>
      <c r="F308" s="1468"/>
      <c r="G308" s="1469"/>
      <c r="H308" s="1470"/>
      <c r="I308" s="1471"/>
      <c r="J308" s="1472"/>
      <c r="K308" s="1473"/>
      <c r="L308" s="1468"/>
      <c r="M308" s="1386"/>
      <c r="N308" s="1474"/>
      <c r="O308" s="1475"/>
    </row>
    <row r="309">
      <c r="A309" s="1476"/>
      <c r="B309" s="1477"/>
      <c r="C309" s="1478"/>
      <c r="D309" s="1480"/>
      <c r="E309" s="1479"/>
      <c r="F309" s="1480"/>
      <c r="G309" s="1480"/>
      <c r="H309" s="1480"/>
      <c r="I309" s="1480"/>
      <c r="J309" s="1480"/>
      <c r="K309" s="1480"/>
      <c r="L309" s="1480"/>
      <c r="M309" s="154"/>
      <c r="N309" s="1481"/>
      <c r="O309" s="1482"/>
    </row>
    <row r="310">
      <c r="A310" s="1463"/>
      <c r="B310" s="1464"/>
      <c r="C310" s="1465"/>
      <c r="D310" s="1471"/>
      <c r="E310" s="1467"/>
      <c r="F310" s="1468"/>
      <c r="G310" s="1469"/>
      <c r="H310" s="1470"/>
      <c r="I310" s="1471"/>
      <c r="J310" s="1472"/>
      <c r="K310" s="1473"/>
      <c r="L310" s="1468"/>
      <c r="M310" s="1386"/>
      <c r="N310" s="1474"/>
      <c r="O310" s="1475"/>
    </row>
    <row r="311">
      <c r="A311" s="1476"/>
      <c r="B311" s="1477"/>
      <c r="C311" s="1478"/>
      <c r="D311" s="1480"/>
      <c r="E311" s="1479"/>
      <c r="F311" s="1480"/>
      <c r="G311" s="1480"/>
      <c r="H311" s="1480"/>
      <c r="I311" s="1480"/>
      <c r="J311" s="1480"/>
      <c r="K311" s="1480"/>
      <c r="L311" s="1480"/>
      <c r="M311" s="154"/>
      <c r="N311" s="1481"/>
      <c r="O311" s="1482"/>
    </row>
    <row r="312">
      <c r="A312" s="1463"/>
      <c r="B312" s="1464"/>
      <c r="C312" s="1465"/>
      <c r="D312" s="1471"/>
      <c r="E312" s="1467"/>
      <c r="F312" s="1468"/>
      <c r="G312" s="1469"/>
      <c r="H312" s="1470"/>
      <c r="I312" s="1471"/>
      <c r="J312" s="1472"/>
      <c r="K312" s="1473"/>
      <c r="L312" s="1468"/>
      <c r="M312" s="1386"/>
      <c r="N312" s="1474"/>
      <c r="O312" s="1475"/>
    </row>
    <row r="313">
      <c r="A313" s="1476"/>
      <c r="B313" s="1477"/>
      <c r="C313" s="1478"/>
      <c r="D313" s="1480"/>
      <c r="E313" s="1479"/>
      <c r="F313" s="1480"/>
      <c r="G313" s="1480"/>
      <c r="H313" s="1480"/>
      <c r="I313" s="1480"/>
      <c r="J313" s="1480"/>
      <c r="K313" s="1480"/>
      <c r="L313" s="1480"/>
      <c r="M313" s="154"/>
      <c r="N313" s="1481"/>
      <c r="O313" s="1482"/>
    </row>
    <row r="314">
      <c r="A314" s="1463"/>
      <c r="B314" s="1464"/>
      <c r="C314" s="1465"/>
      <c r="D314" s="1471"/>
      <c r="E314" s="1467"/>
      <c r="F314" s="1468"/>
      <c r="G314" s="1469"/>
      <c r="H314" s="1470"/>
      <c r="I314" s="1471"/>
      <c r="J314" s="1472"/>
      <c r="K314" s="1473"/>
      <c r="L314" s="1468"/>
      <c r="M314" s="1386"/>
      <c r="N314" s="1474"/>
      <c r="O314" s="1475"/>
    </row>
    <row r="315">
      <c r="A315" s="1476"/>
      <c r="B315" s="1477"/>
      <c r="C315" s="1478"/>
      <c r="D315" s="1480"/>
      <c r="E315" s="1479"/>
      <c r="F315" s="1480"/>
      <c r="G315" s="1480"/>
      <c r="H315" s="1480"/>
      <c r="I315" s="1480"/>
      <c r="J315" s="1480"/>
      <c r="K315" s="1480"/>
      <c r="L315" s="1480"/>
      <c r="M315" s="154"/>
      <c r="N315" s="1481"/>
      <c r="O315" s="1482"/>
    </row>
    <row r="316">
      <c r="A316" s="1463"/>
      <c r="B316" s="1464"/>
      <c r="C316" s="1465"/>
      <c r="D316" s="1471"/>
      <c r="E316" s="1467"/>
      <c r="F316" s="1468"/>
      <c r="G316" s="1469"/>
      <c r="H316" s="1470"/>
      <c r="I316" s="1471"/>
      <c r="J316" s="1472"/>
      <c r="K316" s="1473"/>
      <c r="L316" s="1468"/>
      <c r="M316" s="1386"/>
      <c r="N316" s="1474"/>
      <c r="O316" s="1475"/>
    </row>
    <row r="317">
      <c r="A317" s="1476"/>
      <c r="B317" s="1477"/>
      <c r="C317" s="1478"/>
      <c r="D317" s="1480"/>
      <c r="E317" s="1479"/>
      <c r="F317" s="1480"/>
      <c r="G317" s="1480"/>
      <c r="H317" s="1480"/>
      <c r="I317" s="1480"/>
      <c r="J317" s="1480"/>
      <c r="K317" s="1480"/>
      <c r="L317" s="1480"/>
      <c r="M317" s="154"/>
      <c r="N317" s="1481"/>
      <c r="O317" s="1482"/>
    </row>
    <row r="318">
      <c r="A318" s="1463"/>
      <c r="B318" s="1464"/>
      <c r="C318" s="1465"/>
      <c r="D318" s="1471"/>
      <c r="E318" s="1467"/>
      <c r="F318" s="1468"/>
      <c r="G318" s="1469"/>
      <c r="H318" s="1470"/>
      <c r="I318" s="1471"/>
      <c r="J318" s="1472"/>
      <c r="K318" s="1473"/>
      <c r="L318" s="1468"/>
      <c r="M318" s="1386"/>
      <c r="N318" s="1474"/>
      <c r="O318" s="1475"/>
    </row>
    <row r="319">
      <c r="A319" s="1476"/>
      <c r="B319" s="1477"/>
      <c r="C319" s="1478"/>
      <c r="D319" s="1480"/>
      <c r="E319" s="1479"/>
      <c r="F319" s="1480"/>
      <c r="G319" s="1480"/>
      <c r="H319" s="1480"/>
      <c r="I319" s="1480"/>
      <c r="J319" s="1480"/>
      <c r="K319" s="1480"/>
      <c r="L319" s="1480"/>
      <c r="M319" s="154"/>
      <c r="N319" s="1481"/>
      <c r="O319" s="1482"/>
    </row>
    <row r="320">
      <c r="A320" s="1463"/>
      <c r="B320" s="1464"/>
      <c r="C320" s="1465"/>
      <c r="D320" s="1471"/>
      <c r="E320" s="1467"/>
      <c r="F320" s="1468"/>
      <c r="G320" s="1469"/>
      <c r="H320" s="1470"/>
      <c r="I320" s="1471"/>
      <c r="J320" s="1472"/>
      <c r="K320" s="1473"/>
      <c r="L320" s="1468"/>
      <c r="M320" s="1386"/>
      <c r="N320" s="1474"/>
      <c r="O320" s="1475"/>
    </row>
    <row r="321">
      <c r="A321" s="1476"/>
      <c r="B321" s="1477"/>
      <c r="C321" s="1478"/>
      <c r="D321" s="1480"/>
      <c r="E321" s="1479"/>
      <c r="F321" s="1480"/>
      <c r="G321" s="1480"/>
      <c r="H321" s="1480"/>
      <c r="I321" s="1480"/>
      <c r="J321" s="1480"/>
      <c r="K321" s="1480"/>
      <c r="L321" s="1480"/>
      <c r="M321" s="154"/>
      <c r="N321" s="1481"/>
      <c r="O321" s="1482"/>
    </row>
    <row r="322">
      <c r="A322" s="1463"/>
      <c r="B322" s="1464"/>
      <c r="C322" s="1465"/>
      <c r="D322" s="1471"/>
      <c r="E322" s="1467"/>
      <c r="F322" s="1468"/>
      <c r="G322" s="1469"/>
      <c r="H322" s="1470"/>
      <c r="I322" s="1471"/>
      <c r="J322" s="1472"/>
      <c r="K322" s="1473"/>
      <c r="L322" s="1468"/>
      <c r="M322" s="1386"/>
      <c r="N322" s="1474"/>
      <c r="O322" s="1475"/>
    </row>
    <row r="323">
      <c r="A323" s="1476"/>
      <c r="B323" s="1477"/>
      <c r="C323" s="1478"/>
      <c r="D323" s="1480"/>
      <c r="E323" s="1479"/>
      <c r="F323" s="1480"/>
      <c r="G323" s="1480"/>
      <c r="H323" s="1480"/>
      <c r="I323" s="1480"/>
      <c r="J323" s="1480"/>
      <c r="K323" s="1480"/>
      <c r="L323" s="1480"/>
      <c r="M323" s="154"/>
      <c r="N323" s="1481"/>
      <c r="O323" s="1482"/>
    </row>
    <row r="324">
      <c r="A324" s="1463"/>
      <c r="B324" s="1464"/>
      <c r="C324" s="1465"/>
      <c r="D324" s="1471"/>
      <c r="E324" s="1467"/>
      <c r="F324" s="1468"/>
      <c r="G324" s="1469"/>
      <c r="H324" s="1470"/>
      <c r="I324" s="1471"/>
      <c r="J324" s="1472"/>
      <c r="K324" s="1473"/>
      <c r="L324" s="1468"/>
      <c r="M324" s="1386"/>
      <c r="N324" s="1474"/>
      <c r="O324" s="1475"/>
    </row>
    <row r="325">
      <c r="A325" s="1476"/>
      <c r="B325" s="1477"/>
      <c r="C325" s="1478"/>
      <c r="D325" s="1480"/>
      <c r="E325" s="1479"/>
      <c r="F325" s="1480"/>
      <c r="G325" s="1480"/>
      <c r="H325" s="1480"/>
      <c r="I325" s="1480"/>
      <c r="J325" s="1480"/>
      <c r="K325" s="1480"/>
      <c r="L325" s="1480"/>
      <c r="M325" s="154"/>
      <c r="N325" s="1481"/>
      <c r="O325" s="1482"/>
    </row>
    <row r="326">
      <c r="A326" s="1463"/>
      <c r="B326" s="1464"/>
      <c r="C326" s="1465"/>
      <c r="D326" s="1471"/>
      <c r="E326" s="1467"/>
      <c r="F326" s="1468"/>
      <c r="G326" s="1469"/>
      <c r="H326" s="1470"/>
      <c r="I326" s="1471"/>
      <c r="J326" s="1472"/>
      <c r="K326" s="1473"/>
      <c r="L326" s="1468"/>
      <c r="M326" s="1386"/>
      <c r="N326" s="1474"/>
      <c r="O326" s="1475"/>
    </row>
    <row r="327">
      <c r="A327" s="1476"/>
      <c r="B327" s="1477"/>
      <c r="C327" s="1478"/>
      <c r="D327" s="1480"/>
      <c r="E327" s="1479"/>
      <c r="F327" s="1480"/>
      <c r="G327" s="1480"/>
      <c r="H327" s="1480"/>
      <c r="I327" s="1480"/>
      <c r="J327" s="1480"/>
      <c r="K327" s="1480"/>
      <c r="L327" s="1480"/>
      <c r="M327" s="154"/>
      <c r="N327" s="1481"/>
      <c r="O327" s="1482"/>
    </row>
    <row r="328">
      <c r="A328" s="1463"/>
      <c r="B328" s="1464"/>
      <c r="C328" s="1465"/>
      <c r="D328" s="1471"/>
      <c r="E328" s="1467"/>
      <c r="F328" s="1468"/>
      <c r="G328" s="1469"/>
      <c r="H328" s="1470"/>
      <c r="I328" s="1471"/>
      <c r="J328" s="1472"/>
      <c r="K328" s="1473"/>
      <c r="L328" s="1468"/>
      <c r="M328" s="1386"/>
      <c r="N328" s="1474"/>
      <c r="O328" s="1475"/>
    </row>
    <row r="329">
      <c r="A329" s="1476"/>
      <c r="B329" s="1477"/>
      <c r="C329" s="1478"/>
      <c r="D329" s="1480"/>
      <c r="E329" s="1479"/>
      <c r="F329" s="1480"/>
      <c r="G329" s="1480"/>
      <c r="H329" s="1480"/>
      <c r="I329" s="1480"/>
      <c r="J329" s="1480"/>
      <c r="K329" s="1480"/>
      <c r="L329" s="1480"/>
      <c r="M329" s="154"/>
      <c r="N329" s="1481"/>
      <c r="O329" s="1482"/>
    </row>
    <row r="330">
      <c r="A330" s="1463"/>
      <c r="B330" s="1464"/>
      <c r="C330" s="1465"/>
      <c r="D330" s="1471"/>
      <c r="E330" s="1467"/>
      <c r="F330" s="1468"/>
      <c r="G330" s="1469"/>
      <c r="H330" s="1470"/>
      <c r="I330" s="1471"/>
      <c r="J330" s="1472"/>
      <c r="K330" s="1473"/>
      <c r="L330" s="1468"/>
      <c r="M330" s="1386"/>
      <c r="N330" s="1474"/>
      <c r="O330" s="1475"/>
    </row>
    <row r="331">
      <c r="A331" s="1476"/>
      <c r="B331" s="1477"/>
      <c r="C331" s="1478"/>
      <c r="D331" s="1480"/>
      <c r="E331" s="1479"/>
      <c r="F331" s="1480"/>
      <c r="G331" s="1480"/>
      <c r="H331" s="1480"/>
      <c r="I331" s="1480"/>
      <c r="J331" s="1480"/>
      <c r="K331" s="1480"/>
      <c r="L331" s="1480"/>
      <c r="M331" s="154"/>
      <c r="N331" s="1481"/>
      <c r="O331" s="1482"/>
    </row>
    <row r="332">
      <c r="A332" s="1463"/>
      <c r="B332" s="1464"/>
      <c r="C332" s="1465"/>
      <c r="D332" s="1471"/>
      <c r="E332" s="1467"/>
      <c r="F332" s="1468"/>
      <c r="G332" s="1469"/>
      <c r="H332" s="1470"/>
      <c r="I332" s="1471"/>
      <c r="J332" s="1472"/>
      <c r="K332" s="1473"/>
      <c r="L332" s="1468"/>
      <c r="M332" s="1386"/>
      <c r="N332" s="1474"/>
      <c r="O332" s="1475"/>
    </row>
    <row r="333">
      <c r="A333" s="1476"/>
      <c r="B333" s="1477"/>
      <c r="C333" s="1478"/>
      <c r="D333" s="1480"/>
      <c r="E333" s="1479"/>
      <c r="F333" s="1480"/>
      <c r="G333" s="1480"/>
      <c r="H333" s="1480"/>
      <c r="I333" s="1480"/>
      <c r="J333" s="1480"/>
      <c r="K333" s="1480"/>
      <c r="L333" s="1480"/>
      <c r="M333" s="154"/>
      <c r="N333" s="1481"/>
      <c r="O333" s="1482"/>
    </row>
    <row r="334">
      <c r="A334" s="1463"/>
      <c r="B334" s="1464"/>
      <c r="C334" s="1465"/>
      <c r="D334" s="1471"/>
      <c r="E334" s="1467"/>
      <c r="F334" s="1468"/>
      <c r="G334" s="1469"/>
      <c r="H334" s="1470"/>
      <c r="I334" s="1471"/>
      <c r="J334" s="1472"/>
      <c r="K334" s="1473"/>
      <c r="L334" s="1468"/>
      <c r="M334" s="1386"/>
      <c r="N334" s="1474"/>
      <c r="O334" s="1475"/>
    </row>
    <row r="335">
      <c r="A335" s="1476"/>
      <c r="B335" s="1477"/>
      <c r="C335" s="1478"/>
      <c r="D335" s="1480"/>
      <c r="E335" s="1479"/>
      <c r="F335" s="1480"/>
      <c r="G335" s="1480"/>
      <c r="H335" s="1480"/>
      <c r="I335" s="1480"/>
      <c r="J335" s="1480"/>
      <c r="K335" s="1480"/>
      <c r="L335" s="1480"/>
      <c r="M335" s="154"/>
      <c r="N335" s="1481"/>
      <c r="O335" s="1482"/>
    </row>
    <row r="336">
      <c r="A336" s="1463"/>
      <c r="B336" s="1464"/>
      <c r="C336" s="1465"/>
      <c r="D336" s="1471"/>
      <c r="E336" s="1467"/>
      <c r="F336" s="1468"/>
      <c r="G336" s="1469"/>
      <c r="H336" s="1470"/>
      <c r="I336" s="1471"/>
      <c r="J336" s="1472"/>
      <c r="K336" s="1473"/>
      <c r="L336" s="1468"/>
      <c r="M336" s="1386"/>
      <c r="N336" s="1474"/>
      <c r="O336" s="1475"/>
    </row>
    <row r="337">
      <c r="A337" s="1476"/>
      <c r="B337" s="1477"/>
      <c r="C337" s="1478"/>
      <c r="D337" s="1480"/>
      <c r="E337" s="1479"/>
      <c r="F337" s="1480"/>
      <c r="G337" s="1480"/>
      <c r="H337" s="1480"/>
      <c r="I337" s="1480"/>
      <c r="J337" s="1480"/>
      <c r="K337" s="1480"/>
      <c r="L337" s="1480"/>
      <c r="M337" s="154"/>
      <c r="N337" s="1481"/>
      <c r="O337" s="1482"/>
    </row>
    <row r="338">
      <c r="A338" s="1463"/>
      <c r="B338" s="1464"/>
      <c r="C338" s="1465"/>
      <c r="D338" s="1471"/>
      <c r="E338" s="1467"/>
      <c r="F338" s="1468"/>
      <c r="G338" s="1469"/>
      <c r="H338" s="1470"/>
      <c r="I338" s="1471"/>
      <c r="J338" s="1472"/>
      <c r="K338" s="1473"/>
      <c r="L338" s="1468"/>
      <c r="M338" s="1386"/>
      <c r="N338" s="1474"/>
      <c r="O338" s="1475"/>
    </row>
    <row r="339">
      <c r="A339" s="1476"/>
      <c r="B339" s="1477"/>
      <c r="C339" s="1478"/>
      <c r="D339" s="1480"/>
      <c r="E339" s="1479"/>
      <c r="F339" s="1480"/>
      <c r="G339" s="1480"/>
      <c r="H339" s="1480"/>
      <c r="I339" s="1480"/>
      <c r="J339" s="1480"/>
      <c r="K339" s="1480"/>
      <c r="L339" s="1480"/>
      <c r="M339" s="154"/>
      <c r="N339" s="1481"/>
      <c r="O339" s="1482"/>
    </row>
    <row r="340">
      <c r="A340" s="1463"/>
      <c r="B340" s="1464"/>
      <c r="C340" s="1465"/>
      <c r="D340" s="1471"/>
      <c r="E340" s="1467"/>
      <c r="F340" s="1468"/>
      <c r="G340" s="1469"/>
      <c r="H340" s="1470"/>
      <c r="I340" s="1471"/>
      <c r="J340" s="1472"/>
      <c r="K340" s="1473"/>
      <c r="L340" s="1468"/>
      <c r="M340" s="1386"/>
      <c r="N340" s="1474"/>
      <c r="O340" s="1475"/>
    </row>
    <row r="341">
      <c r="A341" s="1476"/>
      <c r="B341" s="1477"/>
      <c r="C341" s="1478"/>
      <c r="D341" s="1480"/>
      <c r="E341" s="1479"/>
      <c r="F341" s="1480"/>
      <c r="G341" s="1480"/>
      <c r="H341" s="1480"/>
      <c r="I341" s="1480"/>
      <c r="J341" s="1480"/>
      <c r="K341" s="1480"/>
      <c r="L341" s="1480"/>
      <c r="M341" s="154"/>
      <c r="N341" s="1481"/>
      <c r="O341" s="1482"/>
    </row>
    <row r="342">
      <c r="A342" s="1463"/>
      <c r="B342" s="1464"/>
      <c r="C342" s="1465"/>
      <c r="D342" s="1471"/>
      <c r="E342" s="1467"/>
      <c r="F342" s="1468"/>
      <c r="G342" s="1469"/>
      <c r="H342" s="1470"/>
      <c r="I342" s="1471"/>
      <c r="J342" s="1472"/>
      <c r="K342" s="1473"/>
      <c r="L342" s="1468"/>
      <c r="M342" s="1386"/>
      <c r="N342" s="1474"/>
      <c r="O342" s="1475"/>
    </row>
    <row r="343">
      <c r="A343" s="1476"/>
      <c r="B343" s="1477"/>
      <c r="C343" s="1478"/>
      <c r="D343" s="1480"/>
      <c r="E343" s="1479"/>
      <c r="F343" s="1480"/>
      <c r="G343" s="1480"/>
      <c r="H343" s="1480"/>
      <c r="I343" s="1480"/>
      <c r="J343" s="1480"/>
      <c r="K343" s="1480"/>
      <c r="L343" s="1480"/>
      <c r="M343" s="154"/>
      <c r="N343" s="1481"/>
      <c r="O343" s="1482"/>
    </row>
    <row r="344">
      <c r="A344" s="1463"/>
      <c r="B344" s="1464"/>
      <c r="C344" s="1465"/>
      <c r="D344" s="1471"/>
      <c r="E344" s="1467"/>
      <c r="F344" s="1468"/>
      <c r="G344" s="1469"/>
      <c r="H344" s="1470"/>
      <c r="I344" s="1471"/>
      <c r="J344" s="1472"/>
      <c r="K344" s="1473"/>
      <c r="L344" s="1468"/>
      <c r="M344" s="1386"/>
      <c r="N344" s="1474"/>
      <c r="O344" s="1475"/>
    </row>
    <row r="345">
      <c r="A345" s="1476"/>
      <c r="B345" s="1477"/>
      <c r="C345" s="1478"/>
      <c r="D345" s="1480"/>
      <c r="E345" s="1479"/>
      <c r="F345" s="1480"/>
      <c r="G345" s="1480"/>
      <c r="H345" s="1480"/>
      <c r="I345" s="1480"/>
      <c r="J345" s="1480"/>
      <c r="K345" s="1480"/>
      <c r="L345" s="1480"/>
      <c r="M345" s="154"/>
      <c r="N345" s="1481"/>
      <c r="O345" s="1482"/>
    </row>
    <row r="346">
      <c r="A346" s="1463"/>
      <c r="B346" s="1464"/>
      <c r="C346" s="1465"/>
      <c r="D346" s="1471"/>
      <c r="E346" s="1467"/>
      <c r="F346" s="1468"/>
      <c r="G346" s="1469"/>
      <c r="H346" s="1470"/>
      <c r="I346" s="1471"/>
      <c r="J346" s="1472"/>
      <c r="K346" s="1473"/>
      <c r="L346" s="1468"/>
      <c r="M346" s="1386"/>
      <c r="N346" s="1474"/>
      <c r="O346" s="1475"/>
    </row>
    <row r="347">
      <c r="A347" s="1476"/>
      <c r="B347" s="1477"/>
      <c r="C347" s="1478"/>
      <c r="D347" s="1480"/>
      <c r="E347" s="1479"/>
      <c r="F347" s="1480"/>
      <c r="G347" s="1480"/>
      <c r="H347" s="1480"/>
      <c r="I347" s="1480"/>
      <c r="J347" s="1480"/>
      <c r="K347" s="1480"/>
      <c r="L347" s="1480"/>
      <c r="M347" s="154"/>
      <c r="N347" s="1481"/>
      <c r="O347" s="1482"/>
    </row>
    <row r="348">
      <c r="A348" s="1463"/>
      <c r="B348" s="1464"/>
      <c r="C348" s="1465"/>
      <c r="D348" s="1471"/>
      <c r="E348" s="1467"/>
      <c r="F348" s="1468"/>
      <c r="G348" s="1469"/>
      <c r="H348" s="1470"/>
      <c r="I348" s="1471"/>
      <c r="J348" s="1472"/>
      <c r="K348" s="1473"/>
      <c r="L348" s="1468"/>
      <c r="M348" s="1386"/>
      <c r="N348" s="1474"/>
      <c r="O348" s="1475"/>
    </row>
    <row r="349">
      <c r="A349" s="1476"/>
      <c r="B349" s="1477"/>
      <c r="C349" s="1478"/>
      <c r="D349" s="1480"/>
      <c r="E349" s="1479"/>
      <c r="F349" s="1480"/>
      <c r="G349" s="1480"/>
      <c r="H349" s="1480"/>
      <c r="I349" s="1480"/>
      <c r="J349" s="1480"/>
      <c r="K349" s="1480"/>
      <c r="L349" s="1480"/>
      <c r="M349" s="154"/>
      <c r="N349" s="1481"/>
      <c r="O349" s="1482"/>
    </row>
    <row r="350">
      <c r="A350" s="1463"/>
      <c r="B350" s="1464"/>
      <c r="C350" s="1465"/>
      <c r="D350" s="1471"/>
      <c r="E350" s="1467"/>
      <c r="F350" s="1468"/>
      <c r="G350" s="1469"/>
      <c r="H350" s="1470"/>
      <c r="I350" s="1471"/>
      <c r="J350" s="1472"/>
      <c r="K350" s="1473"/>
      <c r="L350" s="1468"/>
      <c r="M350" s="1386"/>
      <c r="N350" s="1474"/>
      <c r="O350" s="1475"/>
    </row>
    <row r="351">
      <c r="A351" s="1476"/>
      <c r="B351" s="1477"/>
      <c r="C351" s="1478"/>
      <c r="D351" s="1480"/>
      <c r="E351" s="1479"/>
      <c r="F351" s="1480"/>
      <c r="G351" s="1480"/>
      <c r="H351" s="1480"/>
      <c r="I351" s="1480"/>
      <c r="J351" s="1480"/>
      <c r="K351" s="1480"/>
      <c r="L351" s="1480"/>
      <c r="M351" s="154"/>
      <c r="N351" s="1481"/>
      <c r="O351" s="1482"/>
    </row>
    <row r="352">
      <c r="A352" s="1463"/>
      <c r="B352" s="1464"/>
      <c r="C352" s="1465"/>
      <c r="D352" s="1471"/>
      <c r="E352" s="1467"/>
      <c r="F352" s="1468"/>
      <c r="G352" s="1469"/>
      <c r="H352" s="1470"/>
      <c r="I352" s="1471"/>
      <c r="J352" s="1472"/>
      <c r="K352" s="1473"/>
      <c r="L352" s="1468"/>
      <c r="M352" s="1386"/>
      <c r="N352" s="1474"/>
      <c r="O352" s="1475"/>
    </row>
    <row r="353">
      <c r="A353" s="1476"/>
      <c r="B353" s="1477"/>
      <c r="C353" s="1478"/>
      <c r="D353" s="1480"/>
      <c r="E353" s="1479"/>
      <c r="F353" s="1480"/>
      <c r="G353" s="1480"/>
      <c r="H353" s="1480"/>
      <c r="I353" s="1480"/>
      <c r="J353" s="1480"/>
      <c r="K353" s="1480"/>
      <c r="L353" s="1480"/>
      <c r="M353" s="154"/>
      <c r="N353" s="1481"/>
      <c r="O353" s="1482"/>
    </row>
    <row r="354">
      <c r="A354" s="1463"/>
      <c r="B354" s="1464"/>
      <c r="C354" s="1465"/>
      <c r="D354" s="1471"/>
      <c r="E354" s="1467"/>
      <c r="F354" s="1468"/>
      <c r="G354" s="1469"/>
      <c r="H354" s="1470"/>
      <c r="I354" s="1471"/>
      <c r="J354" s="1472"/>
      <c r="K354" s="1473"/>
      <c r="L354" s="1468"/>
      <c r="M354" s="1386"/>
      <c r="N354" s="1474"/>
      <c r="O354" s="1475"/>
    </row>
    <row r="355">
      <c r="A355" s="1476"/>
      <c r="B355" s="1477"/>
      <c r="C355" s="1478"/>
      <c r="D355" s="1480"/>
      <c r="E355" s="1479"/>
      <c r="F355" s="1480"/>
      <c r="G355" s="1480"/>
      <c r="H355" s="1480"/>
      <c r="I355" s="1480"/>
      <c r="J355" s="1480"/>
      <c r="K355" s="1480"/>
      <c r="L355" s="1480"/>
      <c r="M355" s="154"/>
      <c r="N355" s="1481"/>
      <c r="O355" s="1482"/>
    </row>
    <row r="356">
      <c r="A356" s="1463"/>
      <c r="B356" s="1464"/>
      <c r="C356" s="1465"/>
      <c r="D356" s="1471"/>
      <c r="E356" s="1467"/>
      <c r="F356" s="1468"/>
      <c r="G356" s="1469"/>
      <c r="H356" s="1470"/>
      <c r="I356" s="1471"/>
      <c r="J356" s="1472"/>
      <c r="K356" s="1473"/>
      <c r="L356" s="1468"/>
      <c r="M356" s="1386"/>
      <c r="N356" s="1474"/>
      <c r="O356" s="1475"/>
    </row>
    <row r="357">
      <c r="A357" s="1476"/>
      <c r="B357" s="1477"/>
      <c r="C357" s="1478"/>
      <c r="D357" s="1480"/>
      <c r="E357" s="1479"/>
      <c r="F357" s="1480"/>
      <c r="G357" s="1480"/>
      <c r="H357" s="1480"/>
      <c r="I357" s="1480"/>
      <c r="J357" s="1480"/>
      <c r="K357" s="1480"/>
      <c r="L357" s="1480"/>
      <c r="M357" s="154"/>
      <c r="N357" s="1481"/>
      <c r="O357" s="1482"/>
    </row>
    <row r="358">
      <c r="A358" s="1463"/>
      <c r="B358" s="1464"/>
      <c r="C358" s="1465"/>
      <c r="D358" s="1471"/>
      <c r="E358" s="1467"/>
      <c r="F358" s="1468"/>
      <c r="G358" s="1469"/>
      <c r="H358" s="1470"/>
      <c r="I358" s="1471"/>
      <c r="J358" s="1472"/>
      <c r="K358" s="1473"/>
      <c r="L358" s="1468"/>
      <c r="M358" s="1386"/>
      <c r="N358" s="1474"/>
      <c r="O358" s="1475"/>
    </row>
    <row r="359">
      <c r="A359" s="1476"/>
      <c r="B359" s="1477"/>
      <c r="C359" s="1478"/>
      <c r="D359" s="1480"/>
      <c r="E359" s="1479"/>
      <c r="F359" s="1480"/>
      <c r="G359" s="1480"/>
      <c r="H359" s="1480"/>
      <c r="I359" s="1480"/>
      <c r="J359" s="1480"/>
      <c r="K359" s="1480"/>
      <c r="L359" s="1480"/>
      <c r="M359" s="154"/>
      <c r="N359" s="1481"/>
      <c r="O359" s="1482"/>
    </row>
    <row r="360">
      <c r="A360" s="1463"/>
      <c r="B360" s="1464"/>
      <c r="C360" s="1465"/>
      <c r="D360" s="1471"/>
      <c r="E360" s="1467"/>
      <c r="F360" s="1468"/>
      <c r="G360" s="1469"/>
      <c r="H360" s="1470"/>
      <c r="I360" s="1471"/>
      <c r="J360" s="1472"/>
      <c r="K360" s="1473"/>
      <c r="L360" s="1468"/>
      <c r="M360" s="1386"/>
      <c r="N360" s="1474"/>
      <c r="O360" s="1475"/>
    </row>
    <row r="361">
      <c r="A361" s="1476"/>
      <c r="B361" s="1477"/>
      <c r="C361" s="1478"/>
      <c r="D361" s="1480"/>
      <c r="E361" s="1479"/>
      <c r="F361" s="1480"/>
      <c r="G361" s="1480"/>
      <c r="H361" s="1480"/>
      <c r="I361" s="1480"/>
      <c r="J361" s="1480"/>
      <c r="K361" s="1480"/>
      <c r="L361" s="1480"/>
      <c r="M361" s="154"/>
      <c r="N361" s="1481"/>
      <c r="O361" s="1482"/>
    </row>
    <row r="362">
      <c r="A362" s="1463"/>
      <c r="B362" s="1464"/>
      <c r="C362" s="1465"/>
      <c r="D362" s="1471"/>
      <c r="E362" s="1467"/>
      <c r="F362" s="1468"/>
      <c r="G362" s="1469"/>
      <c r="H362" s="1470"/>
      <c r="I362" s="1471"/>
      <c r="J362" s="1472"/>
      <c r="K362" s="1473"/>
      <c r="L362" s="1468"/>
      <c r="M362" s="1386"/>
      <c r="N362" s="1474"/>
      <c r="O362" s="1475"/>
    </row>
    <row r="363">
      <c r="A363" s="1476"/>
      <c r="B363" s="1477"/>
      <c r="C363" s="1478"/>
      <c r="D363" s="1480"/>
      <c r="E363" s="1479"/>
      <c r="F363" s="1480"/>
      <c r="G363" s="1480"/>
      <c r="H363" s="1480"/>
      <c r="I363" s="1480"/>
      <c r="J363" s="1480"/>
      <c r="K363" s="1480"/>
      <c r="L363" s="1480"/>
      <c r="M363" s="154"/>
      <c r="N363" s="1481"/>
      <c r="O363" s="1482"/>
    </row>
    <row r="364">
      <c r="A364" s="1463"/>
      <c r="B364" s="1464"/>
      <c r="C364" s="1465"/>
      <c r="D364" s="1471"/>
      <c r="E364" s="1467"/>
      <c r="F364" s="1468"/>
      <c r="G364" s="1469"/>
      <c r="H364" s="1470"/>
      <c r="I364" s="1471"/>
      <c r="J364" s="1472"/>
      <c r="K364" s="1473"/>
      <c r="L364" s="1468"/>
      <c r="M364" s="1386"/>
      <c r="N364" s="1474"/>
      <c r="O364" s="1475"/>
    </row>
    <row r="365">
      <c r="A365" s="1476"/>
      <c r="B365" s="1477"/>
      <c r="C365" s="1478"/>
      <c r="D365" s="1480"/>
      <c r="E365" s="1479"/>
      <c r="F365" s="1480"/>
      <c r="G365" s="1480"/>
      <c r="H365" s="1480"/>
      <c r="I365" s="1480"/>
      <c r="J365" s="1480"/>
      <c r="K365" s="1480"/>
      <c r="L365" s="1480"/>
      <c r="M365" s="154"/>
      <c r="N365" s="1481"/>
      <c r="O365" s="1482"/>
    </row>
    <row r="366">
      <c r="A366" s="1463"/>
      <c r="B366" s="1464"/>
      <c r="C366" s="1465"/>
      <c r="D366" s="1471"/>
      <c r="E366" s="1467"/>
      <c r="F366" s="1468"/>
      <c r="G366" s="1469"/>
      <c r="H366" s="1470"/>
      <c r="I366" s="1471"/>
      <c r="J366" s="1472"/>
      <c r="K366" s="1473"/>
      <c r="L366" s="1468"/>
      <c r="M366" s="1386"/>
      <c r="N366" s="1474"/>
      <c r="O366" s="1475"/>
    </row>
    <row r="367">
      <c r="A367" s="1476"/>
      <c r="B367" s="1477"/>
      <c r="C367" s="1478"/>
      <c r="D367" s="1480"/>
      <c r="E367" s="1479"/>
      <c r="F367" s="1480"/>
      <c r="G367" s="1480"/>
      <c r="H367" s="1480"/>
      <c r="I367" s="1480"/>
      <c r="J367" s="1480"/>
      <c r="K367" s="1480"/>
      <c r="L367" s="1480"/>
      <c r="M367" s="154"/>
      <c r="N367" s="1481"/>
      <c r="O367" s="1482"/>
    </row>
    <row r="368">
      <c r="A368" s="1463"/>
      <c r="B368" s="1464"/>
      <c r="C368" s="1465"/>
      <c r="D368" s="1471"/>
      <c r="E368" s="1467"/>
      <c r="F368" s="1468"/>
      <c r="G368" s="1469"/>
      <c r="H368" s="1470"/>
      <c r="I368" s="1471"/>
      <c r="J368" s="1472"/>
      <c r="K368" s="1473"/>
      <c r="L368" s="1468"/>
      <c r="M368" s="1386"/>
      <c r="N368" s="1474"/>
      <c r="O368" s="1475"/>
    </row>
    <row r="369">
      <c r="A369" s="1476"/>
      <c r="B369" s="1477"/>
      <c r="C369" s="1478"/>
      <c r="D369" s="1480"/>
      <c r="E369" s="1479"/>
      <c r="F369" s="1480"/>
      <c r="G369" s="1480"/>
      <c r="H369" s="1480"/>
      <c r="I369" s="1480"/>
      <c r="J369" s="1480"/>
      <c r="K369" s="1480"/>
      <c r="L369" s="1480"/>
      <c r="M369" s="154"/>
      <c r="N369" s="1481"/>
      <c r="O369" s="1482"/>
    </row>
    <row r="370">
      <c r="A370" s="1463"/>
      <c r="B370" s="1464"/>
      <c r="C370" s="1465"/>
      <c r="D370" s="1471"/>
      <c r="E370" s="1467"/>
      <c r="F370" s="1468"/>
      <c r="G370" s="1469"/>
      <c r="H370" s="1470"/>
      <c r="I370" s="1471"/>
      <c r="J370" s="1472"/>
      <c r="K370" s="1473"/>
      <c r="L370" s="1468"/>
      <c r="M370" s="1386"/>
      <c r="N370" s="1474"/>
      <c r="O370" s="1475"/>
    </row>
    <row r="371">
      <c r="A371" s="1476"/>
      <c r="B371" s="1477"/>
      <c r="C371" s="1478"/>
      <c r="D371" s="1480"/>
      <c r="E371" s="1479"/>
      <c r="F371" s="1480"/>
      <c r="G371" s="1480"/>
      <c r="H371" s="1480"/>
      <c r="I371" s="1480"/>
      <c r="J371" s="1480"/>
      <c r="K371" s="1480"/>
      <c r="L371" s="1480"/>
      <c r="M371" s="154"/>
      <c r="N371" s="1481"/>
      <c r="O371" s="1482"/>
    </row>
    <row r="372">
      <c r="A372" s="1463"/>
      <c r="B372" s="1464"/>
      <c r="C372" s="1465"/>
      <c r="D372" s="1471"/>
      <c r="E372" s="1467"/>
      <c r="F372" s="1468"/>
      <c r="G372" s="1469"/>
      <c r="H372" s="1470"/>
      <c r="I372" s="1471"/>
      <c r="J372" s="1472"/>
      <c r="K372" s="1473"/>
      <c r="L372" s="1468"/>
      <c r="M372" s="1386"/>
      <c r="N372" s="1474"/>
      <c r="O372" s="1475"/>
    </row>
    <row r="373">
      <c r="A373" s="1476"/>
      <c r="B373" s="1477"/>
      <c r="C373" s="1478"/>
      <c r="D373" s="1480"/>
      <c r="E373" s="1479"/>
      <c r="F373" s="1480"/>
      <c r="G373" s="1480"/>
      <c r="H373" s="1480"/>
      <c r="I373" s="1480"/>
      <c r="J373" s="1480"/>
      <c r="K373" s="1480"/>
      <c r="L373" s="1480"/>
      <c r="M373" s="154"/>
      <c r="N373" s="1481"/>
      <c r="O373" s="1482"/>
    </row>
    <row r="374">
      <c r="A374" s="1463"/>
      <c r="B374" s="1464"/>
      <c r="C374" s="1465"/>
      <c r="D374" s="1471"/>
      <c r="E374" s="1467"/>
      <c r="F374" s="1468"/>
      <c r="G374" s="1469"/>
      <c r="H374" s="1470"/>
      <c r="I374" s="1471"/>
      <c r="J374" s="1472"/>
      <c r="K374" s="1473"/>
      <c r="L374" s="1468"/>
      <c r="M374" s="1386"/>
      <c r="N374" s="1474"/>
      <c r="O374" s="1475"/>
    </row>
    <row r="375">
      <c r="A375" s="1476"/>
      <c r="B375" s="1477"/>
      <c r="C375" s="1478"/>
      <c r="D375" s="1480"/>
      <c r="E375" s="1479"/>
      <c r="F375" s="1480"/>
      <c r="G375" s="1480"/>
      <c r="H375" s="1480"/>
      <c r="I375" s="1480"/>
      <c r="J375" s="1480"/>
      <c r="K375" s="1480"/>
      <c r="L375" s="1480"/>
      <c r="M375" s="154"/>
      <c r="N375" s="1481"/>
      <c r="O375" s="1482"/>
    </row>
    <row r="376">
      <c r="A376" s="1463"/>
      <c r="B376" s="1464"/>
      <c r="C376" s="1465"/>
      <c r="D376" s="1471"/>
      <c r="E376" s="1467"/>
      <c r="F376" s="1468"/>
      <c r="G376" s="1469"/>
      <c r="H376" s="1470"/>
      <c r="I376" s="1471"/>
      <c r="J376" s="1472"/>
      <c r="K376" s="1473"/>
      <c r="L376" s="1468"/>
      <c r="M376" s="1386"/>
      <c r="N376" s="1474"/>
      <c r="O376" s="1475"/>
    </row>
    <row r="377">
      <c r="A377" s="1476"/>
      <c r="B377" s="1477"/>
      <c r="C377" s="1478"/>
      <c r="D377" s="1480"/>
      <c r="E377" s="1479"/>
      <c r="F377" s="1480"/>
      <c r="G377" s="1480"/>
      <c r="H377" s="1480"/>
      <c r="I377" s="1480"/>
      <c r="J377" s="1480"/>
      <c r="K377" s="1480"/>
      <c r="L377" s="1480"/>
      <c r="M377" s="154"/>
      <c r="N377" s="1481"/>
      <c r="O377" s="1482"/>
    </row>
    <row r="378">
      <c r="A378" s="1463"/>
      <c r="B378" s="1464"/>
      <c r="C378" s="1465"/>
      <c r="D378" s="1471"/>
      <c r="E378" s="1467"/>
      <c r="F378" s="1468"/>
      <c r="G378" s="1469"/>
      <c r="H378" s="1470"/>
      <c r="I378" s="1471"/>
      <c r="J378" s="1472"/>
      <c r="K378" s="1473"/>
      <c r="L378" s="1468"/>
      <c r="M378" s="1386"/>
      <c r="N378" s="1474"/>
      <c r="O378" s="1475"/>
    </row>
    <row r="379">
      <c r="A379" s="1476"/>
      <c r="B379" s="1477"/>
      <c r="C379" s="1478"/>
      <c r="D379" s="1480"/>
      <c r="E379" s="1479"/>
      <c r="F379" s="1480"/>
      <c r="G379" s="1480"/>
      <c r="H379" s="1480"/>
      <c r="I379" s="1480"/>
      <c r="J379" s="1480"/>
      <c r="K379" s="1480"/>
      <c r="L379" s="1480"/>
      <c r="M379" s="154"/>
      <c r="N379" s="1481"/>
      <c r="O379" s="1482"/>
    </row>
    <row r="380">
      <c r="A380" s="1463"/>
      <c r="B380" s="1464"/>
      <c r="C380" s="1465"/>
      <c r="D380" s="1471"/>
      <c r="E380" s="1467"/>
      <c r="F380" s="1468"/>
      <c r="G380" s="1469"/>
      <c r="H380" s="1470"/>
      <c r="I380" s="1471"/>
      <c r="J380" s="1472"/>
      <c r="K380" s="1473"/>
      <c r="L380" s="1468"/>
      <c r="M380" s="1386"/>
      <c r="N380" s="1474"/>
      <c r="O380" s="1475"/>
    </row>
    <row r="381">
      <c r="A381" s="1476"/>
      <c r="B381" s="1477"/>
      <c r="C381" s="1478"/>
      <c r="D381" s="1480"/>
      <c r="E381" s="1479"/>
      <c r="F381" s="1480"/>
      <c r="G381" s="1480"/>
      <c r="H381" s="1480"/>
      <c r="I381" s="1480"/>
      <c r="J381" s="1480"/>
      <c r="K381" s="1480"/>
      <c r="L381" s="1480"/>
      <c r="M381" s="154"/>
      <c r="N381" s="1481"/>
      <c r="O381" s="1482"/>
    </row>
    <row r="382">
      <c r="A382" s="1463"/>
      <c r="B382" s="1464"/>
      <c r="C382" s="1465"/>
      <c r="D382" s="1471"/>
      <c r="E382" s="1467"/>
      <c r="F382" s="1468"/>
      <c r="G382" s="1469"/>
      <c r="H382" s="1470"/>
      <c r="I382" s="1471"/>
      <c r="J382" s="1472"/>
      <c r="K382" s="1473"/>
      <c r="L382" s="1468"/>
      <c r="M382" s="1386"/>
      <c r="N382" s="1474"/>
      <c r="O382" s="1475"/>
    </row>
    <row r="383">
      <c r="A383" s="1476"/>
      <c r="B383" s="1477"/>
      <c r="C383" s="1478"/>
      <c r="D383" s="1480"/>
      <c r="E383" s="1479"/>
      <c r="F383" s="1480"/>
      <c r="G383" s="1480"/>
      <c r="H383" s="1480"/>
      <c r="I383" s="1480"/>
      <c r="J383" s="1480"/>
      <c r="K383" s="1480"/>
      <c r="L383" s="1480"/>
      <c r="M383" s="154"/>
      <c r="N383" s="1481"/>
      <c r="O383" s="1482"/>
    </row>
    <row r="384">
      <c r="A384" s="1463"/>
      <c r="B384" s="1464"/>
      <c r="C384" s="1465"/>
      <c r="D384" s="1471"/>
      <c r="E384" s="1467"/>
      <c r="F384" s="1468"/>
      <c r="G384" s="1469"/>
      <c r="H384" s="1470"/>
      <c r="I384" s="1471"/>
      <c r="J384" s="1472"/>
      <c r="K384" s="1473"/>
      <c r="L384" s="1468"/>
      <c r="M384" s="1386"/>
      <c r="N384" s="1474"/>
      <c r="O384" s="1475"/>
    </row>
    <row r="385">
      <c r="A385" s="1476"/>
      <c r="B385" s="1477"/>
      <c r="C385" s="1478"/>
      <c r="D385" s="1480"/>
      <c r="E385" s="1479"/>
      <c r="F385" s="1480"/>
      <c r="G385" s="1480"/>
      <c r="H385" s="1480"/>
      <c r="I385" s="1480"/>
      <c r="J385" s="1480"/>
      <c r="K385" s="1480"/>
      <c r="L385" s="1480"/>
      <c r="M385" s="154"/>
      <c r="N385" s="1481"/>
      <c r="O385" s="1482"/>
    </row>
    <row r="386">
      <c r="A386" s="1463"/>
      <c r="B386" s="1464"/>
      <c r="C386" s="1465"/>
      <c r="D386" s="1471"/>
      <c r="E386" s="1467"/>
      <c r="F386" s="1468"/>
      <c r="G386" s="1469"/>
      <c r="H386" s="1470"/>
      <c r="I386" s="1471"/>
      <c r="J386" s="1472"/>
      <c r="K386" s="1473"/>
      <c r="L386" s="1468"/>
      <c r="M386" s="1386"/>
      <c r="N386" s="1474"/>
      <c r="O386" s="1475"/>
    </row>
    <row r="387">
      <c r="A387" s="1476"/>
      <c r="B387" s="1477"/>
      <c r="C387" s="1478"/>
      <c r="D387" s="1480"/>
      <c r="E387" s="1479"/>
      <c r="F387" s="1480"/>
      <c r="G387" s="1480"/>
      <c r="H387" s="1480"/>
      <c r="I387" s="1480"/>
      <c r="J387" s="1480"/>
      <c r="K387" s="1480"/>
      <c r="L387" s="1480"/>
      <c r="M387" s="154"/>
      <c r="N387" s="1481"/>
      <c r="O387" s="1482"/>
    </row>
    <row r="388">
      <c r="A388" s="1463"/>
      <c r="B388" s="1464"/>
      <c r="C388" s="1465"/>
      <c r="D388" s="1471"/>
      <c r="E388" s="1467"/>
      <c r="F388" s="1468"/>
      <c r="G388" s="1469"/>
      <c r="H388" s="1470"/>
      <c r="I388" s="1471"/>
      <c r="J388" s="1472"/>
      <c r="K388" s="1473"/>
      <c r="L388" s="1468"/>
      <c r="M388" s="1386"/>
      <c r="N388" s="1474"/>
      <c r="O388" s="1475"/>
    </row>
    <row r="389">
      <c r="A389" s="1476"/>
      <c r="B389" s="1477"/>
      <c r="C389" s="1478"/>
      <c r="D389" s="1480"/>
      <c r="E389" s="1479"/>
      <c r="F389" s="1480"/>
      <c r="G389" s="1480"/>
      <c r="H389" s="1480"/>
      <c r="I389" s="1480"/>
      <c r="J389" s="1480"/>
      <c r="K389" s="1480"/>
      <c r="L389" s="1480"/>
      <c r="M389" s="154"/>
      <c r="N389" s="1481"/>
      <c r="O389" s="1482"/>
    </row>
    <row r="390">
      <c r="A390" s="1463"/>
      <c r="B390" s="1464"/>
      <c r="C390" s="1465"/>
      <c r="D390" s="1471"/>
      <c r="E390" s="1467"/>
      <c r="F390" s="1468"/>
      <c r="G390" s="1469"/>
      <c r="H390" s="1470"/>
      <c r="I390" s="1471"/>
      <c r="J390" s="1472"/>
      <c r="K390" s="1473"/>
      <c r="L390" s="1468"/>
      <c r="M390" s="1386"/>
      <c r="N390" s="1474"/>
      <c r="O390" s="1475"/>
    </row>
    <row r="391">
      <c r="A391" s="1476"/>
      <c r="B391" s="1477"/>
      <c r="C391" s="1478"/>
      <c r="D391" s="1480"/>
      <c r="E391" s="1479"/>
      <c r="F391" s="1480"/>
      <c r="G391" s="1480"/>
      <c r="H391" s="1480"/>
      <c r="I391" s="1480"/>
      <c r="J391" s="1480"/>
      <c r="K391" s="1480"/>
      <c r="L391" s="1480"/>
      <c r="M391" s="154"/>
      <c r="N391" s="1481"/>
      <c r="O391" s="1482"/>
    </row>
    <row r="392">
      <c r="A392" s="1463"/>
      <c r="B392" s="1464"/>
      <c r="C392" s="1465"/>
      <c r="D392" s="1471"/>
      <c r="E392" s="1467"/>
      <c r="F392" s="1468"/>
      <c r="G392" s="1469"/>
      <c r="H392" s="1470"/>
      <c r="I392" s="1471"/>
      <c r="J392" s="1472"/>
      <c r="K392" s="1473"/>
      <c r="L392" s="1468"/>
      <c r="M392" s="1386"/>
      <c r="N392" s="1474"/>
      <c r="O392" s="1475"/>
    </row>
    <row r="393">
      <c r="A393" s="1476"/>
      <c r="B393" s="1477"/>
      <c r="C393" s="1478"/>
      <c r="D393" s="1480"/>
      <c r="E393" s="1479"/>
      <c r="F393" s="1480"/>
      <c r="G393" s="1480"/>
      <c r="H393" s="1480"/>
      <c r="I393" s="1480"/>
      <c r="J393" s="1480"/>
      <c r="K393" s="1480"/>
      <c r="L393" s="1480"/>
      <c r="M393" s="154"/>
      <c r="N393" s="1481"/>
      <c r="O393" s="1482"/>
    </row>
    <row r="394">
      <c r="A394" s="1463"/>
      <c r="B394" s="1464"/>
      <c r="C394" s="1465"/>
      <c r="D394" s="1471"/>
      <c r="E394" s="1467"/>
      <c r="F394" s="1468"/>
      <c r="G394" s="1469"/>
      <c r="H394" s="1470"/>
      <c r="I394" s="1471"/>
      <c r="J394" s="1472"/>
      <c r="K394" s="1473"/>
      <c r="L394" s="1468"/>
      <c r="M394" s="1386"/>
      <c r="N394" s="1474"/>
      <c r="O394" s="1475"/>
    </row>
    <row r="395">
      <c r="A395" s="1476"/>
      <c r="B395" s="1477"/>
      <c r="C395" s="1478"/>
      <c r="D395" s="1480"/>
      <c r="E395" s="1479"/>
      <c r="F395" s="1480"/>
      <c r="G395" s="1480"/>
      <c r="H395" s="1480"/>
      <c r="I395" s="1480"/>
      <c r="J395" s="1480"/>
      <c r="K395" s="1480"/>
      <c r="L395" s="1480"/>
      <c r="M395" s="154"/>
      <c r="N395" s="1481"/>
      <c r="O395" s="1482"/>
    </row>
    <row r="396">
      <c r="A396" s="1463"/>
      <c r="B396" s="1464"/>
      <c r="C396" s="1465"/>
      <c r="D396" s="1471"/>
      <c r="E396" s="1467"/>
      <c r="F396" s="1468"/>
      <c r="G396" s="1469"/>
      <c r="H396" s="1470"/>
      <c r="I396" s="1471"/>
      <c r="J396" s="1472"/>
      <c r="K396" s="1473"/>
      <c r="L396" s="1468"/>
      <c r="M396" s="1386"/>
      <c r="N396" s="1474"/>
      <c r="O396" s="1475"/>
    </row>
    <row r="397">
      <c r="A397" s="1476"/>
      <c r="B397" s="1477"/>
      <c r="C397" s="1478"/>
      <c r="D397" s="1480"/>
      <c r="E397" s="1479"/>
      <c r="F397" s="1480"/>
      <c r="G397" s="1480"/>
      <c r="H397" s="1480"/>
      <c r="I397" s="1480"/>
      <c r="J397" s="1480"/>
      <c r="K397" s="1480"/>
      <c r="L397" s="1480"/>
      <c r="M397" s="154"/>
      <c r="N397" s="1481"/>
      <c r="O397" s="1482"/>
    </row>
    <row r="398">
      <c r="A398" s="1463"/>
      <c r="B398" s="1464"/>
      <c r="C398" s="1465"/>
      <c r="D398" s="1471"/>
      <c r="E398" s="1467"/>
      <c r="F398" s="1468"/>
      <c r="G398" s="1469"/>
      <c r="H398" s="1470"/>
      <c r="I398" s="1471"/>
      <c r="J398" s="1472"/>
      <c r="K398" s="1473"/>
      <c r="L398" s="1468"/>
      <c r="M398" s="1386"/>
      <c r="N398" s="1474"/>
      <c r="O398" s="1475"/>
    </row>
    <row r="399">
      <c r="A399" s="1476"/>
      <c r="B399" s="1477"/>
      <c r="C399" s="1478"/>
      <c r="D399" s="1480"/>
      <c r="E399" s="1479"/>
      <c r="F399" s="1480"/>
      <c r="G399" s="1480"/>
      <c r="H399" s="1480"/>
      <c r="I399" s="1480"/>
      <c r="J399" s="1480"/>
      <c r="K399" s="1480"/>
      <c r="L399" s="1480"/>
      <c r="M399" s="154"/>
      <c r="N399" s="1481"/>
      <c r="O399" s="1482"/>
    </row>
    <row r="400">
      <c r="A400" s="1463"/>
      <c r="B400" s="1464"/>
      <c r="C400" s="1465"/>
      <c r="D400" s="1471"/>
      <c r="E400" s="1467"/>
      <c r="F400" s="1468"/>
      <c r="G400" s="1469"/>
      <c r="H400" s="1470"/>
      <c r="I400" s="1471"/>
      <c r="J400" s="1472"/>
      <c r="K400" s="1473"/>
      <c r="L400" s="1468"/>
      <c r="M400" s="1386"/>
      <c r="N400" s="1474"/>
      <c r="O400" s="1475"/>
    </row>
    <row r="401">
      <c r="A401" s="1476"/>
      <c r="B401" s="1477"/>
      <c r="C401" s="1478"/>
      <c r="D401" s="1480"/>
      <c r="E401" s="1479"/>
      <c r="F401" s="1480"/>
      <c r="G401" s="1480"/>
      <c r="H401" s="1480"/>
      <c r="I401" s="1480"/>
      <c r="J401" s="1480"/>
      <c r="K401" s="1480"/>
      <c r="L401" s="1480"/>
      <c r="M401" s="154"/>
      <c r="N401" s="1481"/>
      <c r="O401" s="1482"/>
    </row>
    <row r="402">
      <c r="A402" s="1463"/>
      <c r="B402" s="1464"/>
      <c r="C402" s="1465"/>
      <c r="D402" s="1471"/>
      <c r="E402" s="1467"/>
      <c r="F402" s="1468"/>
      <c r="G402" s="1469"/>
      <c r="H402" s="1470"/>
      <c r="I402" s="1471"/>
      <c r="J402" s="1472"/>
      <c r="K402" s="1473"/>
      <c r="L402" s="1468"/>
      <c r="M402" s="1386"/>
      <c r="N402" s="1474"/>
      <c r="O402" s="1475"/>
    </row>
    <row r="403">
      <c r="A403" s="1476"/>
      <c r="B403" s="1477"/>
      <c r="C403" s="1478"/>
      <c r="D403" s="1480"/>
      <c r="E403" s="1479"/>
      <c r="F403" s="1480"/>
      <c r="G403" s="1480"/>
      <c r="H403" s="1480"/>
      <c r="I403" s="1480"/>
      <c r="J403" s="1480"/>
      <c r="K403" s="1480"/>
      <c r="L403" s="1480"/>
      <c r="M403" s="154"/>
      <c r="N403" s="1481"/>
      <c r="O403" s="1482"/>
    </row>
    <row r="404">
      <c r="A404" s="1463"/>
      <c r="B404" s="1464"/>
      <c r="C404" s="1465"/>
      <c r="D404" s="1471"/>
      <c r="E404" s="1467"/>
      <c r="F404" s="1468"/>
      <c r="G404" s="1469"/>
      <c r="H404" s="1470"/>
      <c r="I404" s="1471"/>
      <c r="J404" s="1472"/>
      <c r="K404" s="1473"/>
      <c r="L404" s="1468"/>
      <c r="M404" s="1386"/>
      <c r="N404" s="1474"/>
      <c r="O404" s="1475"/>
    </row>
    <row r="405">
      <c r="A405" s="1476"/>
      <c r="B405" s="1477"/>
      <c r="C405" s="1478"/>
      <c r="D405" s="1480"/>
      <c r="E405" s="1479"/>
      <c r="F405" s="1480"/>
      <c r="G405" s="1480"/>
      <c r="H405" s="1480"/>
      <c r="I405" s="1480"/>
      <c r="J405" s="1480"/>
      <c r="K405" s="1480"/>
      <c r="L405" s="1480"/>
      <c r="M405" s="154"/>
      <c r="N405" s="1481"/>
      <c r="O405" s="1482"/>
    </row>
    <row r="406">
      <c r="A406" s="1463"/>
      <c r="B406" s="1464"/>
      <c r="C406" s="1465"/>
      <c r="D406" s="1471"/>
      <c r="E406" s="1467"/>
      <c r="F406" s="1468"/>
      <c r="G406" s="1469"/>
      <c r="H406" s="1470"/>
      <c r="I406" s="1471"/>
      <c r="J406" s="1472"/>
      <c r="K406" s="1473"/>
      <c r="L406" s="1468"/>
      <c r="M406" s="1386"/>
      <c r="N406" s="1474"/>
      <c r="O406" s="1475"/>
    </row>
    <row r="407">
      <c r="A407" s="1476"/>
      <c r="B407" s="1477"/>
      <c r="C407" s="1478"/>
      <c r="D407" s="1480"/>
      <c r="E407" s="1479"/>
      <c r="F407" s="1480"/>
      <c r="G407" s="1480"/>
      <c r="H407" s="1480"/>
      <c r="I407" s="1480"/>
      <c r="J407" s="1480"/>
      <c r="K407" s="1480"/>
      <c r="L407" s="1480"/>
      <c r="M407" s="154"/>
      <c r="N407" s="1481"/>
      <c r="O407" s="1482"/>
    </row>
    <row r="408">
      <c r="A408" s="1463"/>
      <c r="B408" s="1464"/>
      <c r="C408" s="1465"/>
      <c r="D408" s="1471"/>
      <c r="E408" s="1467"/>
      <c r="F408" s="1468"/>
      <c r="G408" s="1469"/>
      <c r="H408" s="1470"/>
      <c r="I408" s="1471"/>
      <c r="J408" s="1472"/>
      <c r="K408" s="1473"/>
      <c r="L408" s="1468"/>
      <c r="M408" s="1386"/>
      <c r="N408" s="1474"/>
      <c r="O408" s="1475"/>
    </row>
    <row r="409">
      <c r="A409" s="1476"/>
      <c r="B409" s="1477"/>
      <c r="C409" s="1478"/>
      <c r="D409" s="1480"/>
      <c r="E409" s="1479"/>
      <c r="F409" s="1480"/>
      <c r="G409" s="1480"/>
      <c r="H409" s="1480"/>
      <c r="I409" s="1480"/>
      <c r="J409" s="1480"/>
      <c r="K409" s="1480"/>
      <c r="L409" s="1480"/>
      <c r="M409" s="154"/>
      <c r="N409" s="1481"/>
      <c r="O409" s="1482"/>
    </row>
    <row r="410">
      <c r="A410" s="1463"/>
      <c r="B410" s="1464"/>
      <c r="C410" s="1465"/>
      <c r="D410" s="1471"/>
      <c r="E410" s="1467"/>
      <c r="F410" s="1468"/>
      <c r="G410" s="1469"/>
      <c r="H410" s="1470"/>
      <c r="I410" s="1471"/>
      <c r="J410" s="1472"/>
      <c r="K410" s="1473"/>
      <c r="L410" s="1468"/>
      <c r="M410" s="1386"/>
      <c r="N410" s="1474"/>
      <c r="O410" s="1475"/>
    </row>
    <row r="411">
      <c r="A411" s="1476"/>
      <c r="B411" s="1477"/>
      <c r="C411" s="1478"/>
      <c r="D411" s="1480"/>
      <c r="E411" s="1479"/>
      <c r="F411" s="1480"/>
      <c r="G411" s="1480"/>
      <c r="H411" s="1480"/>
      <c r="I411" s="1480"/>
      <c r="J411" s="1480"/>
      <c r="K411" s="1480"/>
      <c r="L411" s="1480"/>
      <c r="M411" s="154"/>
      <c r="N411" s="1481"/>
      <c r="O411" s="1482"/>
    </row>
    <row r="412">
      <c r="A412" s="1463"/>
      <c r="B412" s="1464"/>
      <c r="C412" s="1465"/>
      <c r="D412" s="1471"/>
      <c r="E412" s="1467"/>
      <c r="F412" s="1468"/>
      <c r="G412" s="1469"/>
      <c r="H412" s="1470"/>
      <c r="I412" s="1471"/>
      <c r="J412" s="1472"/>
      <c r="K412" s="1473"/>
      <c r="L412" s="1468"/>
      <c r="M412" s="1386"/>
      <c r="N412" s="1474"/>
      <c r="O412" s="1475"/>
    </row>
    <row r="413">
      <c r="A413" s="1476"/>
      <c r="B413" s="1477"/>
      <c r="C413" s="1478"/>
      <c r="D413" s="1480"/>
      <c r="E413" s="1479"/>
      <c r="F413" s="1480"/>
      <c r="G413" s="1480"/>
      <c r="H413" s="1480"/>
      <c r="I413" s="1480"/>
      <c r="J413" s="1480"/>
      <c r="K413" s="1480"/>
      <c r="L413" s="1480"/>
      <c r="M413" s="154"/>
      <c r="N413" s="1481"/>
      <c r="O413" s="1482"/>
    </row>
    <row r="414">
      <c r="A414" s="1463"/>
      <c r="B414" s="1464"/>
      <c r="C414" s="1465"/>
      <c r="D414" s="1471"/>
      <c r="E414" s="1467"/>
      <c r="F414" s="1468"/>
      <c r="G414" s="1469"/>
      <c r="H414" s="1470"/>
      <c r="I414" s="1471"/>
      <c r="J414" s="1472"/>
      <c r="K414" s="1473"/>
      <c r="L414" s="1468"/>
      <c r="M414" s="1386"/>
      <c r="N414" s="1474"/>
      <c r="O414" s="1475"/>
    </row>
    <row r="415">
      <c r="A415" s="1476"/>
      <c r="B415" s="1477"/>
      <c r="C415" s="1478"/>
      <c r="D415" s="1480"/>
      <c r="E415" s="1479"/>
      <c r="F415" s="1480"/>
      <c r="G415" s="1480"/>
      <c r="H415" s="1480"/>
      <c r="I415" s="1480"/>
      <c r="J415" s="1480"/>
      <c r="K415" s="1480"/>
      <c r="L415" s="1480"/>
      <c r="M415" s="154"/>
      <c r="N415" s="1481"/>
      <c r="O415" s="1482"/>
    </row>
    <row r="416">
      <c r="A416" s="1463"/>
      <c r="B416" s="1464"/>
      <c r="C416" s="1465"/>
      <c r="D416" s="1471"/>
      <c r="E416" s="1467"/>
      <c r="F416" s="1468"/>
      <c r="G416" s="1469"/>
      <c r="H416" s="1470"/>
      <c r="I416" s="1471"/>
      <c r="J416" s="1472"/>
      <c r="K416" s="1473"/>
      <c r="L416" s="1468"/>
      <c r="M416" s="1386"/>
      <c r="N416" s="1474"/>
      <c r="O416" s="1475"/>
    </row>
    <row r="417">
      <c r="A417" s="1476"/>
      <c r="B417" s="1477"/>
      <c r="C417" s="1478"/>
      <c r="D417" s="1480"/>
      <c r="E417" s="1479"/>
      <c r="F417" s="1480"/>
      <c r="G417" s="1480"/>
      <c r="H417" s="1480"/>
      <c r="I417" s="1480"/>
      <c r="J417" s="1480"/>
      <c r="K417" s="1480"/>
      <c r="L417" s="1480"/>
      <c r="M417" s="154"/>
      <c r="N417" s="1481"/>
      <c r="O417" s="1482"/>
    </row>
    <row r="418">
      <c r="A418" s="1463"/>
      <c r="B418" s="1464"/>
      <c r="C418" s="1465"/>
      <c r="D418" s="1471"/>
      <c r="E418" s="1467"/>
      <c r="F418" s="1468"/>
      <c r="G418" s="1469"/>
      <c r="H418" s="1470"/>
      <c r="I418" s="1471"/>
      <c r="J418" s="1472"/>
      <c r="K418" s="1473"/>
      <c r="L418" s="1468"/>
      <c r="M418" s="1386"/>
      <c r="N418" s="1474"/>
      <c r="O418" s="1475"/>
    </row>
    <row r="419">
      <c r="A419" s="1476"/>
      <c r="B419" s="1477"/>
      <c r="C419" s="1478"/>
      <c r="D419" s="1480"/>
      <c r="E419" s="1479"/>
      <c r="F419" s="1480"/>
      <c r="G419" s="1480"/>
      <c r="H419" s="1480"/>
      <c r="I419" s="1480"/>
      <c r="J419" s="1480"/>
      <c r="K419" s="1480"/>
      <c r="L419" s="1480"/>
      <c r="M419" s="154"/>
      <c r="N419" s="1481"/>
      <c r="O419" s="1482"/>
    </row>
    <row r="420">
      <c r="A420" s="1463"/>
      <c r="B420" s="1464"/>
      <c r="C420" s="1465"/>
      <c r="D420" s="1471"/>
      <c r="E420" s="1467"/>
      <c r="F420" s="1468"/>
      <c r="G420" s="1469"/>
      <c r="H420" s="1470"/>
      <c r="I420" s="1471"/>
      <c r="J420" s="1472"/>
      <c r="K420" s="1473"/>
      <c r="L420" s="1468"/>
      <c r="M420" s="1386"/>
      <c r="N420" s="1474"/>
      <c r="O420" s="1475"/>
    </row>
    <row r="421">
      <c r="A421" s="1476"/>
      <c r="B421" s="1477"/>
      <c r="C421" s="1478"/>
      <c r="D421" s="1480"/>
      <c r="E421" s="1479"/>
      <c r="F421" s="1480"/>
      <c r="G421" s="1480"/>
      <c r="H421" s="1480"/>
      <c r="I421" s="1480"/>
      <c r="J421" s="1480"/>
      <c r="K421" s="1480"/>
      <c r="L421" s="1480"/>
      <c r="M421" s="154"/>
      <c r="N421" s="1481"/>
      <c r="O421" s="1482"/>
    </row>
    <row r="422">
      <c r="A422" s="1463"/>
      <c r="B422" s="1464"/>
      <c r="C422" s="1465"/>
      <c r="D422" s="1471"/>
      <c r="E422" s="1467"/>
      <c r="F422" s="1468"/>
      <c r="G422" s="1469"/>
      <c r="H422" s="1470"/>
      <c r="I422" s="1471"/>
      <c r="J422" s="1472"/>
      <c r="K422" s="1473"/>
      <c r="L422" s="1468"/>
      <c r="M422" s="1386"/>
      <c r="N422" s="1474"/>
      <c r="O422" s="1475"/>
    </row>
    <row r="423">
      <c r="A423" s="1476"/>
      <c r="B423" s="1477"/>
      <c r="C423" s="1478"/>
      <c r="D423" s="1480"/>
      <c r="E423" s="1479"/>
      <c r="F423" s="1480"/>
      <c r="G423" s="1480"/>
      <c r="H423" s="1480"/>
      <c r="I423" s="1480"/>
      <c r="J423" s="1480"/>
      <c r="K423" s="1480"/>
      <c r="L423" s="1480"/>
      <c r="M423" s="154"/>
      <c r="N423" s="1481"/>
      <c r="O423" s="1482"/>
    </row>
    <row r="424">
      <c r="A424" s="1463"/>
      <c r="B424" s="1464"/>
      <c r="C424" s="1465"/>
      <c r="D424" s="1471"/>
      <c r="E424" s="1467"/>
      <c r="F424" s="1468"/>
      <c r="G424" s="1469"/>
      <c r="H424" s="1470"/>
      <c r="I424" s="1471"/>
      <c r="J424" s="1472"/>
      <c r="K424" s="1473"/>
      <c r="L424" s="1468"/>
      <c r="M424" s="1386"/>
      <c r="N424" s="1474"/>
      <c r="O424" s="1475"/>
    </row>
    <row r="425">
      <c r="A425" s="1476"/>
      <c r="B425" s="1477"/>
      <c r="C425" s="1478"/>
      <c r="D425" s="1480"/>
      <c r="E425" s="1479"/>
      <c r="F425" s="1480"/>
      <c r="G425" s="1480"/>
      <c r="H425" s="1480"/>
      <c r="I425" s="1480"/>
      <c r="J425" s="1480"/>
      <c r="K425" s="1480"/>
      <c r="L425" s="1480"/>
      <c r="M425" s="154"/>
      <c r="N425" s="1481"/>
      <c r="O425" s="1482"/>
    </row>
    <row r="426">
      <c r="A426" s="1463"/>
      <c r="B426" s="1464"/>
      <c r="C426" s="1465"/>
      <c r="D426" s="1471"/>
      <c r="E426" s="1467"/>
      <c r="F426" s="1468"/>
      <c r="G426" s="1469"/>
      <c r="H426" s="1470"/>
      <c r="I426" s="1471"/>
      <c r="J426" s="1472"/>
      <c r="K426" s="1473"/>
      <c r="L426" s="1468"/>
      <c r="M426" s="1386"/>
      <c r="N426" s="1474"/>
      <c r="O426" s="1475"/>
    </row>
    <row r="427">
      <c r="A427" s="1476"/>
      <c r="B427" s="1477"/>
      <c r="C427" s="1478"/>
      <c r="D427" s="1480"/>
      <c r="E427" s="1479"/>
      <c r="F427" s="1480"/>
      <c r="G427" s="1480"/>
      <c r="H427" s="1480"/>
      <c r="I427" s="1480"/>
      <c r="J427" s="1480"/>
      <c r="K427" s="1480"/>
      <c r="L427" s="1480"/>
      <c r="M427" s="154"/>
      <c r="N427" s="1481"/>
      <c r="O427" s="1482"/>
    </row>
    <row r="428">
      <c r="A428" s="1463"/>
      <c r="B428" s="1464"/>
      <c r="C428" s="1465"/>
      <c r="D428" s="1471"/>
      <c r="E428" s="1467"/>
      <c r="F428" s="1468"/>
      <c r="G428" s="1469"/>
      <c r="H428" s="1470"/>
      <c r="I428" s="1471"/>
      <c r="J428" s="1472"/>
      <c r="K428" s="1473"/>
      <c r="L428" s="1468"/>
      <c r="M428" s="1386"/>
      <c r="N428" s="1474"/>
      <c r="O428" s="1475"/>
    </row>
    <row r="429">
      <c r="A429" s="1476"/>
      <c r="B429" s="1477"/>
      <c r="C429" s="1478"/>
      <c r="D429" s="1480"/>
      <c r="E429" s="1479"/>
      <c r="F429" s="1480"/>
      <c r="G429" s="1480"/>
      <c r="H429" s="1480"/>
      <c r="I429" s="1480"/>
      <c r="J429" s="1480"/>
      <c r="K429" s="1480"/>
      <c r="L429" s="1480"/>
      <c r="M429" s="154"/>
      <c r="N429" s="1481"/>
      <c r="O429" s="1482"/>
    </row>
    <row r="430">
      <c r="A430" s="1463"/>
      <c r="B430" s="1464"/>
      <c r="C430" s="1465"/>
      <c r="D430" s="1471"/>
      <c r="E430" s="1467"/>
      <c r="F430" s="1468"/>
      <c r="G430" s="1469"/>
      <c r="H430" s="1470"/>
      <c r="I430" s="1471"/>
      <c r="J430" s="1472"/>
      <c r="K430" s="1473"/>
      <c r="L430" s="1468"/>
      <c r="M430" s="1386"/>
      <c r="N430" s="1474"/>
      <c r="O430" s="1475"/>
    </row>
    <row r="431">
      <c r="A431" s="1476"/>
      <c r="B431" s="1477"/>
      <c r="C431" s="1478"/>
      <c r="D431" s="1480"/>
      <c r="E431" s="1479"/>
      <c r="F431" s="1480"/>
      <c r="G431" s="1480"/>
      <c r="H431" s="1480"/>
      <c r="I431" s="1480"/>
      <c r="J431" s="1480"/>
      <c r="K431" s="1480"/>
      <c r="L431" s="1480"/>
      <c r="M431" s="154"/>
      <c r="N431" s="1481"/>
      <c r="O431" s="1482"/>
    </row>
    <row r="432">
      <c r="A432" s="1463"/>
      <c r="B432" s="1464"/>
      <c r="C432" s="1465"/>
      <c r="D432" s="1471"/>
      <c r="E432" s="1467"/>
      <c r="F432" s="1468"/>
      <c r="G432" s="1469"/>
      <c r="H432" s="1470"/>
      <c r="I432" s="1471"/>
      <c r="J432" s="1472"/>
      <c r="K432" s="1473"/>
      <c r="L432" s="1468"/>
      <c r="M432" s="1386"/>
      <c r="N432" s="1474"/>
      <c r="O432" s="1475"/>
    </row>
    <row r="433">
      <c r="A433" s="1476"/>
      <c r="B433" s="1477"/>
      <c r="C433" s="1478"/>
      <c r="D433" s="1480"/>
      <c r="E433" s="1479"/>
      <c r="F433" s="1480"/>
      <c r="G433" s="1480"/>
      <c r="H433" s="1480"/>
      <c r="I433" s="1480"/>
      <c r="J433" s="1480"/>
      <c r="K433" s="1480"/>
      <c r="L433" s="1480"/>
      <c r="M433" s="154"/>
      <c r="N433" s="1481"/>
      <c r="O433" s="1482"/>
    </row>
    <row r="434">
      <c r="A434" s="1463"/>
      <c r="B434" s="1464"/>
      <c r="C434" s="1465"/>
      <c r="D434" s="1471"/>
      <c r="E434" s="1467"/>
      <c r="F434" s="1468"/>
      <c r="G434" s="1469"/>
      <c r="H434" s="1470"/>
      <c r="I434" s="1471"/>
      <c r="J434" s="1472"/>
      <c r="K434" s="1473"/>
      <c r="L434" s="1468"/>
      <c r="M434" s="1386"/>
      <c r="N434" s="1474"/>
      <c r="O434" s="1475"/>
    </row>
    <row r="435">
      <c r="A435" s="1476"/>
      <c r="B435" s="1477"/>
      <c r="C435" s="1478"/>
      <c r="D435" s="1480"/>
      <c r="E435" s="1479"/>
      <c r="F435" s="1480"/>
      <c r="G435" s="1480"/>
      <c r="H435" s="1480"/>
      <c r="I435" s="1480"/>
      <c r="J435" s="1480"/>
      <c r="K435" s="1480"/>
      <c r="L435" s="1480"/>
      <c r="M435" s="154"/>
      <c r="N435" s="1481"/>
      <c r="O435" s="1482"/>
    </row>
    <row r="436">
      <c r="A436" s="1463"/>
      <c r="B436" s="1464"/>
      <c r="C436" s="1465"/>
      <c r="D436" s="1471"/>
      <c r="E436" s="1467"/>
      <c r="F436" s="1468"/>
      <c r="G436" s="1469"/>
      <c r="H436" s="1470"/>
      <c r="I436" s="1471"/>
      <c r="J436" s="1472"/>
      <c r="K436" s="1473"/>
      <c r="L436" s="1468"/>
      <c r="M436" s="1386"/>
      <c r="N436" s="1474"/>
      <c r="O436" s="1475"/>
    </row>
    <row r="437">
      <c r="A437" s="1476"/>
      <c r="B437" s="1477"/>
      <c r="C437" s="1478"/>
      <c r="D437" s="1480"/>
      <c r="E437" s="1479"/>
      <c r="F437" s="1480"/>
      <c r="G437" s="1480"/>
      <c r="H437" s="1480"/>
      <c r="I437" s="1480"/>
      <c r="J437" s="1480"/>
      <c r="K437" s="1480"/>
      <c r="L437" s="1480"/>
      <c r="M437" s="154"/>
      <c r="N437" s="1481"/>
      <c r="O437" s="1482"/>
    </row>
    <row r="438">
      <c r="A438" s="1463"/>
      <c r="B438" s="1464"/>
      <c r="C438" s="1465"/>
      <c r="D438" s="1471"/>
      <c r="E438" s="1467"/>
      <c r="F438" s="1468"/>
      <c r="G438" s="1469"/>
      <c r="H438" s="1470"/>
      <c r="I438" s="1471"/>
      <c r="J438" s="1472"/>
      <c r="K438" s="1473"/>
      <c r="L438" s="1468"/>
      <c r="M438" s="1386"/>
      <c r="N438" s="1474"/>
      <c r="O438" s="1475"/>
    </row>
    <row r="439">
      <c r="A439" s="1476"/>
      <c r="B439" s="1477"/>
      <c r="C439" s="1478"/>
      <c r="D439" s="1480"/>
      <c r="E439" s="1479"/>
      <c r="F439" s="1480"/>
      <c r="G439" s="1480"/>
      <c r="H439" s="1480"/>
      <c r="I439" s="1480"/>
      <c r="J439" s="1480"/>
      <c r="K439" s="1480"/>
      <c r="L439" s="1480"/>
      <c r="M439" s="154"/>
      <c r="N439" s="1481"/>
      <c r="O439" s="1482"/>
    </row>
    <row r="440">
      <c r="A440" s="1463"/>
      <c r="B440" s="1464"/>
      <c r="C440" s="1465"/>
      <c r="D440" s="1471"/>
      <c r="E440" s="1467"/>
      <c r="F440" s="1468"/>
      <c r="G440" s="1469"/>
      <c r="H440" s="1470"/>
      <c r="I440" s="1471"/>
      <c r="J440" s="1472"/>
      <c r="K440" s="1473"/>
      <c r="L440" s="1468"/>
      <c r="M440" s="1386"/>
      <c r="N440" s="1474"/>
      <c r="O440" s="1475"/>
    </row>
    <row r="441">
      <c r="A441" s="1476"/>
      <c r="B441" s="1477"/>
      <c r="C441" s="1478"/>
      <c r="D441" s="1480"/>
      <c r="E441" s="1479"/>
      <c r="F441" s="1480"/>
      <c r="G441" s="1480"/>
      <c r="H441" s="1480"/>
      <c r="I441" s="1480"/>
      <c r="J441" s="1480"/>
      <c r="K441" s="1480"/>
      <c r="L441" s="1480"/>
      <c r="M441" s="154"/>
      <c r="N441" s="1481"/>
      <c r="O441" s="1482"/>
    </row>
    <row r="442">
      <c r="A442" s="1463"/>
      <c r="B442" s="1464"/>
      <c r="C442" s="1465"/>
      <c r="D442" s="1471"/>
      <c r="E442" s="1467"/>
      <c r="F442" s="1468"/>
      <c r="G442" s="1469"/>
      <c r="H442" s="1470"/>
      <c r="I442" s="1471"/>
      <c r="J442" s="1472"/>
      <c r="K442" s="1473"/>
      <c r="L442" s="1468"/>
      <c r="M442" s="1386"/>
      <c r="N442" s="1474"/>
      <c r="O442" s="1475"/>
    </row>
    <row r="443">
      <c r="A443" s="1476"/>
      <c r="B443" s="1477"/>
      <c r="C443" s="1478"/>
      <c r="D443" s="1480"/>
      <c r="E443" s="1479"/>
      <c r="F443" s="1480"/>
      <c r="G443" s="1480"/>
      <c r="H443" s="1480"/>
      <c r="I443" s="1480"/>
      <c r="J443" s="1480"/>
      <c r="K443" s="1480"/>
      <c r="L443" s="1480"/>
      <c r="M443" s="154"/>
      <c r="N443" s="1481"/>
      <c r="O443" s="1482"/>
    </row>
    <row r="444">
      <c r="A444" s="1463"/>
      <c r="B444" s="1464"/>
      <c r="C444" s="1465"/>
      <c r="D444" s="1471"/>
      <c r="E444" s="1467"/>
      <c r="F444" s="1468"/>
      <c r="G444" s="1469"/>
      <c r="H444" s="1470"/>
      <c r="I444" s="1471"/>
      <c r="J444" s="1472"/>
      <c r="K444" s="1473"/>
      <c r="L444" s="1468"/>
      <c r="M444" s="1386"/>
      <c r="N444" s="1474"/>
      <c r="O444" s="1475"/>
    </row>
    <row r="445">
      <c r="A445" s="1476"/>
      <c r="B445" s="1477"/>
      <c r="C445" s="1478"/>
      <c r="D445" s="1480"/>
      <c r="E445" s="1479"/>
      <c r="F445" s="1480"/>
      <c r="G445" s="1480"/>
      <c r="H445" s="1480"/>
      <c r="I445" s="1480"/>
      <c r="J445" s="1480"/>
      <c r="K445" s="1480"/>
      <c r="L445" s="1480"/>
      <c r="M445" s="154"/>
      <c r="N445" s="1481"/>
      <c r="O445" s="1482"/>
    </row>
    <row r="446">
      <c r="A446" s="1463"/>
      <c r="B446" s="1464"/>
      <c r="C446" s="1465"/>
      <c r="D446" s="1471"/>
      <c r="E446" s="1467"/>
      <c r="F446" s="1468"/>
      <c r="G446" s="1469"/>
      <c r="H446" s="1470"/>
      <c r="I446" s="1471"/>
      <c r="J446" s="1472"/>
      <c r="K446" s="1473"/>
      <c r="L446" s="1468"/>
      <c r="M446" s="1386"/>
      <c r="N446" s="1474"/>
      <c r="O446" s="1475"/>
    </row>
    <row r="447">
      <c r="A447" s="1476"/>
      <c r="B447" s="1477"/>
      <c r="C447" s="1478"/>
      <c r="D447" s="1480"/>
      <c r="E447" s="1479"/>
      <c r="F447" s="1480"/>
      <c r="G447" s="1480"/>
      <c r="H447" s="1480"/>
      <c r="I447" s="1480"/>
      <c r="J447" s="1480"/>
      <c r="K447" s="1480"/>
      <c r="L447" s="1480"/>
      <c r="M447" s="154"/>
      <c r="N447" s="1481"/>
      <c r="O447" s="1482"/>
    </row>
    <row r="448">
      <c r="A448" s="1463"/>
      <c r="B448" s="1464"/>
      <c r="C448" s="1465"/>
      <c r="D448" s="1471"/>
      <c r="E448" s="1467"/>
      <c r="F448" s="1468"/>
      <c r="G448" s="1469"/>
      <c r="H448" s="1470"/>
      <c r="I448" s="1471"/>
      <c r="J448" s="1472"/>
      <c r="K448" s="1473"/>
      <c r="L448" s="1468"/>
      <c r="M448" s="1386"/>
      <c r="N448" s="1474"/>
      <c r="O448" s="1475"/>
    </row>
    <row r="449">
      <c r="A449" s="1476"/>
      <c r="B449" s="1477"/>
      <c r="C449" s="1478"/>
      <c r="D449" s="1480"/>
      <c r="E449" s="1479"/>
      <c r="F449" s="1480"/>
      <c r="G449" s="1480"/>
      <c r="H449" s="1480"/>
      <c r="I449" s="1480"/>
      <c r="J449" s="1480"/>
      <c r="K449" s="1480"/>
      <c r="L449" s="1480"/>
      <c r="M449" s="154"/>
      <c r="N449" s="1481"/>
      <c r="O449" s="1482"/>
    </row>
    <row r="450">
      <c r="A450" s="1463"/>
      <c r="B450" s="1464"/>
      <c r="C450" s="1465"/>
      <c r="D450" s="1471"/>
      <c r="E450" s="1467"/>
      <c r="F450" s="1468"/>
      <c r="G450" s="1469"/>
      <c r="H450" s="1470"/>
      <c r="I450" s="1471"/>
      <c r="J450" s="1472"/>
      <c r="K450" s="1473"/>
      <c r="L450" s="1468"/>
      <c r="M450" s="1386"/>
      <c r="N450" s="1474"/>
      <c r="O450" s="1475"/>
    </row>
    <row r="451">
      <c r="A451" s="1476"/>
      <c r="B451" s="1477"/>
      <c r="C451" s="1478"/>
      <c r="D451" s="1480"/>
      <c r="E451" s="1479"/>
      <c r="F451" s="1480"/>
      <c r="G451" s="1480"/>
      <c r="H451" s="1480"/>
      <c r="I451" s="1480"/>
      <c r="J451" s="1480"/>
      <c r="K451" s="1480"/>
      <c r="L451" s="1480"/>
      <c r="M451" s="154"/>
      <c r="N451" s="1481"/>
      <c r="O451" s="1482"/>
    </row>
    <row r="452">
      <c r="A452" s="1463"/>
      <c r="B452" s="1464"/>
      <c r="C452" s="1465"/>
      <c r="D452" s="1471"/>
      <c r="E452" s="1467"/>
      <c r="F452" s="1468"/>
      <c r="G452" s="1469"/>
      <c r="H452" s="1470"/>
      <c r="I452" s="1471"/>
      <c r="J452" s="1472"/>
      <c r="K452" s="1473"/>
      <c r="L452" s="1468"/>
      <c r="M452" s="1386"/>
      <c r="N452" s="1474"/>
      <c r="O452" s="1475"/>
    </row>
    <row r="453">
      <c r="A453" s="1476"/>
      <c r="B453" s="1477"/>
      <c r="C453" s="1478"/>
      <c r="D453" s="1480"/>
      <c r="E453" s="1479"/>
      <c r="F453" s="1480"/>
      <c r="G453" s="1480"/>
      <c r="H453" s="1480"/>
      <c r="I453" s="1480"/>
      <c r="J453" s="1480"/>
      <c r="K453" s="1480"/>
      <c r="L453" s="1480"/>
      <c r="M453" s="154"/>
      <c r="N453" s="1481"/>
      <c r="O453" s="1482"/>
    </row>
    <row r="454">
      <c r="A454" s="1463"/>
      <c r="B454" s="1464"/>
      <c r="C454" s="1465"/>
      <c r="D454" s="1471"/>
      <c r="E454" s="1467"/>
      <c r="F454" s="1468"/>
      <c r="G454" s="1469"/>
      <c r="H454" s="1470"/>
      <c r="I454" s="1471"/>
      <c r="J454" s="1472"/>
      <c r="K454" s="1473"/>
      <c r="L454" s="1468"/>
      <c r="M454" s="1386"/>
      <c r="N454" s="1474"/>
      <c r="O454" s="1475"/>
    </row>
    <row r="455">
      <c r="A455" s="1476"/>
      <c r="B455" s="1477"/>
      <c r="C455" s="1478"/>
      <c r="D455" s="1480"/>
      <c r="E455" s="1479"/>
      <c r="F455" s="1480"/>
      <c r="G455" s="1480"/>
      <c r="H455" s="1480"/>
      <c r="I455" s="1480"/>
      <c r="J455" s="1480"/>
      <c r="K455" s="1480"/>
      <c r="L455" s="1480"/>
      <c r="M455" s="154"/>
      <c r="N455" s="1481"/>
      <c r="O455" s="1482"/>
    </row>
    <row r="456">
      <c r="A456" s="1463"/>
      <c r="B456" s="1464"/>
      <c r="C456" s="1465"/>
      <c r="D456" s="1471"/>
      <c r="E456" s="1467"/>
      <c r="F456" s="1468"/>
      <c r="G456" s="1469"/>
      <c r="H456" s="1470"/>
      <c r="I456" s="1471"/>
      <c r="J456" s="1472"/>
      <c r="K456" s="1473"/>
      <c r="L456" s="1468"/>
      <c r="M456" s="1386"/>
      <c r="N456" s="1474"/>
      <c r="O456" s="1475"/>
    </row>
    <row r="457">
      <c r="A457" s="1476"/>
      <c r="B457" s="1477"/>
      <c r="C457" s="1478"/>
      <c r="D457" s="1480"/>
      <c r="E457" s="1479"/>
      <c r="F457" s="1480"/>
      <c r="G457" s="1480"/>
      <c r="H457" s="1480"/>
      <c r="I457" s="1480"/>
      <c r="J457" s="1480"/>
      <c r="K457" s="1480"/>
      <c r="L457" s="1480"/>
      <c r="M457" s="154"/>
      <c r="N457" s="1481"/>
      <c r="O457" s="1482"/>
    </row>
    <row r="458">
      <c r="A458" s="1463"/>
      <c r="B458" s="1464"/>
      <c r="C458" s="1465"/>
      <c r="D458" s="1471"/>
      <c r="E458" s="1467"/>
      <c r="F458" s="1468"/>
      <c r="G458" s="1469"/>
      <c r="H458" s="1470"/>
      <c r="I458" s="1471"/>
      <c r="J458" s="1472"/>
      <c r="K458" s="1473"/>
      <c r="L458" s="1468"/>
      <c r="M458" s="1386"/>
      <c r="N458" s="1474"/>
      <c r="O458" s="1475"/>
    </row>
    <row r="459">
      <c r="A459" s="1476"/>
      <c r="B459" s="1477"/>
      <c r="C459" s="1478"/>
      <c r="D459" s="1480"/>
      <c r="E459" s="1479"/>
      <c r="F459" s="1480"/>
      <c r="G459" s="1480"/>
      <c r="H459" s="1480"/>
      <c r="I459" s="1480"/>
      <c r="J459" s="1480"/>
      <c r="K459" s="1480"/>
      <c r="L459" s="1480"/>
      <c r="M459" s="154"/>
      <c r="N459" s="1481"/>
      <c r="O459" s="1482"/>
    </row>
    <row r="460">
      <c r="A460" s="1463"/>
      <c r="B460" s="1464"/>
      <c r="C460" s="1465"/>
      <c r="D460" s="1471"/>
      <c r="E460" s="1467"/>
      <c r="F460" s="1468"/>
      <c r="G460" s="1469"/>
      <c r="H460" s="1470"/>
      <c r="I460" s="1471"/>
      <c r="J460" s="1472"/>
      <c r="K460" s="1473"/>
      <c r="L460" s="1468"/>
      <c r="M460" s="1386"/>
      <c r="N460" s="1474"/>
      <c r="O460" s="1475"/>
    </row>
    <row r="461">
      <c r="A461" s="1476"/>
      <c r="B461" s="1477"/>
      <c r="C461" s="1478"/>
      <c r="D461" s="1480"/>
      <c r="E461" s="1479"/>
      <c r="F461" s="1480"/>
      <c r="G461" s="1480"/>
      <c r="H461" s="1480"/>
      <c r="I461" s="1480"/>
      <c r="J461" s="1480"/>
      <c r="K461" s="1480"/>
      <c r="L461" s="1480"/>
      <c r="M461" s="154"/>
      <c r="N461" s="1481"/>
      <c r="O461" s="1482"/>
    </row>
    <row r="462">
      <c r="A462" s="1463"/>
      <c r="B462" s="1464"/>
      <c r="C462" s="1465"/>
      <c r="D462" s="1471"/>
      <c r="E462" s="1467"/>
      <c r="F462" s="1468"/>
      <c r="G462" s="1469"/>
      <c r="H462" s="1470"/>
      <c r="I462" s="1471"/>
      <c r="J462" s="1472"/>
      <c r="K462" s="1473"/>
      <c r="L462" s="1468"/>
      <c r="M462" s="1386"/>
      <c r="N462" s="1474"/>
      <c r="O462" s="1475"/>
    </row>
    <row r="463">
      <c r="A463" s="1476"/>
      <c r="B463" s="1477"/>
      <c r="C463" s="1478"/>
      <c r="D463" s="1480"/>
      <c r="E463" s="1479"/>
      <c r="F463" s="1480"/>
      <c r="G463" s="1480"/>
      <c r="H463" s="1480"/>
      <c r="I463" s="1480"/>
      <c r="J463" s="1480"/>
      <c r="K463" s="1480"/>
      <c r="L463" s="1480"/>
      <c r="M463" s="154"/>
      <c r="N463" s="1481"/>
      <c r="O463" s="1482"/>
    </row>
    <row r="464">
      <c r="A464" s="1463"/>
      <c r="B464" s="1464"/>
      <c r="C464" s="1465"/>
      <c r="D464" s="1471"/>
      <c r="E464" s="1467"/>
      <c r="F464" s="1468"/>
      <c r="G464" s="1469"/>
      <c r="H464" s="1470"/>
      <c r="I464" s="1471"/>
      <c r="J464" s="1472"/>
      <c r="K464" s="1473"/>
      <c r="L464" s="1468"/>
      <c r="M464" s="1386"/>
      <c r="N464" s="1474"/>
      <c r="O464" s="1475"/>
    </row>
    <row r="465">
      <c r="A465" s="1476"/>
      <c r="B465" s="1477"/>
      <c r="C465" s="1478"/>
      <c r="D465" s="1480"/>
      <c r="E465" s="1479"/>
      <c r="F465" s="1480"/>
      <c r="G465" s="1480"/>
      <c r="H465" s="1480"/>
      <c r="I465" s="1480"/>
      <c r="J465" s="1480"/>
      <c r="K465" s="1480"/>
      <c r="L465" s="1480"/>
      <c r="M465" s="154"/>
      <c r="N465" s="1481"/>
      <c r="O465" s="1482"/>
    </row>
    <row r="466">
      <c r="A466" s="1463"/>
      <c r="B466" s="1464"/>
      <c r="C466" s="1465"/>
      <c r="D466" s="1471"/>
      <c r="E466" s="1467"/>
      <c r="F466" s="1468"/>
      <c r="G466" s="1469"/>
      <c r="H466" s="1470"/>
      <c r="I466" s="1471"/>
      <c r="J466" s="1472"/>
      <c r="K466" s="1473"/>
      <c r="L466" s="1468"/>
      <c r="M466" s="1386"/>
      <c r="N466" s="1474"/>
      <c r="O466" s="1475"/>
    </row>
    <row r="467">
      <c r="A467" s="1476"/>
      <c r="B467" s="1477"/>
      <c r="C467" s="1478"/>
      <c r="D467" s="1480"/>
      <c r="E467" s="1479"/>
      <c r="F467" s="1480"/>
      <c r="G467" s="1480"/>
      <c r="H467" s="1480"/>
      <c r="I467" s="1480"/>
      <c r="J467" s="1480"/>
      <c r="K467" s="1480"/>
      <c r="L467" s="1480"/>
      <c r="M467" s="154"/>
      <c r="N467" s="1481"/>
      <c r="O467" s="1482"/>
    </row>
    <row r="468">
      <c r="A468" s="1463"/>
      <c r="B468" s="1464"/>
      <c r="C468" s="1465"/>
      <c r="D468" s="1471"/>
      <c r="E468" s="1467"/>
      <c r="F468" s="1468"/>
      <c r="G468" s="1469"/>
      <c r="H468" s="1470"/>
      <c r="I468" s="1471"/>
      <c r="J468" s="1472"/>
      <c r="K468" s="1473"/>
      <c r="L468" s="1468"/>
      <c r="M468" s="1386"/>
      <c r="N468" s="1474"/>
      <c r="O468" s="1475"/>
    </row>
    <row r="469">
      <c r="A469" s="1476"/>
      <c r="B469" s="1477"/>
      <c r="C469" s="1478"/>
      <c r="D469" s="1480"/>
      <c r="E469" s="1479"/>
      <c r="F469" s="1480"/>
      <c r="G469" s="1480"/>
      <c r="H469" s="1480"/>
      <c r="I469" s="1480"/>
      <c r="J469" s="1480"/>
      <c r="K469" s="1480"/>
      <c r="L469" s="1480"/>
      <c r="M469" s="154"/>
      <c r="N469" s="1481"/>
      <c r="O469" s="1482"/>
    </row>
    <row r="470">
      <c r="A470" s="1463"/>
      <c r="B470" s="1464"/>
      <c r="C470" s="1465"/>
      <c r="D470" s="1471"/>
      <c r="E470" s="1467"/>
      <c r="F470" s="1468"/>
      <c r="G470" s="1469"/>
      <c r="H470" s="1470"/>
      <c r="I470" s="1471"/>
      <c r="J470" s="1472"/>
      <c r="K470" s="1473"/>
      <c r="L470" s="1468"/>
      <c r="M470" s="1386"/>
      <c r="N470" s="1474"/>
      <c r="O470" s="1475"/>
    </row>
    <row r="471">
      <c r="A471" s="1476"/>
      <c r="B471" s="1477"/>
      <c r="C471" s="1478"/>
      <c r="D471" s="1480"/>
      <c r="E471" s="1479"/>
      <c r="F471" s="1480"/>
      <c r="G471" s="1480"/>
      <c r="H471" s="1480"/>
      <c r="I471" s="1480"/>
      <c r="J471" s="1480"/>
      <c r="K471" s="1480"/>
      <c r="L471" s="1480"/>
      <c r="M471" s="154"/>
      <c r="N471" s="1481"/>
      <c r="O471" s="1482"/>
    </row>
    <row r="472">
      <c r="A472" s="1463"/>
      <c r="B472" s="1464"/>
      <c r="C472" s="1465"/>
      <c r="D472" s="1471"/>
      <c r="E472" s="1467"/>
      <c r="F472" s="1468"/>
      <c r="G472" s="1469"/>
      <c r="H472" s="1470"/>
      <c r="I472" s="1471"/>
      <c r="J472" s="1472"/>
      <c r="K472" s="1473"/>
      <c r="L472" s="1468"/>
      <c r="M472" s="1386"/>
      <c r="N472" s="1474"/>
      <c r="O472" s="1475"/>
    </row>
    <row r="473">
      <c r="A473" s="1476"/>
      <c r="B473" s="1477"/>
      <c r="C473" s="1478"/>
      <c r="D473" s="1480"/>
      <c r="E473" s="1479"/>
      <c r="F473" s="1480"/>
      <c r="G473" s="1480"/>
      <c r="H473" s="1480"/>
      <c r="I473" s="1480"/>
      <c r="J473" s="1480"/>
      <c r="K473" s="1480"/>
      <c r="L473" s="1480"/>
      <c r="M473" s="154"/>
      <c r="N473" s="1481"/>
      <c r="O473" s="1482"/>
    </row>
    <row r="474">
      <c r="A474" s="1463"/>
      <c r="B474" s="1464"/>
      <c r="C474" s="1465"/>
      <c r="D474" s="1471"/>
      <c r="E474" s="1467"/>
      <c r="F474" s="1468"/>
      <c r="G474" s="1469"/>
      <c r="H474" s="1470"/>
      <c r="I474" s="1471"/>
      <c r="J474" s="1472"/>
      <c r="K474" s="1473"/>
      <c r="L474" s="1468"/>
      <c r="M474" s="1386"/>
      <c r="N474" s="1474"/>
      <c r="O474" s="1475"/>
    </row>
    <row r="475">
      <c r="A475" s="1476"/>
      <c r="B475" s="1477"/>
      <c r="C475" s="1478"/>
      <c r="D475" s="1480"/>
      <c r="E475" s="1479"/>
      <c r="F475" s="1480"/>
      <c r="G475" s="1480"/>
      <c r="H475" s="1480"/>
      <c r="I475" s="1480"/>
      <c r="J475" s="1480"/>
      <c r="K475" s="1480"/>
      <c r="L475" s="1480"/>
      <c r="M475" s="154"/>
      <c r="N475" s="1481"/>
      <c r="O475" s="1482"/>
    </row>
    <row r="476">
      <c r="A476" s="1463"/>
      <c r="B476" s="1464"/>
      <c r="C476" s="1465"/>
      <c r="D476" s="1471"/>
      <c r="E476" s="1467"/>
      <c r="F476" s="1468"/>
      <c r="G476" s="1469"/>
      <c r="H476" s="1470"/>
      <c r="I476" s="1471"/>
      <c r="J476" s="1472"/>
      <c r="K476" s="1473"/>
      <c r="L476" s="1468"/>
      <c r="M476" s="1386"/>
      <c r="N476" s="1474"/>
      <c r="O476" s="1475"/>
    </row>
    <row r="477">
      <c r="A477" s="1476"/>
      <c r="B477" s="1477"/>
      <c r="C477" s="1478"/>
      <c r="D477" s="1480"/>
      <c r="E477" s="1479"/>
      <c r="F477" s="1480"/>
      <c r="G477" s="1480"/>
      <c r="H477" s="1480"/>
      <c r="I477" s="1480"/>
      <c r="J477" s="1480"/>
      <c r="K477" s="1480"/>
      <c r="L477" s="1480"/>
      <c r="M477" s="154"/>
      <c r="N477" s="1481"/>
      <c r="O477" s="1482"/>
    </row>
    <row r="478">
      <c r="A478" s="1463"/>
      <c r="B478" s="1464"/>
      <c r="C478" s="1465"/>
      <c r="D478" s="1471"/>
      <c r="E478" s="1467"/>
      <c r="F478" s="1468"/>
      <c r="G478" s="1469"/>
      <c r="H478" s="1470"/>
      <c r="I478" s="1471"/>
      <c r="J478" s="1472"/>
      <c r="K478" s="1473"/>
      <c r="L478" s="1468"/>
      <c r="M478" s="1386"/>
      <c r="N478" s="1474"/>
      <c r="O478" s="1475"/>
    </row>
    <row r="479">
      <c r="A479" s="1476"/>
      <c r="B479" s="1477"/>
      <c r="C479" s="1478"/>
      <c r="D479" s="1480"/>
      <c r="E479" s="1479"/>
      <c r="F479" s="1480"/>
      <c r="G479" s="1480"/>
      <c r="H479" s="1480"/>
      <c r="I479" s="1480"/>
      <c r="J479" s="1480"/>
      <c r="K479" s="1480"/>
      <c r="L479" s="1480"/>
      <c r="M479" s="154"/>
      <c r="N479" s="1481"/>
      <c r="O479" s="1482"/>
    </row>
    <row r="480">
      <c r="A480" s="1463"/>
      <c r="B480" s="1464"/>
      <c r="C480" s="1465"/>
      <c r="D480" s="1471"/>
      <c r="E480" s="1467"/>
      <c r="F480" s="1468"/>
      <c r="G480" s="1469"/>
      <c r="H480" s="1470"/>
      <c r="I480" s="1471"/>
      <c r="J480" s="1472"/>
      <c r="K480" s="1473"/>
      <c r="L480" s="1468"/>
      <c r="M480" s="1386"/>
      <c r="N480" s="1474"/>
      <c r="O480" s="1475"/>
    </row>
    <row r="481">
      <c r="A481" s="1476"/>
      <c r="B481" s="1477"/>
      <c r="C481" s="1478"/>
      <c r="D481" s="1480"/>
      <c r="E481" s="1479"/>
      <c r="F481" s="1480"/>
      <c r="G481" s="1480"/>
      <c r="H481" s="1480"/>
      <c r="I481" s="1480"/>
      <c r="J481" s="1480"/>
      <c r="K481" s="1480"/>
      <c r="L481" s="1480"/>
      <c r="M481" s="154"/>
      <c r="N481" s="1481"/>
      <c r="O481" s="1482"/>
    </row>
    <row r="482">
      <c r="A482" s="1463"/>
      <c r="B482" s="1464"/>
      <c r="C482" s="1465"/>
      <c r="D482" s="1471"/>
      <c r="E482" s="1467"/>
      <c r="F482" s="1468"/>
      <c r="G482" s="1469"/>
      <c r="H482" s="1470"/>
      <c r="I482" s="1471"/>
      <c r="J482" s="1472"/>
      <c r="K482" s="1473"/>
      <c r="L482" s="1468"/>
      <c r="M482" s="1386"/>
      <c r="N482" s="1474"/>
      <c r="O482" s="1475"/>
    </row>
    <row r="483">
      <c r="A483" s="1476"/>
      <c r="B483" s="1477"/>
      <c r="C483" s="1478"/>
      <c r="D483" s="1480"/>
      <c r="E483" s="1479"/>
      <c r="F483" s="1480"/>
      <c r="G483" s="1480"/>
      <c r="H483" s="1480"/>
      <c r="I483" s="1480"/>
      <c r="J483" s="1480"/>
      <c r="K483" s="1480"/>
      <c r="L483" s="1480"/>
      <c r="M483" s="154"/>
      <c r="N483" s="1481"/>
      <c r="O483" s="1482"/>
    </row>
    <row r="484">
      <c r="A484" s="1463"/>
      <c r="B484" s="1464"/>
      <c r="C484" s="1465"/>
      <c r="D484" s="1471"/>
      <c r="E484" s="1467"/>
      <c r="F484" s="1468"/>
      <c r="G484" s="1469"/>
      <c r="H484" s="1470"/>
      <c r="I484" s="1471"/>
      <c r="J484" s="1472"/>
      <c r="K484" s="1473"/>
      <c r="L484" s="1468"/>
      <c r="M484" s="1386"/>
      <c r="N484" s="1474"/>
      <c r="O484" s="1475"/>
    </row>
    <row r="485">
      <c r="A485" s="1476"/>
      <c r="B485" s="1477"/>
      <c r="C485" s="1478"/>
      <c r="D485" s="1480"/>
      <c r="E485" s="1479"/>
      <c r="F485" s="1480"/>
      <c r="G485" s="1480"/>
      <c r="H485" s="1480"/>
      <c r="I485" s="1480"/>
      <c r="J485" s="1480"/>
      <c r="K485" s="1480"/>
      <c r="L485" s="1480"/>
      <c r="M485" s="154"/>
      <c r="N485" s="1481"/>
      <c r="O485" s="1482"/>
    </row>
    <row r="486">
      <c r="A486" s="1463"/>
      <c r="B486" s="1464"/>
      <c r="C486" s="1465"/>
      <c r="D486" s="1471"/>
      <c r="E486" s="1467"/>
      <c r="F486" s="1468"/>
      <c r="G486" s="1469"/>
      <c r="H486" s="1470"/>
      <c r="I486" s="1471"/>
      <c r="J486" s="1472"/>
      <c r="K486" s="1473"/>
      <c r="L486" s="1468"/>
      <c r="M486" s="1386"/>
      <c r="N486" s="1474"/>
      <c r="O486" s="1475"/>
    </row>
    <row r="487">
      <c r="A487" s="1476"/>
      <c r="B487" s="1477"/>
      <c r="C487" s="1478"/>
      <c r="D487" s="1480"/>
      <c r="E487" s="1479"/>
      <c r="F487" s="1480"/>
      <c r="G487" s="1480"/>
      <c r="H487" s="1480"/>
      <c r="I487" s="1480"/>
      <c r="J487" s="1480"/>
      <c r="K487" s="1480"/>
      <c r="L487" s="1480"/>
      <c r="M487" s="154"/>
      <c r="N487" s="1481"/>
      <c r="O487" s="1482"/>
    </row>
    <row r="488">
      <c r="A488" s="1463"/>
      <c r="B488" s="1464"/>
      <c r="C488" s="1465"/>
      <c r="D488" s="1471"/>
      <c r="E488" s="1467"/>
      <c r="F488" s="1468"/>
      <c r="G488" s="1469"/>
      <c r="H488" s="1470"/>
      <c r="I488" s="1471"/>
      <c r="J488" s="1472"/>
      <c r="K488" s="1473"/>
      <c r="L488" s="1468"/>
      <c r="M488" s="1386"/>
      <c r="N488" s="1474"/>
      <c r="O488" s="1475"/>
    </row>
    <row r="489">
      <c r="A489" s="1476"/>
      <c r="B489" s="1477"/>
      <c r="C489" s="1478"/>
      <c r="D489" s="1480"/>
      <c r="E489" s="1479"/>
      <c r="F489" s="1480"/>
      <c r="G489" s="1480"/>
      <c r="H489" s="1480"/>
      <c r="I489" s="1480"/>
      <c r="J489" s="1480"/>
      <c r="K489" s="1480"/>
      <c r="L489" s="1480"/>
      <c r="M489" s="154"/>
      <c r="N489" s="1481"/>
      <c r="O489" s="1482"/>
    </row>
    <row r="490">
      <c r="A490" s="1463"/>
      <c r="B490" s="1464"/>
      <c r="C490" s="1465"/>
      <c r="D490" s="1471"/>
      <c r="E490" s="1467"/>
      <c r="F490" s="1468"/>
      <c r="G490" s="1469"/>
      <c r="H490" s="1470"/>
      <c r="I490" s="1471"/>
      <c r="J490" s="1472"/>
      <c r="K490" s="1473"/>
      <c r="L490" s="1468"/>
      <c r="M490" s="1386"/>
      <c r="N490" s="1474"/>
      <c r="O490" s="1475"/>
    </row>
    <row r="491">
      <c r="A491" s="1476"/>
      <c r="B491" s="1477"/>
      <c r="C491" s="1478"/>
      <c r="D491" s="1480"/>
      <c r="E491" s="1479"/>
      <c r="F491" s="1480"/>
      <c r="G491" s="1480"/>
      <c r="H491" s="1480"/>
      <c r="I491" s="1480"/>
      <c r="J491" s="1480"/>
      <c r="K491" s="1480"/>
      <c r="L491" s="1480"/>
      <c r="M491" s="154"/>
      <c r="N491" s="1481"/>
      <c r="O491" s="1482"/>
    </row>
    <row r="492">
      <c r="A492" s="1463"/>
      <c r="B492" s="1464"/>
      <c r="C492" s="1465"/>
      <c r="D492" s="1471"/>
      <c r="E492" s="1467"/>
      <c r="F492" s="1468"/>
      <c r="G492" s="1469"/>
      <c r="H492" s="1470"/>
      <c r="I492" s="1471"/>
      <c r="J492" s="1472"/>
      <c r="K492" s="1473"/>
      <c r="L492" s="1468"/>
      <c r="M492" s="1386"/>
      <c r="N492" s="1474"/>
      <c r="O492" s="1475"/>
    </row>
    <row r="493">
      <c r="A493" s="1476"/>
      <c r="B493" s="1477"/>
      <c r="C493" s="1478"/>
      <c r="D493" s="1480"/>
      <c r="E493" s="1479"/>
      <c r="F493" s="1480"/>
      <c r="G493" s="1480"/>
      <c r="H493" s="1480"/>
      <c r="I493" s="1480"/>
      <c r="J493" s="1480"/>
      <c r="K493" s="1480"/>
      <c r="L493" s="1480"/>
      <c r="M493" s="154"/>
      <c r="N493" s="1481"/>
      <c r="O493" s="1482"/>
    </row>
    <row r="494">
      <c r="A494" s="1463"/>
      <c r="B494" s="1464"/>
      <c r="C494" s="1465"/>
      <c r="D494" s="1471"/>
      <c r="E494" s="1467"/>
      <c r="F494" s="1468"/>
      <c r="G494" s="1469"/>
      <c r="H494" s="1470"/>
      <c r="I494" s="1471"/>
      <c r="J494" s="1472"/>
      <c r="K494" s="1473"/>
      <c r="L494" s="1468"/>
      <c r="M494" s="1386"/>
      <c r="N494" s="1474"/>
      <c r="O494" s="1475"/>
    </row>
    <row r="495">
      <c r="A495" s="1476"/>
      <c r="B495" s="1477"/>
      <c r="C495" s="1478"/>
      <c r="D495" s="1480"/>
      <c r="E495" s="1479"/>
      <c r="F495" s="1480"/>
      <c r="G495" s="1480"/>
      <c r="H495" s="1480"/>
      <c r="I495" s="1480"/>
      <c r="J495" s="1480"/>
      <c r="K495" s="1480"/>
      <c r="L495" s="1480"/>
      <c r="M495" s="154"/>
      <c r="N495" s="1481"/>
      <c r="O495" s="1482"/>
    </row>
    <row r="496">
      <c r="A496" s="1463"/>
      <c r="B496" s="1464"/>
      <c r="C496" s="1465"/>
      <c r="D496" s="1471"/>
      <c r="E496" s="1467"/>
      <c r="F496" s="1468"/>
      <c r="G496" s="1469"/>
      <c r="H496" s="1470"/>
      <c r="I496" s="1471"/>
      <c r="J496" s="1472"/>
      <c r="K496" s="1473"/>
      <c r="L496" s="1468"/>
      <c r="M496" s="1386"/>
      <c r="N496" s="1474"/>
      <c r="O496" s="1475"/>
    </row>
    <row r="497">
      <c r="A497" s="1476"/>
      <c r="B497" s="1477"/>
      <c r="C497" s="1478"/>
      <c r="D497" s="1480"/>
      <c r="E497" s="1479"/>
      <c r="F497" s="1480"/>
      <c r="G497" s="1480"/>
      <c r="H497" s="1480"/>
      <c r="I497" s="1480"/>
      <c r="J497" s="1480"/>
      <c r="K497" s="1480"/>
      <c r="L497" s="1480"/>
      <c r="M497" s="154"/>
      <c r="N497" s="1481"/>
      <c r="O497" s="1482"/>
    </row>
    <row r="498">
      <c r="A498" s="1463"/>
      <c r="B498" s="1464"/>
      <c r="C498" s="1465"/>
      <c r="D498" s="1471"/>
      <c r="E498" s="1467"/>
      <c r="F498" s="1468"/>
      <c r="G498" s="1469"/>
      <c r="H498" s="1470"/>
      <c r="I498" s="1471"/>
      <c r="J498" s="1472"/>
      <c r="K498" s="1473"/>
      <c r="L498" s="1468"/>
      <c r="M498" s="1386"/>
      <c r="N498" s="1474"/>
      <c r="O498" s="1475"/>
    </row>
    <row r="499">
      <c r="A499" s="1476"/>
      <c r="B499" s="1477"/>
      <c r="C499" s="1478"/>
      <c r="D499" s="1480"/>
      <c r="E499" s="1479"/>
      <c r="F499" s="1480"/>
      <c r="G499" s="1480"/>
      <c r="H499" s="1480"/>
      <c r="I499" s="1480"/>
      <c r="J499" s="1480"/>
      <c r="K499" s="1480"/>
      <c r="L499" s="1480"/>
      <c r="M499" s="154"/>
      <c r="N499" s="1481"/>
      <c r="O499" s="1482"/>
    </row>
    <row r="500">
      <c r="A500" s="1463"/>
      <c r="B500" s="1464"/>
      <c r="C500" s="1465"/>
      <c r="D500" s="1471"/>
      <c r="E500" s="1467"/>
      <c r="F500" s="1468"/>
      <c r="G500" s="1469"/>
      <c r="H500" s="1470"/>
      <c r="I500" s="1471"/>
      <c r="J500" s="1472"/>
      <c r="K500" s="1473"/>
      <c r="L500" s="1468"/>
      <c r="M500" s="1386"/>
      <c r="N500" s="1474"/>
      <c r="O500" s="1475"/>
    </row>
    <row r="501">
      <c r="A501" s="1476"/>
      <c r="B501" s="1477"/>
      <c r="C501" s="1478"/>
      <c r="D501" s="1480"/>
      <c r="E501" s="1479"/>
      <c r="F501" s="1480"/>
      <c r="G501" s="1480"/>
      <c r="H501" s="1480"/>
      <c r="I501" s="1480"/>
      <c r="J501" s="1480"/>
      <c r="K501" s="1480"/>
      <c r="L501" s="1480"/>
      <c r="M501" s="154"/>
      <c r="N501" s="1481"/>
      <c r="O501" s="1482"/>
    </row>
    <row r="502">
      <c r="A502" s="1463"/>
      <c r="B502" s="1464"/>
      <c r="C502" s="1465"/>
      <c r="D502" s="1471"/>
      <c r="E502" s="1467"/>
      <c r="F502" s="1468"/>
      <c r="G502" s="1469"/>
      <c r="H502" s="1470"/>
      <c r="I502" s="1471"/>
      <c r="J502" s="1472"/>
      <c r="K502" s="1473"/>
      <c r="L502" s="1468"/>
      <c r="M502" s="1386"/>
      <c r="N502" s="1474"/>
      <c r="O502" s="1475"/>
    </row>
    <row r="503">
      <c r="A503" s="1476"/>
      <c r="B503" s="1477"/>
      <c r="C503" s="1478"/>
      <c r="D503" s="1480"/>
      <c r="E503" s="1479"/>
      <c r="F503" s="1480"/>
      <c r="G503" s="1480"/>
      <c r="H503" s="1480"/>
      <c r="I503" s="1480"/>
      <c r="J503" s="1480"/>
      <c r="K503" s="1480"/>
      <c r="L503" s="1480"/>
      <c r="M503" s="154"/>
      <c r="N503" s="1481"/>
      <c r="O503" s="1482"/>
    </row>
    <row r="504">
      <c r="A504" s="1463"/>
      <c r="B504" s="1464"/>
      <c r="C504" s="1465"/>
      <c r="D504" s="1471"/>
      <c r="E504" s="1467"/>
      <c r="F504" s="1468"/>
      <c r="G504" s="1469"/>
      <c r="H504" s="1470"/>
      <c r="I504" s="1471"/>
      <c r="J504" s="1472"/>
      <c r="K504" s="1473"/>
      <c r="L504" s="1468"/>
      <c r="M504" s="1386"/>
      <c r="N504" s="1474"/>
      <c r="O504" s="1475"/>
    </row>
    <row r="505">
      <c r="A505" s="1476"/>
      <c r="B505" s="1477"/>
      <c r="C505" s="1478"/>
      <c r="D505" s="1480"/>
      <c r="E505" s="1479"/>
      <c r="F505" s="1480"/>
      <c r="G505" s="1480"/>
      <c r="H505" s="1480"/>
      <c r="I505" s="1480"/>
      <c r="J505" s="1480"/>
      <c r="K505" s="1480"/>
      <c r="L505" s="1480"/>
      <c r="M505" s="154"/>
      <c r="N505" s="1481"/>
      <c r="O505" s="1482"/>
    </row>
    <row r="506">
      <c r="A506" s="1463"/>
      <c r="B506" s="1464"/>
      <c r="C506" s="1465"/>
      <c r="D506" s="1471"/>
      <c r="E506" s="1467"/>
      <c r="F506" s="1468"/>
      <c r="G506" s="1469"/>
      <c r="H506" s="1470"/>
      <c r="I506" s="1471"/>
      <c r="J506" s="1472"/>
      <c r="K506" s="1473"/>
      <c r="L506" s="1468"/>
      <c r="M506" s="1386"/>
      <c r="N506" s="1474"/>
      <c r="O506" s="1475"/>
    </row>
    <row r="507">
      <c r="A507" s="1476"/>
      <c r="B507" s="1477"/>
      <c r="C507" s="1478"/>
      <c r="D507" s="1480"/>
      <c r="E507" s="1479"/>
      <c r="F507" s="1480"/>
      <c r="G507" s="1480"/>
      <c r="H507" s="1480"/>
      <c r="I507" s="1480"/>
      <c r="J507" s="1480"/>
      <c r="K507" s="1480"/>
      <c r="L507" s="1480"/>
      <c r="M507" s="154"/>
      <c r="N507" s="1481"/>
      <c r="O507" s="1482"/>
    </row>
    <row r="508">
      <c r="A508" s="1463"/>
      <c r="B508" s="1464"/>
      <c r="C508" s="1465"/>
      <c r="D508" s="1471"/>
      <c r="E508" s="1467"/>
      <c r="F508" s="1468"/>
      <c r="G508" s="1469"/>
      <c r="H508" s="1470"/>
      <c r="I508" s="1471"/>
      <c r="J508" s="1472"/>
      <c r="K508" s="1473"/>
      <c r="L508" s="1468"/>
      <c r="M508" s="1386"/>
      <c r="N508" s="1474"/>
      <c r="O508" s="1475"/>
    </row>
    <row r="509">
      <c r="A509" s="1476"/>
      <c r="B509" s="1477"/>
      <c r="C509" s="1478"/>
      <c r="D509" s="1480"/>
      <c r="E509" s="1479"/>
      <c r="F509" s="1480"/>
      <c r="G509" s="1480"/>
      <c r="H509" s="1480"/>
      <c r="I509" s="1480"/>
      <c r="J509" s="1480"/>
      <c r="K509" s="1480"/>
      <c r="L509" s="1480"/>
      <c r="M509" s="154"/>
      <c r="N509" s="1481"/>
      <c r="O509" s="1482"/>
    </row>
    <row r="510">
      <c r="A510" s="1463"/>
      <c r="B510" s="1464"/>
      <c r="C510" s="1465"/>
      <c r="D510" s="1471"/>
      <c r="E510" s="1467"/>
      <c r="F510" s="1468"/>
      <c r="G510" s="1469"/>
      <c r="H510" s="1470"/>
      <c r="I510" s="1471"/>
      <c r="J510" s="1472"/>
      <c r="K510" s="1473"/>
      <c r="L510" s="1468"/>
      <c r="M510" s="1386"/>
      <c r="N510" s="1474"/>
      <c r="O510" s="1475"/>
    </row>
    <row r="511">
      <c r="A511" s="1476"/>
      <c r="B511" s="1477"/>
      <c r="C511" s="1478"/>
      <c r="D511" s="1480"/>
      <c r="E511" s="1479"/>
      <c r="F511" s="1480"/>
      <c r="G511" s="1480"/>
      <c r="H511" s="1480"/>
      <c r="I511" s="1480"/>
      <c r="J511" s="1480"/>
      <c r="K511" s="1480"/>
      <c r="L511" s="1480"/>
      <c r="M511" s="154"/>
      <c r="N511" s="1481"/>
      <c r="O511" s="1482"/>
    </row>
    <row r="512">
      <c r="A512" s="1463"/>
      <c r="B512" s="1464"/>
      <c r="C512" s="1465"/>
      <c r="D512" s="1471"/>
      <c r="E512" s="1467"/>
      <c r="F512" s="1468"/>
      <c r="G512" s="1469"/>
      <c r="H512" s="1470"/>
      <c r="I512" s="1471"/>
      <c r="J512" s="1472"/>
      <c r="K512" s="1473"/>
      <c r="L512" s="1468"/>
      <c r="M512" s="1386"/>
      <c r="N512" s="1474"/>
      <c r="O512" s="1475"/>
    </row>
    <row r="513">
      <c r="A513" s="1476"/>
      <c r="B513" s="1477"/>
      <c r="C513" s="1478"/>
      <c r="D513" s="1480"/>
      <c r="E513" s="1479"/>
      <c r="F513" s="1480"/>
      <c r="G513" s="1480"/>
      <c r="H513" s="1480"/>
      <c r="I513" s="1480"/>
      <c r="J513" s="1480"/>
      <c r="K513" s="1480"/>
      <c r="L513" s="1480"/>
      <c r="M513" s="154"/>
      <c r="N513" s="1481"/>
      <c r="O513" s="1482"/>
    </row>
    <row r="514">
      <c r="A514" s="1463"/>
      <c r="B514" s="1464"/>
      <c r="C514" s="1465"/>
      <c r="D514" s="1471"/>
      <c r="E514" s="1467"/>
      <c r="F514" s="1468"/>
      <c r="G514" s="1469"/>
      <c r="H514" s="1470"/>
      <c r="I514" s="1471"/>
      <c r="J514" s="1472"/>
      <c r="K514" s="1473"/>
      <c r="L514" s="1468"/>
      <c r="M514" s="1386"/>
      <c r="N514" s="1474"/>
      <c r="O514" s="1475"/>
    </row>
    <row r="515">
      <c r="A515" s="1476"/>
      <c r="B515" s="1477"/>
      <c r="C515" s="1478"/>
      <c r="D515" s="1480"/>
      <c r="E515" s="1479"/>
      <c r="F515" s="1480"/>
      <c r="G515" s="1480"/>
      <c r="H515" s="1480"/>
      <c r="I515" s="1480"/>
      <c r="J515" s="1480"/>
      <c r="K515" s="1480"/>
      <c r="L515" s="1480"/>
      <c r="M515" s="154"/>
      <c r="N515" s="1481"/>
      <c r="O515" s="1482"/>
    </row>
    <row r="516">
      <c r="A516" s="1463"/>
      <c r="B516" s="1464"/>
      <c r="C516" s="1465"/>
      <c r="D516" s="1471"/>
      <c r="E516" s="1467"/>
      <c r="F516" s="1468"/>
      <c r="G516" s="1469"/>
      <c r="H516" s="1470"/>
      <c r="I516" s="1471"/>
      <c r="J516" s="1472"/>
      <c r="K516" s="1473"/>
      <c r="L516" s="1468"/>
      <c r="M516" s="1386"/>
      <c r="N516" s="1474"/>
      <c r="O516" s="1475"/>
    </row>
    <row r="517">
      <c r="A517" s="1476"/>
      <c r="B517" s="1477"/>
      <c r="C517" s="1478"/>
      <c r="D517" s="1480"/>
      <c r="E517" s="1479"/>
      <c r="F517" s="1480"/>
      <c r="G517" s="1480"/>
      <c r="H517" s="1480"/>
      <c r="I517" s="1480"/>
      <c r="J517" s="1480"/>
      <c r="K517" s="1480"/>
      <c r="L517" s="1480"/>
      <c r="M517" s="154"/>
      <c r="N517" s="1481"/>
      <c r="O517" s="1482"/>
    </row>
    <row r="518">
      <c r="A518" s="1463"/>
      <c r="B518" s="1464"/>
      <c r="C518" s="1465"/>
      <c r="D518" s="1471"/>
      <c r="E518" s="1467"/>
      <c r="F518" s="1468"/>
      <c r="G518" s="1469"/>
      <c r="H518" s="1470"/>
      <c r="I518" s="1471"/>
      <c r="J518" s="1472"/>
      <c r="K518" s="1473"/>
      <c r="L518" s="1468"/>
      <c r="M518" s="1386"/>
      <c r="N518" s="1474"/>
      <c r="O518" s="1475"/>
    </row>
    <row r="519">
      <c r="A519" s="1476"/>
      <c r="B519" s="1477"/>
      <c r="C519" s="1478"/>
      <c r="D519" s="1480"/>
      <c r="E519" s="1479"/>
      <c r="F519" s="1480"/>
      <c r="G519" s="1480"/>
      <c r="H519" s="1480"/>
      <c r="I519" s="1480"/>
      <c r="J519" s="1480"/>
      <c r="K519" s="1480"/>
      <c r="L519" s="1480"/>
      <c r="M519" s="154"/>
      <c r="N519" s="1481"/>
      <c r="O519" s="1482"/>
    </row>
    <row r="520">
      <c r="A520" s="1463"/>
      <c r="B520" s="1464"/>
      <c r="C520" s="1465"/>
      <c r="D520" s="1471"/>
      <c r="E520" s="1467"/>
      <c r="F520" s="1468"/>
      <c r="G520" s="1469"/>
      <c r="H520" s="1470"/>
      <c r="I520" s="1471"/>
      <c r="J520" s="1472"/>
      <c r="K520" s="1473"/>
      <c r="L520" s="1468"/>
      <c r="M520" s="1386"/>
      <c r="N520" s="1474"/>
      <c r="O520" s="1475"/>
    </row>
    <row r="521">
      <c r="A521" s="1476"/>
      <c r="B521" s="1477"/>
      <c r="C521" s="1478"/>
      <c r="D521" s="1480"/>
      <c r="E521" s="1479"/>
      <c r="F521" s="1480"/>
      <c r="G521" s="1480"/>
      <c r="H521" s="1480"/>
      <c r="I521" s="1480"/>
      <c r="J521" s="1480"/>
      <c r="K521" s="1480"/>
      <c r="L521" s="1480"/>
      <c r="M521" s="154"/>
      <c r="N521" s="1481"/>
      <c r="O521" s="1482"/>
    </row>
    <row r="522">
      <c r="A522" s="1463"/>
      <c r="B522" s="1464"/>
      <c r="C522" s="1465"/>
      <c r="D522" s="1471"/>
      <c r="E522" s="1467"/>
      <c r="F522" s="1468"/>
      <c r="G522" s="1469"/>
      <c r="H522" s="1470"/>
      <c r="I522" s="1471"/>
      <c r="J522" s="1472"/>
      <c r="K522" s="1473"/>
      <c r="L522" s="1468"/>
      <c r="M522" s="1386"/>
      <c r="N522" s="1474"/>
      <c r="O522" s="1475"/>
    </row>
    <row r="523">
      <c r="A523" s="1476"/>
      <c r="B523" s="1477"/>
      <c r="C523" s="1478"/>
      <c r="D523" s="1480"/>
      <c r="E523" s="1479"/>
      <c r="F523" s="1480"/>
      <c r="G523" s="1480"/>
      <c r="H523" s="1480"/>
      <c r="I523" s="1480"/>
      <c r="J523" s="1480"/>
      <c r="K523" s="1480"/>
      <c r="L523" s="1480"/>
      <c r="M523" s="154"/>
      <c r="N523" s="1481"/>
      <c r="O523" s="1482"/>
    </row>
    <row r="524">
      <c r="A524" s="1463"/>
      <c r="B524" s="1464"/>
      <c r="C524" s="1465"/>
      <c r="D524" s="1471"/>
      <c r="E524" s="1467"/>
      <c r="F524" s="1468"/>
      <c r="G524" s="1469"/>
      <c r="H524" s="1470"/>
      <c r="I524" s="1471"/>
      <c r="J524" s="1472"/>
      <c r="K524" s="1473"/>
      <c r="L524" s="1468"/>
      <c r="M524" s="1386"/>
      <c r="N524" s="1474"/>
      <c r="O524" s="1475"/>
    </row>
    <row r="525">
      <c r="A525" s="1476"/>
      <c r="B525" s="1477"/>
      <c r="C525" s="1478"/>
      <c r="D525" s="1480"/>
      <c r="E525" s="1479"/>
      <c r="F525" s="1480"/>
      <c r="G525" s="1480"/>
      <c r="H525" s="1480"/>
      <c r="I525" s="1480"/>
      <c r="J525" s="1480"/>
      <c r="K525" s="1480"/>
      <c r="L525" s="1480"/>
      <c r="M525" s="154"/>
      <c r="N525" s="1481"/>
      <c r="O525" s="1482"/>
    </row>
    <row r="526">
      <c r="A526" s="1463"/>
      <c r="B526" s="1464"/>
      <c r="C526" s="1465"/>
      <c r="D526" s="1471"/>
      <c r="E526" s="1467"/>
      <c r="F526" s="1468"/>
      <c r="G526" s="1469"/>
      <c r="H526" s="1470"/>
      <c r="I526" s="1471"/>
      <c r="J526" s="1472"/>
      <c r="K526" s="1473"/>
      <c r="L526" s="1468"/>
      <c r="M526" s="1386"/>
      <c r="N526" s="1474"/>
      <c r="O526" s="1475"/>
    </row>
    <row r="527">
      <c r="A527" s="1476"/>
      <c r="B527" s="1477"/>
      <c r="C527" s="1478"/>
      <c r="D527" s="1480"/>
      <c r="E527" s="1479"/>
      <c r="F527" s="1480"/>
      <c r="G527" s="1480"/>
      <c r="H527" s="1480"/>
      <c r="I527" s="1480"/>
      <c r="J527" s="1480"/>
      <c r="K527" s="1480"/>
      <c r="L527" s="1480"/>
      <c r="M527" s="154"/>
      <c r="N527" s="1481"/>
      <c r="O527" s="1482"/>
    </row>
    <row r="528">
      <c r="A528" s="1463"/>
      <c r="B528" s="1464"/>
      <c r="C528" s="1465"/>
      <c r="D528" s="1471"/>
      <c r="E528" s="1467"/>
      <c r="F528" s="1468"/>
      <c r="G528" s="1469"/>
      <c r="H528" s="1470"/>
      <c r="I528" s="1471"/>
      <c r="J528" s="1472"/>
      <c r="K528" s="1473"/>
      <c r="L528" s="1468"/>
      <c r="M528" s="1386"/>
      <c r="N528" s="1474"/>
      <c r="O528" s="1475"/>
    </row>
    <row r="529">
      <c r="A529" s="1476"/>
      <c r="B529" s="1477"/>
      <c r="C529" s="1478"/>
      <c r="D529" s="1480"/>
      <c r="E529" s="1479"/>
      <c r="F529" s="1480"/>
      <c r="G529" s="1480"/>
      <c r="H529" s="1480"/>
      <c r="I529" s="1480"/>
      <c r="J529" s="1480"/>
      <c r="K529" s="1480"/>
      <c r="L529" s="1480"/>
      <c r="M529" s="154"/>
      <c r="N529" s="1481"/>
      <c r="O529" s="1482"/>
    </row>
    <row r="530">
      <c r="A530" s="1463"/>
      <c r="B530" s="1464"/>
      <c r="C530" s="1465"/>
      <c r="D530" s="1471"/>
      <c r="E530" s="1467"/>
      <c r="F530" s="1468"/>
      <c r="G530" s="1469"/>
      <c r="H530" s="1470"/>
      <c r="I530" s="1471"/>
      <c r="J530" s="1472"/>
      <c r="K530" s="1473"/>
      <c r="L530" s="1468"/>
      <c r="M530" s="1386"/>
      <c r="N530" s="1474"/>
      <c r="O530" s="1475"/>
    </row>
    <row r="531">
      <c r="A531" s="1476"/>
      <c r="B531" s="1477"/>
      <c r="C531" s="1478"/>
      <c r="D531" s="1480"/>
      <c r="E531" s="1479"/>
      <c r="F531" s="1480"/>
      <c r="G531" s="1480"/>
      <c r="H531" s="1480"/>
      <c r="I531" s="1480"/>
      <c r="J531" s="1480"/>
      <c r="K531" s="1480"/>
      <c r="L531" s="1480"/>
      <c r="M531" s="154"/>
      <c r="N531" s="1481"/>
      <c r="O531" s="1482"/>
    </row>
    <row r="532">
      <c r="A532" s="1463"/>
      <c r="B532" s="1464"/>
      <c r="C532" s="1465"/>
      <c r="D532" s="1471"/>
      <c r="E532" s="1467"/>
      <c r="F532" s="1468"/>
      <c r="G532" s="1469"/>
      <c r="H532" s="1470"/>
      <c r="I532" s="1471"/>
      <c r="J532" s="1472"/>
      <c r="K532" s="1473"/>
      <c r="L532" s="1468"/>
      <c r="M532" s="1386"/>
      <c r="N532" s="1474"/>
      <c r="O532" s="1475"/>
    </row>
    <row r="533">
      <c r="A533" s="1476"/>
      <c r="B533" s="1477"/>
      <c r="C533" s="1478"/>
      <c r="D533" s="1480"/>
      <c r="E533" s="1479"/>
      <c r="F533" s="1480"/>
      <c r="G533" s="1480"/>
      <c r="H533" s="1480"/>
      <c r="I533" s="1480"/>
      <c r="J533" s="1480"/>
      <c r="K533" s="1480"/>
      <c r="L533" s="1480"/>
      <c r="M533" s="154"/>
      <c r="N533" s="1481"/>
      <c r="O533" s="1482"/>
    </row>
    <row r="534">
      <c r="A534" s="1463"/>
      <c r="B534" s="1464"/>
      <c r="C534" s="1465"/>
      <c r="D534" s="1471"/>
      <c r="E534" s="1467"/>
      <c r="F534" s="1468"/>
      <c r="G534" s="1469"/>
      <c r="H534" s="1470"/>
      <c r="I534" s="1471"/>
      <c r="J534" s="1472"/>
      <c r="K534" s="1473"/>
      <c r="L534" s="1468"/>
      <c r="M534" s="1386"/>
      <c r="N534" s="1474"/>
      <c r="O534" s="1475"/>
    </row>
    <row r="535">
      <c r="A535" s="1476"/>
      <c r="B535" s="1477"/>
      <c r="C535" s="1478"/>
      <c r="D535" s="1480"/>
      <c r="E535" s="1479"/>
      <c r="F535" s="1480"/>
      <c r="G535" s="1480"/>
      <c r="H535" s="1480"/>
      <c r="I535" s="1480"/>
      <c r="J535" s="1480"/>
      <c r="K535" s="1480"/>
      <c r="L535" s="1480"/>
      <c r="M535" s="154"/>
      <c r="N535" s="1481"/>
      <c r="O535" s="1482"/>
    </row>
    <row r="536">
      <c r="A536" s="1463"/>
      <c r="B536" s="1464"/>
      <c r="C536" s="1465"/>
      <c r="D536" s="1471"/>
      <c r="E536" s="1467"/>
      <c r="F536" s="1468"/>
      <c r="G536" s="1469"/>
      <c r="H536" s="1470"/>
      <c r="I536" s="1471"/>
      <c r="J536" s="1472"/>
      <c r="K536" s="1473"/>
      <c r="L536" s="1468"/>
      <c r="M536" s="1386"/>
      <c r="N536" s="1474"/>
      <c r="O536" s="1475"/>
    </row>
    <row r="537">
      <c r="A537" s="1476"/>
      <c r="B537" s="1477"/>
      <c r="C537" s="1478"/>
      <c r="D537" s="1480"/>
      <c r="E537" s="1479"/>
      <c r="F537" s="1480"/>
      <c r="G537" s="1480"/>
      <c r="H537" s="1480"/>
      <c r="I537" s="1480"/>
      <c r="J537" s="1480"/>
      <c r="K537" s="1480"/>
      <c r="L537" s="1480"/>
      <c r="M537" s="154"/>
      <c r="N537" s="1481"/>
      <c r="O537" s="1482"/>
    </row>
    <row r="538">
      <c r="A538" s="1463"/>
      <c r="B538" s="1464"/>
      <c r="C538" s="1465"/>
      <c r="D538" s="1471"/>
      <c r="E538" s="1467"/>
      <c r="F538" s="1468"/>
      <c r="G538" s="1469"/>
      <c r="H538" s="1470"/>
      <c r="I538" s="1471"/>
      <c r="J538" s="1472"/>
      <c r="K538" s="1473"/>
      <c r="L538" s="1468"/>
      <c r="M538" s="1386"/>
      <c r="N538" s="1474"/>
      <c r="O538" s="1475"/>
    </row>
    <row r="539">
      <c r="A539" s="1476"/>
      <c r="B539" s="1477"/>
      <c r="C539" s="1478"/>
      <c r="D539" s="1480"/>
      <c r="E539" s="1479"/>
      <c r="F539" s="1480"/>
      <c r="G539" s="1480"/>
      <c r="H539" s="1480"/>
      <c r="I539" s="1480"/>
      <c r="J539" s="1480"/>
      <c r="K539" s="1480"/>
      <c r="L539" s="1480"/>
      <c r="M539" s="154"/>
      <c r="N539" s="1481"/>
      <c r="O539" s="1482"/>
    </row>
    <row r="540">
      <c r="A540" s="1463"/>
      <c r="B540" s="1464"/>
      <c r="C540" s="1465"/>
      <c r="D540" s="1471"/>
      <c r="E540" s="1467"/>
      <c r="F540" s="1468"/>
      <c r="G540" s="1469"/>
      <c r="H540" s="1470"/>
      <c r="I540" s="1471"/>
      <c r="J540" s="1472"/>
      <c r="K540" s="1473"/>
      <c r="L540" s="1468"/>
      <c r="M540" s="1386"/>
      <c r="N540" s="1474"/>
      <c r="O540" s="1475"/>
    </row>
    <row r="541">
      <c r="A541" s="1476"/>
      <c r="B541" s="1477"/>
      <c r="C541" s="1478"/>
      <c r="D541" s="1480"/>
      <c r="E541" s="1479"/>
      <c r="F541" s="1480"/>
      <c r="G541" s="1480"/>
      <c r="H541" s="1480"/>
      <c r="I541" s="1480"/>
      <c r="J541" s="1480"/>
      <c r="K541" s="1480"/>
      <c r="L541" s="1480"/>
      <c r="M541" s="154"/>
      <c r="N541" s="1481"/>
      <c r="O541" s="1482"/>
    </row>
    <row r="542">
      <c r="A542" s="1463"/>
      <c r="B542" s="1464"/>
      <c r="C542" s="1465"/>
      <c r="D542" s="1471"/>
      <c r="E542" s="1467"/>
      <c r="F542" s="1468"/>
      <c r="G542" s="1469"/>
      <c r="H542" s="1470"/>
      <c r="I542" s="1471"/>
      <c r="J542" s="1472"/>
      <c r="K542" s="1473"/>
      <c r="L542" s="1468"/>
      <c r="M542" s="1386"/>
      <c r="N542" s="1474"/>
      <c r="O542" s="1475"/>
    </row>
    <row r="543">
      <c r="A543" s="1476"/>
      <c r="B543" s="1477"/>
      <c r="C543" s="1478"/>
      <c r="D543" s="1480"/>
      <c r="E543" s="1479"/>
      <c r="F543" s="1480"/>
      <c r="G543" s="1480"/>
      <c r="H543" s="1480"/>
      <c r="I543" s="1480"/>
      <c r="J543" s="1480"/>
      <c r="K543" s="1480"/>
      <c r="L543" s="1480"/>
      <c r="M543" s="154"/>
      <c r="N543" s="1481"/>
      <c r="O543" s="1482"/>
    </row>
    <row r="544">
      <c r="A544" s="1463"/>
      <c r="B544" s="1464"/>
      <c r="C544" s="1465"/>
      <c r="D544" s="1471"/>
      <c r="E544" s="1467"/>
      <c r="F544" s="1468"/>
      <c r="G544" s="1469"/>
      <c r="H544" s="1470"/>
      <c r="I544" s="1471"/>
      <c r="J544" s="1472"/>
      <c r="K544" s="1473"/>
      <c r="L544" s="1468"/>
      <c r="M544" s="1386"/>
      <c r="N544" s="1474"/>
      <c r="O544" s="1475"/>
    </row>
    <row r="545">
      <c r="A545" s="1476"/>
      <c r="B545" s="1477"/>
      <c r="C545" s="1478"/>
      <c r="D545" s="1480"/>
      <c r="E545" s="1479"/>
      <c r="F545" s="1480"/>
      <c r="G545" s="1480"/>
      <c r="H545" s="1480"/>
      <c r="I545" s="1480"/>
      <c r="J545" s="1480"/>
      <c r="K545" s="1480"/>
      <c r="L545" s="1480"/>
      <c r="M545" s="154"/>
      <c r="N545" s="1481"/>
      <c r="O545" s="1482"/>
    </row>
    <row r="546">
      <c r="A546" s="1463"/>
      <c r="B546" s="1464"/>
      <c r="C546" s="1465"/>
      <c r="D546" s="1471"/>
      <c r="E546" s="1467"/>
      <c r="F546" s="1468"/>
      <c r="G546" s="1469"/>
      <c r="H546" s="1470"/>
      <c r="I546" s="1471"/>
      <c r="J546" s="1472"/>
      <c r="K546" s="1473"/>
      <c r="L546" s="1468"/>
      <c r="M546" s="1386"/>
      <c r="N546" s="1474"/>
      <c r="O546" s="1475"/>
    </row>
    <row r="547">
      <c r="A547" s="1476"/>
      <c r="B547" s="1477"/>
      <c r="C547" s="1478"/>
      <c r="D547" s="1480"/>
      <c r="E547" s="1479"/>
      <c r="F547" s="1480"/>
      <c r="G547" s="1480"/>
      <c r="H547" s="1480"/>
      <c r="I547" s="1480"/>
      <c r="J547" s="1480"/>
      <c r="K547" s="1480"/>
      <c r="L547" s="1480"/>
      <c r="M547" s="154"/>
      <c r="N547" s="1481"/>
      <c r="O547" s="1482"/>
    </row>
    <row r="548">
      <c r="A548" s="1463"/>
      <c r="B548" s="1464"/>
      <c r="C548" s="1465"/>
      <c r="D548" s="1471"/>
      <c r="E548" s="1467"/>
      <c r="F548" s="1468"/>
      <c r="G548" s="1469"/>
      <c r="H548" s="1470"/>
      <c r="I548" s="1471"/>
      <c r="J548" s="1472"/>
      <c r="K548" s="1473"/>
      <c r="L548" s="1468"/>
      <c r="M548" s="1386"/>
      <c r="N548" s="1474"/>
      <c r="O548" s="1475"/>
    </row>
    <row r="549">
      <c r="A549" s="1476"/>
      <c r="B549" s="1477"/>
      <c r="C549" s="1478"/>
      <c r="D549" s="1480"/>
      <c r="E549" s="1479"/>
      <c r="F549" s="1480"/>
      <c r="G549" s="1480"/>
      <c r="H549" s="1480"/>
      <c r="I549" s="1480"/>
      <c r="J549" s="1480"/>
      <c r="K549" s="1480"/>
      <c r="L549" s="1480"/>
      <c r="M549" s="154"/>
      <c r="N549" s="1481"/>
      <c r="O549" s="1482"/>
    </row>
    <row r="550">
      <c r="A550" s="1463"/>
      <c r="B550" s="1464"/>
      <c r="C550" s="1465"/>
      <c r="D550" s="1471"/>
      <c r="E550" s="1467"/>
      <c r="F550" s="1468"/>
      <c r="G550" s="1469"/>
      <c r="H550" s="1470"/>
      <c r="I550" s="1471"/>
      <c r="J550" s="1472"/>
      <c r="K550" s="1473"/>
      <c r="L550" s="1468"/>
      <c r="M550" s="1386"/>
      <c r="N550" s="1474"/>
      <c r="O550" s="1475"/>
    </row>
    <row r="551">
      <c r="A551" s="1476"/>
      <c r="B551" s="1477"/>
      <c r="C551" s="1478"/>
      <c r="D551" s="1480"/>
      <c r="E551" s="1479"/>
      <c r="F551" s="1480"/>
      <c r="G551" s="1480"/>
      <c r="H551" s="1480"/>
      <c r="I551" s="1480"/>
      <c r="J551" s="1480"/>
      <c r="K551" s="1480"/>
      <c r="L551" s="1480"/>
      <c r="M551" s="154"/>
      <c r="N551" s="1481"/>
      <c r="O551" s="1482"/>
    </row>
    <row r="552">
      <c r="A552" s="1463"/>
      <c r="B552" s="1464"/>
      <c r="C552" s="1465"/>
      <c r="D552" s="1471"/>
      <c r="E552" s="1467"/>
      <c r="F552" s="1468"/>
      <c r="G552" s="1469"/>
      <c r="H552" s="1470"/>
      <c r="I552" s="1471"/>
      <c r="J552" s="1472"/>
      <c r="K552" s="1473"/>
      <c r="L552" s="1468"/>
      <c r="M552" s="1386"/>
      <c r="N552" s="1474"/>
      <c r="O552" s="1475"/>
    </row>
    <row r="553">
      <c r="A553" s="1476"/>
      <c r="B553" s="1477"/>
      <c r="C553" s="1478"/>
      <c r="D553" s="1480"/>
      <c r="E553" s="1479"/>
      <c r="F553" s="1480"/>
      <c r="G553" s="1480"/>
      <c r="H553" s="1480"/>
      <c r="I553" s="1480"/>
      <c r="J553" s="1480"/>
      <c r="K553" s="1480"/>
      <c r="L553" s="1480"/>
      <c r="M553" s="154"/>
      <c r="N553" s="1481"/>
      <c r="O553" s="1482"/>
    </row>
    <row r="554">
      <c r="A554" s="1463"/>
      <c r="B554" s="1464"/>
      <c r="C554" s="1465"/>
      <c r="D554" s="1471"/>
      <c r="E554" s="1467"/>
      <c r="F554" s="1468"/>
      <c r="G554" s="1469"/>
      <c r="H554" s="1470"/>
      <c r="I554" s="1471"/>
      <c r="J554" s="1472"/>
      <c r="K554" s="1473"/>
      <c r="L554" s="1468"/>
      <c r="M554" s="1386"/>
      <c r="N554" s="1474"/>
      <c r="O554" s="1475"/>
    </row>
    <row r="555">
      <c r="A555" s="1476"/>
      <c r="B555" s="1477"/>
      <c r="C555" s="1478"/>
      <c r="D555" s="1480"/>
      <c r="E555" s="1479"/>
      <c r="F555" s="1480"/>
      <c r="G555" s="1480"/>
      <c r="H555" s="1480"/>
      <c r="I555" s="1480"/>
      <c r="J555" s="1480"/>
      <c r="K555" s="1480"/>
      <c r="L555" s="1480"/>
      <c r="M555" s="154"/>
      <c r="N555" s="1481"/>
      <c r="O555" s="1482"/>
    </row>
    <row r="556">
      <c r="A556" s="1463"/>
      <c r="B556" s="1464"/>
      <c r="C556" s="1465"/>
      <c r="D556" s="1471"/>
      <c r="E556" s="1467"/>
      <c r="F556" s="1468"/>
      <c r="G556" s="1469"/>
      <c r="H556" s="1470"/>
      <c r="I556" s="1471"/>
      <c r="J556" s="1472"/>
      <c r="K556" s="1473"/>
      <c r="L556" s="1468"/>
      <c r="M556" s="1386"/>
      <c r="N556" s="1474"/>
      <c r="O556" s="1475"/>
    </row>
    <row r="557">
      <c r="A557" s="1476"/>
      <c r="B557" s="1477"/>
      <c r="C557" s="1478"/>
      <c r="D557" s="1480"/>
      <c r="E557" s="1479"/>
      <c r="F557" s="1480"/>
      <c r="G557" s="1480"/>
      <c r="H557" s="1480"/>
      <c r="I557" s="1480"/>
      <c r="J557" s="1480"/>
      <c r="K557" s="1480"/>
      <c r="L557" s="1480"/>
      <c r="M557" s="154"/>
      <c r="N557" s="1481"/>
      <c r="O557" s="1482"/>
    </row>
    <row r="558">
      <c r="A558" s="1463"/>
      <c r="B558" s="1464"/>
      <c r="C558" s="1465"/>
      <c r="D558" s="1471"/>
      <c r="E558" s="1467"/>
      <c r="F558" s="1468"/>
      <c r="G558" s="1469"/>
      <c r="H558" s="1470"/>
      <c r="I558" s="1471"/>
      <c r="J558" s="1472"/>
      <c r="K558" s="1473"/>
      <c r="L558" s="1468"/>
      <c r="M558" s="1386"/>
      <c r="N558" s="1474"/>
      <c r="O558" s="1475"/>
    </row>
    <row r="559">
      <c r="A559" s="1476"/>
      <c r="B559" s="1477"/>
      <c r="C559" s="1478"/>
      <c r="D559" s="1480"/>
      <c r="E559" s="1479"/>
      <c r="F559" s="1480"/>
      <c r="G559" s="1480"/>
      <c r="H559" s="1480"/>
      <c r="I559" s="1480"/>
      <c r="J559" s="1480"/>
      <c r="K559" s="1480"/>
      <c r="L559" s="1480"/>
      <c r="M559" s="154"/>
      <c r="N559" s="1481"/>
      <c r="O559" s="1482"/>
    </row>
    <row r="560">
      <c r="A560" s="1463"/>
      <c r="B560" s="1464"/>
      <c r="C560" s="1465"/>
      <c r="D560" s="1471"/>
      <c r="E560" s="1467"/>
      <c r="F560" s="1468"/>
      <c r="G560" s="1469"/>
      <c r="H560" s="1470"/>
      <c r="I560" s="1471"/>
      <c r="J560" s="1472"/>
      <c r="K560" s="1473"/>
      <c r="L560" s="1468"/>
      <c r="M560" s="1386"/>
      <c r="N560" s="1474"/>
      <c r="O560" s="1475"/>
    </row>
    <row r="561">
      <c r="A561" s="1476"/>
      <c r="B561" s="1477"/>
      <c r="C561" s="1478"/>
      <c r="D561" s="1480"/>
      <c r="E561" s="1479"/>
      <c r="F561" s="1480"/>
      <c r="G561" s="1480"/>
      <c r="H561" s="1480"/>
      <c r="I561" s="1480"/>
      <c r="J561" s="1480"/>
      <c r="K561" s="1480"/>
      <c r="L561" s="1480"/>
      <c r="M561" s="154"/>
      <c r="N561" s="1481"/>
      <c r="O561" s="1482"/>
    </row>
    <row r="562">
      <c r="A562" s="1463"/>
      <c r="B562" s="1464"/>
      <c r="C562" s="1465"/>
      <c r="D562" s="1471"/>
      <c r="E562" s="1467"/>
      <c r="F562" s="1468"/>
      <c r="G562" s="1469"/>
      <c r="H562" s="1470"/>
      <c r="I562" s="1471"/>
      <c r="J562" s="1472"/>
      <c r="K562" s="1473"/>
      <c r="L562" s="1468"/>
      <c r="M562" s="1386"/>
      <c r="N562" s="1474"/>
      <c r="O562" s="1475"/>
    </row>
    <row r="563">
      <c r="A563" s="1476"/>
      <c r="B563" s="1477"/>
      <c r="C563" s="1478"/>
      <c r="D563" s="1480"/>
      <c r="E563" s="1479"/>
      <c r="F563" s="1480"/>
      <c r="G563" s="1480"/>
      <c r="H563" s="1480"/>
      <c r="I563" s="1480"/>
      <c r="J563" s="1480"/>
      <c r="K563" s="1480"/>
      <c r="L563" s="1480"/>
      <c r="M563" s="154"/>
      <c r="N563" s="1481"/>
      <c r="O563" s="1482"/>
    </row>
    <row r="564">
      <c r="A564" s="1463"/>
      <c r="B564" s="1464"/>
      <c r="C564" s="1465"/>
      <c r="D564" s="1471"/>
      <c r="E564" s="1467"/>
      <c r="F564" s="1468"/>
      <c r="G564" s="1469"/>
      <c r="H564" s="1470"/>
      <c r="I564" s="1471"/>
      <c r="J564" s="1472"/>
      <c r="K564" s="1473"/>
      <c r="L564" s="1468"/>
      <c r="M564" s="1386"/>
      <c r="N564" s="1474"/>
      <c r="O564" s="1475"/>
    </row>
    <row r="565">
      <c r="A565" s="1476"/>
      <c r="B565" s="1477"/>
      <c r="C565" s="1478"/>
      <c r="D565" s="1480"/>
      <c r="E565" s="1479"/>
      <c r="F565" s="1480"/>
      <c r="G565" s="1480"/>
      <c r="H565" s="1480"/>
      <c r="I565" s="1480"/>
      <c r="J565" s="1480"/>
      <c r="K565" s="1480"/>
      <c r="L565" s="1480"/>
      <c r="M565" s="154"/>
      <c r="N565" s="1481"/>
      <c r="O565" s="1482"/>
    </row>
    <row r="566">
      <c r="A566" s="1463"/>
      <c r="B566" s="1464"/>
      <c r="C566" s="1465"/>
      <c r="D566" s="1471"/>
      <c r="E566" s="1467"/>
      <c r="F566" s="1468"/>
      <c r="G566" s="1469"/>
      <c r="H566" s="1470"/>
      <c r="I566" s="1471"/>
      <c r="J566" s="1472"/>
      <c r="K566" s="1473"/>
      <c r="L566" s="1468"/>
      <c r="M566" s="1386"/>
      <c r="N566" s="1474"/>
      <c r="O566" s="1475"/>
    </row>
    <row r="567">
      <c r="A567" s="1476"/>
      <c r="B567" s="1477"/>
      <c r="C567" s="1478"/>
      <c r="D567" s="1480"/>
      <c r="E567" s="1479"/>
      <c r="F567" s="1480"/>
      <c r="G567" s="1480"/>
      <c r="H567" s="1480"/>
      <c r="I567" s="1480"/>
      <c r="J567" s="1480"/>
      <c r="K567" s="1480"/>
      <c r="L567" s="1480"/>
      <c r="M567" s="154"/>
      <c r="N567" s="1481"/>
      <c r="O567" s="1482"/>
    </row>
    <row r="568">
      <c r="A568" s="1463"/>
      <c r="B568" s="1464"/>
      <c r="C568" s="1465"/>
      <c r="D568" s="1471"/>
      <c r="E568" s="1467"/>
      <c r="F568" s="1468"/>
      <c r="G568" s="1469"/>
      <c r="H568" s="1470"/>
      <c r="I568" s="1471"/>
      <c r="J568" s="1472"/>
      <c r="K568" s="1473"/>
      <c r="L568" s="1468"/>
      <c r="M568" s="1386"/>
      <c r="N568" s="1474"/>
      <c r="O568" s="1475"/>
    </row>
    <row r="569">
      <c r="A569" s="1476"/>
      <c r="B569" s="1477"/>
      <c r="C569" s="1478"/>
      <c r="D569" s="1480"/>
      <c r="E569" s="1479"/>
      <c r="F569" s="1480"/>
      <c r="G569" s="1480"/>
      <c r="H569" s="1480"/>
      <c r="I569" s="1480"/>
      <c r="J569" s="1480"/>
      <c r="K569" s="1480"/>
      <c r="L569" s="1480"/>
      <c r="M569" s="154"/>
      <c r="N569" s="1481"/>
      <c r="O569" s="1482"/>
    </row>
    <row r="570">
      <c r="A570" s="1463"/>
      <c r="B570" s="1464"/>
      <c r="C570" s="1465"/>
      <c r="D570" s="1471"/>
      <c r="E570" s="1467"/>
      <c r="F570" s="1468"/>
      <c r="G570" s="1469"/>
      <c r="H570" s="1470"/>
      <c r="I570" s="1471"/>
      <c r="J570" s="1472"/>
      <c r="K570" s="1473"/>
      <c r="L570" s="1468"/>
      <c r="M570" s="1386"/>
      <c r="N570" s="1474"/>
      <c r="O570" s="1475"/>
    </row>
    <row r="571">
      <c r="A571" s="1476"/>
      <c r="B571" s="1477"/>
      <c r="C571" s="1478"/>
      <c r="D571" s="1480"/>
      <c r="E571" s="1479"/>
      <c r="F571" s="1480"/>
      <c r="G571" s="1480"/>
      <c r="H571" s="1480"/>
      <c r="I571" s="1480"/>
      <c r="J571" s="1480"/>
      <c r="K571" s="1480"/>
      <c r="L571" s="1480"/>
      <c r="M571" s="154"/>
      <c r="N571" s="1481"/>
      <c r="O571" s="1482"/>
    </row>
    <row r="572">
      <c r="A572" s="1463"/>
      <c r="B572" s="1464"/>
      <c r="C572" s="1465"/>
      <c r="D572" s="1471"/>
      <c r="E572" s="1467"/>
      <c r="F572" s="1468"/>
      <c r="G572" s="1469"/>
      <c r="H572" s="1470"/>
      <c r="I572" s="1471"/>
      <c r="J572" s="1472"/>
      <c r="K572" s="1473"/>
      <c r="L572" s="1468"/>
      <c r="M572" s="1386"/>
      <c r="N572" s="1474"/>
      <c r="O572" s="1475"/>
    </row>
    <row r="573">
      <c r="A573" s="1476"/>
      <c r="B573" s="1477"/>
      <c r="C573" s="1478"/>
      <c r="D573" s="1480"/>
      <c r="E573" s="1479"/>
      <c r="F573" s="1480"/>
      <c r="G573" s="1480"/>
      <c r="H573" s="1480"/>
      <c r="I573" s="1480"/>
      <c r="J573" s="1480"/>
      <c r="K573" s="1480"/>
      <c r="L573" s="1480"/>
      <c r="M573" s="154"/>
      <c r="N573" s="1481"/>
      <c r="O573" s="1482"/>
    </row>
    <row r="574">
      <c r="A574" s="1463"/>
      <c r="B574" s="1464"/>
      <c r="C574" s="1465"/>
      <c r="D574" s="1471"/>
      <c r="E574" s="1467"/>
      <c r="F574" s="1468"/>
      <c r="G574" s="1469"/>
      <c r="H574" s="1470"/>
      <c r="I574" s="1471"/>
      <c r="J574" s="1472"/>
      <c r="K574" s="1473"/>
      <c r="L574" s="1468"/>
      <c r="M574" s="1386"/>
      <c r="N574" s="1474"/>
      <c r="O574" s="1475"/>
    </row>
    <row r="575">
      <c r="A575" s="1476"/>
      <c r="B575" s="1477"/>
      <c r="C575" s="1478"/>
      <c r="D575" s="1480"/>
      <c r="E575" s="1479"/>
      <c r="F575" s="1480"/>
      <c r="G575" s="1480"/>
      <c r="H575" s="1480"/>
      <c r="I575" s="1480"/>
      <c r="J575" s="1480"/>
      <c r="K575" s="1480"/>
      <c r="L575" s="1480"/>
      <c r="M575" s="154"/>
      <c r="N575" s="1481"/>
      <c r="O575" s="1482"/>
    </row>
    <row r="576">
      <c r="A576" s="1463"/>
      <c r="B576" s="1464"/>
      <c r="C576" s="1465"/>
      <c r="D576" s="1471"/>
      <c r="E576" s="1467"/>
      <c r="F576" s="1468"/>
      <c r="G576" s="1469"/>
      <c r="H576" s="1470"/>
      <c r="I576" s="1471"/>
      <c r="J576" s="1472"/>
      <c r="K576" s="1473"/>
      <c r="L576" s="1468"/>
      <c r="M576" s="1386"/>
      <c r="N576" s="1474"/>
      <c r="O576" s="1475"/>
    </row>
    <row r="577">
      <c r="A577" s="1476"/>
      <c r="B577" s="1477"/>
      <c r="C577" s="1478"/>
      <c r="D577" s="1480"/>
      <c r="E577" s="1479"/>
      <c r="F577" s="1480"/>
      <c r="G577" s="1480"/>
      <c r="H577" s="1480"/>
      <c r="I577" s="1480"/>
      <c r="J577" s="1480"/>
      <c r="K577" s="1480"/>
      <c r="L577" s="1480"/>
      <c r="M577" s="154"/>
      <c r="N577" s="1481"/>
      <c r="O577" s="1482"/>
    </row>
    <row r="578">
      <c r="A578" s="1463"/>
      <c r="B578" s="1464"/>
      <c r="C578" s="1465"/>
      <c r="D578" s="1471"/>
      <c r="E578" s="1467"/>
      <c r="F578" s="1468"/>
      <c r="G578" s="1469"/>
      <c r="H578" s="1470"/>
      <c r="I578" s="1471"/>
      <c r="J578" s="1472"/>
      <c r="K578" s="1473"/>
      <c r="L578" s="1468"/>
      <c r="M578" s="1386"/>
      <c r="N578" s="1474"/>
      <c r="O578" s="1475"/>
    </row>
    <row r="579">
      <c r="A579" s="1476"/>
      <c r="B579" s="1477"/>
      <c r="C579" s="1478"/>
      <c r="D579" s="1480"/>
      <c r="E579" s="1479"/>
      <c r="F579" s="1480"/>
      <c r="G579" s="1480"/>
      <c r="H579" s="1480"/>
      <c r="I579" s="1480"/>
      <c r="J579" s="1480"/>
      <c r="K579" s="1480"/>
      <c r="L579" s="1480"/>
      <c r="M579" s="154"/>
      <c r="N579" s="1481"/>
      <c r="O579" s="1482"/>
    </row>
    <row r="580">
      <c r="A580" s="1463"/>
      <c r="B580" s="1464"/>
      <c r="C580" s="1465"/>
      <c r="D580" s="1471"/>
      <c r="E580" s="1467"/>
      <c r="F580" s="1468"/>
      <c r="G580" s="1469"/>
      <c r="H580" s="1470"/>
      <c r="I580" s="1471"/>
      <c r="J580" s="1472"/>
      <c r="K580" s="1473"/>
      <c r="L580" s="1468"/>
      <c r="M580" s="1386"/>
      <c r="N580" s="1474"/>
      <c r="O580" s="1475"/>
    </row>
    <row r="581">
      <c r="A581" s="1476"/>
      <c r="B581" s="1477"/>
      <c r="C581" s="1478"/>
      <c r="D581" s="1480"/>
      <c r="E581" s="1479"/>
      <c r="F581" s="1480"/>
      <c r="G581" s="1480"/>
      <c r="H581" s="1480"/>
      <c r="I581" s="1480"/>
      <c r="J581" s="1480"/>
      <c r="K581" s="1480"/>
      <c r="L581" s="1480"/>
      <c r="M581" s="154"/>
      <c r="N581" s="1481"/>
      <c r="O581" s="1482"/>
    </row>
    <row r="582">
      <c r="A582" s="1463"/>
      <c r="B582" s="1464"/>
      <c r="C582" s="1465"/>
      <c r="D582" s="1471"/>
      <c r="E582" s="1467"/>
      <c r="F582" s="1468"/>
      <c r="G582" s="1469"/>
      <c r="H582" s="1470"/>
      <c r="I582" s="1471"/>
      <c r="J582" s="1472"/>
      <c r="K582" s="1473"/>
      <c r="L582" s="1468"/>
      <c r="M582" s="1386"/>
      <c r="N582" s="1474"/>
      <c r="O582" s="1475"/>
    </row>
    <row r="583">
      <c r="A583" s="1476"/>
      <c r="B583" s="1477"/>
      <c r="C583" s="1478"/>
      <c r="D583" s="1480"/>
      <c r="E583" s="1479"/>
      <c r="F583" s="1480"/>
      <c r="G583" s="1480"/>
      <c r="H583" s="1480"/>
      <c r="I583" s="1480"/>
      <c r="J583" s="1480"/>
      <c r="K583" s="1480"/>
      <c r="L583" s="1480"/>
      <c r="M583" s="154"/>
      <c r="N583" s="1481"/>
      <c r="O583" s="1482"/>
    </row>
    <row r="584">
      <c r="A584" s="1463"/>
      <c r="B584" s="1464"/>
      <c r="C584" s="1465"/>
      <c r="D584" s="1471"/>
      <c r="E584" s="1467"/>
      <c r="F584" s="1468"/>
      <c r="G584" s="1469"/>
      <c r="H584" s="1470"/>
      <c r="I584" s="1471"/>
      <c r="J584" s="1472"/>
      <c r="K584" s="1473"/>
      <c r="L584" s="1468"/>
      <c r="M584" s="1386"/>
      <c r="N584" s="1474"/>
      <c r="O584" s="1475"/>
    </row>
    <row r="585">
      <c r="A585" s="1476"/>
      <c r="B585" s="1477"/>
      <c r="C585" s="1478"/>
      <c r="D585" s="1480"/>
      <c r="E585" s="1479"/>
      <c r="F585" s="1480"/>
      <c r="G585" s="1480"/>
      <c r="H585" s="1480"/>
      <c r="I585" s="1480"/>
      <c r="J585" s="1480"/>
      <c r="K585" s="1480"/>
      <c r="L585" s="1480"/>
      <c r="M585" s="154"/>
      <c r="N585" s="1481"/>
      <c r="O585" s="1482"/>
    </row>
    <row r="586">
      <c r="A586" s="1463"/>
      <c r="B586" s="1464"/>
      <c r="C586" s="1465"/>
      <c r="D586" s="1471"/>
      <c r="E586" s="1467"/>
      <c r="F586" s="1468"/>
      <c r="G586" s="1469"/>
      <c r="H586" s="1470"/>
      <c r="I586" s="1471"/>
      <c r="J586" s="1472"/>
      <c r="K586" s="1473"/>
      <c r="L586" s="1468"/>
      <c r="M586" s="1386"/>
      <c r="N586" s="1474"/>
      <c r="O586" s="1475"/>
    </row>
    <row r="587">
      <c r="A587" s="1476"/>
      <c r="B587" s="1477"/>
      <c r="C587" s="1478"/>
      <c r="D587" s="1480"/>
      <c r="E587" s="1479"/>
      <c r="F587" s="1480"/>
      <c r="G587" s="1480"/>
      <c r="H587" s="1480"/>
      <c r="I587" s="1480"/>
      <c r="J587" s="1480"/>
      <c r="K587" s="1480"/>
      <c r="L587" s="1480"/>
      <c r="M587" s="154"/>
      <c r="N587" s="1481"/>
      <c r="O587" s="1482"/>
    </row>
    <row r="588">
      <c r="A588" s="1463"/>
      <c r="B588" s="1464"/>
      <c r="C588" s="1465"/>
      <c r="D588" s="1471"/>
      <c r="E588" s="1467"/>
      <c r="F588" s="1468"/>
      <c r="G588" s="1469"/>
      <c r="H588" s="1470"/>
      <c r="I588" s="1471"/>
      <c r="J588" s="1472"/>
      <c r="K588" s="1473"/>
      <c r="L588" s="1468"/>
      <c r="M588" s="1386"/>
      <c r="N588" s="1474"/>
      <c r="O588" s="1475"/>
    </row>
    <row r="589">
      <c r="A589" s="1476"/>
      <c r="B589" s="1477"/>
      <c r="C589" s="1478"/>
      <c r="D589" s="1480"/>
      <c r="E589" s="1479"/>
      <c r="F589" s="1480"/>
      <c r="G589" s="1480"/>
      <c r="H589" s="1480"/>
      <c r="I589" s="1480"/>
      <c r="J589" s="1480"/>
      <c r="K589" s="1480"/>
      <c r="L589" s="1480"/>
      <c r="M589" s="154"/>
      <c r="N589" s="1481"/>
      <c r="O589" s="1482"/>
    </row>
    <row r="590">
      <c r="A590" s="1463"/>
      <c r="B590" s="1464"/>
      <c r="C590" s="1465"/>
      <c r="D590" s="1471"/>
      <c r="E590" s="1467"/>
      <c r="F590" s="1468"/>
      <c r="G590" s="1469"/>
      <c r="H590" s="1470"/>
      <c r="I590" s="1471"/>
      <c r="J590" s="1472"/>
      <c r="K590" s="1473"/>
      <c r="L590" s="1468"/>
      <c r="M590" s="1386"/>
      <c r="N590" s="1474"/>
      <c r="O590" s="1475"/>
    </row>
    <row r="591">
      <c r="A591" s="1476"/>
      <c r="B591" s="1477"/>
      <c r="C591" s="1478"/>
      <c r="D591" s="1480"/>
      <c r="E591" s="1479"/>
      <c r="F591" s="1480"/>
      <c r="G591" s="1480"/>
      <c r="H591" s="1480"/>
      <c r="I591" s="1480"/>
      <c r="J591" s="1480"/>
      <c r="K591" s="1480"/>
      <c r="L591" s="1480"/>
      <c r="M591" s="154"/>
      <c r="N591" s="1481"/>
      <c r="O591" s="1482"/>
    </row>
    <row r="592">
      <c r="A592" s="1463"/>
      <c r="B592" s="1464"/>
      <c r="C592" s="1465"/>
      <c r="D592" s="1471"/>
      <c r="E592" s="1467"/>
      <c r="F592" s="1468"/>
      <c r="G592" s="1469"/>
      <c r="H592" s="1470"/>
      <c r="I592" s="1471"/>
      <c r="J592" s="1472"/>
      <c r="K592" s="1473"/>
      <c r="L592" s="1468"/>
      <c r="M592" s="1386"/>
      <c r="N592" s="1474"/>
      <c r="O592" s="1475"/>
    </row>
    <row r="593">
      <c r="A593" s="1476"/>
      <c r="B593" s="1477"/>
      <c r="C593" s="1478"/>
      <c r="D593" s="1480"/>
      <c r="E593" s="1479"/>
      <c r="F593" s="1480"/>
      <c r="G593" s="1480"/>
      <c r="H593" s="1480"/>
      <c r="I593" s="1480"/>
      <c r="J593" s="1480"/>
      <c r="K593" s="1480"/>
      <c r="L593" s="1480"/>
      <c r="M593" s="154"/>
      <c r="N593" s="1481"/>
      <c r="O593" s="1482"/>
    </row>
    <row r="594">
      <c r="A594" s="1463"/>
      <c r="B594" s="1464"/>
      <c r="C594" s="1465"/>
      <c r="D594" s="1471"/>
      <c r="E594" s="1467"/>
      <c r="F594" s="1468"/>
      <c r="G594" s="1469"/>
      <c r="H594" s="1470"/>
      <c r="I594" s="1471"/>
      <c r="J594" s="1472"/>
      <c r="K594" s="1473"/>
      <c r="L594" s="1468"/>
      <c r="M594" s="1386"/>
      <c r="N594" s="1474"/>
      <c r="O594" s="1475"/>
    </row>
    <row r="595">
      <c r="A595" s="1476"/>
      <c r="B595" s="1477"/>
      <c r="C595" s="1478"/>
      <c r="D595" s="1480"/>
      <c r="E595" s="1479"/>
      <c r="F595" s="1480"/>
      <c r="G595" s="1480"/>
      <c r="H595" s="1480"/>
      <c r="I595" s="1480"/>
      <c r="J595" s="1480"/>
      <c r="K595" s="1480"/>
      <c r="L595" s="1480"/>
      <c r="M595" s="154"/>
      <c r="N595" s="1481"/>
      <c r="O595" s="1482"/>
    </row>
    <row r="596">
      <c r="A596" s="1463"/>
      <c r="B596" s="1464"/>
      <c r="C596" s="1465"/>
      <c r="D596" s="1471"/>
      <c r="E596" s="1467"/>
      <c r="F596" s="1468"/>
      <c r="G596" s="1469"/>
      <c r="H596" s="1470"/>
      <c r="I596" s="1471"/>
      <c r="J596" s="1472"/>
      <c r="K596" s="1473"/>
      <c r="L596" s="1468"/>
      <c r="M596" s="1386"/>
      <c r="N596" s="1474"/>
      <c r="O596" s="1475"/>
    </row>
    <row r="597">
      <c r="A597" s="1476"/>
      <c r="B597" s="1477"/>
      <c r="C597" s="1478"/>
      <c r="D597" s="1480"/>
      <c r="E597" s="1479"/>
      <c r="F597" s="1480"/>
      <c r="G597" s="1480"/>
      <c r="H597" s="1480"/>
      <c r="I597" s="1480"/>
      <c r="J597" s="1480"/>
      <c r="K597" s="1480"/>
      <c r="L597" s="1480"/>
      <c r="M597" s="154"/>
      <c r="N597" s="1481"/>
      <c r="O597" s="1482"/>
    </row>
    <row r="598">
      <c r="A598" s="1463"/>
      <c r="B598" s="1464"/>
      <c r="C598" s="1465"/>
      <c r="D598" s="1471"/>
      <c r="E598" s="1467"/>
      <c r="F598" s="1468"/>
      <c r="G598" s="1469"/>
      <c r="H598" s="1470"/>
      <c r="I598" s="1471"/>
      <c r="J598" s="1472"/>
      <c r="K598" s="1473"/>
      <c r="L598" s="1468"/>
      <c r="M598" s="1386"/>
      <c r="N598" s="1474"/>
      <c r="O598" s="1475"/>
    </row>
    <row r="599">
      <c r="A599" s="1476"/>
      <c r="B599" s="1477"/>
      <c r="C599" s="1478"/>
      <c r="D599" s="1480"/>
      <c r="E599" s="1479"/>
      <c r="F599" s="1480"/>
      <c r="G599" s="1480"/>
      <c r="H599" s="1480"/>
      <c r="I599" s="1480"/>
      <c r="J599" s="1480"/>
      <c r="K599" s="1480"/>
      <c r="L599" s="1480"/>
      <c r="M599" s="154"/>
      <c r="N599" s="1481"/>
      <c r="O599" s="1482"/>
    </row>
    <row r="600">
      <c r="A600" s="1463"/>
      <c r="B600" s="1464"/>
      <c r="C600" s="1465"/>
      <c r="D600" s="1471"/>
      <c r="E600" s="1467"/>
      <c r="F600" s="1468"/>
      <c r="G600" s="1469"/>
      <c r="H600" s="1470"/>
      <c r="I600" s="1471"/>
      <c r="J600" s="1472"/>
      <c r="K600" s="1473"/>
      <c r="L600" s="1468"/>
      <c r="M600" s="1386"/>
      <c r="N600" s="1474"/>
      <c r="O600" s="1475"/>
    </row>
    <row r="601">
      <c r="A601" s="1476"/>
      <c r="B601" s="1477"/>
      <c r="C601" s="1478"/>
      <c r="D601" s="1480"/>
      <c r="E601" s="1479"/>
      <c r="F601" s="1480"/>
      <c r="G601" s="1480"/>
      <c r="H601" s="1480"/>
      <c r="I601" s="1480"/>
      <c r="J601" s="1480"/>
      <c r="K601" s="1480"/>
      <c r="L601" s="1480"/>
      <c r="M601" s="154"/>
      <c r="N601" s="1481"/>
      <c r="O601" s="1482"/>
    </row>
    <row r="602">
      <c r="A602" s="1463"/>
      <c r="B602" s="1464"/>
      <c r="C602" s="1465"/>
      <c r="D602" s="1471"/>
      <c r="E602" s="1467"/>
      <c r="F602" s="1468"/>
      <c r="G602" s="1469"/>
      <c r="H602" s="1470"/>
      <c r="I602" s="1471"/>
      <c r="J602" s="1472"/>
      <c r="K602" s="1473"/>
      <c r="L602" s="1468"/>
      <c r="M602" s="1386"/>
      <c r="N602" s="1474"/>
      <c r="O602" s="1475"/>
    </row>
    <row r="603">
      <c r="A603" s="1476"/>
      <c r="B603" s="1477"/>
      <c r="C603" s="1478"/>
      <c r="D603" s="1480"/>
      <c r="E603" s="1479"/>
      <c r="F603" s="1480"/>
      <c r="G603" s="1480"/>
      <c r="H603" s="1480"/>
      <c r="I603" s="1480"/>
      <c r="J603" s="1480"/>
      <c r="K603" s="1480"/>
      <c r="L603" s="1480"/>
      <c r="M603" s="154"/>
      <c r="N603" s="1481"/>
      <c r="O603" s="1482"/>
    </row>
    <row r="604">
      <c r="A604" s="1463"/>
      <c r="B604" s="1464"/>
      <c r="C604" s="1465"/>
      <c r="D604" s="1471"/>
      <c r="E604" s="1467"/>
      <c r="F604" s="1468"/>
      <c r="G604" s="1469"/>
      <c r="H604" s="1470"/>
      <c r="I604" s="1471"/>
      <c r="J604" s="1472"/>
      <c r="K604" s="1473"/>
      <c r="L604" s="1468"/>
      <c r="M604" s="1386"/>
      <c r="N604" s="1474"/>
      <c r="O604" s="1475"/>
    </row>
    <row r="605">
      <c r="A605" s="1476"/>
      <c r="B605" s="1477"/>
      <c r="C605" s="1478"/>
      <c r="D605" s="1480"/>
      <c r="E605" s="1479"/>
      <c r="F605" s="1480"/>
      <c r="G605" s="1480"/>
      <c r="H605" s="1480"/>
      <c r="I605" s="1480"/>
      <c r="J605" s="1480"/>
      <c r="K605" s="1480"/>
      <c r="L605" s="1480"/>
      <c r="M605" s="154"/>
      <c r="N605" s="1481"/>
      <c r="O605" s="1482"/>
    </row>
    <row r="606">
      <c r="A606" s="1463"/>
      <c r="B606" s="1464"/>
      <c r="C606" s="1465"/>
      <c r="D606" s="1471"/>
      <c r="E606" s="1467"/>
      <c r="F606" s="1468"/>
      <c r="G606" s="1469"/>
      <c r="H606" s="1470"/>
      <c r="I606" s="1471"/>
      <c r="J606" s="1472"/>
      <c r="K606" s="1473"/>
      <c r="L606" s="1468"/>
      <c r="M606" s="1386"/>
      <c r="N606" s="1474"/>
      <c r="O606" s="1475"/>
    </row>
    <row r="607">
      <c r="A607" s="1476"/>
      <c r="B607" s="1477"/>
      <c r="C607" s="1478"/>
      <c r="D607" s="1480"/>
      <c r="E607" s="1479"/>
      <c r="F607" s="1480"/>
      <c r="G607" s="1480"/>
      <c r="H607" s="1480"/>
      <c r="I607" s="1480"/>
      <c r="J607" s="1480"/>
      <c r="K607" s="1480"/>
      <c r="L607" s="1480"/>
      <c r="M607" s="154"/>
      <c r="N607" s="1481"/>
      <c r="O607" s="1482"/>
    </row>
    <row r="608">
      <c r="A608" s="1463"/>
      <c r="B608" s="1464"/>
      <c r="C608" s="1465"/>
      <c r="D608" s="1471"/>
      <c r="E608" s="1467"/>
      <c r="F608" s="1468"/>
      <c r="G608" s="1469"/>
      <c r="H608" s="1470"/>
      <c r="I608" s="1471"/>
      <c r="J608" s="1472"/>
      <c r="K608" s="1473"/>
      <c r="L608" s="1468"/>
      <c r="M608" s="1386"/>
      <c r="N608" s="1474"/>
      <c r="O608" s="1475"/>
    </row>
    <row r="609">
      <c r="A609" s="1476"/>
      <c r="B609" s="1477"/>
      <c r="C609" s="1478"/>
      <c r="D609" s="1480"/>
      <c r="E609" s="1479"/>
      <c r="F609" s="1480"/>
      <c r="G609" s="1480"/>
      <c r="H609" s="1480"/>
      <c r="I609" s="1480"/>
      <c r="J609" s="1480"/>
      <c r="K609" s="1480"/>
      <c r="L609" s="1480"/>
      <c r="M609" s="154"/>
      <c r="N609" s="1481"/>
      <c r="O609" s="1482"/>
    </row>
    <row r="610">
      <c r="A610" s="1463"/>
      <c r="B610" s="1464"/>
      <c r="C610" s="1465"/>
      <c r="D610" s="1471"/>
      <c r="E610" s="1467"/>
      <c r="F610" s="1468"/>
      <c r="G610" s="1469"/>
      <c r="H610" s="1470"/>
      <c r="I610" s="1471"/>
      <c r="J610" s="1472"/>
      <c r="K610" s="1473"/>
      <c r="L610" s="1468"/>
      <c r="M610" s="1386"/>
      <c r="N610" s="1474"/>
      <c r="O610" s="1475"/>
    </row>
    <row r="611">
      <c r="A611" s="1476"/>
      <c r="B611" s="1477"/>
      <c r="C611" s="1478"/>
      <c r="D611" s="1480"/>
      <c r="E611" s="1479"/>
      <c r="F611" s="1480"/>
      <c r="G611" s="1480"/>
      <c r="H611" s="1480"/>
      <c r="I611" s="1480"/>
      <c r="J611" s="1480"/>
      <c r="K611" s="1480"/>
      <c r="L611" s="1480"/>
      <c r="M611" s="154"/>
      <c r="N611" s="1481"/>
      <c r="O611" s="1482"/>
    </row>
    <row r="612">
      <c r="A612" s="1463"/>
      <c r="B612" s="1464"/>
      <c r="C612" s="1465"/>
      <c r="D612" s="1471"/>
      <c r="E612" s="1467"/>
      <c r="F612" s="1468"/>
      <c r="G612" s="1469"/>
      <c r="H612" s="1470"/>
      <c r="I612" s="1471"/>
      <c r="J612" s="1472"/>
      <c r="K612" s="1473"/>
      <c r="L612" s="1468"/>
      <c r="M612" s="1386"/>
      <c r="N612" s="1474"/>
      <c r="O612" s="1475"/>
    </row>
    <row r="613">
      <c r="A613" s="1476"/>
      <c r="B613" s="1477"/>
      <c r="C613" s="1478"/>
      <c r="D613" s="1480"/>
      <c r="E613" s="1479"/>
      <c r="F613" s="1480"/>
      <c r="G613" s="1480"/>
      <c r="H613" s="1480"/>
      <c r="I613" s="1480"/>
      <c r="J613" s="1480"/>
      <c r="K613" s="1480"/>
      <c r="L613" s="1480"/>
      <c r="M613" s="154"/>
      <c r="N613" s="1481"/>
      <c r="O613" s="1482"/>
    </row>
    <row r="614">
      <c r="A614" s="1463"/>
      <c r="B614" s="1464"/>
      <c r="C614" s="1465"/>
      <c r="D614" s="1471"/>
      <c r="E614" s="1467"/>
      <c r="F614" s="1468"/>
      <c r="G614" s="1469"/>
      <c r="H614" s="1470"/>
      <c r="I614" s="1471"/>
      <c r="J614" s="1472"/>
      <c r="K614" s="1473"/>
      <c r="L614" s="1468"/>
      <c r="M614" s="1386"/>
      <c r="N614" s="1474"/>
      <c r="O614" s="1475"/>
    </row>
    <row r="615">
      <c r="A615" s="1476"/>
      <c r="B615" s="1477"/>
      <c r="C615" s="1478"/>
      <c r="D615" s="1480"/>
      <c r="E615" s="1479"/>
      <c r="F615" s="1480"/>
      <c r="G615" s="1480"/>
      <c r="H615" s="1480"/>
      <c r="I615" s="1480"/>
      <c r="J615" s="1480"/>
      <c r="K615" s="1480"/>
      <c r="L615" s="1480"/>
      <c r="M615" s="154"/>
      <c r="N615" s="1481"/>
      <c r="O615" s="1482"/>
    </row>
    <row r="616">
      <c r="A616" s="1463"/>
      <c r="B616" s="1464"/>
      <c r="C616" s="1465"/>
      <c r="D616" s="1471"/>
      <c r="E616" s="1467"/>
      <c r="F616" s="1468"/>
      <c r="G616" s="1469"/>
      <c r="H616" s="1470"/>
      <c r="I616" s="1471"/>
      <c r="J616" s="1472"/>
      <c r="K616" s="1473"/>
      <c r="L616" s="1468"/>
      <c r="M616" s="1386"/>
      <c r="N616" s="1474"/>
      <c r="O616" s="1475"/>
    </row>
    <row r="617">
      <c r="A617" s="1476"/>
      <c r="B617" s="1477"/>
      <c r="C617" s="1478"/>
      <c r="D617" s="1480"/>
      <c r="E617" s="1479"/>
      <c r="F617" s="1480"/>
      <c r="G617" s="1480"/>
      <c r="H617" s="1480"/>
      <c r="I617" s="1480"/>
      <c r="J617" s="1480"/>
      <c r="K617" s="1480"/>
      <c r="L617" s="1480"/>
      <c r="M617" s="154"/>
      <c r="N617" s="1481"/>
      <c r="O617" s="1482"/>
    </row>
    <row r="618">
      <c r="A618" s="1463"/>
      <c r="B618" s="1464"/>
      <c r="C618" s="1465"/>
      <c r="D618" s="1471"/>
      <c r="E618" s="1467"/>
      <c r="F618" s="1468"/>
      <c r="G618" s="1469"/>
      <c r="H618" s="1470"/>
      <c r="I618" s="1471"/>
      <c r="J618" s="1472"/>
      <c r="K618" s="1473"/>
      <c r="L618" s="1468"/>
      <c r="M618" s="1386"/>
      <c r="N618" s="1474"/>
      <c r="O618" s="1475"/>
    </row>
    <row r="619">
      <c r="A619" s="1476"/>
      <c r="B619" s="1477"/>
      <c r="C619" s="1478"/>
      <c r="D619" s="1480"/>
      <c r="E619" s="1479"/>
      <c r="F619" s="1480"/>
      <c r="G619" s="1480"/>
      <c r="H619" s="1480"/>
      <c r="I619" s="1480"/>
      <c r="J619" s="1480"/>
      <c r="K619" s="1480"/>
      <c r="L619" s="1480"/>
      <c r="M619" s="154"/>
      <c r="N619" s="1481"/>
      <c r="O619" s="1482"/>
    </row>
    <row r="620">
      <c r="A620" s="1463"/>
      <c r="B620" s="1464"/>
      <c r="C620" s="1465"/>
      <c r="D620" s="1471"/>
      <c r="E620" s="1467"/>
      <c r="F620" s="1468"/>
      <c r="G620" s="1469"/>
      <c r="H620" s="1470"/>
      <c r="I620" s="1471"/>
      <c r="J620" s="1472"/>
      <c r="K620" s="1473"/>
      <c r="L620" s="1468"/>
      <c r="M620" s="1386"/>
      <c r="N620" s="1474"/>
      <c r="O620" s="1475"/>
    </row>
    <row r="621">
      <c r="A621" s="1476"/>
      <c r="B621" s="1477"/>
      <c r="C621" s="1478"/>
      <c r="D621" s="1480"/>
      <c r="E621" s="1479"/>
      <c r="F621" s="1480"/>
      <c r="G621" s="1480"/>
      <c r="H621" s="1480"/>
      <c r="I621" s="1480"/>
      <c r="J621" s="1480"/>
      <c r="K621" s="1480"/>
      <c r="L621" s="1480"/>
      <c r="M621" s="154"/>
      <c r="N621" s="1481"/>
      <c r="O621" s="1482"/>
    </row>
    <row r="622">
      <c r="A622" s="1463"/>
      <c r="B622" s="1464"/>
      <c r="C622" s="1465"/>
      <c r="D622" s="1471"/>
      <c r="E622" s="1467"/>
      <c r="F622" s="1468"/>
      <c r="G622" s="1469"/>
      <c r="H622" s="1470"/>
      <c r="I622" s="1471"/>
      <c r="J622" s="1472"/>
      <c r="K622" s="1473"/>
      <c r="L622" s="1468"/>
      <c r="M622" s="1386"/>
      <c r="N622" s="1474"/>
      <c r="O622" s="1475"/>
    </row>
    <row r="623">
      <c r="A623" s="1476"/>
      <c r="B623" s="1477"/>
      <c r="C623" s="1478"/>
      <c r="D623" s="1480"/>
      <c r="E623" s="1479"/>
      <c r="F623" s="1480"/>
      <c r="G623" s="1480"/>
      <c r="H623" s="1480"/>
      <c r="I623" s="1480"/>
      <c r="J623" s="1480"/>
      <c r="K623" s="1480"/>
      <c r="L623" s="1480"/>
      <c r="M623" s="154"/>
      <c r="N623" s="1481"/>
      <c r="O623" s="1482"/>
    </row>
    <row r="624">
      <c r="A624" s="1463"/>
      <c r="B624" s="1464"/>
      <c r="C624" s="1465"/>
      <c r="D624" s="1471"/>
      <c r="E624" s="1467"/>
      <c r="F624" s="1468"/>
      <c r="G624" s="1469"/>
      <c r="H624" s="1470"/>
      <c r="I624" s="1471"/>
      <c r="J624" s="1472"/>
      <c r="K624" s="1473"/>
      <c r="L624" s="1468"/>
      <c r="M624" s="1386"/>
      <c r="N624" s="1474"/>
      <c r="O624" s="1475"/>
    </row>
    <row r="625">
      <c r="A625" s="1476"/>
      <c r="B625" s="1477"/>
      <c r="C625" s="1478"/>
      <c r="D625" s="1480"/>
      <c r="E625" s="1479"/>
      <c r="F625" s="1480"/>
      <c r="G625" s="1480"/>
      <c r="H625" s="1480"/>
      <c r="I625" s="1480"/>
      <c r="J625" s="1480"/>
      <c r="K625" s="1480"/>
      <c r="L625" s="1480"/>
      <c r="M625" s="154"/>
      <c r="N625" s="1481"/>
      <c r="O625" s="1482"/>
    </row>
    <row r="626">
      <c r="A626" s="1463"/>
      <c r="B626" s="1464"/>
      <c r="C626" s="1465"/>
      <c r="D626" s="1471"/>
      <c r="E626" s="1467"/>
      <c r="F626" s="1468"/>
      <c r="G626" s="1469"/>
      <c r="H626" s="1470"/>
      <c r="I626" s="1471"/>
      <c r="J626" s="1472"/>
      <c r="K626" s="1473"/>
      <c r="L626" s="1468"/>
      <c r="M626" s="1386"/>
      <c r="N626" s="1474"/>
      <c r="O626" s="1475"/>
    </row>
    <row r="627">
      <c r="A627" s="1476"/>
      <c r="B627" s="1477"/>
      <c r="C627" s="1478"/>
      <c r="D627" s="1480"/>
      <c r="E627" s="1479"/>
      <c r="F627" s="1480"/>
      <c r="G627" s="1480"/>
      <c r="H627" s="1480"/>
      <c r="I627" s="1480"/>
      <c r="J627" s="1480"/>
      <c r="K627" s="1480"/>
      <c r="L627" s="1480"/>
      <c r="M627" s="154"/>
      <c r="N627" s="1481"/>
      <c r="O627" s="1482"/>
    </row>
    <row r="628">
      <c r="A628" s="1463"/>
      <c r="B628" s="1464"/>
      <c r="C628" s="1465"/>
      <c r="D628" s="1471"/>
      <c r="E628" s="1467"/>
      <c r="F628" s="1468"/>
      <c r="G628" s="1469"/>
      <c r="H628" s="1470"/>
      <c r="I628" s="1471"/>
      <c r="J628" s="1472"/>
      <c r="K628" s="1473"/>
      <c r="L628" s="1468"/>
      <c r="M628" s="1386"/>
      <c r="N628" s="1474"/>
      <c r="O628" s="1475"/>
    </row>
    <row r="629">
      <c r="A629" s="1476"/>
      <c r="B629" s="1477"/>
      <c r="C629" s="1478"/>
      <c r="D629" s="1480"/>
      <c r="E629" s="1479"/>
      <c r="F629" s="1480"/>
      <c r="G629" s="1480"/>
      <c r="H629" s="1480"/>
      <c r="I629" s="1480"/>
      <c r="J629" s="1480"/>
      <c r="K629" s="1480"/>
      <c r="L629" s="1480"/>
      <c r="M629" s="154"/>
      <c r="N629" s="1481"/>
      <c r="O629" s="1482"/>
    </row>
    <row r="630">
      <c r="A630" s="1463"/>
      <c r="B630" s="1464"/>
      <c r="C630" s="1465"/>
      <c r="D630" s="1471"/>
      <c r="E630" s="1467"/>
      <c r="F630" s="1468"/>
      <c r="G630" s="1469"/>
      <c r="H630" s="1470"/>
      <c r="I630" s="1471"/>
      <c r="J630" s="1472"/>
      <c r="K630" s="1473"/>
      <c r="L630" s="1468"/>
      <c r="M630" s="1386"/>
      <c r="N630" s="1474"/>
      <c r="O630" s="1475"/>
    </row>
    <row r="631">
      <c r="A631" s="1476"/>
      <c r="B631" s="1477"/>
      <c r="C631" s="1478"/>
      <c r="D631" s="1480"/>
      <c r="E631" s="1479"/>
      <c r="F631" s="1480"/>
      <c r="G631" s="1480"/>
      <c r="H631" s="1480"/>
      <c r="I631" s="1480"/>
      <c r="J631" s="1480"/>
      <c r="K631" s="1480"/>
      <c r="L631" s="1480"/>
      <c r="M631" s="154"/>
      <c r="N631" s="1481"/>
      <c r="O631" s="1482"/>
    </row>
    <row r="632">
      <c r="A632" s="1463"/>
      <c r="B632" s="1464"/>
      <c r="C632" s="1465"/>
      <c r="D632" s="1471"/>
      <c r="E632" s="1467"/>
      <c r="F632" s="1468"/>
      <c r="G632" s="1469"/>
      <c r="H632" s="1470"/>
      <c r="I632" s="1471"/>
      <c r="J632" s="1472"/>
      <c r="K632" s="1473"/>
      <c r="L632" s="1468"/>
      <c r="M632" s="1386"/>
      <c r="N632" s="1474"/>
      <c r="O632" s="1475"/>
    </row>
    <row r="633">
      <c r="A633" s="1476"/>
      <c r="B633" s="1477"/>
      <c r="C633" s="1478"/>
      <c r="D633" s="1480"/>
      <c r="E633" s="1479"/>
      <c r="F633" s="1480"/>
      <c r="G633" s="1480"/>
      <c r="H633" s="1480"/>
      <c r="I633" s="1480"/>
      <c r="J633" s="1480"/>
      <c r="K633" s="1480"/>
      <c r="L633" s="1480"/>
      <c r="M633" s="154"/>
      <c r="N633" s="1481"/>
      <c r="O633" s="1482"/>
    </row>
    <row r="634">
      <c r="A634" s="1463"/>
      <c r="B634" s="1464"/>
      <c r="C634" s="1465"/>
      <c r="D634" s="1471"/>
      <c r="E634" s="1467"/>
      <c r="F634" s="1468"/>
      <c r="G634" s="1469"/>
      <c r="H634" s="1470"/>
      <c r="I634" s="1471"/>
      <c r="J634" s="1472"/>
      <c r="K634" s="1473"/>
      <c r="L634" s="1468"/>
      <c r="M634" s="1386"/>
      <c r="N634" s="1474"/>
      <c r="O634" s="1475"/>
    </row>
    <row r="635">
      <c r="A635" s="1476"/>
      <c r="B635" s="1477"/>
      <c r="C635" s="1478"/>
      <c r="D635" s="1480"/>
      <c r="E635" s="1479"/>
      <c r="F635" s="1480"/>
      <c r="G635" s="1480"/>
      <c r="H635" s="1480"/>
      <c r="I635" s="1480"/>
      <c r="J635" s="1480"/>
      <c r="K635" s="1480"/>
      <c r="L635" s="1480"/>
      <c r="M635" s="154"/>
      <c r="N635" s="1481"/>
      <c r="O635" s="1482"/>
    </row>
    <row r="636">
      <c r="A636" s="1463"/>
      <c r="B636" s="1464"/>
      <c r="C636" s="1465"/>
      <c r="D636" s="1471"/>
      <c r="E636" s="1467"/>
      <c r="F636" s="1468"/>
      <c r="G636" s="1469"/>
      <c r="H636" s="1470"/>
      <c r="I636" s="1471"/>
      <c r="J636" s="1472"/>
      <c r="K636" s="1473"/>
      <c r="L636" s="1468"/>
      <c r="M636" s="1386"/>
      <c r="N636" s="1474"/>
      <c r="O636" s="1475"/>
    </row>
    <row r="637">
      <c r="A637" s="1476"/>
      <c r="B637" s="1477"/>
      <c r="C637" s="1478"/>
      <c r="D637" s="1480"/>
      <c r="E637" s="1479"/>
      <c r="F637" s="1480"/>
      <c r="G637" s="1480"/>
      <c r="H637" s="1480"/>
      <c r="I637" s="1480"/>
      <c r="J637" s="1480"/>
      <c r="K637" s="1480"/>
      <c r="L637" s="1480"/>
      <c r="M637" s="154"/>
      <c r="N637" s="1481"/>
      <c r="O637" s="1482"/>
    </row>
    <row r="638">
      <c r="A638" s="1463"/>
      <c r="B638" s="1464"/>
      <c r="C638" s="1465"/>
      <c r="D638" s="1471"/>
      <c r="E638" s="1467"/>
      <c r="F638" s="1468"/>
      <c r="G638" s="1469"/>
      <c r="H638" s="1470"/>
      <c r="I638" s="1471"/>
      <c r="J638" s="1472"/>
      <c r="K638" s="1473"/>
      <c r="L638" s="1468"/>
      <c r="M638" s="1386"/>
      <c r="N638" s="1474"/>
      <c r="O638" s="1475"/>
    </row>
    <row r="639">
      <c r="A639" s="1476"/>
      <c r="B639" s="1477"/>
      <c r="C639" s="1478"/>
      <c r="D639" s="1480"/>
      <c r="E639" s="1479"/>
      <c r="F639" s="1480"/>
      <c r="G639" s="1480"/>
      <c r="H639" s="1480"/>
      <c r="I639" s="1480"/>
      <c r="J639" s="1480"/>
      <c r="K639" s="1480"/>
      <c r="L639" s="1480"/>
      <c r="M639" s="154"/>
      <c r="N639" s="1481"/>
      <c r="O639" s="1482"/>
    </row>
    <row r="640">
      <c r="A640" s="1463"/>
      <c r="B640" s="1464"/>
      <c r="C640" s="1465"/>
      <c r="D640" s="1471"/>
      <c r="E640" s="1467"/>
      <c r="F640" s="1468"/>
      <c r="G640" s="1469"/>
      <c r="H640" s="1470"/>
      <c r="I640" s="1471"/>
      <c r="J640" s="1472"/>
      <c r="K640" s="1473"/>
      <c r="L640" s="1468"/>
      <c r="M640" s="1386"/>
      <c r="N640" s="1474"/>
      <c r="O640" s="1475"/>
    </row>
    <row r="641">
      <c r="A641" s="1476"/>
      <c r="B641" s="1477"/>
      <c r="C641" s="1478"/>
      <c r="D641" s="1480"/>
      <c r="E641" s="1479"/>
      <c r="F641" s="1480"/>
      <c r="G641" s="1480"/>
      <c r="H641" s="1480"/>
      <c r="I641" s="1480"/>
      <c r="J641" s="1480"/>
      <c r="K641" s="1480"/>
      <c r="L641" s="1480"/>
      <c r="M641" s="154"/>
      <c r="N641" s="1481"/>
      <c r="O641" s="1482"/>
    </row>
    <row r="642">
      <c r="A642" s="1463"/>
      <c r="B642" s="1464"/>
      <c r="C642" s="1465"/>
      <c r="D642" s="1471"/>
      <c r="E642" s="1467"/>
      <c r="F642" s="1468"/>
      <c r="G642" s="1469"/>
      <c r="H642" s="1470"/>
      <c r="I642" s="1471"/>
      <c r="J642" s="1472"/>
      <c r="K642" s="1473"/>
      <c r="L642" s="1468"/>
      <c r="M642" s="1386"/>
      <c r="N642" s="1474"/>
      <c r="O642" s="1475"/>
    </row>
    <row r="643">
      <c r="A643" s="1476"/>
      <c r="B643" s="1477"/>
      <c r="C643" s="1478"/>
      <c r="D643" s="1480"/>
      <c r="E643" s="1479"/>
      <c r="F643" s="1480"/>
      <c r="G643" s="1480"/>
      <c r="H643" s="1480"/>
      <c r="I643" s="1480"/>
      <c r="J643" s="1480"/>
      <c r="K643" s="1480"/>
      <c r="L643" s="1480"/>
      <c r="M643" s="154"/>
      <c r="N643" s="1481"/>
      <c r="O643" s="1482"/>
    </row>
    <row r="644">
      <c r="A644" s="1463"/>
      <c r="B644" s="1464"/>
      <c r="C644" s="1465"/>
      <c r="D644" s="1471"/>
      <c r="E644" s="1467"/>
      <c r="F644" s="1468"/>
      <c r="G644" s="1469"/>
      <c r="H644" s="1470"/>
      <c r="I644" s="1471"/>
      <c r="J644" s="1472"/>
      <c r="K644" s="1473"/>
      <c r="L644" s="1468"/>
      <c r="M644" s="1386"/>
      <c r="N644" s="1474"/>
      <c r="O644" s="1475"/>
    </row>
    <row r="645">
      <c r="A645" s="1476"/>
      <c r="B645" s="1477"/>
      <c r="C645" s="1478"/>
      <c r="D645" s="1480"/>
      <c r="E645" s="1479"/>
      <c r="F645" s="1480"/>
      <c r="G645" s="1480"/>
      <c r="H645" s="1480"/>
      <c r="I645" s="1480"/>
      <c r="J645" s="1480"/>
      <c r="K645" s="1480"/>
      <c r="L645" s="1480"/>
      <c r="M645" s="154"/>
      <c r="N645" s="1481"/>
      <c r="O645" s="1482"/>
    </row>
    <row r="646">
      <c r="A646" s="1463"/>
      <c r="B646" s="1464"/>
      <c r="C646" s="1465"/>
      <c r="D646" s="1471"/>
      <c r="E646" s="1467"/>
      <c r="F646" s="1468"/>
      <c r="G646" s="1469"/>
      <c r="H646" s="1470"/>
      <c r="I646" s="1471"/>
      <c r="J646" s="1472"/>
      <c r="K646" s="1473"/>
      <c r="L646" s="1468"/>
      <c r="M646" s="1386"/>
      <c r="N646" s="1474"/>
      <c r="O646" s="1475"/>
    </row>
    <row r="647">
      <c r="A647" s="1476"/>
      <c r="B647" s="1477"/>
      <c r="C647" s="1478"/>
      <c r="D647" s="1480"/>
      <c r="E647" s="1479"/>
      <c r="F647" s="1480"/>
      <c r="G647" s="1480"/>
      <c r="H647" s="1480"/>
      <c r="I647" s="1480"/>
      <c r="J647" s="1480"/>
      <c r="K647" s="1480"/>
      <c r="L647" s="1480"/>
      <c r="M647" s="154"/>
      <c r="N647" s="1481"/>
      <c r="O647" s="1482"/>
    </row>
    <row r="648">
      <c r="A648" s="1463"/>
      <c r="B648" s="1464"/>
      <c r="C648" s="1465"/>
      <c r="D648" s="1471"/>
      <c r="E648" s="1467"/>
      <c r="F648" s="1468"/>
      <c r="G648" s="1469"/>
      <c r="H648" s="1470"/>
      <c r="I648" s="1471"/>
      <c r="J648" s="1472"/>
      <c r="K648" s="1473"/>
      <c r="L648" s="1468"/>
      <c r="M648" s="1386"/>
      <c r="N648" s="1474"/>
      <c r="O648" s="1475"/>
    </row>
    <row r="649">
      <c r="A649" s="1476"/>
      <c r="B649" s="1477"/>
      <c r="C649" s="1478"/>
      <c r="D649" s="1480"/>
      <c r="E649" s="1479"/>
      <c r="F649" s="1480"/>
      <c r="G649" s="1480"/>
      <c r="H649" s="1480"/>
      <c r="I649" s="1480"/>
      <c r="J649" s="1480"/>
      <c r="K649" s="1480"/>
      <c r="L649" s="1480"/>
      <c r="M649" s="154"/>
      <c r="N649" s="1481"/>
      <c r="O649" s="1482"/>
    </row>
    <row r="650">
      <c r="A650" s="1463"/>
      <c r="B650" s="1464"/>
      <c r="C650" s="1465"/>
      <c r="D650" s="1471"/>
      <c r="E650" s="1467"/>
      <c r="F650" s="1468"/>
      <c r="G650" s="1469"/>
      <c r="H650" s="1470"/>
      <c r="I650" s="1471"/>
      <c r="J650" s="1472"/>
      <c r="K650" s="1473"/>
      <c r="L650" s="1468"/>
      <c r="M650" s="1386"/>
      <c r="N650" s="1474"/>
      <c r="O650" s="1475"/>
    </row>
    <row r="651">
      <c r="A651" s="1476"/>
      <c r="B651" s="1477"/>
      <c r="C651" s="1478"/>
      <c r="D651" s="1480"/>
      <c r="E651" s="1479"/>
      <c r="F651" s="1480"/>
      <c r="G651" s="1480"/>
      <c r="H651" s="1480"/>
      <c r="I651" s="1480"/>
      <c r="J651" s="1480"/>
      <c r="K651" s="1480"/>
      <c r="L651" s="1480"/>
      <c r="M651" s="154"/>
      <c r="N651" s="1481"/>
      <c r="O651" s="1482"/>
    </row>
    <row r="652">
      <c r="A652" s="1463"/>
      <c r="B652" s="1464"/>
      <c r="C652" s="1465"/>
      <c r="D652" s="1471"/>
      <c r="E652" s="1467"/>
      <c r="F652" s="1468"/>
      <c r="G652" s="1469"/>
      <c r="H652" s="1470"/>
      <c r="I652" s="1471"/>
      <c r="J652" s="1472"/>
      <c r="K652" s="1473"/>
      <c r="L652" s="1468"/>
      <c r="M652" s="1386"/>
      <c r="N652" s="1474"/>
      <c r="O652" s="1475"/>
    </row>
    <row r="653">
      <c r="A653" s="1476"/>
      <c r="B653" s="1477"/>
      <c r="C653" s="1478"/>
      <c r="D653" s="1480"/>
      <c r="E653" s="1479"/>
      <c r="F653" s="1480"/>
      <c r="G653" s="1480"/>
      <c r="H653" s="1480"/>
      <c r="I653" s="1480"/>
      <c r="J653" s="1480"/>
      <c r="K653" s="1480"/>
      <c r="L653" s="1480"/>
      <c r="M653" s="154"/>
      <c r="N653" s="1481"/>
      <c r="O653" s="1482"/>
    </row>
    <row r="654">
      <c r="A654" s="1463"/>
      <c r="B654" s="1464"/>
      <c r="C654" s="1465"/>
      <c r="D654" s="1471"/>
      <c r="E654" s="1467"/>
      <c r="F654" s="1468"/>
      <c r="G654" s="1469"/>
      <c r="H654" s="1470"/>
      <c r="I654" s="1471"/>
      <c r="J654" s="1472"/>
      <c r="K654" s="1473"/>
      <c r="L654" s="1468"/>
      <c r="M654" s="1386"/>
      <c r="N654" s="1474"/>
      <c r="O654" s="1475"/>
    </row>
    <row r="655">
      <c r="A655" s="1476"/>
      <c r="B655" s="1477"/>
      <c r="C655" s="1478"/>
      <c r="D655" s="1480"/>
      <c r="E655" s="1479"/>
      <c r="F655" s="1480"/>
      <c r="G655" s="1480"/>
      <c r="H655" s="1480"/>
      <c r="I655" s="1480"/>
      <c r="J655" s="1480"/>
      <c r="K655" s="1480"/>
      <c r="L655" s="1480"/>
      <c r="M655" s="154"/>
      <c r="N655" s="1481"/>
      <c r="O655" s="1482"/>
    </row>
    <row r="656">
      <c r="A656" s="1463"/>
      <c r="B656" s="1464"/>
      <c r="C656" s="1465"/>
      <c r="D656" s="1471"/>
      <c r="E656" s="1467"/>
      <c r="F656" s="1468"/>
      <c r="G656" s="1469"/>
      <c r="H656" s="1470"/>
      <c r="I656" s="1471"/>
      <c r="J656" s="1472"/>
      <c r="K656" s="1473"/>
      <c r="L656" s="1468"/>
      <c r="M656" s="1386"/>
      <c r="N656" s="1474"/>
      <c r="O656" s="1475"/>
    </row>
    <row r="657">
      <c r="A657" s="1476"/>
      <c r="B657" s="1477"/>
      <c r="C657" s="1478"/>
      <c r="D657" s="1480"/>
      <c r="E657" s="1479"/>
      <c r="F657" s="1480"/>
      <c r="G657" s="1480"/>
      <c r="H657" s="1480"/>
      <c r="I657" s="1480"/>
      <c r="J657" s="1480"/>
      <c r="K657" s="1480"/>
      <c r="L657" s="1480"/>
      <c r="M657" s="154"/>
      <c r="N657" s="1481"/>
      <c r="O657" s="1482"/>
    </row>
    <row r="658">
      <c r="A658" s="1463"/>
      <c r="B658" s="1464"/>
      <c r="C658" s="1465"/>
      <c r="D658" s="1471"/>
      <c r="E658" s="1467"/>
      <c r="F658" s="1468"/>
      <c r="G658" s="1469"/>
      <c r="H658" s="1470"/>
      <c r="I658" s="1471"/>
      <c r="J658" s="1472"/>
      <c r="K658" s="1473"/>
      <c r="L658" s="1468"/>
      <c r="M658" s="1386"/>
      <c r="N658" s="1474"/>
      <c r="O658" s="1475"/>
    </row>
    <row r="659">
      <c r="A659" s="1476"/>
      <c r="B659" s="1477"/>
      <c r="C659" s="1478"/>
      <c r="D659" s="1480"/>
      <c r="E659" s="1479"/>
      <c r="F659" s="1480"/>
      <c r="G659" s="1480"/>
      <c r="H659" s="1480"/>
      <c r="I659" s="1480"/>
      <c r="J659" s="1480"/>
      <c r="K659" s="1480"/>
      <c r="L659" s="1480"/>
      <c r="M659" s="154"/>
      <c r="N659" s="1481"/>
      <c r="O659" s="1482"/>
    </row>
    <row r="660">
      <c r="A660" s="1463"/>
      <c r="B660" s="1464"/>
      <c r="C660" s="1465"/>
      <c r="D660" s="1471"/>
      <c r="E660" s="1467"/>
      <c r="F660" s="1468"/>
      <c r="G660" s="1469"/>
      <c r="H660" s="1470"/>
      <c r="I660" s="1471"/>
      <c r="J660" s="1472"/>
      <c r="K660" s="1473"/>
      <c r="L660" s="1468"/>
      <c r="M660" s="1386"/>
      <c r="N660" s="1474"/>
      <c r="O660" s="1475"/>
    </row>
    <row r="661">
      <c r="A661" s="1476"/>
      <c r="B661" s="1477"/>
      <c r="C661" s="1478"/>
      <c r="D661" s="1480"/>
      <c r="E661" s="1479"/>
      <c r="F661" s="1480"/>
      <c r="G661" s="1480"/>
      <c r="H661" s="1480"/>
      <c r="I661" s="1480"/>
      <c r="J661" s="1480"/>
      <c r="K661" s="1480"/>
      <c r="L661" s="1480"/>
      <c r="M661" s="154"/>
      <c r="N661" s="1481"/>
      <c r="O661" s="1482"/>
    </row>
    <row r="662">
      <c r="A662" s="1463"/>
      <c r="B662" s="1464"/>
      <c r="C662" s="1465"/>
      <c r="D662" s="1471"/>
      <c r="E662" s="1467"/>
      <c r="F662" s="1468"/>
      <c r="G662" s="1469"/>
      <c r="H662" s="1470"/>
      <c r="I662" s="1471"/>
      <c r="J662" s="1472"/>
      <c r="K662" s="1473"/>
      <c r="L662" s="1468"/>
      <c r="M662" s="1386"/>
      <c r="N662" s="1474"/>
      <c r="O662" s="1475"/>
    </row>
    <row r="663">
      <c r="A663" s="1476"/>
      <c r="B663" s="1477"/>
      <c r="C663" s="1478"/>
      <c r="D663" s="1480"/>
      <c r="E663" s="1479"/>
      <c r="F663" s="1480"/>
      <c r="G663" s="1480"/>
      <c r="H663" s="1480"/>
      <c r="I663" s="1480"/>
      <c r="J663" s="1480"/>
      <c r="K663" s="1480"/>
      <c r="L663" s="1480"/>
      <c r="M663" s="154"/>
      <c r="N663" s="1481"/>
      <c r="O663" s="1482"/>
    </row>
    <row r="664">
      <c r="A664" s="1463"/>
      <c r="B664" s="1464"/>
      <c r="C664" s="1465"/>
      <c r="D664" s="1471"/>
      <c r="E664" s="1467"/>
      <c r="F664" s="1468"/>
      <c r="G664" s="1469"/>
      <c r="H664" s="1470"/>
      <c r="I664" s="1471"/>
      <c r="J664" s="1472"/>
      <c r="K664" s="1473"/>
      <c r="L664" s="1468"/>
      <c r="M664" s="1386"/>
      <c r="N664" s="1474"/>
      <c r="O664" s="1475"/>
    </row>
    <row r="665">
      <c r="A665" s="1476"/>
      <c r="B665" s="1477"/>
      <c r="C665" s="1478"/>
      <c r="D665" s="1480"/>
      <c r="E665" s="1479"/>
      <c r="F665" s="1480"/>
      <c r="G665" s="1480"/>
      <c r="H665" s="1480"/>
      <c r="I665" s="1480"/>
      <c r="J665" s="1480"/>
      <c r="K665" s="1480"/>
      <c r="L665" s="1480"/>
      <c r="M665" s="154"/>
      <c r="N665" s="1481"/>
      <c r="O665" s="1482"/>
    </row>
    <row r="666">
      <c r="A666" s="1463"/>
      <c r="B666" s="1464"/>
      <c r="C666" s="1465"/>
      <c r="D666" s="1471"/>
      <c r="E666" s="1467"/>
      <c r="F666" s="1468"/>
      <c r="G666" s="1469"/>
      <c r="H666" s="1470"/>
      <c r="I666" s="1471"/>
      <c r="J666" s="1472"/>
      <c r="K666" s="1473"/>
      <c r="L666" s="1468"/>
      <c r="M666" s="1386"/>
      <c r="N666" s="1474"/>
      <c r="O666" s="1475"/>
    </row>
    <row r="667">
      <c r="A667" s="1476"/>
      <c r="B667" s="1477"/>
      <c r="C667" s="1478"/>
      <c r="D667" s="1480"/>
      <c r="E667" s="1479"/>
      <c r="F667" s="1480"/>
      <c r="G667" s="1480"/>
      <c r="H667" s="1480"/>
      <c r="I667" s="1480"/>
      <c r="J667" s="1480"/>
      <c r="K667" s="1480"/>
      <c r="L667" s="1480"/>
      <c r="M667" s="154"/>
      <c r="N667" s="1481"/>
      <c r="O667" s="1482"/>
    </row>
    <row r="668">
      <c r="A668" s="1463"/>
      <c r="B668" s="1464"/>
      <c r="C668" s="1465"/>
      <c r="D668" s="1471"/>
      <c r="E668" s="1467"/>
      <c r="F668" s="1468"/>
      <c r="G668" s="1469"/>
      <c r="H668" s="1470"/>
      <c r="I668" s="1471"/>
      <c r="J668" s="1472"/>
      <c r="K668" s="1473"/>
      <c r="L668" s="1468"/>
      <c r="M668" s="1386"/>
      <c r="N668" s="1474"/>
      <c r="O668" s="1475"/>
    </row>
    <row r="669">
      <c r="A669" s="1476"/>
      <c r="B669" s="1477"/>
      <c r="C669" s="1478"/>
      <c r="D669" s="1480"/>
      <c r="E669" s="1479"/>
      <c r="F669" s="1480"/>
      <c r="G669" s="1480"/>
      <c r="H669" s="1480"/>
      <c r="I669" s="1480"/>
      <c r="J669" s="1480"/>
      <c r="K669" s="1480"/>
      <c r="L669" s="1480"/>
      <c r="M669" s="154"/>
      <c r="N669" s="1481"/>
      <c r="O669" s="1482"/>
    </row>
    <row r="670">
      <c r="A670" s="1463"/>
      <c r="B670" s="1464"/>
      <c r="C670" s="1465"/>
      <c r="D670" s="1471"/>
      <c r="E670" s="1467"/>
      <c r="F670" s="1468"/>
      <c r="G670" s="1469"/>
      <c r="H670" s="1470"/>
      <c r="I670" s="1471"/>
      <c r="J670" s="1472"/>
      <c r="K670" s="1473"/>
      <c r="L670" s="1468"/>
      <c r="M670" s="1386"/>
      <c r="N670" s="1474"/>
      <c r="O670" s="1475"/>
    </row>
    <row r="671">
      <c r="A671" s="1476"/>
      <c r="B671" s="1477"/>
      <c r="C671" s="1478"/>
      <c r="D671" s="1480"/>
      <c r="E671" s="1479"/>
      <c r="F671" s="1480"/>
      <c r="G671" s="1480"/>
      <c r="H671" s="1480"/>
      <c r="I671" s="1480"/>
      <c r="J671" s="1480"/>
      <c r="K671" s="1480"/>
      <c r="L671" s="1480"/>
      <c r="M671" s="154"/>
      <c r="N671" s="1481"/>
      <c r="O671" s="1482"/>
    </row>
    <row r="672">
      <c r="A672" s="1463"/>
      <c r="B672" s="1464"/>
      <c r="C672" s="1465"/>
      <c r="D672" s="1471"/>
      <c r="E672" s="1467"/>
      <c r="F672" s="1468"/>
      <c r="G672" s="1469"/>
      <c r="H672" s="1470"/>
      <c r="I672" s="1471"/>
      <c r="J672" s="1472"/>
      <c r="K672" s="1473"/>
      <c r="L672" s="1468"/>
      <c r="M672" s="1386"/>
      <c r="N672" s="1474"/>
      <c r="O672" s="1475"/>
    </row>
    <row r="673">
      <c r="A673" s="1476"/>
      <c r="B673" s="1477"/>
      <c r="C673" s="1478"/>
      <c r="D673" s="1480"/>
      <c r="E673" s="1479"/>
      <c r="F673" s="1480"/>
      <c r="G673" s="1480"/>
      <c r="H673" s="1480"/>
      <c r="I673" s="1480"/>
      <c r="J673" s="1480"/>
      <c r="K673" s="1480"/>
      <c r="L673" s="1480"/>
      <c r="M673" s="154"/>
      <c r="N673" s="1481"/>
      <c r="O673" s="1482"/>
    </row>
    <row r="674">
      <c r="A674" s="1463"/>
      <c r="B674" s="1464"/>
      <c r="C674" s="1465"/>
      <c r="D674" s="1471"/>
      <c r="E674" s="1467"/>
      <c r="F674" s="1468"/>
      <c r="G674" s="1469"/>
      <c r="H674" s="1470"/>
      <c r="I674" s="1471"/>
      <c r="J674" s="1472"/>
      <c r="K674" s="1473"/>
      <c r="L674" s="1468"/>
      <c r="M674" s="1386"/>
      <c r="N674" s="1474"/>
      <c r="O674" s="1475"/>
    </row>
    <row r="675">
      <c r="A675" s="1476"/>
      <c r="B675" s="1477"/>
      <c r="C675" s="1478"/>
      <c r="D675" s="1480"/>
      <c r="E675" s="1479"/>
      <c r="F675" s="1480"/>
      <c r="G675" s="1480"/>
      <c r="H675" s="1480"/>
      <c r="I675" s="1480"/>
      <c r="J675" s="1480"/>
      <c r="K675" s="1480"/>
      <c r="L675" s="1480"/>
      <c r="M675" s="154"/>
      <c r="N675" s="1481"/>
      <c r="O675" s="1482"/>
    </row>
    <row r="676">
      <c r="A676" s="1463"/>
      <c r="B676" s="1464"/>
      <c r="C676" s="1465"/>
      <c r="D676" s="1471"/>
      <c r="E676" s="1467"/>
      <c r="F676" s="1468"/>
      <c r="G676" s="1469"/>
      <c r="H676" s="1470"/>
      <c r="I676" s="1471"/>
      <c r="J676" s="1472"/>
      <c r="K676" s="1473"/>
      <c r="L676" s="1468"/>
      <c r="M676" s="1386"/>
      <c r="N676" s="1474"/>
      <c r="O676" s="1475"/>
    </row>
    <row r="677">
      <c r="A677" s="1476"/>
      <c r="B677" s="1477"/>
      <c r="C677" s="1478"/>
      <c r="D677" s="1480"/>
      <c r="E677" s="1479"/>
      <c r="F677" s="1480"/>
      <c r="G677" s="1480"/>
      <c r="H677" s="1480"/>
      <c r="I677" s="1480"/>
      <c r="J677" s="1480"/>
      <c r="K677" s="1480"/>
      <c r="L677" s="1480"/>
      <c r="M677" s="154"/>
      <c r="N677" s="1481"/>
      <c r="O677" s="1482"/>
    </row>
    <row r="678">
      <c r="A678" s="1463"/>
      <c r="B678" s="1464"/>
      <c r="C678" s="1465"/>
      <c r="D678" s="1471"/>
      <c r="E678" s="1467"/>
      <c r="F678" s="1468"/>
      <c r="G678" s="1469"/>
      <c r="H678" s="1470"/>
      <c r="I678" s="1471"/>
      <c r="J678" s="1472"/>
      <c r="K678" s="1473"/>
      <c r="L678" s="1468"/>
      <c r="M678" s="1386"/>
      <c r="N678" s="1474"/>
      <c r="O678" s="1475"/>
    </row>
    <row r="679">
      <c r="A679" s="1476"/>
      <c r="B679" s="1477"/>
      <c r="C679" s="1478"/>
      <c r="D679" s="1480"/>
      <c r="E679" s="1479"/>
      <c r="F679" s="1480"/>
      <c r="G679" s="1480"/>
      <c r="H679" s="1480"/>
      <c r="I679" s="1480"/>
      <c r="J679" s="1480"/>
      <c r="K679" s="1480"/>
      <c r="L679" s="1480"/>
      <c r="M679" s="154"/>
      <c r="N679" s="1481"/>
      <c r="O679" s="1482"/>
    </row>
    <row r="680">
      <c r="A680" s="1463"/>
      <c r="B680" s="1464"/>
      <c r="C680" s="1465"/>
      <c r="D680" s="1471"/>
      <c r="E680" s="1467"/>
      <c r="F680" s="1468"/>
      <c r="G680" s="1469"/>
      <c r="H680" s="1470"/>
      <c r="I680" s="1471"/>
      <c r="J680" s="1472"/>
      <c r="K680" s="1473"/>
      <c r="L680" s="1468"/>
      <c r="M680" s="1386"/>
      <c r="N680" s="1474"/>
      <c r="O680" s="1475"/>
    </row>
    <row r="681">
      <c r="A681" s="1476"/>
      <c r="B681" s="1477"/>
      <c r="C681" s="1478"/>
      <c r="D681" s="1480"/>
      <c r="E681" s="1479"/>
      <c r="F681" s="1480"/>
      <c r="G681" s="1480"/>
      <c r="H681" s="1480"/>
      <c r="I681" s="1480"/>
      <c r="J681" s="1480"/>
      <c r="K681" s="1480"/>
      <c r="L681" s="1480"/>
      <c r="M681" s="154"/>
      <c r="N681" s="1481"/>
      <c r="O681" s="1482"/>
    </row>
    <row r="682">
      <c r="A682" s="1463"/>
      <c r="B682" s="1464"/>
      <c r="C682" s="1465"/>
      <c r="D682" s="1471"/>
      <c r="E682" s="1467"/>
      <c r="F682" s="1468"/>
      <c r="G682" s="1469"/>
      <c r="H682" s="1470"/>
      <c r="I682" s="1471"/>
      <c r="J682" s="1472"/>
      <c r="K682" s="1473"/>
      <c r="L682" s="1468"/>
      <c r="M682" s="1386"/>
      <c r="N682" s="1474"/>
      <c r="O682" s="1475"/>
    </row>
    <row r="683">
      <c r="A683" s="1476"/>
      <c r="B683" s="1477"/>
      <c r="C683" s="1478"/>
      <c r="D683" s="1480"/>
      <c r="E683" s="1479"/>
      <c r="F683" s="1480"/>
      <c r="G683" s="1480"/>
      <c r="H683" s="1480"/>
      <c r="I683" s="1480"/>
      <c r="J683" s="1480"/>
      <c r="K683" s="1480"/>
      <c r="L683" s="1480"/>
      <c r="M683" s="154"/>
      <c r="N683" s="1481"/>
      <c r="O683" s="1482"/>
    </row>
    <row r="684">
      <c r="A684" s="1463"/>
      <c r="B684" s="1464"/>
      <c r="C684" s="1465"/>
      <c r="D684" s="1471"/>
      <c r="E684" s="1467"/>
      <c r="F684" s="1468"/>
      <c r="G684" s="1469"/>
      <c r="H684" s="1470"/>
      <c r="I684" s="1471"/>
      <c r="J684" s="1472"/>
      <c r="K684" s="1473"/>
      <c r="L684" s="1468"/>
      <c r="M684" s="1386"/>
      <c r="N684" s="1474"/>
      <c r="O684" s="1475"/>
    </row>
    <row r="685">
      <c r="A685" s="1476"/>
      <c r="B685" s="1477"/>
      <c r="C685" s="1478"/>
      <c r="D685" s="1480"/>
      <c r="E685" s="1479"/>
      <c r="F685" s="1480"/>
      <c r="G685" s="1480"/>
      <c r="H685" s="1480"/>
      <c r="I685" s="1480"/>
      <c r="J685" s="1480"/>
      <c r="K685" s="1480"/>
      <c r="L685" s="1480"/>
      <c r="M685" s="154"/>
      <c r="N685" s="1481"/>
      <c r="O685" s="1482"/>
    </row>
    <row r="686">
      <c r="A686" s="1463"/>
      <c r="B686" s="1464"/>
      <c r="C686" s="1465"/>
      <c r="D686" s="1471"/>
      <c r="E686" s="1467"/>
      <c r="F686" s="1468"/>
      <c r="G686" s="1469"/>
      <c r="H686" s="1470"/>
      <c r="I686" s="1471"/>
      <c r="J686" s="1472"/>
      <c r="K686" s="1473"/>
      <c r="L686" s="1468"/>
      <c r="M686" s="1386"/>
      <c r="N686" s="1474"/>
      <c r="O686" s="1475"/>
    </row>
    <row r="687">
      <c r="A687" s="1476"/>
      <c r="B687" s="1477"/>
      <c r="C687" s="1478"/>
      <c r="D687" s="1480"/>
      <c r="E687" s="1479"/>
      <c r="F687" s="1480"/>
      <c r="G687" s="1480"/>
      <c r="H687" s="1480"/>
      <c r="I687" s="1480"/>
      <c r="J687" s="1480"/>
      <c r="K687" s="1480"/>
      <c r="L687" s="1480"/>
      <c r="M687" s="154"/>
      <c r="N687" s="1481"/>
      <c r="O687" s="1482"/>
    </row>
    <row r="688">
      <c r="A688" s="1463"/>
      <c r="B688" s="1464"/>
      <c r="C688" s="1465"/>
      <c r="D688" s="1471"/>
      <c r="E688" s="1467"/>
      <c r="F688" s="1468"/>
      <c r="G688" s="1469"/>
      <c r="H688" s="1470"/>
      <c r="I688" s="1471"/>
      <c r="J688" s="1472"/>
      <c r="K688" s="1473"/>
      <c r="L688" s="1468"/>
      <c r="M688" s="1386"/>
      <c r="N688" s="1474"/>
      <c r="O688" s="1475"/>
    </row>
    <row r="689">
      <c r="A689" s="1476"/>
      <c r="B689" s="1477"/>
      <c r="C689" s="1478"/>
      <c r="D689" s="1480"/>
      <c r="E689" s="1479"/>
      <c r="F689" s="1480"/>
      <c r="G689" s="1480"/>
      <c r="H689" s="1480"/>
      <c r="I689" s="1480"/>
      <c r="J689" s="1480"/>
      <c r="K689" s="1480"/>
      <c r="L689" s="1480"/>
      <c r="M689" s="154"/>
      <c r="N689" s="1481"/>
      <c r="O689" s="1482"/>
    </row>
    <row r="690">
      <c r="A690" s="1463"/>
      <c r="B690" s="1464"/>
      <c r="C690" s="1465"/>
      <c r="D690" s="1471"/>
      <c r="E690" s="1467"/>
      <c r="F690" s="1468"/>
      <c r="G690" s="1469"/>
      <c r="H690" s="1470"/>
      <c r="I690" s="1471"/>
      <c r="J690" s="1472"/>
      <c r="K690" s="1473"/>
      <c r="L690" s="1468"/>
      <c r="M690" s="1386"/>
      <c r="N690" s="1474"/>
      <c r="O690" s="1475"/>
    </row>
    <row r="691">
      <c r="A691" s="1476"/>
      <c r="B691" s="1477"/>
      <c r="C691" s="1478"/>
      <c r="D691" s="1480"/>
      <c r="E691" s="1479"/>
      <c r="F691" s="1480"/>
      <c r="G691" s="1480"/>
      <c r="H691" s="1480"/>
      <c r="I691" s="1480"/>
      <c r="J691" s="1480"/>
      <c r="K691" s="1480"/>
      <c r="L691" s="1480"/>
      <c r="M691" s="154"/>
      <c r="N691" s="1481"/>
      <c r="O691" s="1482"/>
    </row>
    <row r="692">
      <c r="A692" s="1463"/>
      <c r="B692" s="1464"/>
      <c r="C692" s="1465"/>
      <c r="D692" s="1471"/>
      <c r="E692" s="1467"/>
      <c r="F692" s="1468"/>
      <c r="G692" s="1469"/>
      <c r="H692" s="1470"/>
      <c r="I692" s="1471"/>
      <c r="J692" s="1472"/>
      <c r="K692" s="1473"/>
      <c r="L692" s="1468"/>
      <c r="M692" s="1386"/>
      <c r="N692" s="1474"/>
      <c r="O692" s="1475"/>
    </row>
    <row r="693">
      <c r="A693" s="1476"/>
      <c r="B693" s="1477"/>
      <c r="C693" s="1478"/>
      <c r="D693" s="1480"/>
      <c r="E693" s="1479"/>
      <c r="F693" s="1480"/>
      <c r="G693" s="1480"/>
      <c r="H693" s="1480"/>
      <c r="I693" s="1480"/>
      <c r="J693" s="1480"/>
      <c r="K693" s="1480"/>
      <c r="L693" s="1480"/>
      <c r="M693" s="154"/>
      <c r="N693" s="1481"/>
      <c r="O693" s="1482"/>
    </row>
    <row r="694">
      <c r="A694" s="1463"/>
      <c r="B694" s="1464"/>
      <c r="C694" s="1465"/>
      <c r="D694" s="1471"/>
      <c r="E694" s="1467"/>
      <c r="F694" s="1468"/>
      <c r="G694" s="1469"/>
      <c r="H694" s="1470"/>
      <c r="I694" s="1471"/>
      <c r="J694" s="1472"/>
      <c r="K694" s="1473"/>
      <c r="L694" s="1468"/>
      <c r="M694" s="1386"/>
      <c r="N694" s="1474"/>
      <c r="O694" s="1475"/>
    </row>
    <row r="695">
      <c r="A695" s="1476"/>
      <c r="B695" s="1477"/>
      <c r="C695" s="1478"/>
      <c r="D695" s="1480"/>
      <c r="E695" s="1479"/>
      <c r="F695" s="1480"/>
      <c r="G695" s="1480"/>
      <c r="H695" s="1480"/>
      <c r="I695" s="1480"/>
      <c r="J695" s="1480"/>
      <c r="K695" s="1480"/>
      <c r="L695" s="1480"/>
      <c r="M695" s="154"/>
      <c r="N695" s="1481"/>
      <c r="O695" s="1482"/>
    </row>
    <row r="696">
      <c r="A696" s="1463"/>
      <c r="B696" s="1464"/>
      <c r="C696" s="1465"/>
      <c r="D696" s="1471"/>
      <c r="E696" s="1467"/>
      <c r="F696" s="1468"/>
      <c r="G696" s="1469"/>
      <c r="H696" s="1470"/>
      <c r="I696" s="1471"/>
      <c r="J696" s="1472"/>
      <c r="K696" s="1473"/>
      <c r="L696" s="1468"/>
      <c r="M696" s="1386"/>
      <c r="N696" s="1474"/>
      <c r="O696" s="1475"/>
    </row>
    <row r="697">
      <c r="A697" s="1476"/>
      <c r="B697" s="1477"/>
      <c r="C697" s="1478"/>
      <c r="D697" s="1480"/>
      <c r="E697" s="1479"/>
      <c r="F697" s="1480"/>
      <c r="G697" s="1480"/>
      <c r="H697" s="1480"/>
      <c r="I697" s="1480"/>
      <c r="J697" s="1480"/>
      <c r="K697" s="1480"/>
      <c r="L697" s="1480"/>
      <c r="M697" s="154"/>
      <c r="N697" s="1481"/>
      <c r="O697" s="1482"/>
    </row>
    <row r="698">
      <c r="A698" s="1463"/>
      <c r="B698" s="1464"/>
      <c r="C698" s="1465"/>
      <c r="D698" s="1471"/>
      <c r="E698" s="1467"/>
      <c r="F698" s="1468"/>
      <c r="G698" s="1469"/>
      <c r="H698" s="1470"/>
      <c r="I698" s="1471"/>
      <c r="J698" s="1472"/>
      <c r="K698" s="1473"/>
      <c r="L698" s="1468"/>
      <c r="M698" s="1386"/>
      <c r="N698" s="1474"/>
      <c r="O698" s="1475"/>
    </row>
    <row r="699">
      <c r="A699" s="1476"/>
      <c r="B699" s="1477"/>
      <c r="C699" s="1478"/>
      <c r="D699" s="1480"/>
      <c r="E699" s="1479"/>
      <c r="F699" s="1480"/>
      <c r="G699" s="1480"/>
      <c r="H699" s="1480"/>
      <c r="I699" s="1480"/>
      <c r="J699" s="1480"/>
      <c r="K699" s="1480"/>
      <c r="L699" s="1480"/>
      <c r="M699" s="154"/>
      <c r="N699" s="1481"/>
      <c r="O699" s="1482"/>
    </row>
    <row r="700">
      <c r="A700" s="1463"/>
      <c r="B700" s="1464"/>
      <c r="C700" s="1465"/>
      <c r="D700" s="1471"/>
      <c r="E700" s="1467"/>
      <c r="F700" s="1468"/>
      <c r="G700" s="1469"/>
      <c r="H700" s="1470"/>
      <c r="I700" s="1471"/>
      <c r="J700" s="1472"/>
      <c r="K700" s="1473"/>
      <c r="L700" s="1468"/>
      <c r="M700" s="1386"/>
      <c r="N700" s="1474"/>
      <c r="O700" s="1475"/>
    </row>
    <row r="701">
      <c r="A701" s="1476"/>
      <c r="B701" s="1477"/>
      <c r="C701" s="1478"/>
      <c r="D701" s="1480"/>
      <c r="E701" s="1479"/>
      <c r="F701" s="1480"/>
      <c r="G701" s="1480"/>
      <c r="H701" s="1480"/>
      <c r="I701" s="1480"/>
      <c r="J701" s="1480"/>
      <c r="K701" s="1480"/>
      <c r="L701" s="1480"/>
      <c r="M701" s="154"/>
      <c r="N701" s="1481"/>
      <c r="O701" s="1482"/>
    </row>
    <row r="702">
      <c r="A702" s="1463"/>
      <c r="B702" s="1464"/>
      <c r="C702" s="1465"/>
      <c r="D702" s="1471"/>
      <c r="E702" s="1467"/>
      <c r="F702" s="1468"/>
      <c r="G702" s="1469"/>
      <c r="H702" s="1470"/>
      <c r="I702" s="1471"/>
      <c r="J702" s="1472"/>
      <c r="K702" s="1473"/>
      <c r="L702" s="1468"/>
      <c r="M702" s="1386"/>
      <c r="N702" s="1474"/>
      <c r="O702" s="1475"/>
    </row>
    <row r="703">
      <c r="A703" s="1476"/>
      <c r="B703" s="1477"/>
      <c r="C703" s="1478"/>
      <c r="D703" s="1480"/>
      <c r="E703" s="1479"/>
      <c r="F703" s="1480"/>
      <c r="G703" s="1480"/>
      <c r="H703" s="1480"/>
      <c r="I703" s="1480"/>
      <c r="J703" s="1480"/>
      <c r="K703" s="1480"/>
      <c r="L703" s="1480"/>
      <c r="M703" s="154"/>
      <c r="N703" s="1481"/>
      <c r="O703" s="1482"/>
    </row>
    <row r="704">
      <c r="A704" s="1463"/>
      <c r="B704" s="1464"/>
      <c r="C704" s="1465"/>
      <c r="D704" s="1471"/>
      <c r="E704" s="1467"/>
      <c r="F704" s="1468"/>
      <c r="G704" s="1469"/>
      <c r="H704" s="1470"/>
      <c r="I704" s="1471"/>
      <c r="J704" s="1472"/>
      <c r="K704" s="1473"/>
      <c r="L704" s="1468"/>
      <c r="M704" s="1386"/>
      <c r="N704" s="1474"/>
      <c r="O704" s="1475"/>
    </row>
    <row r="705">
      <c r="A705" s="1476"/>
      <c r="B705" s="1477"/>
      <c r="C705" s="1478"/>
      <c r="D705" s="1480"/>
      <c r="E705" s="1479"/>
      <c r="F705" s="1480"/>
      <c r="G705" s="1480"/>
      <c r="H705" s="1480"/>
      <c r="I705" s="1480"/>
      <c r="J705" s="1480"/>
      <c r="K705" s="1480"/>
      <c r="L705" s="1480"/>
      <c r="M705" s="154"/>
      <c r="N705" s="1481"/>
      <c r="O705" s="1482"/>
    </row>
    <row r="706">
      <c r="A706" s="1463"/>
      <c r="B706" s="1464"/>
      <c r="C706" s="1465"/>
      <c r="D706" s="1471"/>
      <c r="E706" s="1467"/>
      <c r="F706" s="1468"/>
      <c r="G706" s="1469"/>
      <c r="H706" s="1470"/>
      <c r="I706" s="1471"/>
      <c r="J706" s="1472"/>
      <c r="K706" s="1473"/>
      <c r="L706" s="1468"/>
      <c r="M706" s="1386"/>
      <c r="N706" s="1474"/>
      <c r="O706" s="1475"/>
    </row>
    <row r="707">
      <c r="A707" s="1476"/>
      <c r="B707" s="1477"/>
      <c r="C707" s="1478"/>
      <c r="D707" s="1480"/>
      <c r="E707" s="1479"/>
      <c r="F707" s="1480"/>
      <c r="G707" s="1480"/>
      <c r="H707" s="1480"/>
      <c r="I707" s="1480"/>
      <c r="J707" s="1480"/>
      <c r="K707" s="1480"/>
      <c r="L707" s="1480"/>
      <c r="M707" s="154"/>
      <c r="N707" s="1481"/>
      <c r="O707" s="1482"/>
    </row>
    <row r="708">
      <c r="A708" s="1463"/>
      <c r="B708" s="1464"/>
      <c r="C708" s="1465"/>
      <c r="D708" s="1471"/>
      <c r="E708" s="1467"/>
      <c r="F708" s="1468"/>
      <c r="G708" s="1469"/>
      <c r="H708" s="1470"/>
      <c r="I708" s="1471"/>
      <c r="J708" s="1472"/>
      <c r="K708" s="1473"/>
      <c r="L708" s="1468"/>
      <c r="M708" s="1386"/>
      <c r="N708" s="1474"/>
      <c r="O708" s="1475"/>
    </row>
    <row r="709">
      <c r="A709" s="1476"/>
      <c r="B709" s="1477"/>
      <c r="C709" s="1478"/>
      <c r="D709" s="1480"/>
      <c r="E709" s="1479"/>
      <c r="F709" s="1480"/>
      <c r="G709" s="1480"/>
      <c r="H709" s="1480"/>
      <c r="I709" s="1480"/>
      <c r="J709" s="1480"/>
      <c r="K709" s="1480"/>
      <c r="L709" s="1480"/>
      <c r="M709" s="154"/>
      <c r="N709" s="1481"/>
      <c r="O709" s="1482"/>
    </row>
    <row r="710">
      <c r="A710" s="1463"/>
      <c r="B710" s="1464"/>
      <c r="C710" s="1465"/>
      <c r="D710" s="1471"/>
      <c r="E710" s="1467"/>
      <c r="F710" s="1468"/>
      <c r="G710" s="1469"/>
      <c r="H710" s="1470"/>
      <c r="I710" s="1471"/>
      <c r="J710" s="1472"/>
      <c r="K710" s="1473"/>
      <c r="L710" s="1468"/>
      <c r="M710" s="1386"/>
      <c r="N710" s="1474"/>
      <c r="O710" s="1475"/>
    </row>
    <row r="711">
      <c r="A711" s="1476"/>
      <c r="B711" s="1477"/>
      <c r="C711" s="1478"/>
      <c r="D711" s="1480"/>
      <c r="E711" s="1479"/>
      <c r="F711" s="1480"/>
      <c r="G711" s="1480"/>
      <c r="H711" s="1480"/>
      <c r="I711" s="1480"/>
      <c r="J711" s="1480"/>
      <c r="K711" s="1480"/>
      <c r="L711" s="1480"/>
      <c r="M711" s="154"/>
      <c r="N711" s="1481"/>
      <c r="O711" s="1482"/>
    </row>
    <row r="712">
      <c r="A712" s="1463"/>
      <c r="B712" s="1464"/>
      <c r="C712" s="1465"/>
      <c r="D712" s="1471"/>
      <c r="E712" s="1467"/>
      <c r="F712" s="1468"/>
      <c r="G712" s="1469"/>
      <c r="H712" s="1470"/>
      <c r="I712" s="1471"/>
      <c r="J712" s="1472"/>
      <c r="K712" s="1473"/>
      <c r="L712" s="1468"/>
      <c r="M712" s="1386"/>
      <c r="N712" s="1474"/>
      <c r="O712" s="1475"/>
    </row>
    <row r="713">
      <c r="A713" s="1476"/>
      <c r="B713" s="1477"/>
      <c r="C713" s="1478"/>
      <c r="D713" s="1480"/>
      <c r="E713" s="1479"/>
      <c r="F713" s="1480"/>
      <c r="G713" s="1480"/>
      <c r="H713" s="1480"/>
      <c r="I713" s="1480"/>
      <c r="J713" s="1480"/>
      <c r="K713" s="1480"/>
      <c r="L713" s="1480"/>
      <c r="M713" s="154"/>
      <c r="N713" s="1481"/>
      <c r="O713" s="1482"/>
    </row>
    <row r="714">
      <c r="A714" s="1463"/>
      <c r="B714" s="1464"/>
      <c r="C714" s="1465"/>
      <c r="D714" s="1471"/>
      <c r="E714" s="1467"/>
      <c r="F714" s="1468"/>
      <c r="G714" s="1469"/>
      <c r="H714" s="1470"/>
      <c r="I714" s="1471"/>
      <c r="J714" s="1472"/>
      <c r="K714" s="1473"/>
      <c r="L714" s="1468"/>
      <c r="M714" s="1386"/>
      <c r="N714" s="1474"/>
      <c r="O714" s="1475"/>
    </row>
    <row r="715">
      <c r="A715" s="1476"/>
      <c r="B715" s="1477"/>
      <c r="C715" s="1478"/>
      <c r="D715" s="1480"/>
      <c r="E715" s="1479"/>
      <c r="F715" s="1480"/>
      <c r="G715" s="1480"/>
      <c r="H715" s="1480"/>
      <c r="I715" s="1480"/>
      <c r="J715" s="1480"/>
      <c r="K715" s="1480"/>
      <c r="L715" s="1480"/>
      <c r="M715" s="154"/>
      <c r="N715" s="1481"/>
      <c r="O715" s="1482"/>
    </row>
    <row r="716">
      <c r="A716" s="1463"/>
      <c r="B716" s="1464"/>
      <c r="C716" s="1465"/>
      <c r="D716" s="1471"/>
      <c r="E716" s="1467"/>
      <c r="F716" s="1468"/>
      <c r="G716" s="1469"/>
      <c r="H716" s="1470"/>
      <c r="I716" s="1471"/>
      <c r="J716" s="1472"/>
      <c r="K716" s="1473"/>
      <c r="L716" s="1468"/>
      <c r="M716" s="1386"/>
      <c r="N716" s="1474"/>
      <c r="O716" s="1475"/>
    </row>
    <row r="717">
      <c r="A717" s="1476"/>
      <c r="B717" s="1477"/>
      <c r="C717" s="1478"/>
      <c r="D717" s="1480"/>
      <c r="E717" s="1479"/>
      <c r="F717" s="1480"/>
      <c r="G717" s="1480"/>
      <c r="H717" s="1480"/>
      <c r="I717" s="1480"/>
      <c r="J717" s="1480"/>
      <c r="K717" s="1480"/>
      <c r="L717" s="1480"/>
      <c r="M717" s="154"/>
      <c r="N717" s="1481"/>
      <c r="O717" s="1482"/>
    </row>
    <row r="718">
      <c r="A718" s="1463"/>
      <c r="B718" s="1464"/>
      <c r="C718" s="1465"/>
      <c r="D718" s="1471"/>
      <c r="E718" s="1467"/>
      <c r="F718" s="1468"/>
      <c r="G718" s="1469"/>
      <c r="H718" s="1470"/>
      <c r="I718" s="1471"/>
      <c r="J718" s="1472"/>
      <c r="K718" s="1473"/>
      <c r="L718" s="1468"/>
      <c r="M718" s="1386"/>
      <c r="N718" s="1474"/>
      <c r="O718" s="1475"/>
    </row>
    <row r="719">
      <c r="A719" s="1476"/>
      <c r="B719" s="1477"/>
      <c r="C719" s="1478"/>
      <c r="D719" s="1480"/>
      <c r="E719" s="1479"/>
      <c r="F719" s="1480"/>
      <c r="G719" s="1480"/>
      <c r="H719" s="1480"/>
      <c r="I719" s="1480"/>
      <c r="J719" s="1480"/>
      <c r="K719" s="1480"/>
      <c r="L719" s="1480"/>
      <c r="M719" s="154"/>
      <c r="N719" s="1481"/>
      <c r="O719" s="1482"/>
    </row>
    <row r="720">
      <c r="A720" s="1463"/>
      <c r="B720" s="1464"/>
      <c r="C720" s="1465"/>
      <c r="D720" s="1471"/>
      <c r="E720" s="1467"/>
      <c r="F720" s="1468"/>
      <c r="G720" s="1469"/>
      <c r="H720" s="1470"/>
      <c r="I720" s="1471"/>
      <c r="J720" s="1472"/>
      <c r="K720" s="1473"/>
      <c r="L720" s="1468"/>
      <c r="M720" s="1386"/>
      <c r="N720" s="1474"/>
      <c r="O720" s="1475"/>
    </row>
    <row r="721">
      <c r="A721" s="1476"/>
      <c r="B721" s="1477"/>
      <c r="C721" s="1478"/>
      <c r="D721" s="1480"/>
      <c r="E721" s="1479"/>
      <c r="F721" s="1480"/>
      <c r="G721" s="1480"/>
      <c r="H721" s="1480"/>
      <c r="I721" s="1480"/>
      <c r="J721" s="1480"/>
      <c r="K721" s="1480"/>
      <c r="L721" s="1480"/>
      <c r="M721" s="154"/>
      <c r="N721" s="1481"/>
      <c r="O721" s="1482"/>
    </row>
    <row r="722">
      <c r="A722" s="1463"/>
      <c r="B722" s="1464"/>
      <c r="C722" s="1465"/>
      <c r="D722" s="1471"/>
      <c r="E722" s="1467"/>
      <c r="F722" s="1468"/>
      <c r="G722" s="1469"/>
      <c r="H722" s="1470"/>
      <c r="I722" s="1471"/>
      <c r="J722" s="1472"/>
      <c r="K722" s="1473"/>
      <c r="L722" s="1468"/>
      <c r="M722" s="1386"/>
      <c r="N722" s="1474"/>
      <c r="O722" s="1475"/>
    </row>
    <row r="723">
      <c r="A723" s="1476"/>
      <c r="B723" s="1477"/>
      <c r="C723" s="1478"/>
      <c r="D723" s="1480"/>
      <c r="E723" s="1479"/>
      <c r="F723" s="1480"/>
      <c r="G723" s="1480"/>
      <c r="H723" s="1480"/>
      <c r="I723" s="1480"/>
      <c r="J723" s="1480"/>
      <c r="K723" s="1480"/>
      <c r="L723" s="1480"/>
      <c r="M723" s="154"/>
      <c r="N723" s="1481"/>
      <c r="O723" s="1482"/>
    </row>
    <row r="724">
      <c r="A724" s="1463"/>
      <c r="B724" s="1464"/>
      <c r="C724" s="1465"/>
      <c r="D724" s="1471"/>
      <c r="E724" s="1467"/>
      <c r="F724" s="1468"/>
      <c r="G724" s="1469"/>
      <c r="H724" s="1470"/>
      <c r="I724" s="1471"/>
      <c r="J724" s="1472"/>
      <c r="K724" s="1473"/>
      <c r="L724" s="1468"/>
      <c r="M724" s="1386"/>
      <c r="N724" s="1474"/>
      <c r="O724" s="1475"/>
    </row>
    <row r="725">
      <c r="A725" s="1476"/>
      <c r="B725" s="1477"/>
      <c r="C725" s="1478"/>
      <c r="D725" s="1480"/>
      <c r="E725" s="1479"/>
      <c r="F725" s="1480"/>
      <c r="G725" s="1480"/>
      <c r="H725" s="1480"/>
      <c r="I725" s="1480"/>
      <c r="J725" s="1480"/>
      <c r="K725" s="1480"/>
      <c r="L725" s="1480"/>
      <c r="M725" s="154"/>
      <c r="N725" s="1481"/>
      <c r="O725" s="1482"/>
    </row>
    <row r="726">
      <c r="A726" s="1463"/>
      <c r="B726" s="1464"/>
      <c r="C726" s="1465"/>
      <c r="D726" s="1471"/>
      <c r="E726" s="1467"/>
      <c r="F726" s="1468"/>
      <c r="G726" s="1469"/>
      <c r="H726" s="1470"/>
      <c r="I726" s="1471"/>
      <c r="J726" s="1472"/>
      <c r="K726" s="1473"/>
      <c r="L726" s="1468"/>
      <c r="M726" s="1386"/>
      <c r="N726" s="1474"/>
      <c r="O726" s="1475"/>
    </row>
    <row r="727">
      <c r="A727" s="1476"/>
      <c r="B727" s="1477"/>
      <c r="C727" s="1478"/>
      <c r="D727" s="1480"/>
      <c r="E727" s="1479"/>
      <c r="F727" s="1480"/>
      <c r="G727" s="1480"/>
      <c r="H727" s="1480"/>
      <c r="I727" s="1480"/>
      <c r="J727" s="1480"/>
      <c r="K727" s="1480"/>
      <c r="L727" s="1480"/>
      <c r="M727" s="154"/>
      <c r="N727" s="1481"/>
      <c r="O727" s="1482"/>
    </row>
    <row r="728">
      <c r="A728" s="1463"/>
      <c r="B728" s="1464"/>
      <c r="C728" s="1465"/>
      <c r="D728" s="1471"/>
      <c r="E728" s="1467"/>
      <c r="F728" s="1468"/>
      <c r="G728" s="1469"/>
      <c r="H728" s="1470"/>
      <c r="I728" s="1471"/>
      <c r="J728" s="1472"/>
      <c r="K728" s="1473"/>
      <c r="L728" s="1468"/>
      <c r="M728" s="1386"/>
      <c r="N728" s="1474"/>
      <c r="O728" s="1475"/>
    </row>
    <row r="729">
      <c r="A729" s="1476"/>
      <c r="B729" s="1477"/>
      <c r="C729" s="1478"/>
      <c r="D729" s="1480"/>
      <c r="E729" s="1479"/>
      <c r="F729" s="1480"/>
      <c r="G729" s="1480"/>
      <c r="H729" s="1480"/>
      <c r="I729" s="1480"/>
      <c r="J729" s="1480"/>
      <c r="K729" s="1480"/>
      <c r="L729" s="1480"/>
      <c r="M729" s="154"/>
      <c r="N729" s="1481"/>
      <c r="O729" s="1482"/>
    </row>
    <row r="730">
      <c r="A730" s="1463"/>
      <c r="B730" s="1464"/>
      <c r="C730" s="1465"/>
      <c r="D730" s="1471"/>
      <c r="E730" s="1467"/>
      <c r="F730" s="1468"/>
      <c r="G730" s="1469"/>
      <c r="H730" s="1470"/>
      <c r="I730" s="1471"/>
      <c r="J730" s="1472"/>
      <c r="K730" s="1473"/>
      <c r="L730" s="1468"/>
      <c r="M730" s="1386"/>
      <c r="N730" s="1474"/>
      <c r="O730" s="1475"/>
    </row>
    <row r="731">
      <c r="A731" s="1476"/>
      <c r="B731" s="1477"/>
      <c r="C731" s="1478"/>
      <c r="D731" s="1480"/>
      <c r="E731" s="1479"/>
      <c r="F731" s="1480"/>
      <c r="G731" s="1480"/>
      <c r="H731" s="1480"/>
      <c r="I731" s="1480"/>
      <c r="J731" s="1480"/>
      <c r="K731" s="1480"/>
      <c r="L731" s="1480"/>
      <c r="M731" s="154"/>
      <c r="N731" s="1481"/>
      <c r="O731" s="1482"/>
    </row>
    <row r="732">
      <c r="A732" s="1463"/>
      <c r="B732" s="1464"/>
      <c r="C732" s="1465"/>
      <c r="D732" s="1471"/>
      <c r="E732" s="1467"/>
      <c r="F732" s="1468"/>
      <c r="G732" s="1469"/>
      <c r="H732" s="1470"/>
      <c r="I732" s="1471"/>
      <c r="J732" s="1472"/>
      <c r="K732" s="1473"/>
      <c r="L732" s="1468"/>
      <c r="M732" s="1386"/>
      <c r="N732" s="1474"/>
      <c r="O732" s="1475"/>
    </row>
    <row r="733">
      <c r="A733" s="1476"/>
      <c r="B733" s="1477"/>
      <c r="C733" s="1478"/>
      <c r="D733" s="1480"/>
      <c r="E733" s="1479"/>
      <c r="F733" s="1480"/>
      <c r="G733" s="1480"/>
      <c r="H733" s="1480"/>
      <c r="I733" s="1480"/>
      <c r="J733" s="1480"/>
      <c r="K733" s="1480"/>
      <c r="L733" s="1480"/>
      <c r="M733" s="154"/>
      <c r="N733" s="1481"/>
      <c r="O733" s="1482"/>
    </row>
    <row r="734">
      <c r="A734" s="1463"/>
      <c r="B734" s="1464"/>
      <c r="C734" s="1465"/>
      <c r="D734" s="1471"/>
      <c r="E734" s="1467"/>
      <c r="F734" s="1468"/>
      <c r="G734" s="1469"/>
      <c r="H734" s="1470"/>
      <c r="I734" s="1471"/>
      <c r="J734" s="1472"/>
      <c r="K734" s="1473"/>
      <c r="L734" s="1468"/>
      <c r="M734" s="1386"/>
      <c r="N734" s="1474"/>
      <c r="O734" s="1475"/>
    </row>
    <row r="735">
      <c r="A735" s="1476"/>
      <c r="B735" s="1477"/>
      <c r="C735" s="1478"/>
      <c r="D735" s="1480"/>
      <c r="E735" s="1479"/>
      <c r="F735" s="1480"/>
      <c r="G735" s="1480"/>
      <c r="H735" s="1480"/>
      <c r="I735" s="1480"/>
      <c r="J735" s="1480"/>
      <c r="K735" s="1480"/>
      <c r="L735" s="1480"/>
      <c r="M735" s="154"/>
      <c r="N735" s="1481"/>
      <c r="O735" s="1482"/>
    </row>
    <row r="736">
      <c r="A736" s="1463"/>
      <c r="B736" s="1464"/>
      <c r="C736" s="1465"/>
      <c r="D736" s="1471"/>
      <c r="E736" s="1467"/>
      <c r="F736" s="1468"/>
      <c r="G736" s="1469"/>
      <c r="H736" s="1470"/>
      <c r="I736" s="1471"/>
      <c r="J736" s="1472"/>
      <c r="K736" s="1473"/>
      <c r="L736" s="1468"/>
      <c r="M736" s="1386"/>
      <c r="N736" s="1474"/>
      <c r="O736" s="1475"/>
    </row>
    <row r="737">
      <c r="A737" s="1476"/>
      <c r="B737" s="1477"/>
      <c r="C737" s="1478"/>
      <c r="D737" s="1480"/>
      <c r="E737" s="1479"/>
      <c r="F737" s="1480"/>
      <c r="G737" s="1480"/>
      <c r="H737" s="1480"/>
      <c r="I737" s="1480"/>
      <c r="J737" s="1480"/>
      <c r="K737" s="1480"/>
      <c r="L737" s="1480"/>
      <c r="M737" s="154"/>
      <c r="N737" s="1481"/>
      <c r="O737" s="1482"/>
    </row>
    <row r="738">
      <c r="A738" s="1463"/>
      <c r="B738" s="1464"/>
      <c r="C738" s="1465"/>
      <c r="D738" s="1471"/>
      <c r="E738" s="1467"/>
      <c r="F738" s="1468"/>
      <c r="G738" s="1469"/>
      <c r="H738" s="1470"/>
      <c r="I738" s="1471"/>
      <c r="J738" s="1472"/>
      <c r="K738" s="1473"/>
      <c r="L738" s="1468"/>
      <c r="M738" s="1386"/>
      <c r="N738" s="1474"/>
      <c r="O738" s="1475"/>
    </row>
    <row r="739">
      <c r="A739" s="1476"/>
      <c r="B739" s="1477"/>
      <c r="C739" s="1478"/>
      <c r="D739" s="1480"/>
      <c r="E739" s="1479"/>
      <c r="F739" s="1480"/>
      <c r="G739" s="1480"/>
      <c r="H739" s="1480"/>
      <c r="I739" s="1480"/>
      <c r="J739" s="1480"/>
      <c r="K739" s="1480"/>
      <c r="L739" s="1480"/>
      <c r="M739" s="154"/>
      <c r="N739" s="1481"/>
      <c r="O739" s="1482"/>
    </row>
    <row r="740">
      <c r="A740" s="1463"/>
      <c r="B740" s="1464"/>
      <c r="C740" s="1465"/>
      <c r="D740" s="1471"/>
      <c r="E740" s="1467"/>
      <c r="F740" s="1468"/>
      <c r="G740" s="1469"/>
      <c r="H740" s="1470"/>
      <c r="I740" s="1471"/>
      <c r="J740" s="1472"/>
      <c r="K740" s="1473"/>
      <c r="L740" s="1468"/>
      <c r="M740" s="1386"/>
      <c r="N740" s="1474"/>
      <c r="O740" s="1475"/>
    </row>
    <row r="741">
      <c r="A741" s="1476"/>
      <c r="B741" s="1477"/>
      <c r="C741" s="1478"/>
      <c r="D741" s="1480"/>
      <c r="E741" s="1479"/>
      <c r="F741" s="1480"/>
      <c r="G741" s="1480"/>
      <c r="H741" s="1480"/>
      <c r="I741" s="1480"/>
      <c r="J741" s="1480"/>
      <c r="K741" s="1480"/>
      <c r="L741" s="1480"/>
      <c r="M741" s="154"/>
      <c r="N741" s="1481"/>
      <c r="O741" s="1482"/>
    </row>
    <row r="742">
      <c r="A742" s="1463"/>
      <c r="B742" s="1464"/>
      <c r="C742" s="1465"/>
      <c r="D742" s="1471"/>
      <c r="E742" s="1467"/>
      <c r="F742" s="1468"/>
      <c r="G742" s="1469"/>
      <c r="H742" s="1470"/>
      <c r="I742" s="1471"/>
      <c r="J742" s="1472"/>
      <c r="K742" s="1473"/>
      <c r="L742" s="1468"/>
      <c r="M742" s="1386"/>
      <c r="N742" s="1474"/>
      <c r="O742" s="1475"/>
    </row>
    <row r="743">
      <c r="A743" s="1476"/>
      <c r="B743" s="1477"/>
      <c r="C743" s="1478"/>
      <c r="D743" s="1480"/>
      <c r="E743" s="1479"/>
      <c r="F743" s="1480"/>
      <c r="G743" s="1480"/>
      <c r="H743" s="1480"/>
      <c r="I743" s="1480"/>
      <c r="J743" s="1480"/>
      <c r="K743" s="1480"/>
      <c r="L743" s="1480"/>
      <c r="M743" s="154"/>
      <c r="N743" s="1481"/>
      <c r="O743" s="1482"/>
    </row>
    <row r="744">
      <c r="A744" s="1463"/>
      <c r="B744" s="1464"/>
      <c r="C744" s="1465"/>
      <c r="D744" s="1471"/>
      <c r="E744" s="1467"/>
      <c r="F744" s="1468"/>
      <c r="G744" s="1469"/>
      <c r="H744" s="1470"/>
      <c r="I744" s="1471"/>
      <c r="J744" s="1472"/>
      <c r="K744" s="1473"/>
      <c r="L744" s="1468"/>
      <c r="M744" s="1386"/>
      <c r="N744" s="1474"/>
      <c r="O744" s="1475"/>
    </row>
    <row r="745">
      <c r="A745" s="1476"/>
      <c r="B745" s="1477"/>
      <c r="C745" s="1478"/>
      <c r="D745" s="1480"/>
      <c r="E745" s="1479"/>
      <c r="F745" s="1480"/>
      <c r="G745" s="1480"/>
      <c r="H745" s="1480"/>
      <c r="I745" s="1480"/>
      <c r="J745" s="1480"/>
      <c r="K745" s="1480"/>
      <c r="L745" s="1480"/>
      <c r="M745" s="154"/>
      <c r="N745" s="1481"/>
      <c r="O745" s="1482"/>
    </row>
    <row r="746">
      <c r="A746" s="1463"/>
      <c r="B746" s="1464"/>
      <c r="C746" s="1465"/>
      <c r="D746" s="1471"/>
      <c r="E746" s="1467"/>
      <c r="F746" s="1468"/>
      <c r="G746" s="1469"/>
      <c r="H746" s="1470"/>
      <c r="I746" s="1471"/>
      <c r="J746" s="1472"/>
      <c r="K746" s="1473"/>
      <c r="L746" s="1468"/>
      <c r="M746" s="1386"/>
      <c r="N746" s="1474"/>
      <c r="O746" s="1475"/>
    </row>
    <row r="747">
      <c r="A747" s="1476"/>
      <c r="B747" s="1477"/>
      <c r="C747" s="1478"/>
      <c r="D747" s="1480"/>
      <c r="E747" s="1479"/>
      <c r="F747" s="1480"/>
      <c r="G747" s="1480"/>
      <c r="H747" s="1480"/>
      <c r="I747" s="1480"/>
      <c r="J747" s="1480"/>
      <c r="K747" s="1480"/>
      <c r="L747" s="1480"/>
      <c r="M747" s="154"/>
      <c r="N747" s="1481"/>
      <c r="O747" s="1482"/>
    </row>
    <row r="748">
      <c r="A748" s="1463"/>
      <c r="B748" s="1464"/>
      <c r="C748" s="1465"/>
      <c r="D748" s="1471"/>
      <c r="E748" s="1467"/>
      <c r="F748" s="1468"/>
      <c r="G748" s="1469"/>
      <c r="H748" s="1470"/>
      <c r="I748" s="1471"/>
      <c r="J748" s="1472"/>
      <c r="K748" s="1473"/>
      <c r="L748" s="1468"/>
      <c r="M748" s="1386"/>
      <c r="N748" s="1474"/>
      <c r="O748" s="1475"/>
    </row>
    <row r="749">
      <c r="A749" s="1476"/>
      <c r="B749" s="1477"/>
      <c r="C749" s="1478"/>
      <c r="D749" s="1480"/>
      <c r="E749" s="1479"/>
      <c r="F749" s="1480"/>
      <c r="G749" s="1480"/>
      <c r="H749" s="1480"/>
      <c r="I749" s="1480"/>
      <c r="J749" s="1480"/>
      <c r="K749" s="1480"/>
      <c r="L749" s="1480"/>
      <c r="M749" s="154"/>
      <c r="N749" s="1481"/>
      <c r="O749" s="1482"/>
    </row>
    <row r="750">
      <c r="A750" s="1463"/>
      <c r="B750" s="1464"/>
      <c r="C750" s="1465"/>
      <c r="D750" s="1471"/>
      <c r="E750" s="1467"/>
      <c r="F750" s="1468"/>
      <c r="G750" s="1469"/>
      <c r="H750" s="1470"/>
      <c r="I750" s="1471"/>
      <c r="J750" s="1472"/>
      <c r="K750" s="1473"/>
      <c r="L750" s="1468"/>
      <c r="M750" s="1386"/>
      <c r="N750" s="1474"/>
      <c r="O750" s="1475"/>
    </row>
    <row r="751">
      <c r="A751" s="1476"/>
      <c r="B751" s="1477"/>
      <c r="C751" s="1478"/>
      <c r="D751" s="1480"/>
      <c r="E751" s="1479"/>
      <c r="F751" s="1480"/>
      <c r="G751" s="1480"/>
      <c r="H751" s="1480"/>
      <c r="I751" s="1480"/>
      <c r="J751" s="1480"/>
      <c r="K751" s="1480"/>
      <c r="L751" s="1480"/>
      <c r="M751" s="154"/>
      <c r="N751" s="1481"/>
      <c r="O751" s="1482"/>
    </row>
    <row r="752">
      <c r="A752" s="1463"/>
      <c r="B752" s="1464"/>
      <c r="C752" s="1465"/>
      <c r="D752" s="1471"/>
      <c r="E752" s="1467"/>
      <c r="F752" s="1468"/>
      <c r="G752" s="1469"/>
      <c r="H752" s="1470"/>
      <c r="I752" s="1471"/>
      <c r="J752" s="1472"/>
      <c r="K752" s="1473"/>
      <c r="L752" s="1468"/>
      <c r="M752" s="1386"/>
      <c r="N752" s="1474"/>
      <c r="O752" s="1475"/>
    </row>
    <row r="753">
      <c r="A753" s="1476"/>
      <c r="B753" s="1477"/>
      <c r="C753" s="1478"/>
      <c r="D753" s="1480"/>
      <c r="E753" s="1479"/>
      <c r="F753" s="1480"/>
      <c r="G753" s="1480"/>
      <c r="H753" s="1480"/>
      <c r="I753" s="1480"/>
      <c r="J753" s="1480"/>
      <c r="K753" s="1480"/>
      <c r="L753" s="1480"/>
      <c r="M753" s="154"/>
      <c r="N753" s="1481"/>
      <c r="O753" s="1482"/>
    </row>
    <row r="754">
      <c r="A754" s="1463"/>
      <c r="B754" s="1464"/>
      <c r="C754" s="1465"/>
      <c r="D754" s="1471"/>
      <c r="E754" s="1467"/>
      <c r="F754" s="1468"/>
      <c r="G754" s="1469"/>
      <c r="H754" s="1470"/>
      <c r="I754" s="1471"/>
      <c r="J754" s="1472"/>
      <c r="K754" s="1473"/>
      <c r="L754" s="1468"/>
      <c r="M754" s="1386"/>
      <c r="N754" s="1474"/>
      <c r="O754" s="1475"/>
    </row>
    <row r="755">
      <c r="A755" s="1476"/>
      <c r="B755" s="1477"/>
      <c r="C755" s="1478"/>
      <c r="D755" s="1480"/>
      <c r="E755" s="1479"/>
      <c r="F755" s="1480"/>
      <c r="G755" s="1480"/>
      <c r="H755" s="1480"/>
      <c r="I755" s="1480"/>
      <c r="J755" s="1480"/>
      <c r="K755" s="1480"/>
      <c r="L755" s="1480"/>
      <c r="M755" s="154"/>
      <c r="N755" s="1481"/>
      <c r="O755" s="1482"/>
    </row>
    <row r="756">
      <c r="A756" s="1463"/>
      <c r="B756" s="1464"/>
      <c r="C756" s="1465"/>
      <c r="D756" s="1471"/>
      <c r="E756" s="1467"/>
      <c r="F756" s="1468"/>
      <c r="G756" s="1469"/>
      <c r="H756" s="1470"/>
      <c r="I756" s="1471"/>
      <c r="J756" s="1472"/>
      <c r="K756" s="1473"/>
      <c r="L756" s="1468"/>
      <c r="M756" s="1386"/>
      <c r="N756" s="1474"/>
      <c r="O756" s="1475"/>
    </row>
    <row r="757">
      <c r="A757" s="1476"/>
      <c r="B757" s="1477"/>
      <c r="C757" s="1478"/>
      <c r="D757" s="1480"/>
      <c r="E757" s="1479"/>
      <c r="F757" s="1480"/>
      <c r="G757" s="1480"/>
      <c r="H757" s="1480"/>
      <c r="I757" s="1480"/>
      <c r="J757" s="1480"/>
      <c r="K757" s="1480"/>
      <c r="L757" s="1480"/>
      <c r="M757" s="154"/>
      <c r="N757" s="1481"/>
      <c r="O757" s="1482"/>
    </row>
    <row r="758">
      <c r="A758" s="1463"/>
      <c r="B758" s="1464"/>
      <c r="C758" s="1465"/>
      <c r="D758" s="1471"/>
      <c r="E758" s="1467"/>
      <c r="F758" s="1468"/>
      <c r="G758" s="1469"/>
      <c r="H758" s="1470"/>
      <c r="I758" s="1471"/>
      <c r="J758" s="1472"/>
      <c r="K758" s="1473"/>
      <c r="L758" s="1468"/>
      <c r="M758" s="1386"/>
      <c r="N758" s="1474"/>
      <c r="O758" s="1475"/>
    </row>
    <row r="759">
      <c r="A759" s="1476"/>
      <c r="B759" s="1477"/>
      <c r="C759" s="1478"/>
      <c r="D759" s="1480"/>
      <c r="E759" s="1479"/>
      <c r="F759" s="1480"/>
      <c r="G759" s="1480"/>
      <c r="H759" s="1480"/>
      <c r="I759" s="1480"/>
      <c r="J759" s="1480"/>
      <c r="K759" s="1480"/>
      <c r="L759" s="1480"/>
      <c r="M759" s="154"/>
      <c r="N759" s="1481"/>
      <c r="O759" s="1482"/>
    </row>
    <row r="760">
      <c r="A760" s="1463"/>
      <c r="B760" s="1464"/>
      <c r="C760" s="1465"/>
      <c r="D760" s="1471"/>
      <c r="E760" s="1467"/>
      <c r="F760" s="1468"/>
      <c r="G760" s="1469"/>
      <c r="H760" s="1470"/>
      <c r="I760" s="1471"/>
      <c r="J760" s="1472"/>
      <c r="K760" s="1473"/>
      <c r="L760" s="1468"/>
      <c r="M760" s="1386"/>
      <c r="N760" s="1474"/>
      <c r="O760" s="1475"/>
    </row>
    <row r="761">
      <c r="A761" s="1476"/>
      <c r="B761" s="1477"/>
      <c r="C761" s="1478"/>
      <c r="D761" s="1480"/>
      <c r="E761" s="1479"/>
      <c r="F761" s="1480"/>
      <c r="G761" s="1480"/>
      <c r="H761" s="1480"/>
      <c r="I761" s="1480"/>
      <c r="J761" s="1480"/>
      <c r="K761" s="1480"/>
      <c r="L761" s="1480"/>
      <c r="M761" s="154"/>
      <c r="N761" s="1481"/>
      <c r="O761" s="1482"/>
    </row>
    <row r="762">
      <c r="A762" s="1463"/>
      <c r="B762" s="1464"/>
      <c r="C762" s="1465"/>
      <c r="D762" s="1471"/>
      <c r="E762" s="1467"/>
      <c r="F762" s="1468"/>
      <c r="G762" s="1469"/>
      <c r="H762" s="1470"/>
      <c r="I762" s="1471"/>
      <c r="J762" s="1472"/>
      <c r="K762" s="1473"/>
      <c r="L762" s="1468"/>
      <c r="M762" s="1386"/>
      <c r="N762" s="1474"/>
      <c r="O762" s="1475"/>
    </row>
    <row r="763">
      <c r="A763" s="1476"/>
      <c r="B763" s="1477"/>
      <c r="C763" s="1478"/>
      <c r="D763" s="1480"/>
      <c r="E763" s="1479"/>
      <c r="F763" s="1480"/>
      <c r="G763" s="1480"/>
      <c r="H763" s="1480"/>
      <c r="I763" s="1480"/>
      <c r="J763" s="1480"/>
      <c r="K763" s="1480"/>
      <c r="L763" s="1480"/>
      <c r="M763" s="154"/>
      <c r="N763" s="1481"/>
      <c r="O763" s="1482"/>
    </row>
    <row r="764">
      <c r="A764" s="1463"/>
      <c r="B764" s="1464"/>
      <c r="C764" s="1465"/>
      <c r="D764" s="1471"/>
      <c r="E764" s="1467"/>
      <c r="F764" s="1468"/>
      <c r="G764" s="1469"/>
      <c r="H764" s="1470"/>
      <c r="I764" s="1471"/>
      <c r="J764" s="1472"/>
      <c r="K764" s="1473"/>
      <c r="L764" s="1468"/>
      <c r="M764" s="1386"/>
      <c r="N764" s="1474"/>
      <c r="O764" s="1475"/>
    </row>
    <row r="765">
      <c r="A765" s="1476"/>
      <c r="B765" s="1477"/>
      <c r="C765" s="1478"/>
      <c r="D765" s="1480"/>
      <c r="E765" s="1479"/>
      <c r="F765" s="1480"/>
      <c r="G765" s="1480"/>
      <c r="H765" s="1480"/>
      <c r="I765" s="1480"/>
      <c r="J765" s="1480"/>
      <c r="K765" s="1480"/>
      <c r="L765" s="1480"/>
      <c r="M765" s="154"/>
      <c r="N765" s="1481"/>
      <c r="O765" s="1482"/>
    </row>
    <row r="766">
      <c r="A766" s="1463"/>
      <c r="B766" s="1464"/>
      <c r="C766" s="1465"/>
      <c r="D766" s="1471"/>
      <c r="E766" s="1467"/>
      <c r="F766" s="1468"/>
      <c r="G766" s="1469"/>
      <c r="H766" s="1470"/>
      <c r="I766" s="1471"/>
      <c r="J766" s="1472"/>
      <c r="K766" s="1473"/>
      <c r="L766" s="1468"/>
      <c r="M766" s="1386"/>
      <c r="N766" s="1474"/>
      <c r="O766" s="1475"/>
    </row>
    <row r="767">
      <c r="A767" s="1476"/>
      <c r="B767" s="1477"/>
      <c r="C767" s="1478"/>
      <c r="D767" s="1480"/>
      <c r="E767" s="1479"/>
      <c r="F767" s="1480"/>
      <c r="G767" s="1480"/>
      <c r="H767" s="1480"/>
      <c r="I767" s="1480"/>
      <c r="J767" s="1480"/>
      <c r="K767" s="1480"/>
      <c r="L767" s="1480"/>
      <c r="M767" s="154"/>
      <c r="N767" s="1481"/>
      <c r="O767" s="1482"/>
    </row>
    <row r="768">
      <c r="A768" s="1463"/>
      <c r="B768" s="1464"/>
      <c r="C768" s="1465"/>
      <c r="D768" s="1471"/>
      <c r="E768" s="1467"/>
      <c r="F768" s="1468"/>
      <c r="G768" s="1469"/>
      <c r="H768" s="1470"/>
      <c r="I768" s="1471"/>
      <c r="J768" s="1472"/>
      <c r="K768" s="1473"/>
      <c r="L768" s="1468"/>
      <c r="M768" s="1386"/>
      <c r="N768" s="1474"/>
      <c r="O768" s="1475"/>
    </row>
    <row r="769">
      <c r="A769" s="1476"/>
      <c r="B769" s="1477"/>
      <c r="C769" s="1478"/>
      <c r="D769" s="1480"/>
      <c r="E769" s="1479"/>
      <c r="F769" s="1480"/>
      <c r="G769" s="1480"/>
      <c r="H769" s="1480"/>
      <c r="I769" s="1480"/>
      <c r="J769" s="1480"/>
      <c r="K769" s="1480"/>
      <c r="L769" s="1480"/>
      <c r="M769" s="154"/>
      <c r="N769" s="1481"/>
      <c r="O769" s="1482"/>
    </row>
    <row r="770">
      <c r="A770" s="1463"/>
      <c r="B770" s="1464"/>
      <c r="C770" s="1465"/>
      <c r="D770" s="1471"/>
      <c r="E770" s="1467"/>
      <c r="F770" s="1468"/>
      <c r="G770" s="1469"/>
      <c r="H770" s="1470"/>
      <c r="I770" s="1471"/>
      <c r="J770" s="1472"/>
      <c r="K770" s="1473"/>
      <c r="L770" s="1468"/>
      <c r="M770" s="1386"/>
      <c r="N770" s="1474"/>
      <c r="O770" s="1475"/>
    </row>
    <row r="771">
      <c r="A771" s="1476"/>
      <c r="B771" s="1477"/>
      <c r="C771" s="1478"/>
      <c r="D771" s="1480"/>
      <c r="E771" s="1479"/>
      <c r="F771" s="1480"/>
      <c r="G771" s="1480"/>
      <c r="H771" s="1480"/>
      <c r="I771" s="1480"/>
      <c r="J771" s="1480"/>
      <c r="K771" s="1480"/>
      <c r="L771" s="1480"/>
      <c r="M771" s="154"/>
      <c r="N771" s="1481"/>
      <c r="O771" s="1482"/>
    </row>
    <row r="772">
      <c r="A772" s="1463"/>
      <c r="B772" s="1464"/>
      <c r="C772" s="1465"/>
      <c r="D772" s="1471"/>
      <c r="E772" s="1467"/>
      <c r="F772" s="1468"/>
      <c r="G772" s="1469"/>
      <c r="H772" s="1470"/>
      <c r="I772" s="1471"/>
      <c r="J772" s="1472"/>
      <c r="K772" s="1473"/>
      <c r="L772" s="1468"/>
      <c r="M772" s="1386"/>
      <c r="N772" s="1474"/>
      <c r="O772" s="1475"/>
    </row>
    <row r="773">
      <c r="A773" s="1476"/>
      <c r="B773" s="1477"/>
      <c r="C773" s="1478"/>
      <c r="D773" s="1480"/>
      <c r="E773" s="1479"/>
      <c r="F773" s="1480"/>
      <c r="G773" s="1480"/>
      <c r="H773" s="1480"/>
      <c r="I773" s="1480"/>
      <c r="J773" s="1480"/>
      <c r="K773" s="1480"/>
      <c r="L773" s="1480"/>
      <c r="M773" s="154"/>
      <c r="N773" s="1481"/>
      <c r="O773" s="1482"/>
    </row>
    <row r="774">
      <c r="A774" s="1463"/>
      <c r="B774" s="1464"/>
      <c r="C774" s="1465"/>
      <c r="D774" s="1471"/>
      <c r="E774" s="1467"/>
      <c r="F774" s="1468"/>
      <c r="G774" s="1469"/>
      <c r="H774" s="1470"/>
      <c r="I774" s="1471"/>
      <c r="J774" s="1472"/>
      <c r="K774" s="1473"/>
      <c r="L774" s="1468"/>
      <c r="M774" s="1386"/>
      <c r="N774" s="1474"/>
      <c r="O774" s="1475"/>
    </row>
    <row r="775">
      <c r="A775" s="1476"/>
      <c r="B775" s="1477"/>
      <c r="C775" s="1478"/>
      <c r="D775" s="1480"/>
      <c r="E775" s="1479"/>
      <c r="F775" s="1480"/>
      <c r="G775" s="1480"/>
      <c r="H775" s="1480"/>
      <c r="I775" s="1480"/>
      <c r="J775" s="1480"/>
      <c r="K775" s="1480"/>
      <c r="L775" s="1480"/>
      <c r="M775" s="154"/>
      <c r="N775" s="1481"/>
      <c r="O775" s="1482"/>
    </row>
    <row r="776">
      <c r="A776" s="1463"/>
      <c r="B776" s="1464"/>
      <c r="C776" s="1465"/>
      <c r="D776" s="1471"/>
      <c r="E776" s="1467"/>
      <c r="F776" s="1468"/>
      <c r="G776" s="1469"/>
      <c r="H776" s="1470"/>
      <c r="I776" s="1471"/>
      <c r="J776" s="1472"/>
      <c r="K776" s="1473"/>
      <c r="L776" s="1468"/>
      <c r="M776" s="1386"/>
      <c r="N776" s="1474"/>
      <c r="O776" s="1475"/>
    </row>
    <row r="777">
      <c r="A777" s="1476"/>
      <c r="B777" s="1477"/>
      <c r="C777" s="1478"/>
      <c r="D777" s="1480"/>
      <c r="E777" s="1479"/>
      <c r="F777" s="1480"/>
      <c r="G777" s="1480"/>
      <c r="H777" s="1480"/>
      <c r="I777" s="1480"/>
      <c r="J777" s="1480"/>
      <c r="K777" s="1480"/>
      <c r="L777" s="1480"/>
      <c r="M777" s="154"/>
      <c r="N777" s="1481"/>
      <c r="O777" s="1482"/>
    </row>
    <row r="778">
      <c r="A778" s="1463"/>
      <c r="B778" s="1464"/>
      <c r="C778" s="1465"/>
      <c r="D778" s="1471"/>
      <c r="E778" s="1467"/>
      <c r="F778" s="1468"/>
      <c r="G778" s="1469"/>
      <c r="H778" s="1470"/>
      <c r="I778" s="1471"/>
      <c r="J778" s="1472"/>
      <c r="K778" s="1473"/>
      <c r="L778" s="1468"/>
      <c r="M778" s="1386"/>
      <c r="N778" s="1474"/>
      <c r="O778" s="1475"/>
    </row>
    <row r="779">
      <c r="A779" s="1476"/>
      <c r="B779" s="1477"/>
      <c r="C779" s="1478"/>
      <c r="D779" s="1480"/>
      <c r="E779" s="1479"/>
      <c r="F779" s="1480"/>
      <c r="G779" s="1480"/>
      <c r="H779" s="1480"/>
      <c r="I779" s="1480"/>
      <c r="J779" s="1480"/>
      <c r="K779" s="1480"/>
      <c r="L779" s="1480"/>
      <c r="M779" s="154"/>
      <c r="N779" s="1481"/>
      <c r="O779" s="1482"/>
    </row>
    <row r="780">
      <c r="A780" s="1463"/>
      <c r="B780" s="1464"/>
      <c r="C780" s="1465"/>
      <c r="D780" s="1471"/>
      <c r="E780" s="1467"/>
      <c r="F780" s="1468"/>
      <c r="G780" s="1469"/>
      <c r="H780" s="1470"/>
      <c r="I780" s="1471"/>
      <c r="J780" s="1472"/>
      <c r="K780" s="1473"/>
      <c r="L780" s="1468"/>
      <c r="M780" s="1386"/>
      <c r="N780" s="1474"/>
      <c r="O780" s="1475"/>
    </row>
    <row r="781">
      <c r="A781" s="1476"/>
      <c r="B781" s="1477"/>
      <c r="C781" s="1478"/>
      <c r="D781" s="1480"/>
      <c r="E781" s="1479"/>
      <c r="F781" s="1480"/>
      <c r="G781" s="1480"/>
      <c r="H781" s="1480"/>
      <c r="I781" s="1480"/>
      <c r="J781" s="1480"/>
      <c r="K781" s="1480"/>
      <c r="L781" s="1480"/>
      <c r="M781" s="154"/>
      <c r="N781" s="1481"/>
      <c r="O781" s="1482"/>
    </row>
    <row r="782">
      <c r="A782" s="1463"/>
      <c r="B782" s="1464"/>
      <c r="C782" s="1465"/>
      <c r="D782" s="1471"/>
      <c r="E782" s="1467"/>
      <c r="F782" s="1468"/>
      <c r="G782" s="1469"/>
      <c r="H782" s="1470"/>
      <c r="I782" s="1471"/>
      <c r="J782" s="1472"/>
      <c r="K782" s="1473"/>
      <c r="L782" s="1468"/>
      <c r="M782" s="1386"/>
      <c r="N782" s="1474"/>
      <c r="O782" s="1475"/>
    </row>
    <row r="783">
      <c r="A783" s="1476"/>
      <c r="B783" s="1477"/>
      <c r="C783" s="1478"/>
      <c r="D783" s="1480"/>
      <c r="E783" s="1479"/>
      <c r="F783" s="1480"/>
      <c r="G783" s="1480"/>
      <c r="H783" s="1480"/>
      <c r="I783" s="1480"/>
      <c r="J783" s="1480"/>
      <c r="K783" s="1480"/>
      <c r="L783" s="1480"/>
      <c r="M783" s="154"/>
      <c r="N783" s="1481"/>
      <c r="O783" s="1482"/>
    </row>
    <row r="784">
      <c r="A784" s="1463"/>
      <c r="B784" s="1464"/>
      <c r="C784" s="1465"/>
      <c r="D784" s="1471"/>
      <c r="E784" s="1467"/>
      <c r="F784" s="1468"/>
      <c r="G784" s="1469"/>
      <c r="H784" s="1470"/>
      <c r="I784" s="1471"/>
      <c r="J784" s="1472"/>
      <c r="K784" s="1473"/>
      <c r="L784" s="1468"/>
      <c r="M784" s="1386"/>
      <c r="N784" s="1474"/>
      <c r="O784" s="1475"/>
    </row>
    <row r="785">
      <c r="A785" s="1476"/>
      <c r="B785" s="1477"/>
      <c r="C785" s="1478"/>
      <c r="D785" s="1480"/>
      <c r="E785" s="1479"/>
      <c r="F785" s="1480"/>
      <c r="G785" s="1480"/>
      <c r="H785" s="1480"/>
      <c r="I785" s="1480"/>
      <c r="J785" s="1480"/>
      <c r="K785" s="1480"/>
      <c r="L785" s="1480"/>
      <c r="M785" s="154"/>
      <c r="N785" s="1481"/>
      <c r="O785" s="1482"/>
    </row>
    <row r="786">
      <c r="A786" s="1463"/>
      <c r="B786" s="1464"/>
      <c r="C786" s="1465"/>
      <c r="D786" s="1471"/>
      <c r="E786" s="1467"/>
      <c r="F786" s="1468"/>
      <c r="G786" s="1469"/>
      <c r="H786" s="1470"/>
      <c r="I786" s="1471"/>
      <c r="J786" s="1472"/>
      <c r="K786" s="1473"/>
      <c r="L786" s="1468"/>
      <c r="M786" s="1386"/>
      <c r="N786" s="1474"/>
      <c r="O786" s="1475"/>
    </row>
    <row r="787">
      <c r="A787" s="1476"/>
      <c r="B787" s="1477"/>
      <c r="C787" s="1478"/>
      <c r="D787" s="1480"/>
      <c r="E787" s="1479"/>
      <c r="F787" s="1480"/>
      <c r="G787" s="1480"/>
      <c r="H787" s="1480"/>
      <c r="I787" s="1480"/>
      <c r="J787" s="1480"/>
      <c r="K787" s="1480"/>
      <c r="L787" s="1480"/>
      <c r="M787" s="154"/>
      <c r="N787" s="1481"/>
      <c r="O787" s="1482"/>
    </row>
    <row r="788">
      <c r="A788" s="1463"/>
      <c r="B788" s="1464"/>
      <c r="C788" s="1465"/>
      <c r="D788" s="1471"/>
      <c r="E788" s="1467"/>
      <c r="F788" s="1468"/>
      <c r="G788" s="1469"/>
      <c r="H788" s="1470"/>
      <c r="I788" s="1471"/>
      <c r="J788" s="1472"/>
      <c r="K788" s="1473"/>
      <c r="L788" s="1468"/>
      <c r="M788" s="1386"/>
      <c r="N788" s="1474"/>
      <c r="O788" s="1475"/>
    </row>
    <row r="789">
      <c r="A789" s="1476"/>
      <c r="B789" s="1477"/>
      <c r="C789" s="1478"/>
      <c r="D789" s="1480"/>
      <c r="E789" s="1479"/>
      <c r="F789" s="1480"/>
      <c r="G789" s="1480"/>
      <c r="H789" s="1480"/>
      <c r="I789" s="1480"/>
      <c r="J789" s="1480"/>
      <c r="K789" s="1480"/>
      <c r="L789" s="1480"/>
      <c r="M789" s="154"/>
      <c r="N789" s="1481"/>
      <c r="O789" s="1482"/>
    </row>
    <row r="790">
      <c r="A790" s="1463"/>
      <c r="B790" s="1464"/>
      <c r="C790" s="1465"/>
      <c r="D790" s="1471"/>
      <c r="E790" s="1467"/>
      <c r="F790" s="1468"/>
      <c r="G790" s="1469"/>
      <c r="H790" s="1470"/>
      <c r="I790" s="1471"/>
      <c r="J790" s="1472"/>
      <c r="K790" s="1473"/>
      <c r="L790" s="1468"/>
      <c r="M790" s="1386"/>
      <c r="N790" s="1474"/>
      <c r="O790" s="1475"/>
    </row>
    <row r="791">
      <c r="A791" s="1476"/>
      <c r="B791" s="1477"/>
      <c r="C791" s="1478"/>
      <c r="D791" s="1480"/>
      <c r="E791" s="1479"/>
      <c r="F791" s="1480"/>
      <c r="G791" s="1480"/>
      <c r="H791" s="1480"/>
      <c r="I791" s="1480"/>
      <c r="J791" s="1480"/>
      <c r="K791" s="1480"/>
      <c r="L791" s="1480"/>
      <c r="M791" s="154"/>
      <c r="N791" s="1481"/>
      <c r="O791" s="1482"/>
    </row>
    <row r="792">
      <c r="A792" s="1463"/>
      <c r="B792" s="1464"/>
      <c r="C792" s="1465"/>
      <c r="D792" s="1471"/>
      <c r="E792" s="1467"/>
      <c r="F792" s="1468"/>
      <c r="G792" s="1469"/>
      <c r="H792" s="1470"/>
      <c r="I792" s="1471"/>
      <c r="J792" s="1472"/>
      <c r="K792" s="1473"/>
      <c r="L792" s="1468"/>
      <c r="M792" s="1386"/>
      <c r="N792" s="1474"/>
      <c r="O792" s="1475"/>
    </row>
    <row r="793">
      <c r="A793" s="1476"/>
      <c r="B793" s="1477"/>
      <c r="C793" s="1478"/>
      <c r="D793" s="1480"/>
      <c r="E793" s="1479"/>
      <c r="F793" s="1480"/>
      <c r="G793" s="1480"/>
      <c r="H793" s="1480"/>
      <c r="I793" s="1480"/>
      <c r="J793" s="1480"/>
      <c r="K793" s="1480"/>
      <c r="L793" s="1480"/>
      <c r="M793" s="154"/>
      <c r="N793" s="1481"/>
      <c r="O793" s="1482"/>
    </row>
    <row r="794">
      <c r="A794" s="1463"/>
      <c r="B794" s="1464"/>
      <c r="C794" s="1465"/>
      <c r="D794" s="1471"/>
      <c r="E794" s="1467"/>
      <c r="F794" s="1468"/>
      <c r="G794" s="1469"/>
      <c r="H794" s="1470"/>
      <c r="I794" s="1471"/>
      <c r="J794" s="1472"/>
      <c r="K794" s="1473"/>
      <c r="L794" s="1468"/>
      <c r="M794" s="1386"/>
      <c r="N794" s="1474"/>
      <c r="O794" s="1475"/>
    </row>
    <row r="795">
      <c r="A795" s="1476"/>
      <c r="B795" s="1477"/>
      <c r="C795" s="1478"/>
      <c r="D795" s="1480"/>
      <c r="E795" s="1479"/>
      <c r="F795" s="1480"/>
      <c r="G795" s="1480"/>
      <c r="H795" s="1480"/>
      <c r="I795" s="1480"/>
      <c r="J795" s="1480"/>
      <c r="K795" s="1480"/>
      <c r="L795" s="1480"/>
      <c r="M795" s="154"/>
      <c r="N795" s="1481"/>
      <c r="O795" s="1482"/>
    </row>
    <row r="796">
      <c r="A796" s="1463"/>
      <c r="B796" s="1464"/>
      <c r="C796" s="1465"/>
      <c r="D796" s="1471"/>
      <c r="E796" s="1467"/>
      <c r="F796" s="1468"/>
      <c r="G796" s="1469"/>
      <c r="H796" s="1470"/>
      <c r="I796" s="1471"/>
      <c r="J796" s="1472"/>
      <c r="K796" s="1473"/>
      <c r="L796" s="1468"/>
      <c r="M796" s="1386"/>
      <c r="N796" s="1474"/>
      <c r="O796" s="1475"/>
    </row>
    <row r="797">
      <c r="A797" s="1476"/>
      <c r="B797" s="1477"/>
      <c r="C797" s="1478"/>
      <c r="D797" s="1480"/>
      <c r="E797" s="1479"/>
      <c r="F797" s="1480"/>
      <c r="G797" s="1480"/>
      <c r="H797" s="1480"/>
      <c r="I797" s="1480"/>
      <c r="J797" s="1480"/>
      <c r="K797" s="1480"/>
      <c r="L797" s="1480"/>
      <c r="M797" s="154"/>
      <c r="N797" s="1481"/>
      <c r="O797" s="1482"/>
    </row>
    <row r="798">
      <c r="A798" s="1463"/>
      <c r="B798" s="1464"/>
      <c r="C798" s="1465"/>
      <c r="D798" s="1471"/>
      <c r="E798" s="1467"/>
      <c r="F798" s="1468"/>
      <c r="G798" s="1469"/>
      <c r="H798" s="1470"/>
      <c r="I798" s="1471"/>
      <c r="J798" s="1472"/>
      <c r="K798" s="1473"/>
      <c r="L798" s="1468"/>
      <c r="M798" s="1386"/>
      <c r="N798" s="1474"/>
      <c r="O798" s="1475"/>
    </row>
    <row r="799">
      <c r="A799" s="1476"/>
      <c r="B799" s="1477"/>
      <c r="C799" s="1478"/>
      <c r="D799" s="1480"/>
      <c r="E799" s="1479"/>
      <c r="F799" s="1480"/>
      <c r="G799" s="1480"/>
      <c r="H799" s="1480"/>
      <c r="I799" s="1480"/>
      <c r="J799" s="1480"/>
      <c r="K799" s="1480"/>
      <c r="L799" s="1480"/>
      <c r="M799" s="154"/>
      <c r="N799" s="1481"/>
      <c r="O799" s="1482"/>
    </row>
    <row r="800">
      <c r="A800" s="1463"/>
      <c r="B800" s="1464"/>
      <c r="C800" s="1465"/>
      <c r="D800" s="1471"/>
      <c r="E800" s="1467"/>
      <c r="F800" s="1468"/>
      <c r="G800" s="1469"/>
      <c r="H800" s="1470"/>
      <c r="I800" s="1471"/>
      <c r="J800" s="1472"/>
      <c r="K800" s="1473"/>
      <c r="L800" s="1468"/>
      <c r="M800" s="1386"/>
      <c r="N800" s="1474"/>
      <c r="O800" s="1475"/>
    </row>
    <row r="801">
      <c r="A801" s="1476"/>
      <c r="B801" s="1477"/>
      <c r="C801" s="1478"/>
      <c r="D801" s="1480"/>
      <c r="E801" s="1479"/>
      <c r="F801" s="1480"/>
      <c r="G801" s="1480"/>
      <c r="H801" s="1480"/>
      <c r="I801" s="1480"/>
      <c r="J801" s="1480"/>
      <c r="K801" s="1480"/>
      <c r="L801" s="1480"/>
      <c r="M801" s="154"/>
      <c r="N801" s="1481"/>
      <c r="O801" s="1482"/>
    </row>
    <row r="802">
      <c r="A802" s="1463"/>
      <c r="B802" s="1464"/>
      <c r="C802" s="1465"/>
      <c r="D802" s="1471"/>
      <c r="E802" s="1467"/>
      <c r="F802" s="1468"/>
      <c r="G802" s="1469"/>
      <c r="H802" s="1470"/>
      <c r="I802" s="1471"/>
      <c r="J802" s="1472"/>
      <c r="K802" s="1473"/>
      <c r="L802" s="1468"/>
      <c r="M802" s="1386"/>
      <c r="N802" s="1474"/>
      <c r="O802" s="1475"/>
    </row>
    <row r="803">
      <c r="A803" s="1476"/>
      <c r="B803" s="1477"/>
      <c r="C803" s="1478"/>
      <c r="D803" s="1480"/>
      <c r="E803" s="1479"/>
      <c r="F803" s="1480"/>
      <c r="G803" s="1480"/>
      <c r="H803" s="1480"/>
      <c r="I803" s="1480"/>
      <c r="J803" s="1480"/>
      <c r="K803" s="1480"/>
      <c r="L803" s="1480"/>
      <c r="M803" s="154"/>
      <c r="N803" s="1481"/>
      <c r="O803" s="1482"/>
    </row>
    <row r="804">
      <c r="A804" s="1463"/>
      <c r="B804" s="1464"/>
      <c r="C804" s="1465"/>
      <c r="D804" s="1471"/>
      <c r="E804" s="1467"/>
      <c r="F804" s="1468"/>
      <c r="G804" s="1469"/>
      <c r="H804" s="1470"/>
      <c r="I804" s="1471"/>
      <c r="J804" s="1472"/>
      <c r="K804" s="1473"/>
      <c r="L804" s="1468"/>
      <c r="M804" s="1386"/>
      <c r="N804" s="1474"/>
      <c r="O804" s="1475"/>
    </row>
    <row r="805">
      <c r="A805" s="1476"/>
      <c r="B805" s="1477"/>
      <c r="C805" s="1478"/>
      <c r="D805" s="1480"/>
      <c r="E805" s="1479"/>
      <c r="F805" s="1480"/>
      <c r="G805" s="1480"/>
      <c r="H805" s="1480"/>
      <c r="I805" s="1480"/>
      <c r="J805" s="1480"/>
      <c r="K805" s="1480"/>
      <c r="L805" s="1480"/>
      <c r="M805" s="154"/>
      <c r="N805" s="1481"/>
      <c r="O805" s="1482"/>
    </row>
    <row r="806">
      <c r="A806" s="1463"/>
      <c r="B806" s="1464"/>
      <c r="C806" s="1465"/>
      <c r="D806" s="1471"/>
      <c r="E806" s="1467"/>
      <c r="F806" s="1468"/>
      <c r="G806" s="1469"/>
      <c r="H806" s="1470"/>
      <c r="I806" s="1471"/>
      <c r="J806" s="1472"/>
      <c r="K806" s="1473"/>
      <c r="L806" s="1468"/>
      <c r="M806" s="1386"/>
      <c r="N806" s="1474"/>
      <c r="O806" s="1475"/>
    </row>
    <row r="807">
      <c r="A807" s="1476"/>
      <c r="B807" s="1477"/>
      <c r="C807" s="1478"/>
      <c r="D807" s="1480"/>
      <c r="E807" s="1479"/>
      <c r="F807" s="1480"/>
      <c r="G807" s="1480"/>
      <c r="H807" s="1480"/>
      <c r="I807" s="1480"/>
      <c r="J807" s="1480"/>
      <c r="K807" s="1480"/>
      <c r="L807" s="1480"/>
      <c r="M807" s="154"/>
      <c r="N807" s="1481"/>
      <c r="O807" s="1482"/>
    </row>
    <row r="808">
      <c r="A808" s="1463"/>
      <c r="B808" s="1464"/>
      <c r="C808" s="1465"/>
      <c r="D808" s="1471"/>
      <c r="E808" s="1467"/>
      <c r="F808" s="1468"/>
      <c r="G808" s="1469"/>
      <c r="H808" s="1470"/>
      <c r="I808" s="1471"/>
      <c r="J808" s="1472"/>
      <c r="K808" s="1473"/>
      <c r="L808" s="1468"/>
      <c r="M808" s="1386"/>
      <c r="N808" s="1474"/>
      <c r="O808" s="1475"/>
    </row>
    <row r="809">
      <c r="A809" s="1476"/>
      <c r="B809" s="1477"/>
      <c r="C809" s="1478"/>
      <c r="D809" s="1480"/>
      <c r="E809" s="1479"/>
      <c r="F809" s="1480"/>
      <c r="G809" s="1480"/>
      <c r="H809" s="1480"/>
      <c r="I809" s="1480"/>
      <c r="J809" s="1480"/>
      <c r="K809" s="1480"/>
      <c r="L809" s="1480"/>
      <c r="M809" s="154"/>
      <c r="N809" s="1481"/>
      <c r="O809" s="1482"/>
    </row>
    <row r="810">
      <c r="A810" s="1463"/>
      <c r="B810" s="1464"/>
      <c r="C810" s="1465"/>
      <c r="D810" s="1471"/>
      <c r="E810" s="1467"/>
      <c r="F810" s="1468"/>
      <c r="G810" s="1469"/>
      <c r="H810" s="1470"/>
      <c r="I810" s="1471"/>
      <c r="J810" s="1472"/>
      <c r="K810" s="1473"/>
      <c r="L810" s="1468"/>
      <c r="M810" s="1386"/>
      <c r="N810" s="1474"/>
      <c r="O810" s="1475"/>
    </row>
    <row r="811">
      <c r="A811" s="1476"/>
      <c r="B811" s="1477"/>
      <c r="C811" s="1478"/>
      <c r="D811" s="1480"/>
      <c r="E811" s="1479"/>
      <c r="F811" s="1480"/>
      <c r="G811" s="1480"/>
      <c r="H811" s="1480"/>
      <c r="I811" s="1480"/>
      <c r="J811" s="1480"/>
      <c r="K811" s="1480"/>
      <c r="L811" s="1480"/>
      <c r="M811" s="154"/>
      <c r="N811" s="1481"/>
      <c r="O811" s="1482"/>
    </row>
    <row r="812">
      <c r="A812" s="1463"/>
      <c r="B812" s="1464"/>
      <c r="C812" s="1465"/>
      <c r="D812" s="1471"/>
      <c r="E812" s="1467"/>
      <c r="F812" s="1468"/>
      <c r="G812" s="1469"/>
      <c r="H812" s="1470"/>
      <c r="I812" s="1471"/>
      <c r="J812" s="1472"/>
      <c r="K812" s="1473"/>
      <c r="L812" s="1468"/>
      <c r="M812" s="1386"/>
      <c r="N812" s="1474"/>
      <c r="O812" s="1475"/>
    </row>
    <row r="813">
      <c r="A813" s="1476"/>
      <c r="B813" s="1477"/>
      <c r="C813" s="1478"/>
      <c r="D813" s="1480"/>
      <c r="E813" s="1479"/>
      <c r="F813" s="1480"/>
      <c r="G813" s="1480"/>
      <c r="H813" s="1480"/>
      <c r="I813" s="1480"/>
      <c r="J813" s="1480"/>
      <c r="K813" s="1480"/>
      <c r="L813" s="1480"/>
      <c r="M813" s="154"/>
      <c r="N813" s="1481"/>
      <c r="O813" s="1482"/>
    </row>
    <row r="814">
      <c r="A814" s="1463"/>
      <c r="B814" s="1464"/>
      <c r="C814" s="1465"/>
      <c r="D814" s="1471"/>
      <c r="E814" s="1467"/>
      <c r="F814" s="1468"/>
      <c r="G814" s="1469"/>
      <c r="H814" s="1470"/>
      <c r="I814" s="1471"/>
      <c r="J814" s="1472"/>
      <c r="K814" s="1473"/>
      <c r="L814" s="1468"/>
      <c r="M814" s="1386"/>
      <c r="N814" s="1474"/>
      <c r="O814" s="1475"/>
    </row>
    <row r="815">
      <c r="A815" s="1476"/>
      <c r="B815" s="1477"/>
      <c r="C815" s="1478"/>
      <c r="D815" s="1480"/>
      <c r="E815" s="1479"/>
      <c r="F815" s="1480"/>
      <c r="G815" s="1480"/>
      <c r="H815" s="1480"/>
      <c r="I815" s="1480"/>
      <c r="J815" s="1480"/>
      <c r="K815" s="1480"/>
      <c r="L815" s="1480"/>
      <c r="M815" s="154"/>
      <c r="N815" s="1481"/>
      <c r="O815" s="1482"/>
    </row>
    <row r="816">
      <c r="A816" s="1463"/>
      <c r="B816" s="1464"/>
      <c r="C816" s="1465"/>
      <c r="D816" s="1471"/>
      <c r="E816" s="1467"/>
      <c r="F816" s="1468"/>
      <c r="G816" s="1469"/>
      <c r="H816" s="1470"/>
      <c r="I816" s="1471"/>
      <c r="J816" s="1472"/>
      <c r="K816" s="1473"/>
      <c r="L816" s="1468"/>
      <c r="M816" s="1386"/>
      <c r="N816" s="1474"/>
      <c r="O816" s="1475"/>
    </row>
    <row r="817">
      <c r="A817" s="1476"/>
      <c r="B817" s="1477"/>
      <c r="C817" s="1478"/>
      <c r="D817" s="1480"/>
      <c r="E817" s="1479"/>
      <c r="F817" s="1480"/>
      <c r="G817" s="1480"/>
      <c r="H817" s="1480"/>
      <c r="I817" s="1480"/>
      <c r="J817" s="1480"/>
      <c r="K817" s="1480"/>
      <c r="L817" s="1480"/>
      <c r="M817" s="154"/>
      <c r="N817" s="1481"/>
      <c r="O817" s="1482"/>
    </row>
    <row r="818">
      <c r="A818" s="1463"/>
      <c r="B818" s="1464"/>
      <c r="C818" s="1465"/>
      <c r="D818" s="1471"/>
      <c r="E818" s="1467"/>
      <c r="F818" s="1468"/>
      <c r="G818" s="1469"/>
      <c r="H818" s="1470"/>
      <c r="I818" s="1471"/>
      <c r="J818" s="1472"/>
      <c r="K818" s="1473"/>
      <c r="L818" s="1468"/>
      <c r="M818" s="1386"/>
      <c r="N818" s="1474"/>
      <c r="O818" s="1475"/>
    </row>
    <row r="819">
      <c r="A819" s="1476"/>
      <c r="B819" s="1477"/>
      <c r="C819" s="1478"/>
      <c r="D819" s="1480"/>
      <c r="E819" s="1479"/>
      <c r="F819" s="1480"/>
      <c r="G819" s="1480"/>
      <c r="H819" s="1480"/>
      <c r="I819" s="1480"/>
      <c r="J819" s="1480"/>
      <c r="K819" s="1480"/>
      <c r="L819" s="1480"/>
      <c r="M819" s="154"/>
      <c r="N819" s="1481"/>
      <c r="O819" s="1482"/>
    </row>
    <row r="820">
      <c r="A820" s="1463"/>
      <c r="B820" s="1464"/>
      <c r="C820" s="1465"/>
      <c r="D820" s="1471"/>
      <c r="E820" s="1467"/>
      <c r="F820" s="1468"/>
      <c r="G820" s="1469"/>
      <c r="H820" s="1470"/>
      <c r="I820" s="1471"/>
      <c r="J820" s="1472"/>
      <c r="K820" s="1473"/>
      <c r="L820" s="1468"/>
      <c r="M820" s="1386"/>
      <c r="N820" s="1474"/>
      <c r="O820" s="1475"/>
    </row>
    <row r="821">
      <c r="A821" s="1476"/>
      <c r="B821" s="1477"/>
      <c r="C821" s="1478"/>
      <c r="D821" s="1480"/>
      <c r="E821" s="1479"/>
      <c r="F821" s="1480"/>
      <c r="G821" s="1480"/>
      <c r="H821" s="1480"/>
      <c r="I821" s="1480"/>
      <c r="J821" s="1480"/>
      <c r="K821" s="1480"/>
      <c r="L821" s="1480"/>
      <c r="M821" s="154"/>
      <c r="N821" s="1481"/>
      <c r="O821" s="1482"/>
    </row>
    <row r="822">
      <c r="A822" s="1463"/>
      <c r="B822" s="1464"/>
      <c r="C822" s="1465"/>
      <c r="D822" s="1471"/>
      <c r="E822" s="1467"/>
      <c r="F822" s="1468"/>
      <c r="G822" s="1469"/>
      <c r="H822" s="1470"/>
      <c r="I822" s="1471"/>
      <c r="J822" s="1472"/>
      <c r="K822" s="1473"/>
      <c r="L822" s="1468"/>
      <c r="M822" s="1386"/>
      <c r="N822" s="1474"/>
      <c r="O822" s="1475"/>
    </row>
    <row r="823">
      <c r="A823" s="1476"/>
      <c r="B823" s="1477"/>
      <c r="C823" s="1478"/>
      <c r="D823" s="1480"/>
      <c r="E823" s="1479"/>
      <c r="F823" s="1480"/>
      <c r="G823" s="1480"/>
      <c r="H823" s="1480"/>
      <c r="I823" s="1480"/>
      <c r="J823" s="1480"/>
      <c r="K823" s="1480"/>
      <c r="L823" s="1480"/>
      <c r="M823" s="154"/>
      <c r="N823" s="1481"/>
      <c r="O823" s="1482"/>
    </row>
    <row r="824">
      <c r="A824" s="1463"/>
      <c r="B824" s="1464"/>
      <c r="C824" s="1465"/>
      <c r="D824" s="1471"/>
      <c r="E824" s="1467"/>
      <c r="F824" s="1468"/>
      <c r="G824" s="1469"/>
      <c r="H824" s="1470"/>
      <c r="I824" s="1471"/>
      <c r="J824" s="1472"/>
      <c r="K824" s="1473"/>
      <c r="L824" s="1468"/>
      <c r="M824" s="1386"/>
      <c r="N824" s="1474"/>
      <c r="O824" s="1475"/>
    </row>
    <row r="825">
      <c r="A825" s="1476"/>
      <c r="B825" s="1477"/>
      <c r="C825" s="1478"/>
      <c r="D825" s="1480"/>
      <c r="E825" s="1479"/>
      <c r="F825" s="1480"/>
      <c r="G825" s="1480"/>
      <c r="H825" s="1480"/>
      <c r="I825" s="1480"/>
      <c r="J825" s="1480"/>
      <c r="K825" s="1480"/>
      <c r="L825" s="1480"/>
      <c r="M825" s="154"/>
      <c r="N825" s="1481"/>
      <c r="O825" s="1482"/>
    </row>
    <row r="826">
      <c r="A826" s="1463"/>
      <c r="B826" s="1464"/>
      <c r="C826" s="1465"/>
      <c r="D826" s="1471"/>
      <c r="E826" s="1467"/>
      <c r="F826" s="1468"/>
      <c r="G826" s="1469"/>
      <c r="H826" s="1470"/>
      <c r="I826" s="1471"/>
      <c r="J826" s="1472"/>
      <c r="K826" s="1473"/>
      <c r="L826" s="1468"/>
      <c r="M826" s="1386"/>
      <c r="N826" s="1474"/>
      <c r="O826" s="1475"/>
    </row>
    <row r="827">
      <c r="A827" s="1476"/>
      <c r="B827" s="1477"/>
      <c r="C827" s="1478"/>
      <c r="D827" s="1480"/>
      <c r="E827" s="1479"/>
      <c r="F827" s="1480"/>
      <c r="G827" s="1480"/>
      <c r="H827" s="1480"/>
      <c r="I827" s="1480"/>
      <c r="J827" s="1480"/>
      <c r="K827" s="1480"/>
      <c r="L827" s="1480"/>
      <c r="M827" s="154"/>
      <c r="N827" s="1481"/>
      <c r="O827" s="1482"/>
    </row>
    <row r="828">
      <c r="A828" s="1463"/>
      <c r="B828" s="1464"/>
      <c r="C828" s="1465"/>
      <c r="D828" s="1471"/>
      <c r="E828" s="1467"/>
      <c r="F828" s="1468"/>
      <c r="G828" s="1469"/>
      <c r="H828" s="1470"/>
      <c r="I828" s="1471"/>
      <c r="J828" s="1472"/>
      <c r="K828" s="1473"/>
      <c r="L828" s="1468"/>
      <c r="M828" s="1386"/>
      <c r="N828" s="1474"/>
      <c r="O828" s="1475"/>
    </row>
    <row r="829">
      <c r="A829" s="1476"/>
      <c r="B829" s="1477"/>
      <c r="C829" s="1478"/>
      <c r="D829" s="1480"/>
      <c r="E829" s="1479"/>
      <c r="F829" s="1480"/>
      <c r="G829" s="1480"/>
      <c r="H829" s="1480"/>
      <c r="I829" s="1480"/>
      <c r="J829" s="1480"/>
      <c r="K829" s="1480"/>
      <c r="L829" s="1480"/>
      <c r="M829" s="154"/>
      <c r="N829" s="1481"/>
      <c r="O829" s="1482"/>
    </row>
    <row r="830">
      <c r="A830" s="1463"/>
      <c r="B830" s="1464"/>
      <c r="C830" s="1465"/>
      <c r="D830" s="1471"/>
      <c r="E830" s="1467"/>
      <c r="F830" s="1468"/>
      <c r="G830" s="1469"/>
      <c r="H830" s="1470"/>
      <c r="I830" s="1471"/>
      <c r="J830" s="1472"/>
      <c r="K830" s="1473"/>
      <c r="L830" s="1468"/>
      <c r="M830" s="1386"/>
      <c r="N830" s="1474"/>
      <c r="O830" s="1475"/>
    </row>
    <row r="831">
      <c r="A831" s="1476"/>
      <c r="B831" s="1477"/>
      <c r="C831" s="1478"/>
      <c r="D831" s="1480"/>
      <c r="E831" s="1479"/>
      <c r="F831" s="1480"/>
      <c r="G831" s="1480"/>
      <c r="H831" s="1480"/>
      <c r="I831" s="1480"/>
      <c r="J831" s="1480"/>
      <c r="K831" s="1480"/>
      <c r="L831" s="1480"/>
      <c r="M831" s="154"/>
      <c r="N831" s="1481"/>
      <c r="O831" s="1482"/>
    </row>
    <row r="832">
      <c r="A832" s="1463"/>
      <c r="B832" s="1464"/>
      <c r="C832" s="1465"/>
      <c r="D832" s="1471"/>
      <c r="E832" s="1467"/>
      <c r="F832" s="1468"/>
      <c r="G832" s="1469"/>
      <c r="H832" s="1470"/>
      <c r="I832" s="1471"/>
      <c r="J832" s="1472"/>
      <c r="K832" s="1473"/>
      <c r="L832" s="1468"/>
      <c r="M832" s="1386"/>
      <c r="N832" s="1474"/>
      <c r="O832" s="1475"/>
    </row>
    <row r="833">
      <c r="A833" s="1476"/>
      <c r="B833" s="1477"/>
      <c r="C833" s="1478"/>
      <c r="D833" s="1480"/>
      <c r="E833" s="1479"/>
      <c r="F833" s="1480"/>
      <c r="G833" s="1480"/>
      <c r="H833" s="1480"/>
      <c r="I833" s="1480"/>
      <c r="J833" s="1480"/>
      <c r="K833" s="1480"/>
      <c r="L833" s="1480"/>
      <c r="M833" s="154"/>
      <c r="N833" s="1481"/>
      <c r="O833" s="1482"/>
    </row>
    <row r="834">
      <c r="A834" s="1463"/>
      <c r="B834" s="1464"/>
      <c r="C834" s="1465"/>
      <c r="D834" s="1471"/>
      <c r="E834" s="1467"/>
      <c r="F834" s="1468"/>
      <c r="G834" s="1469"/>
      <c r="H834" s="1470"/>
      <c r="I834" s="1471"/>
      <c r="J834" s="1472"/>
      <c r="K834" s="1473"/>
      <c r="L834" s="1468"/>
      <c r="M834" s="1386"/>
      <c r="N834" s="1474"/>
      <c r="O834" s="1475"/>
    </row>
    <row r="835">
      <c r="A835" s="1476"/>
      <c r="B835" s="1477"/>
      <c r="C835" s="1478"/>
      <c r="D835" s="1480"/>
      <c r="E835" s="1479"/>
      <c r="F835" s="1480"/>
      <c r="G835" s="1480"/>
      <c r="H835" s="1480"/>
      <c r="I835" s="1480"/>
      <c r="J835" s="1480"/>
      <c r="K835" s="1480"/>
      <c r="L835" s="1480"/>
      <c r="M835" s="154"/>
      <c r="N835" s="1481"/>
      <c r="O835" s="1482"/>
    </row>
    <row r="836">
      <c r="A836" s="1463"/>
      <c r="B836" s="1464"/>
      <c r="C836" s="1465"/>
      <c r="D836" s="1471"/>
      <c r="E836" s="1467"/>
      <c r="F836" s="1468"/>
      <c r="G836" s="1469"/>
      <c r="H836" s="1470"/>
      <c r="I836" s="1471"/>
      <c r="J836" s="1472"/>
      <c r="K836" s="1473"/>
      <c r="L836" s="1468"/>
      <c r="M836" s="1386"/>
      <c r="N836" s="1474"/>
      <c r="O836" s="1475"/>
    </row>
    <row r="837">
      <c r="A837" s="1476"/>
      <c r="B837" s="1477"/>
      <c r="C837" s="1478"/>
      <c r="D837" s="1480"/>
      <c r="E837" s="1479"/>
      <c r="F837" s="1480"/>
      <c r="G837" s="1480"/>
      <c r="H837" s="1480"/>
      <c r="I837" s="1480"/>
      <c r="J837" s="1480"/>
      <c r="K837" s="1480"/>
      <c r="L837" s="1480"/>
      <c r="M837" s="154"/>
      <c r="N837" s="1481"/>
      <c r="O837" s="1482"/>
    </row>
    <row r="838">
      <c r="A838" s="1463"/>
      <c r="B838" s="1464"/>
      <c r="C838" s="1465"/>
      <c r="D838" s="1471"/>
      <c r="E838" s="1467"/>
      <c r="F838" s="1468"/>
      <c r="G838" s="1469"/>
      <c r="H838" s="1470"/>
      <c r="I838" s="1471"/>
      <c r="J838" s="1472"/>
      <c r="K838" s="1473"/>
      <c r="L838" s="1468"/>
      <c r="M838" s="1386"/>
      <c r="N838" s="1474"/>
      <c r="O838" s="1475"/>
    </row>
    <row r="839">
      <c r="A839" s="1476"/>
      <c r="B839" s="1477"/>
      <c r="C839" s="1478"/>
      <c r="D839" s="1480"/>
      <c r="E839" s="1479"/>
      <c r="F839" s="1480"/>
      <c r="G839" s="1480"/>
      <c r="H839" s="1480"/>
      <c r="I839" s="1480"/>
      <c r="J839" s="1480"/>
      <c r="K839" s="1480"/>
      <c r="L839" s="1480"/>
      <c r="M839" s="154"/>
      <c r="N839" s="1481"/>
      <c r="O839" s="1482"/>
    </row>
    <row r="840">
      <c r="A840" s="1463"/>
      <c r="B840" s="1464"/>
      <c r="C840" s="1465"/>
      <c r="D840" s="1471"/>
      <c r="E840" s="1467"/>
      <c r="F840" s="1468"/>
      <c r="G840" s="1469"/>
      <c r="H840" s="1470"/>
      <c r="I840" s="1471"/>
      <c r="J840" s="1472"/>
      <c r="K840" s="1473"/>
      <c r="L840" s="1468"/>
      <c r="M840" s="1386"/>
      <c r="N840" s="1474"/>
      <c r="O840" s="1475"/>
    </row>
    <row r="841">
      <c r="A841" s="1476"/>
      <c r="B841" s="1477"/>
      <c r="C841" s="1478"/>
      <c r="D841" s="1480"/>
      <c r="E841" s="1479"/>
      <c r="F841" s="1480"/>
      <c r="G841" s="1480"/>
      <c r="H841" s="1480"/>
      <c r="I841" s="1480"/>
      <c r="J841" s="1480"/>
      <c r="K841" s="1480"/>
      <c r="L841" s="1480"/>
      <c r="M841" s="154"/>
      <c r="N841" s="1481"/>
      <c r="O841" s="1482"/>
    </row>
    <row r="842">
      <c r="A842" s="1463"/>
      <c r="B842" s="1464"/>
      <c r="C842" s="1465"/>
      <c r="D842" s="1471"/>
      <c r="E842" s="1467"/>
      <c r="F842" s="1468"/>
      <c r="G842" s="1469"/>
      <c r="H842" s="1470"/>
      <c r="I842" s="1471"/>
      <c r="J842" s="1472"/>
      <c r="K842" s="1473"/>
      <c r="L842" s="1468"/>
      <c r="M842" s="1386"/>
      <c r="N842" s="1474"/>
      <c r="O842" s="1475"/>
    </row>
    <row r="843">
      <c r="A843" s="1476"/>
      <c r="B843" s="1477"/>
      <c r="C843" s="1478"/>
      <c r="D843" s="1480"/>
      <c r="E843" s="1479"/>
      <c r="F843" s="1480"/>
      <c r="G843" s="1480"/>
      <c r="H843" s="1480"/>
      <c r="I843" s="1480"/>
      <c r="J843" s="1480"/>
      <c r="K843" s="1480"/>
      <c r="L843" s="1480"/>
      <c r="M843" s="154"/>
      <c r="N843" s="1481"/>
      <c r="O843" s="1482"/>
    </row>
    <row r="844">
      <c r="A844" s="1463"/>
      <c r="B844" s="1464"/>
      <c r="C844" s="1465"/>
      <c r="D844" s="1471"/>
      <c r="E844" s="1467"/>
      <c r="F844" s="1468"/>
      <c r="G844" s="1469"/>
      <c r="H844" s="1470"/>
      <c r="I844" s="1471"/>
      <c r="J844" s="1472"/>
      <c r="K844" s="1473"/>
      <c r="L844" s="1468"/>
      <c r="M844" s="1386"/>
      <c r="N844" s="1474"/>
      <c r="O844" s="1475"/>
    </row>
    <row r="845">
      <c r="A845" s="1476"/>
      <c r="B845" s="1477"/>
      <c r="C845" s="1478"/>
      <c r="D845" s="1480"/>
      <c r="E845" s="1479"/>
      <c r="F845" s="1480"/>
      <c r="G845" s="1480"/>
      <c r="H845" s="1480"/>
      <c r="I845" s="1480"/>
      <c r="J845" s="1480"/>
      <c r="K845" s="1480"/>
      <c r="L845" s="1480"/>
      <c r="M845" s="154"/>
      <c r="N845" s="1481"/>
      <c r="O845" s="1482"/>
    </row>
    <row r="846">
      <c r="A846" s="1463"/>
      <c r="B846" s="1464"/>
      <c r="C846" s="1465"/>
      <c r="D846" s="1471"/>
      <c r="E846" s="1467"/>
      <c r="F846" s="1468"/>
      <c r="G846" s="1469"/>
      <c r="H846" s="1470"/>
      <c r="I846" s="1471"/>
      <c r="J846" s="1472"/>
      <c r="K846" s="1473"/>
      <c r="L846" s="1468"/>
      <c r="M846" s="1386"/>
      <c r="N846" s="1474"/>
      <c r="O846" s="1475"/>
    </row>
    <row r="847">
      <c r="A847" s="1476"/>
      <c r="B847" s="1477"/>
      <c r="C847" s="1478"/>
      <c r="D847" s="1480"/>
      <c r="E847" s="1479"/>
      <c r="F847" s="1480"/>
      <c r="G847" s="1480"/>
      <c r="H847" s="1480"/>
      <c r="I847" s="1480"/>
      <c r="J847" s="1480"/>
      <c r="K847" s="1480"/>
      <c r="L847" s="1480"/>
      <c r="M847" s="154"/>
      <c r="N847" s="1481"/>
      <c r="O847" s="1482"/>
    </row>
    <row r="848">
      <c r="A848" s="1463"/>
      <c r="B848" s="1464"/>
      <c r="C848" s="1465"/>
      <c r="D848" s="1471"/>
      <c r="E848" s="1467"/>
      <c r="F848" s="1468"/>
      <c r="G848" s="1469"/>
      <c r="H848" s="1470"/>
      <c r="I848" s="1471"/>
      <c r="J848" s="1472"/>
      <c r="K848" s="1473"/>
      <c r="L848" s="1468"/>
      <c r="M848" s="1386"/>
      <c r="N848" s="1474"/>
      <c r="O848" s="1475"/>
    </row>
    <row r="849">
      <c r="A849" s="1476"/>
      <c r="B849" s="1477"/>
      <c r="C849" s="1478"/>
      <c r="D849" s="1480"/>
      <c r="E849" s="1479"/>
      <c r="F849" s="1480"/>
      <c r="G849" s="1480"/>
      <c r="H849" s="1480"/>
      <c r="I849" s="1480"/>
      <c r="J849" s="1480"/>
      <c r="K849" s="1480"/>
      <c r="L849" s="1480"/>
      <c r="M849" s="154"/>
      <c r="N849" s="1481"/>
      <c r="O849" s="1482"/>
    </row>
    <row r="850">
      <c r="A850" s="1463"/>
      <c r="B850" s="1464"/>
      <c r="C850" s="1465"/>
      <c r="D850" s="1471"/>
      <c r="E850" s="1467"/>
      <c r="F850" s="1468"/>
      <c r="G850" s="1469"/>
      <c r="H850" s="1470"/>
      <c r="I850" s="1471"/>
      <c r="J850" s="1472"/>
      <c r="K850" s="1473"/>
      <c r="L850" s="1468"/>
      <c r="M850" s="1386"/>
      <c r="N850" s="1474"/>
      <c r="O850" s="1475"/>
    </row>
    <row r="851">
      <c r="A851" s="1476"/>
      <c r="B851" s="1477"/>
      <c r="C851" s="1478"/>
      <c r="D851" s="1480"/>
      <c r="E851" s="1479"/>
      <c r="F851" s="1480"/>
      <c r="G851" s="1480"/>
      <c r="H851" s="1480"/>
      <c r="I851" s="1480"/>
      <c r="J851" s="1480"/>
      <c r="K851" s="1480"/>
      <c r="L851" s="1480"/>
      <c r="M851" s="154"/>
      <c r="N851" s="1481"/>
      <c r="O851" s="1482"/>
    </row>
    <row r="852">
      <c r="A852" s="1463"/>
      <c r="B852" s="1464"/>
      <c r="C852" s="1465"/>
      <c r="D852" s="1471"/>
      <c r="E852" s="1467"/>
      <c r="F852" s="1468"/>
      <c r="G852" s="1469"/>
      <c r="H852" s="1470"/>
      <c r="I852" s="1471"/>
      <c r="J852" s="1472"/>
      <c r="K852" s="1473"/>
      <c r="L852" s="1468"/>
      <c r="M852" s="1386"/>
      <c r="N852" s="1474"/>
      <c r="O852" s="1475"/>
    </row>
    <row r="853">
      <c r="A853" s="1476"/>
      <c r="B853" s="1477"/>
      <c r="C853" s="1478"/>
      <c r="D853" s="1480"/>
      <c r="E853" s="1479"/>
      <c r="F853" s="1480"/>
      <c r="G853" s="1480"/>
      <c r="H853" s="1480"/>
      <c r="I853" s="1480"/>
      <c r="J853" s="1480"/>
      <c r="K853" s="1480"/>
      <c r="L853" s="1480"/>
      <c r="M853" s="154"/>
      <c r="N853" s="1481"/>
      <c r="O853" s="1482"/>
    </row>
    <row r="854">
      <c r="A854" s="1463"/>
      <c r="B854" s="1464"/>
      <c r="C854" s="1465"/>
      <c r="D854" s="1471"/>
      <c r="E854" s="1467"/>
      <c r="F854" s="1468"/>
      <c r="G854" s="1469"/>
      <c r="H854" s="1470"/>
      <c r="I854" s="1471"/>
      <c r="J854" s="1472"/>
      <c r="K854" s="1473"/>
      <c r="L854" s="1468"/>
      <c r="M854" s="1386"/>
      <c r="N854" s="1474"/>
      <c r="O854" s="1475"/>
    </row>
    <row r="855">
      <c r="A855" s="1476"/>
      <c r="B855" s="1477"/>
      <c r="C855" s="1478"/>
      <c r="D855" s="1480"/>
      <c r="E855" s="1479"/>
      <c r="F855" s="1480"/>
      <c r="G855" s="1480"/>
      <c r="H855" s="1480"/>
      <c r="I855" s="1480"/>
      <c r="J855" s="1480"/>
      <c r="K855" s="1480"/>
      <c r="L855" s="1480"/>
      <c r="M855" s="154"/>
      <c r="N855" s="1481"/>
      <c r="O855" s="1482"/>
    </row>
    <row r="856">
      <c r="A856" s="1463"/>
      <c r="B856" s="1464"/>
      <c r="C856" s="1465"/>
      <c r="D856" s="1471"/>
      <c r="E856" s="1467"/>
      <c r="F856" s="1468"/>
      <c r="G856" s="1469"/>
      <c r="H856" s="1470"/>
      <c r="I856" s="1471"/>
      <c r="J856" s="1472"/>
      <c r="K856" s="1473"/>
      <c r="L856" s="1468"/>
      <c r="M856" s="1386"/>
      <c r="N856" s="1474"/>
      <c r="O856" s="1475"/>
    </row>
    <row r="857">
      <c r="A857" s="1476"/>
      <c r="B857" s="1477"/>
      <c r="C857" s="1478"/>
      <c r="D857" s="1480"/>
      <c r="E857" s="1479"/>
      <c r="F857" s="1480"/>
      <c r="G857" s="1480"/>
      <c r="H857" s="1480"/>
      <c r="I857" s="1480"/>
      <c r="J857" s="1480"/>
      <c r="K857" s="1480"/>
      <c r="L857" s="1480"/>
      <c r="M857" s="154"/>
      <c r="N857" s="1481"/>
      <c r="O857" s="1482"/>
    </row>
    <row r="858">
      <c r="A858" s="1463"/>
      <c r="B858" s="1464"/>
      <c r="C858" s="1465"/>
      <c r="D858" s="1471"/>
      <c r="E858" s="1467"/>
      <c r="F858" s="1468"/>
      <c r="G858" s="1469"/>
      <c r="H858" s="1470"/>
      <c r="I858" s="1471"/>
      <c r="J858" s="1472"/>
      <c r="K858" s="1473"/>
      <c r="L858" s="1468"/>
      <c r="M858" s="1386"/>
      <c r="N858" s="1474"/>
      <c r="O858" s="1475"/>
    </row>
    <row r="859">
      <c r="A859" s="1476"/>
      <c r="B859" s="1477"/>
      <c r="C859" s="1478"/>
      <c r="D859" s="1480"/>
      <c r="E859" s="1479"/>
      <c r="F859" s="1480"/>
      <c r="G859" s="1480"/>
      <c r="H859" s="1480"/>
      <c r="I859" s="1480"/>
      <c r="J859" s="1480"/>
      <c r="K859" s="1480"/>
      <c r="L859" s="1480"/>
      <c r="M859" s="154"/>
      <c r="N859" s="1481"/>
      <c r="O859" s="1482"/>
    </row>
    <row r="860">
      <c r="A860" s="1463"/>
      <c r="B860" s="1464"/>
      <c r="C860" s="1465"/>
      <c r="D860" s="1471"/>
      <c r="E860" s="1467"/>
      <c r="F860" s="1468"/>
      <c r="G860" s="1469"/>
      <c r="H860" s="1470"/>
      <c r="I860" s="1471"/>
      <c r="J860" s="1472"/>
      <c r="K860" s="1473"/>
      <c r="L860" s="1468"/>
      <c r="M860" s="1386"/>
      <c r="N860" s="1474"/>
      <c r="O860" s="1475"/>
    </row>
    <row r="861">
      <c r="A861" s="1476"/>
      <c r="B861" s="1477"/>
      <c r="C861" s="1478"/>
      <c r="D861" s="1480"/>
      <c r="E861" s="1479"/>
      <c r="F861" s="1480"/>
      <c r="G861" s="1480"/>
      <c r="H861" s="1480"/>
      <c r="I861" s="1480"/>
      <c r="J861" s="1480"/>
      <c r="K861" s="1480"/>
      <c r="L861" s="1480"/>
      <c r="M861" s="154"/>
      <c r="N861" s="1481"/>
      <c r="O861" s="1482"/>
    </row>
    <row r="862">
      <c r="A862" s="1463"/>
      <c r="B862" s="1464"/>
      <c r="C862" s="1465"/>
      <c r="D862" s="1471"/>
      <c r="E862" s="1467"/>
      <c r="F862" s="1468"/>
      <c r="G862" s="1469"/>
      <c r="H862" s="1470"/>
      <c r="I862" s="1471"/>
      <c r="J862" s="1472"/>
      <c r="K862" s="1473"/>
      <c r="L862" s="1468"/>
      <c r="M862" s="1386"/>
      <c r="N862" s="1474"/>
      <c r="O862" s="1475"/>
    </row>
    <row r="863">
      <c r="A863" s="1476"/>
      <c r="B863" s="1477"/>
      <c r="C863" s="1478"/>
      <c r="D863" s="1480"/>
      <c r="E863" s="1479"/>
      <c r="F863" s="1480"/>
      <c r="G863" s="1480"/>
      <c r="H863" s="1480"/>
      <c r="I863" s="1480"/>
      <c r="J863" s="1480"/>
      <c r="K863" s="1480"/>
      <c r="L863" s="1480"/>
      <c r="M863" s="154"/>
      <c r="N863" s="1481"/>
      <c r="O863" s="1482"/>
    </row>
    <row r="864">
      <c r="A864" s="1463"/>
      <c r="B864" s="1464"/>
      <c r="C864" s="1465"/>
      <c r="D864" s="1471"/>
      <c r="E864" s="1467"/>
      <c r="F864" s="1468"/>
      <c r="G864" s="1469"/>
      <c r="H864" s="1470"/>
      <c r="I864" s="1471"/>
      <c r="J864" s="1472"/>
      <c r="K864" s="1473"/>
      <c r="L864" s="1468"/>
      <c r="M864" s="1386"/>
      <c r="N864" s="1474"/>
      <c r="O864" s="1475"/>
    </row>
    <row r="865">
      <c r="A865" s="1476"/>
      <c r="B865" s="1477"/>
      <c r="C865" s="1478"/>
      <c r="D865" s="1480"/>
      <c r="E865" s="1479"/>
      <c r="F865" s="1480"/>
      <c r="G865" s="1480"/>
      <c r="H865" s="1480"/>
      <c r="I865" s="1480"/>
      <c r="J865" s="1480"/>
      <c r="K865" s="1480"/>
      <c r="L865" s="1480"/>
      <c r="M865" s="154"/>
      <c r="N865" s="1481"/>
      <c r="O865" s="1482"/>
    </row>
    <row r="866">
      <c r="A866" s="1463"/>
      <c r="B866" s="1464"/>
      <c r="C866" s="1465"/>
      <c r="D866" s="1471"/>
      <c r="E866" s="1467"/>
      <c r="F866" s="1468"/>
      <c r="G866" s="1469"/>
      <c r="H866" s="1470"/>
      <c r="I866" s="1471"/>
      <c r="J866" s="1472"/>
      <c r="K866" s="1473"/>
      <c r="L866" s="1468"/>
      <c r="M866" s="1386"/>
      <c r="N866" s="1474"/>
      <c r="O866" s="1475"/>
    </row>
    <row r="867">
      <c r="A867" s="1476"/>
      <c r="B867" s="1477"/>
      <c r="C867" s="1478"/>
      <c r="D867" s="1480"/>
      <c r="E867" s="1479"/>
      <c r="F867" s="1480"/>
      <c r="G867" s="1480"/>
      <c r="H867" s="1480"/>
      <c r="I867" s="1480"/>
      <c r="J867" s="1480"/>
      <c r="K867" s="1480"/>
      <c r="L867" s="1480"/>
      <c r="M867" s="154"/>
      <c r="N867" s="1481"/>
      <c r="O867" s="1482"/>
    </row>
    <row r="868">
      <c r="A868" s="1463"/>
      <c r="B868" s="1464"/>
      <c r="C868" s="1465"/>
      <c r="D868" s="1471"/>
      <c r="E868" s="1467"/>
      <c r="F868" s="1468"/>
      <c r="G868" s="1469"/>
      <c r="H868" s="1470"/>
      <c r="I868" s="1471"/>
      <c r="J868" s="1472"/>
      <c r="K868" s="1473"/>
      <c r="L868" s="1468"/>
      <c r="M868" s="1386"/>
      <c r="N868" s="1474"/>
      <c r="O868" s="1475"/>
    </row>
    <row r="869">
      <c r="A869" s="1476"/>
      <c r="B869" s="1477"/>
      <c r="C869" s="1478"/>
      <c r="D869" s="1480"/>
      <c r="E869" s="1479"/>
      <c r="F869" s="1480"/>
      <c r="G869" s="1480"/>
      <c r="H869" s="1480"/>
      <c r="I869" s="1480"/>
      <c r="J869" s="1480"/>
      <c r="K869" s="1480"/>
      <c r="L869" s="1480"/>
      <c r="M869" s="154"/>
      <c r="N869" s="1481"/>
      <c r="O869" s="1482"/>
    </row>
    <row r="870">
      <c r="A870" s="1463"/>
      <c r="B870" s="1464"/>
      <c r="C870" s="1465"/>
      <c r="D870" s="1471"/>
      <c r="E870" s="1467"/>
      <c r="F870" s="1468"/>
      <c r="G870" s="1469"/>
      <c r="H870" s="1470"/>
      <c r="I870" s="1471"/>
      <c r="J870" s="1472"/>
      <c r="K870" s="1473"/>
      <c r="L870" s="1468"/>
      <c r="M870" s="1386"/>
      <c r="N870" s="1474"/>
      <c r="O870" s="1475"/>
    </row>
    <row r="871">
      <c r="A871" s="1476"/>
      <c r="B871" s="1477"/>
      <c r="C871" s="1478"/>
      <c r="D871" s="1480"/>
      <c r="E871" s="1479"/>
      <c r="F871" s="1480"/>
      <c r="G871" s="1480"/>
      <c r="H871" s="1480"/>
      <c r="I871" s="1480"/>
      <c r="J871" s="1480"/>
      <c r="K871" s="1480"/>
      <c r="L871" s="1480"/>
      <c r="M871" s="154"/>
      <c r="N871" s="1481"/>
      <c r="O871" s="1482"/>
    </row>
    <row r="872">
      <c r="A872" s="1463"/>
      <c r="B872" s="1464"/>
      <c r="C872" s="1465"/>
      <c r="D872" s="1471"/>
      <c r="E872" s="1467"/>
      <c r="F872" s="1468"/>
      <c r="G872" s="1469"/>
      <c r="H872" s="1470"/>
      <c r="I872" s="1471"/>
      <c r="J872" s="1472"/>
      <c r="K872" s="1473"/>
      <c r="L872" s="1468"/>
      <c r="M872" s="1386"/>
      <c r="N872" s="1474"/>
      <c r="O872" s="1475"/>
    </row>
    <row r="873">
      <c r="A873" s="1476"/>
      <c r="B873" s="1477"/>
      <c r="C873" s="1478"/>
      <c r="D873" s="1480"/>
      <c r="E873" s="1479"/>
      <c r="F873" s="1480"/>
      <c r="G873" s="1480"/>
      <c r="H873" s="1480"/>
      <c r="I873" s="1480"/>
      <c r="J873" s="1480"/>
      <c r="K873" s="1480"/>
      <c r="L873" s="1480"/>
      <c r="M873" s="154"/>
      <c r="N873" s="1481"/>
      <c r="O873" s="1482"/>
    </row>
    <row r="874">
      <c r="A874" s="1463"/>
      <c r="B874" s="1464"/>
      <c r="C874" s="1465"/>
      <c r="D874" s="1471"/>
      <c r="E874" s="1467"/>
      <c r="F874" s="1468"/>
      <c r="G874" s="1469"/>
      <c r="H874" s="1470"/>
      <c r="I874" s="1471"/>
      <c r="J874" s="1472"/>
      <c r="K874" s="1473"/>
      <c r="L874" s="1468"/>
      <c r="M874" s="1386"/>
      <c r="N874" s="1474"/>
      <c r="O874" s="1475"/>
    </row>
    <row r="875">
      <c r="A875" s="1476"/>
      <c r="B875" s="1477"/>
      <c r="C875" s="1478"/>
      <c r="D875" s="1480"/>
      <c r="E875" s="1479"/>
      <c r="F875" s="1480"/>
      <c r="G875" s="1480"/>
      <c r="H875" s="1480"/>
      <c r="I875" s="1480"/>
      <c r="J875" s="1480"/>
      <c r="K875" s="1480"/>
      <c r="L875" s="1480"/>
      <c r="M875" s="154"/>
      <c r="N875" s="1481"/>
      <c r="O875" s="1482"/>
    </row>
    <row r="876">
      <c r="A876" s="1463"/>
      <c r="B876" s="1464"/>
      <c r="C876" s="1465"/>
      <c r="D876" s="1471"/>
      <c r="E876" s="1467"/>
      <c r="F876" s="1468"/>
      <c r="G876" s="1469"/>
      <c r="H876" s="1470"/>
      <c r="I876" s="1471"/>
      <c r="J876" s="1472"/>
      <c r="K876" s="1473"/>
      <c r="L876" s="1468"/>
      <c r="M876" s="1386"/>
      <c r="N876" s="1474"/>
      <c r="O876" s="1475"/>
    </row>
    <row r="877">
      <c r="A877" s="1476"/>
      <c r="B877" s="1477"/>
      <c r="C877" s="1478"/>
      <c r="D877" s="1480"/>
      <c r="E877" s="1479"/>
      <c r="F877" s="1480"/>
      <c r="G877" s="1480"/>
      <c r="H877" s="1480"/>
      <c r="I877" s="1480"/>
      <c r="J877" s="1480"/>
      <c r="K877" s="1480"/>
      <c r="L877" s="1480"/>
      <c r="M877" s="154"/>
      <c r="N877" s="1481"/>
      <c r="O877" s="1482"/>
    </row>
    <row r="878">
      <c r="A878" s="1463"/>
      <c r="B878" s="1464"/>
      <c r="C878" s="1465"/>
      <c r="D878" s="1471"/>
      <c r="E878" s="1467"/>
      <c r="F878" s="1468"/>
      <c r="G878" s="1469"/>
      <c r="H878" s="1470"/>
      <c r="I878" s="1471"/>
      <c r="J878" s="1472"/>
      <c r="K878" s="1473"/>
      <c r="L878" s="1468"/>
      <c r="M878" s="1386"/>
      <c r="N878" s="1474"/>
      <c r="O878" s="1475"/>
    </row>
    <row r="879">
      <c r="A879" s="1476"/>
      <c r="B879" s="1477"/>
      <c r="C879" s="1478"/>
      <c r="D879" s="1480"/>
      <c r="E879" s="1479"/>
      <c r="F879" s="1480"/>
      <c r="G879" s="1480"/>
      <c r="H879" s="1480"/>
      <c r="I879" s="1480"/>
      <c r="J879" s="1480"/>
      <c r="K879" s="1480"/>
      <c r="L879" s="1480"/>
      <c r="M879" s="154"/>
      <c r="N879" s="1481"/>
      <c r="O879" s="1482"/>
    </row>
    <row r="880">
      <c r="A880" s="1463"/>
      <c r="B880" s="1464"/>
      <c r="C880" s="1465"/>
      <c r="D880" s="1471"/>
      <c r="E880" s="1467"/>
      <c r="F880" s="1468"/>
      <c r="G880" s="1469"/>
      <c r="H880" s="1470"/>
      <c r="I880" s="1471"/>
      <c r="J880" s="1472"/>
      <c r="K880" s="1473"/>
      <c r="L880" s="1468"/>
      <c r="M880" s="1386"/>
      <c r="N880" s="1474"/>
      <c r="O880" s="1475"/>
    </row>
    <row r="881">
      <c r="A881" s="1476"/>
      <c r="B881" s="1477"/>
      <c r="C881" s="1478"/>
      <c r="D881" s="1480"/>
      <c r="E881" s="1479"/>
      <c r="F881" s="1480"/>
      <c r="G881" s="1480"/>
      <c r="H881" s="1480"/>
      <c r="I881" s="1480"/>
      <c r="J881" s="1480"/>
      <c r="K881" s="1480"/>
      <c r="L881" s="1480"/>
      <c r="M881" s="154"/>
      <c r="N881" s="1481"/>
      <c r="O881" s="1482"/>
    </row>
    <row r="882">
      <c r="A882" s="1463"/>
      <c r="B882" s="1464"/>
      <c r="C882" s="1465"/>
      <c r="D882" s="1471"/>
      <c r="E882" s="1467"/>
      <c r="F882" s="1468"/>
      <c r="G882" s="1469"/>
      <c r="H882" s="1470"/>
      <c r="I882" s="1471"/>
      <c r="J882" s="1472"/>
      <c r="K882" s="1473"/>
      <c r="L882" s="1468"/>
      <c r="M882" s="1386"/>
      <c r="N882" s="1474"/>
      <c r="O882" s="1475"/>
    </row>
    <row r="883">
      <c r="A883" s="1476"/>
      <c r="B883" s="1477"/>
      <c r="C883" s="1478"/>
      <c r="D883" s="1480"/>
      <c r="E883" s="1479"/>
      <c r="F883" s="1480"/>
      <c r="G883" s="1480"/>
      <c r="H883" s="1480"/>
      <c r="I883" s="1480"/>
      <c r="J883" s="1480"/>
      <c r="K883" s="1480"/>
      <c r="L883" s="1480"/>
      <c r="M883" s="154"/>
      <c r="N883" s="1481"/>
      <c r="O883" s="1482"/>
    </row>
    <row r="884">
      <c r="A884" s="1463"/>
      <c r="B884" s="1464"/>
      <c r="C884" s="1465"/>
      <c r="D884" s="1471"/>
      <c r="E884" s="1467"/>
      <c r="F884" s="1468"/>
      <c r="G884" s="1469"/>
      <c r="H884" s="1470"/>
      <c r="I884" s="1471"/>
      <c r="J884" s="1472"/>
      <c r="K884" s="1473"/>
      <c r="L884" s="1468"/>
      <c r="M884" s="1386"/>
      <c r="N884" s="1474"/>
      <c r="O884" s="1475"/>
    </row>
    <row r="885">
      <c r="A885" s="1476"/>
      <c r="B885" s="1477"/>
      <c r="C885" s="1478"/>
      <c r="D885" s="1480"/>
      <c r="E885" s="1479"/>
      <c r="F885" s="1480"/>
      <c r="G885" s="1480"/>
      <c r="H885" s="1480"/>
      <c r="I885" s="1480"/>
      <c r="J885" s="1480"/>
      <c r="K885" s="1480"/>
      <c r="L885" s="1480"/>
      <c r="M885" s="154"/>
      <c r="N885" s="1481"/>
      <c r="O885" s="1482"/>
    </row>
    <row r="886">
      <c r="A886" s="1463"/>
      <c r="B886" s="1464"/>
      <c r="C886" s="1465"/>
      <c r="D886" s="1471"/>
      <c r="E886" s="1467"/>
      <c r="F886" s="1468"/>
      <c r="G886" s="1469"/>
      <c r="H886" s="1470"/>
      <c r="I886" s="1471"/>
      <c r="J886" s="1472"/>
      <c r="K886" s="1473"/>
      <c r="L886" s="1468"/>
      <c r="M886" s="1386"/>
      <c r="N886" s="1474"/>
      <c r="O886" s="1475"/>
    </row>
    <row r="887">
      <c r="A887" s="1476"/>
      <c r="B887" s="1477"/>
      <c r="C887" s="1478"/>
      <c r="D887" s="1480"/>
      <c r="E887" s="1479"/>
      <c r="F887" s="1480"/>
      <c r="G887" s="1480"/>
      <c r="H887" s="1480"/>
      <c r="I887" s="1480"/>
      <c r="J887" s="1480"/>
      <c r="K887" s="1480"/>
      <c r="L887" s="1480"/>
      <c r="M887" s="154"/>
      <c r="N887" s="1481"/>
      <c r="O887" s="1482"/>
    </row>
    <row r="888">
      <c r="A888" s="1463"/>
      <c r="B888" s="1464"/>
      <c r="C888" s="1465"/>
      <c r="D888" s="1471"/>
      <c r="E888" s="1467"/>
      <c r="F888" s="1468"/>
      <c r="G888" s="1469"/>
      <c r="H888" s="1470"/>
      <c r="I888" s="1471"/>
      <c r="J888" s="1472"/>
      <c r="K888" s="1473"/>
      <c r="L888" s="1468"/>
      <c r="M888" s="1386"/>
      <c r="N888" s="1474"/>
      <c r="O888" s="1475"/>
    </row>
    <row r="889">
      <c r="A889" s="1476"/>
      <c r="B889" s="1477"/>
      <c r="C889" s="1478"/>
      <c r="D889" s="1480"/>
      <c r="E889" s="1479"/>
      <c r="F889" s="1480"/>
      <c r="G889" s="1480"/>
      <c r="H889" s="1480"/>
      <c r="I889" s="1480"/>
      <c r="J889" s="1480"/>
      <c r="K889" s="1480"/>
      <c r="L889" s="1480"/>
      <c r="M889" s="154"/>
      <c r="N889" s="1481"/>
      <c r="O889" s="1482"/>
    </row>
    <row r="890">
      <c r="A890" s="1463"/>
      <c r="B890" s="1464"/>
      <c r="C890" s="1465"/>
      <c r="D890" s="1471"/>
      <c r="E890" s="1467"/>
      <c r="F890" s="1468"/>
      <c r="G890" s="1469"/>
      <c r="H890" s="1470"/>
      <c r="I890" s="1471"/>
      <c r="J890" s="1472"/>
      <c r="K890" s="1473"/>
      <c r="L890" s="1468"/>
      <c r="M890" s="1386"/>
      <c r="N890" s="1474"/>
      <c r="O890" s="1475"/>
    </row>
    <row r="891">
      <c r="A891" s="1476"/>
      <c r="B891" s="1477"/>
      <c r="C891" s="1478"/>
      <c r="D891" s="1480"/>
      <c r="E891" s="1479"/>
      <c r="F891" s="1480"/>
      <c r="G891" s="1480"/>
      <c r="H891" s="1480"/>
      <c r="I891" s="1480"/>
      <c r="J891" s="1480"/>
      <c r="K891" s="1480"/>
      <c r="L891" s="1480"/>
      <c r="M891" s="154"/>
      <c r="N891" s="1481"/>
      <c r="O891" s="1482"/>
    </row>
    <row r="892">
      <c r="A892" s="1463"/>
      <c r="B892" s="1464"/>
      <c r="C892" s="1465"/>
      <c r="D892" s="1471"/>
      <c r="E892" s="1467"/>
      <c r="F892" s="1468"/>
      <c r="G892" s="1469"/>
      <c r="H892" s="1470"/>
      <c r="I892" s="1471"/>
      <c r="J892" s="1472"/>
      <c r="K892" s="1473"/>
      <c r="L892" s="1468"/>
      <c r="M892" s="1386"/>
      <c r="N892" s="1474"/>
      <c r="O892" s="1475"/>
    </row>
    <row r="893">
      <c r="A893" s="1476"/>
      <c r="B893" s="1477"/>
      <c r="C893" s="1478"/>
      <c r="D893" s="1480"/>
      <c r="E893" s="1479"/>
      <c r="F893" s="1480"/>
      <c r="G893" s="1480"/>
      <c r="H893" s="1480"/>
      <c r="I893" s="1480"/>
      <c r="J893" s="1480"/>
      <c r="K893" s="1480"/>
      <c r="L893" s="1480"/>
      <c r="M893" s="154"/>
      <c r="N893" s="1481"/>
      <c r="O893" s="1482"/>
    </row>
    <row r="894">
      <c r="A894" s="1463"/>
      <c r="B894" s="1464"/>
      <c r="C894" s="1465"/>
      <c r="D894" s="1471"/>
      <c r="E894" s="1467"/>
      <c r="F894" s="1468"/>
      <c r="G894" s="1469"/>
      <c r="H894" s="1470"/>
      <c r="I894" s="1471"/>
      <c r="J894" s="1472"/>
      <c r="K894" s="1473"/>
      <c r="L894" s="1468"/>
      <c r="M894" s="1386"/>
      <c r="N894" s="1474"/>
      <c r="O894" s="1475"/>
    </row>
    <row r="895">
      <c r="A895" s="1476"/>
      <c r="B895" s="1477"/>
      <c r="C895" s="1478"/>
      <c r="D895" s="1480"/>
      <c r="E895" s="1479"/>
      <c r="F895" s="1480"/>
      <c r="G895" s="1480"/>
      <c r="H895" s="1480"/>
      <c r="I895" s="1480"/>
      <c r="J895" s="1480"/>
      <c r="K895" s="1480"/>
      <c r="L895" s="1480"/>
      <c r="M895" s="154"/>
      <c r="N895" s="1481"/>
      <c r="O895" s="1482"/>
    </row>
    <row r="896">
      <c r="A896" s="1463"/>
      <c r="B896" s="1464"/>
      <c r="C896" s="1465"/>
      <c r="D896" s="1471"/>
      <c r="E896" s="1467"/>
      <c r="F896" s="1468"/>
      <c r="G896" s="1469"/>
      <c r="H896" s="1470"/>
      <c r="I896" s="1471"/>
      <c r="J896" s="1472"/>
      <c r="K896" s="1473"/>
      <c r="L896" s="1468"/>
      <c r="M896" s="1386"/>
      <c r="N896" s="1474"/>
      <c r="O896" s="1475"/>
    </row>
    <row r="897">
      <c r="A897" s="1476"/>
      <c r="B897" s="1477"/>
      <c r="C897" s="1478"/>
      <c r="D897" s="1480"/>
      <c r="E897" s="1479"/>
      <c r="F897" s="1480"/>
      <c r="G897" s="1480"/>
      <c r="H897" s="1480"/>
      <c r="I897" s="1480"/>
      <c r="J897" s="1480"/>
      <c r="K897" s="1480"/>
      <c r="L897" s="1480"/>
      <c r="M897" s="154"/>
      <c r="N897" s="1481"/>
      <c r="O897" s="1482"/>
    </row>
    <row r="898">
      <c r="A898" s="1463"/>
      <c r="B898" s="1464"/>
      <c r="C898" s="1465"/>
      <c r="D898" s="1471"/>
      <c r="E898" s="1467"/>
      <c r="F898" s="1468"/>
      <c r="G898" s="1469"/>
      <c r="H898" s="1470"/>
      <c r="I898" s="1471"/>
      <c r="J898" s="1472"/>
      <c r="K898" s="1473"/>
      <c r="L898" s="1468"/>
      <c r="M898" s="1386"/>
      <c r="N898" s="1474"/>
      <c r="O898" s="1475"/>
    </row>
    <row r="899">
      <c r="A899" s="1476"/>
      <c r="B899" s="1477"/>
      <c r="C899" s="1478"/>
      <c r="D899" s="1480"/>
      <c r="E899" s="1479"/>
      <c r="F899" s="1480"/>
      <c r="G899" s="1480"/>
      <c r="H899" s="1480"/>
      <c r="I899" s="1480"/>
      <c r="J899" s="1480"/>
      <c r="K899" s="1480"/>
      <c r="L899" s="1480"/>
      <c r="M899" s="154"/>
      <c r="N899" s="1481"/>
      <c r="O899" s="1482"/>
    </row>
    <row r="900">
      <c r="A900" s="1463"/>
      <c r="B900" s="1464"/>
      <c r="C900" s="1465"/>
      <c r="D900" s="1471"/>
      <c r="E900" s="1467"/>
      <c r="F900" s="1468"/>
      <c r="G900" s="1469"/>
      <c r="H900" s="1470"/>
      <c r="I900" s="1471"/>
      <c r="J900" s="1472"/>
      <c r="K900" s="1473"/>
      <c r="L900" s="1468"/>
      <c r="M900" s="1386"/>
      <c r="N900" s="1474"/>
      <c r="O900" s="1475"/>
    </row>
    <row r="901">
      <c r="A901" s="1476"/>
      <c r="B901" s="1477"/>
      <c r="C901" s="1478"/>
      <c r="D901" s="1480"/>
      <c r="E901" s="1479"/>
      <c r="F901" s="1480"/>
      <c r="G901" s="1480"/>
      <c r="H901" s="1480"/>
      <c r="I901" s="1480"/>
      <c r="J901" s="1480"/>
      <c r="K901" s="1480"/>
      <c r="L901" s="1480"/>
      <c r="M901" s="154"/>
      <c r="N901" s="1481"/>
      <c r="O901" s="1482"/>
    </row>
    <row r="902">
      <c r="A902" s="1463"/>
      <c r="B902" s="1464"/>
      <c r="C902" s="1465"/>
      <c r="D902" s="1471"/>
      <c r="E902" s="1467"/>
      <c r="F902" s="1468"/>
      <c r="G902" s="1469"/>
      <c r="H902" s="1470"/>
      <c r="I902" s="1471"/>
      <c r="J902" s="1472"/>
      <c r="K902" s="1473"/>
      <c r="L902" s="1468"/>
      <c r="M902" s="1386"/>
      <c r="N902" s="1474"/>
      <c r="O902" s="1475"/>
    </row>
    <row r="903">
      <c r="A903" s="1476"/>
      <c r="B903" s="1477"/>
      <c r="C903" s="1478"/>
      <c r="D903" s="1480"/>
      <c r="E903" s="1479"/>
      <c r="F903" s="1480"/>
      <c r="G903" s="1480"/>
      <c r="H903" s="1480"/>
      <c r="I903" s="1480"/>
      <c r="J903" s="1480"/>
      <c r="K903" s="1480"/>
      <c r="L903" s="1480"/>
      <c r="M903" s="154"/>
      <c r="N903" s="1481"/>
      <c r="O903" s="1482"/>
    </row>
    <row r="904">
      <c r="A904" s="1463"/>
      <c r="B904" s="1464"/>
      <c r="C904" s="1465"/>
      <c r="D904" s="1471"/>
      <c r="E904" s="1467"/>
      <c r="F904" s="1468"/>
      <c r="G904" s="1469"/>
      <c r="H904" s="1470"/>
      <c r="I904" s="1471"/>
      <c r="J904" s="1472"/>
      <c r="K904" s="1473"/>
      <c r="L904" s="1468"/>
      <c r="M904" s="1386"/>
      <c r="N904" s="1474"/>
      <c r="O904" s="1475"/>
    </row>
    <row r="905">
      <c r="A905" s="1476"/>
      <c r="B905" s="1477"/>
      <c r="C905" s="1478"/>
      <c r="D905" s="1480"/>
      <c r="E905" s="1479"/>
      <c r="F905" s="1480"/>
      <c r="G905" s="1480"/>
      <c r="H905" s="1480"/>
      <c r="I905" s="1480"/>
      <c r="J905" s="1480"/>
      <c r="K905" s="1480"/>
      <c r="L905" s="1480"/>
      <c r="M905" s="154"/>
      <c r="N905" s="1481"/>
      <c r="O905" s="1482"/>
    </row>
    <row r="906">
      <c r="A906" s="1463"/>
      <c r="B906" s="1464"/>
      <c r="C906" s="1465"/>
      <c r="D906" s="1471"/>
      <c r="E906" s="1467"/>
      <c r="F906" s="1468"/>
      <c r="G906" s="1469"/>
      <c r="H906" s="1470"/>
      <c r="I906" s="1471"/>
      <c r="J906" s="1472"/>
      <c r="K906" s="1473"/>
      <c r="L906" s="1468"/>
      <c r="M906" s="1386"/>
      <c r="N906" s="1474"/>
      <c r="O906" s="1475"/>
    </row>
    <row r="907">
      <c r="A907" s="1476"/>
      <c r="B907" s="1477"/>
      <c r="C907" s="1478"/>
      <c r="D907" s="1480"/>
      <c r="E907" s="1479"/>
      <c r="F907" s="1480"/>
      <c r="G907" s="1480"/>
      <c r="H907" s="1480"/>
      <c r="I907" s="1480"/>
      <c r="J907" s="1480"/>
      <c r="K907" s="1480"/>
      <c r="L907" s="1480"/>
      <c r="M907" s="154"/>
      <c r="N907" s="1481"/>
      <c r="O907" s="1482"/>
    </row>
    <row r="908">
      <c r="A908" s="1463"/>
      <c r="B908" s="1464"/>
      <c r="C908" s="1465"/>
      <c r="D908" s="1471"/>
      <c r="E908" s="1467"/>
      <c r="F908" s="1468"/>
      <c r="G908" s="1469"/>
      <c r="H908" s="1470"/>
      <c r="I908" s="1471"/>
      <c r="J908" s="1472"/>
      <c r="K908" s="1473"/>
      <c r="L908" s="1468"/>
      <c r="M908" s="1386"/>
      <c r="N908" s="1474"/>
      <c r="O908" s="1475"/>
    </row>
    <row r="909">
      <c r="A909" s="1476"/>
      <c r="B909" s="1477"/>
      <c r="C909" s="1478"/>
      <c r="D909" s="1480"/>
      <c r="E909" s="1479"/>
      <c r="F909" s="1480"/>
      <c r="G909" s="1480"/>
      <c r="H909" s="1480"/>
      <c r="I909" s="1480"/>
      <c r="J909" s="1480"/>
      <c r="K909" s="1480"/>
      <c r="L909" s="1480"/>
      <c r="M909" s="154"/>
      <c r="N909" s="1481"/>
      <c r="O909" s="1482"/>
    </row>
    <row r="910">
      <c r="A910" s="1463"/>
      <c r="B910" s="1464"/>
      <c r="C910" s="1465"/>
      <c r="D910" s="1471"/>
      <c r="E910" s="1467"/>
      <c r="F910" s="1468"/>
      <c r="G910" s="1469"/>
      <c r="H910" s="1470"/>
      <c r="I910" s="1471"/>
      <c r="J910" s="1472"/>
      <c r="K910" s="1473"/>
      <c r="L910" s="1468"/>
      <c r="M910" s="1386"/>
      <c r="N910" s="1474"/>
      <c r="O910" s="1475"/>
    </row>
    <row r="911">
      <c r="A911" s="1476"/>
      <c r="B911" s="1477"/>
      <c r="C911" s="1478"/>
      <c r="D911" s="1480"/>
      <c r="E911" s="1479"/>
      <c r="F911" s="1480"/>
      <c r="G911" s="1480"/>
      <c r="H911" s="1480"/>
      <c r="I911" s="1480"/>
      <c r="J911" s="1480"/>
      <c r="K911" s="1480"/>
      <c r="L911" s="1480"/>
      <c r="M911" s="154"/>
      <c r="N911" s="1481"/>
      <c r="O911" s="1482"/>
    </row>
    <row r="912">
      <c r="A912" s="1463"/>
      <c r="B912" s="1464"/>
      <c r="C912" s="1465"/>
      <c r="D912" s="1471"/>
      <c r="E912" s="1467"/>
      <c r="F912" s="1468"/>
      <c r="G912" s="1469"/>
      <c r="H912" s="1470"/>
      <c r="I912" s="1471"/>
      <c r="J912" s="1472"/>
      <c r="K912" s="1473"/>
      <c r="L912" s="1468"/>
      <c r="M912" s="1386"/>
      <c r="N912" s="1474"/>
      <c r="O912" s="1475"/>
    </row>
    <row r="913">
      <c r="A913" s="1476"/>
      <c r="B913" s="1477"/>
      <c r="C913" s="1478"/>
      <c r="D913" s="1480"/>
      <c r="E913" s="1479"/>
      <c r="F913" s="1480"/>
      <c r="G913" s="1480"/>
      <c r="H913" s="1480"/>
      <c r="I913" s="1480"/>
      <c r="J913" s="1480"/>
      <c r="K913" s="1480"/>
      <c r="L913" s="1480"/>
      <c r="M913" s="154"/>
      <c r="N913" s="1481"/>
      <c r="O913" s="1482"/>
    </row>
    <row r="914">
      <c r="A914" s="1463"/>
      <c r="B914" s="1464"/>
      <c r="C914" s="1465"/>
      <c r="D914" s="1471"/>
      <c r="E914" s="1467"/>
      <c r="F914" s="1468"/>
      <c r="G914" s="1469"/>
      <c r="H914" s="1470"/>
      <c r="I914" s="1471"/>
      <c r="J914" s="1472"/>
      <c r="K914" s="1473"/>
      <c r="L914" s="1468"/>
      <c r="M914" s="1386"/>
      <c r="N914" s="1474"/>
      <c r="O914" s="1475"/>
    </row>
    <row r="915">
      <c r="A915" s="1476"/>
      <c r="B915" s="1477"/>
      <c r="C915" s="1478"/>
      <c r="D915" s="1480"/>
      <c r="E915" s="1479"/>
      <c r="F915" s="1480"/>
      <c r="G915" s="1480"/>
      <c r="H915" s="1480"/>
      <c r="I915" s="1480"/>
      <c r="J915" s="1480"/>
      <c r="K915" s="1480"/>
      <c r="L915" s="1480"/>
      <c r="M915" s="154"/>
      <c r="N915" s="1481"/>
      <c r="O915" s="1482"/>
    </row>
    <row r="916">
      <c r="A916" s="1463"/>
      <c r="B916" s="1464"/>
      <c r="C916" s="1465"/>
      <c r="D916" s="1471"/>
      <c r="E916" s="1467"/>
      <c r="F916" s="1468"/>
      <c r="G916" s="1469"/>
      <c r="H916" s="1470"/>
      <c r="I916" s="1471"/>
      <c r="J916" s="1472"/>
      <c r="K916" s="1473"/>
      <c r="L916" s="1468"/>
      <c r="M916" s="1386"/>
      <c r="N916" s="1474"/>
      <c r="O916" s="1475"/>
    </row>
    <row r="917">
      <c r="A917" s="1476"/>
      <c r="B917" s="1477"/>
      <c r="C917" s="1478"/>
      <c r="D917" s="1480"/>
      <c r="E917" s="1479"/>
      <c r="F917" s="1480"/>
      <c r="G917" s="1480"/>
      <c r="H917" s="1480"/>
      <c r="I917" s="1480"/>
      <c r="J917" s="1480"/>
      <c r="K917" s="1480"/>
      <c r="L917" s="1480"/>
      <c r="M917" s="154"/>
      <c r="N917" s="1481"/>
      <c r="O917" s="1482"/>
    </row>
    <row r="918">
      <c r="A918" s="1463"/>
      <c r="B918" s="1464"/>
      <c r="C918" s="1465"/>
      <c r="D918" s="1471"/>
      <c r="E918" s="1467"/>
      <c r="F918" s="1468"/>
      <c r="G918" s="1469"/>
      <c r="H918" s="1470"/>
      <c r="I918" s="1471"/>
      <c r="J918" s="1472"/>
      <c r="K918" s="1473"/>
      <c r="L918" s="1468"/>
      <c r="M918" s="1386"/>
      <c r="N918" s="1474"/>
      <c r="O918" s="1475"/>
    </row>
    <row r="919">
      <c r="A919" s="1476"/>
      <c r="B919" s="1477"/>
      <c r="C919" s="1478"/>
      <c r="D919" s="1480"/>
      <c r="E919" s="1479"/>
      <c r="F919" s="1480"/>
      <c r="G919" s="1480"/>
      <c r="H919" s="1480"/>
      <c r="I919" s="1480"/>
      <c r="J919" s="1480"/>
      <c r="K919" s="1480"/>
      <c r="L919" s="1480"/>
      <c r="M919" s="154"/>
      <c r="N919" s="1481"/>
      <c r="O919" s="1482"/>
    </row>
    <row r="920">
      <c r="A920" s="1463"/>
      <c r="B920" s="1464"/>
      <c r="C920" s="1465"/>
      <c r="D920" s="1471"/>
      <c r="E920" s="1467"/>
      <c r="F920" s="1468"/>
      <c r="G920" s="1469"/>
      <c r="H920" s="1470"/>
      <c r="I920" s="1471"/>
      <c r="J920" s="1472"/>
      <c r="K920" s="1473"/>
      <c r="L920" s="1468"/>
      <c r="M920" s="1386"/>
      <c r="N920" s="1474"/>
      <c r="O920" s="1475"/>
    </row>
    <row r="921">
      <c r="A921" s="1476"/>
      <c r="B921" s="1477"/>
      <c r="C921" s="1478"/>
      <c r="D921" s="1480"/>
      <c r="E921" s="1479"/>
      <c r="F921" s="1480"/>
      <c r="G921" s="1480"/>
      <c r="H921" s="1480"/>
      <c r="I921" s="1480"/>
      <c r="J921" s="1480"/>
      <c r="K921" s="1480"/>
      <c r="L921" s="1480"/>
      <c r="M921" s="154"/>
      <c r="N921" s="1481"/>
      <c r="O921" s="1482"/>
    </row>
    <row r="922">
      <c r="A922" s="1463"/>
      <c r="B922" s="1464"/>
      <c r="C922" s="1465"/>
      <c r="D922" s="1471"/>
      <c r="E922" s="1467"/>
      <c r="F922" s="1468"/>
      <c r="G922" s="1469"/>
      <c r="H922" s="1470"/>
      <c r="I922" s="1471"/>
      <c r="J922" s="1472"/>
      <c r="K922" s="1473"/>
      <c r="L922" s="1468"/>
      <c r="M922" s="1386"/>
      <c r="N922" s="1474"/>
      <c r="O922" s="1475"/>
    </row>
    <row r="923">
      <c r="A923" s="1476"/>
      <c r="B923" s="1477"/>
      <c r="C923" s="1478"/>
      <c r="D923" s="1480"/>
      <c r="E923" s="1479"/>
      <c r="F923" s="1480"/>
      <c r="G923" s="1480"/>
      <c r="H923" s="1480"/>
      <c r="I923" s="1480"/>
      <c r="J923" s="1480"/>
      <c r="K923" s="1480"/>
      <c r="L923" s="1480"/>
      <c r="M923" s="154"/>
      <c r="N923" s="1481"/>
      <c r="O923" s="1482"/>
    </row>
    <row r="924">
      <c r="A924" s="1463"/>
      <c r="B924" s="1464"/>
      <c r="C924" s="1465"/>
      <c r="D924" s="1471"/>
      <c r="E924" s="1467"/>
      <c r="F924" s="1468"/>
      <c r="G924" s="1469"/>
      <c r="H924" s="1470"/>
      <c r="I924" s="1471"/>
      <c r="J924" s="1472"/>
      <c r="K924" s="1473"/>
      <c r="L924" s="1468"/>
      <c r="M924" s="1386"/>
      <c r="N924" s="1474"/>
      <c r="O924" s="1475"/>
    </row>
    <row r="925">
      <c r="A925" s="1476"/>
      <c r="B925" s="1477"/>
      <c r="C925" s="1478"/>
      <c r="D925" s="1480"/>
      <c r="E925" s="1479"/>
      <c r="F925" s="1480"/>
      <c r="G925" s="1480"/>
      <c r="H925" s="1480"/>
      <c r="I925" s="1480"/>
      <c r="J925" s="1480"/>
      <c r="K925" s="1480"/>
      <c r="L925" s="1480"/>
      <c r="M925" s="154"/>
      <c r="N925" s="1481"/>
      <c r="O925" s="1482"/>
    </row>
    <row r="926">
      <c r="A926" s="1463"/>
      <c r="B926" s="1464"/>
      <c r="C926" s="1465"/>
      <c r="D926" s="1471"/>
      <c r="E926" s="1467"/>
      <c r="F926" s="1468"/>
      <c r="G926" s="1469"/>
      <c r="H926" s="1470"/>
      <c r="I926" s="1471"/>
      <c r="J926" s="1472"/>
      <c r="K926" s="1473"/>
      <c r="L926" s="1468"/>
      <c r="M926" s="1386"/>
      <c r="N926" s="1474"/>
      <c r="O926" s="1475"/>
    </row>
    <row r="927">
      <c r="A927" s="1476"/>
      <c r="B927" s="1477"/>
      <c r="C927" s="1478"/>
      <c r="D927" s="1480"/>
      <c r="E927" s="1479"/>
      <c r="F927" s="1480"/>
      <c r="G927" s="1480"/>
      <c r="H927" s="1480"/>
      <c r="I927" s="1480"/>
      <c r="J927" s="1480"/>
      <c r="K927" s="1480"/>
      <c r="L927" s="1480"/>
      <c r="M927" s="154"/>
      <c r="N927" s="1481"/>
      <c r="O927" s="1482"/>
    </row>
    <row r="928">
      <c r="A928" s="1463"/>
      <c r="B928" s="1464"/>
      <c r="C928" s="1465"/>
      <c r="D928" s="1471"/>
      <c r="E928" s="1467"/>
      <c r="F928" s="1468"/>
      <c r="G928" s="1469"/>
      <c r="H928" s="1470"/>
      <c r="I928" s="1471"/>
      <c r="J928" s="1472"/>
      <c r="K928" s="1473"/>
      <c r="L928" s="1468"/>
      <c r="M928" s="1386"/>
      <c r="N928" s="1474"/>
      <c r="O928" s="1475"/>
    </row>
    <row r="929">
      <c r="A929" s="1476"/>
      <c r="B929" s="1477"/>
      <c r="C929" s="1478"/>
      <c r="D929" s="1480"/>
      <c r="E929" s="1479"/>
      <c r="F929" s="1480"/>
      <c r="G929" s="1480"/>
      <c r="H929" s="1480"/>
      <c r="I929" s="1480"/>
      <c r="J929" s="1480"/>
      <c r="K929" s="1480"/>
      <c r="L929" s="1480"/>
      <c r="M929" s="154"/>
      <c r="N929" s="1481"/>
      <c r="O929" s="1482"/>
    </row>
    <row r="930">
      <c r="A930" s="1463"/>
      <c r="B930" s="1464"/>
      <c r="C930" s="1465"/>
      <c r="D930" s="1471"/>
      <c r="E930" s="1467"/>
      <c r="F930" s="1468"/>
      <c r="G930" s="1469"/>
      <c r="H930" s="1470"/>
      <c r="I930" s="1471"/>
      <c r="J930" s="1472"/>
      <c r="K930" s="1473"/>
      <c r="L930" s="1468"/>
      <c r="M930" s="1386"/>
      <c r="N930" s="1474"/>
      <c r="O930" s="1475"/>
    </row>
    <row r="931">
      <c r="A931" s="1476"/>
      <c r="B931" s="1477"/>
      <c r="C931" s="1478"/>
      <c r="D931" s="1480"/>
      <c r="E931" s="1479"/>
      <c r="F931" s="1480"/>
      <c r="G931" s="1480"/>
      <c r="H931" s="1480"/>
      <c r="I931" s="1480"/>
      <c r="J931" s="1480"/>
      <c r="K931" s="1480"/>
      <c r="L931" s="1480"/>
      <c r="M931" s="154"/>
      <c r="N931" s="1481"/>
      <c r="O931" s="1482"/>
    </row>
    <row r="932">
      <c r="A932" s="1463"/>
      <c r="B932" s="1464"/>
      <c r="C932" s="1465"/>
      <c r="D932" s="1471"/>
      <c r="E932" s="1467"/>
      <c r="F932" s="1468"/>
      <c r="G932" s="1469"/>
      <c r="H932" s="1470"/>
      <c r="I932" s="1471"/>
      <c r="J932" s="1472"/>
      <c r="K932" s="1473"/>
      <c r="L932" s="1468"/>
      <c r="M932" s="1386"/>
      <c r="N932" s="1474"/>
      <c r="O932" s="1475"/>
    </row>
    <row r="933">
      <c r="A933" s="1476"/>
      <c r="B933" s="1477"/>
      <c r="C933" s="1478"/>
      <c r="D933" s="1480"/>
      <c r="E933" s="1479"/>
      <c r="F933" s="1480"/>
      <c r="G933" s="1480"/>
      <c r="H933" s="1480"/>
      <c r="I933" s="1480"/>
      <c r="J933" s="1480"/>
      <c r="K933" s="1480"/>
      <c r="L933" s="1480"/>
      <c r="M933" s="154"/>
      <c r="N933" s="1481"/>
      <c r="O933" s="1482"/>
    </row>
    <row r="934">
      <c r="A934" s="1463"/>
      <c r="B934" s="1464"/>
      <c r="C934" s="1465"/>
      <c r="D934" s="1471"/>
      <c r="E934" s="1467"/>
      <c r="F934" s="1468"/>
      <c r="G934" s="1469"/>
      <c r="H934" s="1470"/>
      <c r="I934" s="1471"/>
      <c r="J934" s="1472"/>
      <c r="K934" s="1473"/>
      <c r="L934" s="1468"/>
      <c r="M934" s="1386"/>
      <c r="N934" s="1474"/>
      <c r="O934" s="1475"/>
    </row>
    <row r="935">
      <c r="A935" s="1476"/>
      <c r="B935" s="1477"/>
      <c r="C935" s="1478"/>
      <c r="D935" s="1480"/>
      <c r="E935" s="1479"/>
      <c r="F935" s="1480"/>
      <c r="G935" s="1480"/>
      <c r="H935" s="1480"/>
      <c r="I935" s="1480"/>
      <c r="J935" s="1480"/>
      <c r="K935" s="1480"/>
      <c r="L935" s="1480"/>
      <c r="M935" s="154"/>
      <c r="N935" s="1481"/>
      <c r="O935" s="1482"/>
    </row>
    <row r="936">
      <c r="A936" s="1463"/>
      <c r="B936" s="1464"/>
      <c r="C936" s="1465"/>
      <c r="D936" s="1471"/>
      <c r="E936" s="1467"/>
      <c r="F936" s="1468"/>
      <c r="G936" s="1469"/>
      <c r="H936" s="1470"/>
      <c r="I936" s="1471"/>
      <c r="J936" s="1472"/>
      <c r="K936" s="1473"/>
      <c r="L936" s="1468"/>
      <c r="M936" s="1386"/>
      <c r="N936" s="1474"/>
      <c r="O936" s="1475"/>
    </row>
    <row r="937">
      <c r="A937" s="1476"/>
      <c r="B937" s="1477"/>
      <c r="C937" s="1478"/>
      <c r="D937" s="1480"/>
      <c r="E937" s="1479"/>
      <c r="F937" s="1480"/>
      <c r="G937" s="1480"/>
      <c r="H937" s="1480"/>
      <c r="I937" s="1480"/>
      <c r="J937" s="1480"/>
      <c r="K937" s="1480"/>
      <c r="L937" s="1480"/>
      <c r="M937" s="154"/>
      <c r="N937" s="1481"/>
      <c r="O937" s="1482"/>
    </row>
    <row r="938">
      <c r="A938" s="1463"/>
      <c r="B938" s="1464"/>
      <c r="C938" s="1465"/>
      <c r="D938" s="1471"/>
      <c r="E938" s="1467"/>
      <c r="F938" s="1468"/>
      <c r="G938" s="1469"/>
      <c r="H938" s="1470"/>
      <c r="I938" s="1471"/>
      <c r="J938" s="1472"/>
      <c r="K938" s="1473"/>
      <c r="L938" s="1468"/>
      <c r="M938" s="1386"/>
      <c r="N938" s="1474"/>
      <c r="O938" s="1475"/>
    </row>
    <row r="939">
      <c r="A939" s="1476"/>
      <c r="B939" s="1477"/>
      <c r="C939" s="1478"/>
      <c r="D939" s="1480"/>
      <c r="E939" s="1479"/>
      <c r="F939" s="1480"/>
      <c r="G939" s="1480"/>
      <c r="H939" s="1480"/>
      <c r="I939" s="1480"/>
      <c r="J939" s="1480"/>
      <c r="K939" s="1480"/>
      <c r="L939" s="1480"/>
      <c r="M939" s="154"/>
      <c r="N939" s="1481"/>
      <c r="O939" s="1482"/>
    </row>
    <row r="940">
      <c r="A940" s="1463"/>
      <c r="B940" s="1464"/>
      <c r="C940" s="1465"/>
      <c r="D940" s="1471"/>
      <c r="E940" s="1467"/>
      <c r="F940" s="1468"/>
      <c r="G940" s="1469"/>
      <c r="H940" s="1470"/>
      <c r="I940" s="1471"/>
      <c r="J940" s="1472"/>
      <c r="K940" s="1473"/>
      <c r="L940" s="1468"/>
      <c r="M940" s="1386"/>
      <c r="N940" s="1474"/>
      <c r="O940" s="1475"/>
    </row>
    <row r="941">
      <c r="A941" s="1476"/>
      <c r="B941" s="1477"/>
      <c r="C941" s="1478"/>
      <c r="D941" s="1480"/>
      <c r="E941" s="1479"/>
      <c r="F941" s="1480"/>
      <c r="G941" s="1480"/>
      <c r="H941" s="1480"/>
      <c r="I941" s="1480"/>
      <c r="J941" s="1480"/>
      <c r="K941" s="1480"/>
      <c r="L941" s="1480"/>
      <c r="M941" s="154"/>
      <c r="N941" s="1481"/>
      <c r="O941" s="1482"/>
    </row>
    <row r="942">
      <c r="A942" s="1463"/>
      <c r="B942" s="1464"/>
      <c r="C942" s="1465"/>
      <c r="D942" s="1471"/>
      <c r="E942" s="1467"/>
      <c r="F942" s="1468"/>
      <c r="G942" s="1469"/>
      <c r="H942" s="1470"/>
      <c r="I942" s="1471"/>
      <c r="J942" s="1472"/>
      <c r="K942" s="1473"/>
      <c r="L942" s="1468"/>
      <c r="M942" s="1386"/>
      <c r="N942" s="1474"/>
      <c r="O942" s="1475"/>
    </row>
    <row r="943">
      <c r="A943" s="1476"/>
      <c r="B943" s="1477"/>
      <c r="C943" s="1478"/>
      <c r="D943" s="1480"/>
      <c r="E943" s="1479"/>
      <c r="F943" s="1480"/>
      <c r="G943" s="1480"/>
      <c r="H943" s="1480"/>
      <c r="I943" s="1480"/>
      <c r="J943" s="1480"/>
      <c r="K943" s="1480"/>
      <c r="L943" s="1480"/>
      <c r="M943" s="154"/>
      <c r="N943" s="1481"/>
      <c r="O943" s="1482"/>
    </row>
    <row r="944">
      <c r="A944" s="1463"/>
      <c r="B944" s="1464"/>
      <c r="C944" s="1465"/>
      <c r="D944" s="1471"/>
      <c r="E944" s="1467"/>
      <c r="F944" s="1468"/>
      <c r="G944" s="1469"/>
      <c r="H944" s="1470"/>
      <c r="I944" s="1471"/>
      <c r="J944" s="1472"/>
      <c r="K944" s="1473"/>
      <c r="L944" s="1468"/>
      <c r="M944" s="1386"/>
      <c r="N944" s="1474"/>
      <c r="O944" s="1475"/>
    </row>
    <row r="945">
      <c r="A945" s="1476"/>
      <c r="B945" s="1477"/>
      <c r="C945" s="1478"/>
      <c r="D945" s="1480"/>
      <c r="E945" s="1479"/>
      <c r="F945" s="1480"/>
      <c r="G945" s="1480"/>
      <c r="H945" s="1480"/>
      <c r="I945" s="1480"/>
      <c r="J945" s="1480"/>
      <c r="K945" s="1480"/>
      <c r="L945" s="1480"/>
      <c r="M945" s="154"/>
      <c r="N945" s="1481"/>
      <c r="O945" s="1482"/>
    </row>
    <row r="946">
      <c r="A946" s="1463"/>
      <c r="B946" s="1464"/>
      <c r="C946" s="1465"/>
      <c r="D946" s="1471"/>
      <c r="E946" s="1467"/>
      <c r="F946" s="1468"/>
      <c r="G946" s="1469"/>
      <c r="H946" s="1470"/>
      <c r="I946" s="1471"/>
      <c r="J946" s="1472"/>
      <c r="K946" s="1473"/>
      <c r="L946" s="1468"/>
      <c r="M946" s="1386"/>
      <c r="N946" s="1474"/>
      <c r="O946" s="1475"/>
    </row>
    <row r="947">
      <c r="A947" s="1476"/>
      <c r="B947" s="1477"/>
      <c r="C947" s="1478"/>
      <c r="D947" s="1480"/>
      <c r="E947" s="1479"/>
      <c r="F947" s="1480"/>
      <c r="G947" s="1480"/>
      <c r="H947" s="1480"/>
      <c r="I947" s="1480"/>
      <c r="J947" s="1480"/>
      <c r="K947" s="1480"/>
      <c r="L947" s="1480"/>
      <c r="M947" s="154"/>
      <c r="N947" s="1481"/>
      <c r="O947" s="1482"/>
    </row>
    <row r="948">
      <c r="A948" s="1463"/>
      <c r="B948" s="1464"/>
      <c r="C948" s="1465"/>
      <c r="D948" s="1471"/>
      <c r="E948" s="1467"/>
      <c r="F948" s="1468"/>
      <c r="G948" s="1469"/>
      <c r="H948" s="1470"/>
      <c r="I948" s="1471"/>
      <c r="J948" s="1472"/>
      <c r="K948" s="1473"/>
      <c r="L948" s="1468"/>
      <c r="M948" s="1386"/>
      <c r="N948" s="1474"/>
      <c r="O948" s="1475"/>
    </row>
    <row r="949">
      <c r="A949" s="1476"/>
      <c r="B949" s="1477"/>
      <c r="C949" s="1478"/>
      <c r="D949" s="1480"/>
      <c r="E949" s="1479"/>
      <c r="F949" s="1480"/>
      <c r="G949" s="1480"/>
      <c r="H949" s="1480"/>
      <c r="I949" s="1480"/>
      <c r="J949" s="1480"/>
      <c r="K949" s="1480"/>
      <c r="L949" s="1480"/>
      <c r="M949" s="154"/>
      <c r="N949" s="1481"/>
      <c r="O949" s="1482"/>
    </row>
    <row r="950">
      <c r="A950" s="1463"/>
      <c r="B950" s="1464"/>
      <c r="C950" s="1465"/>
      <c r="D950" s="1471"/>
      <c r="E950" s="1467"/>
      <c r="F950" s="1468"/>
      <c r="G950" s="1469"/>
      <c r="H950" s="1470"/>
      <c r="I950" s="1471"/>
      <c r="J950" s="1472"/>
      <c r="K950" s="1473"/>
      <c r="L950" s="1468"/>
      <c r="M950" s="1386"/>
      <c r="N950" s="1474"/>
      <c r="O950" s="1475"/>
    </row>
    <row r="951">
      <c r="A951" s="1476"/>
      <c r="B951" s="1477"/>
      <c r="C951" s="1478"/>
      <c r="D951" s="1480"/>
      <c r="E951" s="1479"/>
      <c r="F951" s="1480"/>
      <c r="G951" s="1480"/>
      <c r="H951" s="1480"/>
      <c r="I951" s="1480"/>
      <c r="J951" s="1480"/>
      <c r="K951" s="1480"/>
      <c r="L951" s="1480"/>
      <c r="M951" s="154"/>
      <c r="N951" s="1481"/>
      <c r="O951" s="1482"/>
    </row>
    <row r="952">
      <c r="A952" s="1463"/>
      <c r="B952" s="1464"/>
      <c r="C952" s="1465"/>
      <c r="D952" s="1471"/>
      <c r="E952" s="1467"/>
      <c r="F952" s="1468"/>
      <c r="G952" s="1469"/>
      <c r="H952" s="1470"/>
      <c r="I952" s="1471"/>
      <c r="J952" s="1472"/>
      <c r="K952" s="1473"/>
      <c r="L952" s="1468"/>
      <c r="M952" s="1386"/>
      <c r="N952" s="1474"/>
      <c r="O952" s="1475"/>
    </row>
    <row r="953">
      <c r="A953" s="1476"/>
      <c r="B953" s="1477"/>
      <c r="C953" s="1478"/>
      <c r="D953" s="1480"/>
      <c r="E953" s="1479"/>
      <c r="F953" s="1480"/>
      <c r="G953" s="1480"/>
      <c r="H953" s="1480"/>
      <c r="I953" s="1480"/>
      <c r="J953" s="1480"/>
      <c r="K953" s="1480"/>
      <c r="L953" s="1480"/>
      <c r="M953" s="154"/>
      <c r="N953" s="1481"/>
      <c r="O953" s="1482"/>
    </row>
    <row r="954">
      <c r="A954" s="1463"/>
      <c r="B954" s="1464"/>
      <c r="C954" s="1465"/>
      <c r="D954" s="1471"/>
      <c r="E954" s="1467"/>
      <c r="F954" s="1468"/>
      <c r="G954" s="1469"/>
      <c r="H954" s="1470"/>
      <c r="I954" s="1471"/>
      <c r="J954" s="1472"/>
      <c r="K954" s="1473"/>
      <c r="L954" s="1468"/>
      <c r="M954" s="1386"/>
      <c r="N954" s="1474"/>
      <c r="O954" s="1475"/>
    </row>
    <row r="955">
      <c r="A955" s="1476"/>
      <c r="B955" s="1477"/>
      <c r="C955" s="1478"/>
      <c r="D955" s="1480"/>
      <c r="E955" s="1479"/>
      <c r="F955" s="1480"/>
      <c r="G955" s="1480"/>
      <c r="H955" s="1480"/>
      <c r="I955" s="1480"/>
      <c r="J955" s="1480"/>
      <c r="K955" s="1480"/>
      <c r="L955" s="1480"/>
      <c r="M955" s="154"/>
      <c r="N955" s="1481"/>
      <c r="O955" s="1482"/>
    </row>
    <row r="956">
      <c r="A956" s="1463"/>
      <c r="B956" s="1464"/>
      <c r="C956" s="1465"/>
      <c r="D956" s="1471"/>
      <c r="E956" s="1467"/>
      <c r="F956" s="1468"/>
      <c r="G956" s="1469"/>
      <c r="H956" s="1470"/>
      <c r="I956" s="1471"/>
      <c r="J956" s="1472"/>
      <c r="K956" s="1473"/>
      <c r="L956" s="1468"/>
      <c r="M956" s="1386"/>
      <c r="N956" s="1474"/>
      <c r="O956" s="1475"/>
    </row>
    <row r="957">
      <c r="A957" s="1476"/>
      <c r="B957" s="1477"/>
      <c r="C957" s="1478"/>
      <c r="D957" s="1480"/>
      <c r="E957" s="1479"/>
      <c r="F957" s="1480"/>
      <c r="G957" s="1480"/>
      <c r="H957" s="1480"/>
      <c r="I957" s="1480"/>
      <c r="J957" s="1480"/>
      <c r="K957" s="1480"/>
      <c r="L957" s="1480"/>
      <c r="M957" s="154"/>
      <c r="N957" s="1481"/>
      <c r="O957" s="1482"/>
    </row>
    <row r="958">
      <c r="A958" s="1463"/>
      <c r="B958" s="1464"/>
      <c r="C958" s="1465"/>
      <c r="D958" s="1471"/>
      <c r="E958" s="1467"/>
      <c r="F958" s="1468"/>
      <c r="G958" s="1469"/>
      <c r="H958" s="1470"/>
      <c r="I958" s="1471"/>
      <c r="J958" s="1472"/>
      <c r="K958" s="1473"/>
      <c r="L958" s="1468"/>
      <c r="M958" s="1386"/>
      <c r="N958" s="1474"/>
      <c r="O958" s="1475"/>
    </row>
    <row r="959">
      <c r="A959" s="1476"/>
      <c r="B959" s="1477"/>
      <c r="C959" s="1478"/>
      <c r="D959" s="1480"/>
      <c r="E959" s="1479"/>
      <c r="F959" s="1480"/>
      <c r="G959" s="1480"/>
      <c r="H959" s="1480"/>
      <c r="I959" s="1480"/>
      <c r="J959" s="1480"/>
      <c r="K959" s="1480"/>
      <c r="L959" s="1480"/>
      <c r="M959" s="154"/>
      <c r="N959" s="1481"/>
      <c r="O959" s="1482"/>
    </row>
    <row r="960">
      <c r="A960" s="1463"/>
      <c r="B960" s="1464"/>
      <c r="C960" s="1465"/>
      <c r="D960" s="1471"/>
      <c r="E960" s="1467"/>
      <c r="F960" s="1468"/>
      <c r="G960" s="1469"/>
      <c r="H960" s="1470"/>
      <c r="I960" s="1471"/>
      <c r="J960" s="1472"/>
      <c r="K960" s="1473"/>
      <c r="L960" s="1468"/>
      <c r="M960" s="1386"/>
      <c r="N960" s="1474"/>
      <c r="O960" s="1475"/>
    </row>
    <row r="961">
      <c r="A961" s="1476"/>
      <c r="B961" s="1477"/>
      <c r="C961" s="1478"/>
      <c r="D961" s="1480"/>
      <c r="E961" s="1479"/>
      <c r="F961" s="1480"/>
      <c r="G961" s="1480"/>
      <c r="H961" s="1480"/>
      <c r="I961" s="1480"/>
      <c r="J961" s="1480"/>
      <c r="K961" s="1480"/>
      <c r="L961" s="1480"/>
      <c r="M961" s="154"/>
      <c r="N961" s="1481"/>
      <c r="O961" s="1482"/>
    </row>
    <row r="962">
      <c r="A962" s="1463"/>
      <c r="B962" s="1464"/>
      <c r="C962" s="1465"/>
      <c r="D962" s="1471"/>
      <c r="E962" s="1467"/>
      <c r="F962" s="1468"/>
      <c r="G962" s="1469"/>
      <c r="H962" s="1470"/>
      <c r="I962" s="1471"/>
      <c r="J962" s="1472"/>
      <c r="K962" s="1473"/>
      <c r="L962" s="1468"/>
      <c r="M962" s="1386"/>
      <c r="N962" s="1474"/>
      <c r="O962" s="1475"/>
    </row>
    <row r="963">
      <c r="A963" s="1476"/>
      <c r="B963" s="1477"/>
      <c r="C963" s="1478"/>
      <c r="D963" s="1480"/>
      <c r="E963" s="1479"/>
      <c r="F963" s="1480"/>
      <c r="G963" s="1480"/>
      <c r="H963" s="1480"/>
      <c r="I963" s="1480"/>
      <c r="J963" s="1480"/>
      <c r="K963" s="1480"/>
      <c r="L963" s="1480"/>
      <c r="M963" s="154"/>
      <c r="N963" s="1481"/>
      <c r="O963" s="1482"/>
    </row>
    <row r="964">
      <c r="A964" s="1463"/>
      <c r="B964" s="1464"/>
      <c r="C964" s="1465"/>
      <c r="D964" s="1471"/>
      <c r="E964" s="1467"/>
      <c r="F964" s="1468"/>
      <c r="G964" s="1469"/>
      <c r="H964" s="1470"/>
      <c r="I964" s="1471"/>
      <c r="J964" s="1472"/>
      <c r="K964" s="1473"/>
      <c r="L964" s="1468"/>
      <c r="M964" s="1386"/>
      <c r="N964" s="1474"/>
      <c r="O964" s="1475"/>
    </row>
    <row r="965">
      <c r="A965" s="1476"/>
      <c r="B965" s="1477"/>
      <c r="C965" s="1478"/>
      <c r="D965" s="1480"/>
      <c r="E965" s="1479"/>
      <c r="F965" s="1480"/>
      <c r="G965" s="1480"/>
      <c r="H965" s="1480"/>
      <c r="I965" s="1480"/>
      <c r="J965" s="1480"/>
      <c r="K965" s="1480"/>
      <c r="L965" s="1480"/>
      <c r="M965" s="154"/>
      <c r="N965" s="1481"/>
      <c r="O965" s="1482"/>
    </row>
    <row r="966">
      <c r="A966" s="1463"/>
      <c r="B966" s="1464"/>
      <c r="C966" s="1465"/>
      <c r="D966" s="1471"/>
      <c r="E966" s="1467"/>
      <c r="F966" s="1468"/>
      <c r="G966" s="1469"/>
      <c r="H966" s="1470"/>
      <c r="I966" s="1471"/>
      <c r="J966" s="1472"/>
      <c r="K966" s="1473"/>
      <c r="L966" s="1468"/>
      <c r="M966" s="1386"/>
      <c r="N966" s="1474"/>
      <c r="O966" s="1475"/>
    </row>
    <row r="967">
      <c r="A967" s="1476"/>
      <c r="B967" s="1477"/>
      <c r="C967" s="1478"/>
      <c r="D967" s="1480"/>
      <c r="E967" s="1479"/>
      <c r="F967" s="1480"/>
      <c r="G967" s="1480"/>
      <c r="H967" s="1480"/>
      <c r="I967" s="1480"/>
      <c r="J967" s="1480"/>
      <c r="K967" s="1480"/>
      <c r="L967" s="1480"/>
      <c r="M967" s="154"/>
      <c r="N967" s="1481"/>
      <c r="O967" s="1482"/>
    </row>
    <row r="968">
      <c r="A968" s="1463"/>
      <c r="B968" s="1464"/>
      <c r="C968" s="1465"/>
      <c r="D968" s="1471"/>
      <c r="E968" s="1467"/>
      <c r="F968" s="1468"/>
      <c r="G968" s="1469"/>
      <c r="H968" s="1470"/>
      <c r="I968" s="1471"/>
      <c r="J968" s="1472"/>
      <c r="K968" s="1473"/>
      <c r="L968" s="1468"/>
      <c r="M968" s="1386"/>
      <c r="N968" s="1474"/>
      <c r="O968" s="1475"/>
    </row>
    <row r="969">
      <c r="A969" s="1476"/>
      <c r="B969" s="1477"/>
      <c r="C969" s="1478"/>
      <c r="D969" s="1480"/>
      <c r="E969" s="1479"/>
      <c r="F969" s="1480"/>
      <c r="G969" s="1480"/>
      <c r="H969" s="1480"/>
      <c r="I969" s="1480"/>
      <c r="J969" s="1480"/>
      <c r="K969" s="1480"/>
      <c r="L969" s="1480"/>
      <c r="M969" s="154"/>
      <c r="N969" s="1481"/>
      <c r="O969" s="1482"/>
    </row>
    <row r="970">
      <c r="A970" s="1463"/>
      <c r="B970" s="1464"/>
      <c r="C970" s="1465"/>
      <c r="D970" s="1471"/>
      <c r="E970" s="1467"/>
      <c r="F970" s="1468"/>
      <c r="G970" s="1469"/>
      <c r="H970" s="1470"/>
      <c r="I970" s="1471"/>
      <c r="J970" s="1472"/>
      <c r="K970" s="1473"/>
      <c r="L970" s="1468"/>
      <c r="M970" s="1386"/>
      <c r="N970" s="1474"/>
      <c r="O970" s="1475"/>
    </row>
    <row r="971">
      <c r="A971" s="1476"/>
      <c r="B971" s="1477"/>
      <c r="C971" s="1478"/>
      <c r="D971" s="1480"/>
      <c r="E971" s="1479"/>
      <c r="F971" s="1480"/>
      <c r="G971" s="1480"/>
      <c r="H971" s="1480"/>
      <c r="I971" s="1480"/>
      <c r="J971" s="1480"/>
      <c r="K971" s="1480"/>
      <c r="L971" s="1480"/>
      <c r="M971" s="154"/>
      <c r="N971" s="1481"/>
      <c r="O971" s="1482"/>
    </row>
    <row r="972">
      <c r="A972" s="1463"/>
      <c r="B972" s="1464"/>
      <c r="C972" s="1465"/>
      <c r="D972" s="1471"/>
      <c r="E972" s="1467"/>
      <c r="F972" s="1468"/>
      <c r="G972" s="1469"/>
      <c r="H972" s="1470"/>
      <c r="I972" s="1471"/>
      <c r="J972" s="1472"/>
      <c r="K972" s="1473"/>
      <c r="L972" s="1468"/>
      <c r="M972" s="1386"/>
      <c r="N972" s="1474"/>
      <c r="O972" s="1475"/>
    </row>
    <row r="973">
      <c r="A973" s="1476"/>
      <c r="B973" s="1477"/>
      <c r="C973" s="1478"/>
      <c r="D973" s="1480"/>
      <c r="E973" s="1479"/>
      <c r="F973" s="1480"/>
      <c r="G973" s="1480"/>
      <c r="H973" s="1480"/>
      <c r="I973" s="1480"/>
      <c r="J973" s="1480"/>
      <c r="K973" s="1480"/>
      <c r="L973" s="1480"/>
      <c r="M973" s="154"/>
      <c r="N973" s="1481"/>
      <c r="O973" s="1482"/>
    </row>
    <row r="974">
      <c r="A974" s="1463"/>
      <c r="B974" s="1464"/>
      <c r="C974" s="1465"/>
      <c r="D974" s="1471"/>
      <c r="E974" s="1467"/>
      <c r="F974" s="1468"/>
      <c r="G974" s="1469"/>
      <c r="H974" s="1470"/>
      <c r="I974" s="1471"/>
      <c r="J974" s="1472"/>
      <c r="K974" s="1473"/>
      <c r="L974" s="1468"/>
      <c r="M974" s="1386"/>
      <c r="N974" s="1474"/>
      <c r="O974" s="1475"/>
    </row>
    <row r="975">
      <c r="A975" s="1476"/>
      <c r="B975" s="1477"/>
      <c r="C975" s="1478"/>
      <c r="D975" s="1480"/>
      <c r="E975" s="1479"/>
      <c r="F975" s="1480"/>
      <c r="G975" s="1480"/>
      <c r="H975" s="1480"/>
      <c r="I975" s="1480"/>
      <c r="J975" s="1480"/>
      <c r="K975" s="1480"/>
      <c r="L975" s="1480"/>
      <c r="M975" s="154"/>
      <c r="N975" s="1481"/>
      <c r="O975" s="1482"/>
    </row>
    <row r="976">
      <c r="A976" s="1463"/>
      <c r="B976" s="1464"/>
      <c r="C976" s="1465"/>
      <c r="D976" s="1471"/>
      <c r="E976" s="1467"/>
      <c r="F976" s="1468"/>
      <c r="G976" s="1469"/>
      <c r="H976" s="1470"/>
      <c r="I976" s="1471"/>
      <c r="J976" s="1472"/>
      <c r="K976" s="1473"/>
      <c r="L976" s="1468"/>
      <c r="M976" s="1386"/>
      <c r="N976" s="1474"/>
      <c r="O976" s="1475"/>
    </row>
    <row r="977">
      <c r="A977" s="1476"/>
      <c r="B977" s="1477"/>
      <c r="C977" s="1478"/>
      <c r="D977" s="1480"/>
      <c r="E977" s="1479"/>
      <c r="F977" s="1480"/>
      <c r="G977" s="1480"/>
      <c r="H977" s="1480"/>
      <c r="I977" s="1480"/>
      <c r="J977" s="1480"/>
      <c r="K977" s="1480"/>
      <c r="L977" s="1480"/>
      <c r="M977" s="154"/>
      <c r="N977" s="1481"/>
      <c r="O977" s="1482"/>
    </row>
    <row r="978">
      <c r="A978" s="1463"/>
      <c r="B978" s="1464"/>
      <c r="C978" s="1465"/>
      <c r="D978" s="1471"/>
      <c r="E978" s="1467"/>
      <c r="F978" s="1468"/>
      <c r="G978" s="1469"/>
      <c r="H978" s="1470"/>
      <c r="I978" s="1471"/>
      <c r="J978" s="1472"/>
      <c r="K978" s="1473"/>
      <c r="L978" s="1468"/>
      <c r="M978" s="1386"/>
      <c r="N978" s="1474"/>
      <c r="O978" s="1475"/>
    </row>
    <row r="979">
      <c r="A979" s="1476"/>
      <c r="B979" s="1477"/>
      <c r="C979" s="1478"/>
      <c r="D979" s="1480"/>
      <c r="E979" s="1479"/>
      <c r="F979" s="1480"/>
      <c r="G979" s="1480"/>
      <c r="H979" s="1480"/>
      <c r="I979" s="1480"/>
      <c r="J979" s="1480"/>
      <c r="K979" s="1480"/>
      <c r="L979" s="1480"/>
      <c r="M979" s="154"/>
      <c r="N979" s="1481"/>
      <c r="O979" s="1482"/>
    </row>
    <row r="980">
      <c r="A980" s="1463"/>
      <c r="B980" s="1464"/>
      <c r="C980" s="1465"/>
      <c r="D980" s="1471"/>
      <c r="E980" s="1467"/>
      <c r="F980" s="1468"/>
      <c r="G980" s="1469"/>
      <c r="H980" s="1470"/>
      <c r="I980" s="1471"/>
      <c r="J980" s="1472"/>
      <c r="K980" s="1473"/>
      <c r="L980" s="1468"/>
      <c r="M980" s="1386"/>
      <c r="N980" s="1474"/>
      <c r="O980" s="1475"/>
    </row>
    <row r="981">
      <c r="A981" s="1476"/>
      <c r="B981" s="1477"/>
      <c r="C981" s="1478"/>
      <c r="D981" s="1480"/>
      <c r="E981" s="1479"/>
      <c r="F981" s="1480"/>
      <c r="G981" s="1480"/>
      <c r="H981" s="1480"/>
      <c r="I981" s="1480"/>
      <c r="J981" s="1480"/>
      <c r="K981" s="1480"/>
      <c r="L981" s="1480"/>
      <c r="M981" s="154"/>
      <c r="N981" s="1481"/>
      <c r="O981" s="1482"/>
    </row>
    <row r="982">
      <c r="A982" s="1463"/>
      <c r="B982" s="1464"/>
      <c r="C982" s="1465"/>
      <c r="D982" s="1471"/>
      <c r="E982" s="1467"/>
      <c r="F982" s="1468"/>
      <c r="G982" s="1469"/>
      <c r="H982" s="1470"/>
      <c r="I982" s="1471"/>
      <c r="J982" s="1472"/>
      <c r="K982" s="1473"/>
      <c r="L982" s="1468"/>
      <c r="M982" s="1386"/>
      <c r="N982" s="1474"/>
      <c r="O982" s="1475"/>
    </row>
    <row r="983">
      <c r="A983" s="1476"/>
      <c r="B983" s="1477"/>
      <c r="C983" s="1478"/>
      <c r="D983" s="1480"/>
      <c r="E983" s="1479"/>
      <c r="F983" s="1480"/>
      <c r="G983" s="1480"/>
      <c r="H983" s="1480"/>
      <c r="I983" s="1480"/>
      <c r="J983" s="1480"/>
      <c r="K983" s="1480"/>
      <c r="L983" s="1480"/>
      <c r="M983" s="154"/>
      <c r="N983" s="1481"/>
      <c r="O983" s="1482"/>
    </row>
    <row r="984">
      <c r="A984" s="1463"/>
      <c r="B984" s="1464"/>
      <c r="C984" s="1465"/>
      <c r="D984" s="1471"/>
      <c r="E984" s="1467"/>
      <c r="F984" s="1468"/>
      <c r="G984" s="1469"/>
      <c r="H984" s="1470"/>
      <c r="I984" s="1471"/>
      <c r="J984" s="1472"/>
      <c r="K984" s="1473"/>
      <c r="L984" s="1468"/>
      <c r="M984" s="1386"/>
      <c r="N984" s="1474"/>
      <c r="O984" s="1475"/>
    </row>
    <row r="985">
      <c r="A985" s="1476"/>
      <c r="B985" s="1477"/>
      <c r="C985" s="1478"/>
      <c r="D985" s="1480"/>
      <c r="E985" s="1479"/>
      <c r="F985" s="1480"/>
      <c r="G985" s="1480"/>
      <c r="H985" s="1480"/>
      <c r="I985" s="1480"/>
      <c r="J985" s="1480"/>
      <c r="K985" s="1480"/>
      <c r="L985" s="1480"/>
      <c r="M985" s="154"/>
      <c r="N985" s="1481"/>
      <c r="O985" s="1482"/>
    </row>
    <row r="986">
      <c r="A986" s="1463"/>
      <c r="B986" s="1464"/>
      <c r="C986" s="1465"/>
      <c r="D986" s="1471"/>
      <c r="E986" s="1467"/>
      <c r="F986" s="1468"/>
      <c r="G986" s="1469"/>
      <c r="H986" s="1470"/>
      <c r="I986" s="1471"/>
      <c r="J986" s="1472"/>
      <c r="K986" s="1473"/>
      <c r="L986" s="1468"/>
      <c r="M986" s="1386"/>
      <c r="N986" s="1474"/>
      <c r="O986" s="1475"/>
    </row>
    <row r="987">
      <c r="A987" s="1476"/>
      <c r="B987" s="1477"/>
      <c r="C987" s="1478"/>
      <c r="D987" s="1480"/>
      <c r="E987" s="1479"/>
      <c r="F987" s="1480"/>
      <c r="G987" s="1480"/>
      <c r="H987" s="1480"/>
      <c r="I987" s="1480"/>
      <c r="J987" s="1480"/>
      <c r="K987" s="1480"/>
      <c r="L987" s="1480"/>
      <c r="M987" s="154"/>
      <c r="N987" s="1481"/>
      <c r="O987" s="1482"/>
    </row>
    <row r="988">
      <c r="A988" s="1463"/>
      <c r="B988" s="1464"/>
      <c r="C988" s="1465"/>
      <c r="D988" s="1471"/>
      <c r="E988" s="1467"/>
      <c r="F988" s="1468"/>
      <c r="G988" s="1469"/>
      <c r="H988" s="1470"/>
      <c r="I988" s="1471"/>
      <c r="J988" s="1472"/>
      <c r="K988" s="1473"/>
      <c r="L988" s="1468"/>
      <c r="M988" s="1386"/>
      <c r="N988" s="1474"/>
      <c r="O988" s="1475"/>
    </row>
    <row r="989">
      <c r="A989" s="1476"/>
      <c r="B989" s="1477"/>
      <c r="C989" s="1478"/>
      <c r="D989" s="1480"/>
      <c r="E989" s="1479"/>
      <c r="F989" s="1480"/>
      <c r="G989" s="1480"/>
      <c r="H989" s="1480"/>
      <c r="I989" s="1480"/>
      <c r="J989" s="1480"/>
      <c r="K989" s="1480"/>
      <c r="L989" s="1480"/>
      <c r="M989" s="154"/>
      <c r="N989" s="1481"/>
      <c r="O989" s="1482"/>
    </row>
    <row r="990">
      <c r="A990" s="1463"/>
      <c r="B990" s="1464"/>
      <c r="C990" s="1465"/>
      <c r="D990" s="1471"/>
      <c r="E990" s="1467"/>
      <c r="F990" s="1468"/>
      <c r="G990" s="1469"/>
      <c r="H990" s="1470"/>
      <c r="I990" s="1471"/>
      <c r="J990" s="1472"/>
      <c r="K990" s="1473"/>
      <c r="L990" s="1468"/>
      <c r="M990" s="1386"/>
      <c r="N990" s="1474"/>
      <c r="O990" s="1475"/>
    </row>
    <row r="991">
      <c r="A991" s="1476"/>
      <c r="B991" s="1477"/>
      <c r="C991" s="1478"/>
      <c r="D991" s="1480"/>
      <c r="E991" s="1479"/>
      <c r="F991" s="1480"/>
      <c r="G991" s="1480"/>
      <c r="H991" s="1480"/>
      <c r="I991" s="1480"/>
      <c r="J991" s="1480"/>
      <c r="K991" s="1480"/>
      <c r="L991" s="1480"/>
      <c r="M991" s="154"/>
      <c r="N991" s="1481"/>
      <c r="O991" s="1482"/>
    </row>
    <row r="992">
      <c r="A992" s="1463"/>
      <c r="B992" s="1464"/>
      <c r="C992" s="1465"/>
      <c r="D992" s="1471"/>
      <c r="E992" s="1467"/>
      <c r="F992" s="1468"/>
      <c r="G992" s="1469"/>
      <c r="H992" s="1470"/>
      <c r="I992" s="1471"/>
      <c r="J992" s="1472"/>
      <c r="K992" s="1473"/>
      <c r="L992" s="1468"/>
      <c r="M992" s="1386"/>
      <c r="N992" s="1474"/>
      <c r="O992" s="1475"/>
    </row>
    <row r="993">
      <c r="A993" s="1476"/>
      <c r="B993" s="1477"/>
      <c r="C993" s="1478"/>
      <c r="D993" s="1480"/>
      <c r="E993" s="1479"/>
      <c r="F993" s="1480"/>
      <c r="G993" s="1480"/>
      <c r="H993" s="1480"/>
      <c r="I993" s="1480"/>
      <c r="J993" s="1480"/>
      <c r="K993" s="1480"/>
      <c r="L993" s="1480"/>
      <c r="M993" s="154"/>
      <c r="N993" s="1481"/>
      <c r="O993" s="1482"/>
    </row>
    <row r="994">
      <c r="A994" s="1463"/>
      <c r="B994" s="1464"/>
      <c r="C994" s="1465"/>
      <c r="D994" s="1471"/>
      <c r="E994" s="1467"/>
      <c r="F994" s="1468"/>
      <c r="G994" s="1469"/>
      <c r="H994" s="1470"/>
      <c r="I994" s="1471"/>
      <c r="J994" s="1472"/>
      <c r="K994" s="1473"/>
      <c r="L994" s="1468"/>
      <c r="M994" s="1386"/>
      <c r="N994" s="1474"/>
      <c r="O994" s="147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0" t="s">
        <v>34</v>
      </c>
      <c r="B1" s="941" t="s">
        <v>4919</v>
      </c>
      <c r="C1" s="1510" t="s">
        <v>8288</v>
      </c>
      <c r="D1" s="1511" t="s">
        <v>129</v>
      </c>
      <c r="E1" s="1512" t="s">
        <v>131</v>
      </c>
      <c r="F1" s="1513" t="s">
        <v>107</v>
      </c>
      <c r="G1" s="1514" t="s">
        <v>96</v>
      </c>
      <c r="H1" s="1510" t="s">
        <v>8295</v>
      </c>
      <c r="I1" s="1515" t="s">
        <v>108</v>
      </c>
      <c r="J1" s="1334" t="s">
        <v>130</v>
      </c>
      <c r="K1" s="952" t="s">
        <v>4960</v>
      </c>
      <c r="L1" s="1336" t="s">
        <v>4962</v>
      </c>
    </row>
    <row r="2" ht="15.75" customHeight="1">
      <c r="A2" s="1338" t="s">
        <v>4963</v>
      </c>
      <c r="B2" s="1340" t="s">
        <v>4964</v>
      </c>
      <c r="C2" s="1516" t="s">
        <v>8308</v>
      </c>
      <c r="D2" s="1517" t="s">
        <v>8853</v>
      </c>
      <c r="E2" s="1518" t="s">
        <v>8854</v>
      </c>
      <c r="F2" s="1519" t="s">
        <v>8856</v>
      </c>
      <c r="G2" s="1520" t="s">
        <v>8858</v>
      </c>
      <c r="H2" s="1516" t="s">
        <v>8861</v>
      </c>
      <c r="I2" s="1521" t="s">
        <v>8864</v>
      </c>
      <c r="J2" s="1522" t="s">
        <v>8866</v>
      </c>
      <c r="K2" s="1523" t="s">
        <v>5003</v>
      </c>
      <c r="L2" s="1524"/>
    </row>
    <row r="3" ht="15.75" customHeight="1">
      <c r="A3" s="1353" t="s">
        <v>5004</v>
      </c>
      <c r="B3" s="1354" t="s">
        <v>5005</v>
      </c>
      <c r="C3" s="982" t="s">
        <v>8619</v>
      </c>
      <c r="D3" s="990" t="s">
        <v>8867</v>
      </c>
      <c r="E3" s="984" t="s">
        <v>8868</v>
      </c>
      <c r="F3" s="985" t="s">
        <v>8869</v>
      </c>
      <c r="G3" s="987" t="s">
        <v>8870</v>
      </c>
      <c r="H3" s="982" t="s">
        <v>8872</v>
      </c>
      <c r="I3" s="989" t="s">
        <v>8873</v>
      </c>
      <c r="J3" s="992" t="s">
        <v>8874</v>
      </c>
      <c r="K3" s="1355">
        <v>0.053043981481481484</v>
      </c>
      <c r="L3" s="1525"/>
    </row>
    <row r="4" ht="15.75" customHeight="1">
      <c r="A4" s="1360" t="s">
        <v>5042</v>
      </c>
      <c r="B4" s="1361" t="s">
        <v>5043</v>
      </c>
      <c r="C4" s="1364" t="s">
        <v>8610</v>
      </c>
      <c r="D4" s="1526" t="s">
        <v>8876</v>
      </c>
      <c r="E4" s="1366" t="s">
        <v>8877</v>
      </c>
      <c r="F4" s="1367" t="s">
        <v>8878</v>
      </c>
      <c r="G4" s="1368" t="s">
        <v>8879</v>
      </c>
      <c r="H4" s="1364" t="s">
        <v>8880</v>
      </c>
      <c r="I4" s="1369" t="s">
        <v>8881</v>
      </c>
      <c r="J4" s="1370" t="s">
        <v>8882</v>
      </c>
      <c r="K4" s="1363">
        <v>0.053043981481481484</v>
      </c>
      <c r="L4" s="1524"/>
    </row>
    <row r="5" ht="15.75" customHeight="1">
      <c r="A5" s="617" t="s">
        <v>39</v>
      </c>
      <c r="B5" s="1126" t="s">
        <v>4964</v>
      </c>
      <c r="C5" s="1376" t="s">
        <v>8308</v>
      </c>
      <c r="D5" s="1376" t="s">
        <v>8853</v>
      </c>
      <c r="E5" s="1376" t="s">
        <v>8854</v>
      </c>
      <c r="F5" s="1376" t="s">
        <v>8856</v>
      </c>
      <c r="G5" s="1527" t="s">
        <v>8858</v>
      </c>
      <c r="H5" s="1527" t="s">
        <v>8861</v>
      </c>
      <c r="I5" s="1527" t="s">
        <v>8884</v>
      </c>
      <c r="J5" s="1527" t="s">
        <v>8886</v>
      </c>
      <c r="K5" s="1528" t="s">
        <v>8891</v>
      </c>
      <c r="L5" s="1157" t="s">
        <v>8892</v>
      </c>
    </row>
    <row r="6" ht="15.75" customHeight="1">
      <c r="A6" s="617" t="s">
        <v>36</v>
      </c>
      <c r="B6" s="1126" t="s">
        <v>4964</v>
      </c>
      <c r="C6" s="1394" t="s">
        <v>8390</v>
      </c>
      <c r="D6" s="1396" t="s">
        <v>8895</v>
      </c>
      <c r="E6" s="1396" t="s">
        <v>8896</v>
      </c>
      <c r="F6" s="1396" t="s">
        <v>8897</v>
      </c>
      <c r="G6" s="1529" t="s">
        <v>8898</v>
      </c>
      <c r="H6" s="1530" t="s">
        <v>8899</v>
      </c>
      <c r="I6" s="1531" t="s">
        <v>8900</v>
      </c>
      <c r="J6" s="1532" t="s">
        <v>8901</v>
      </c>
      <c r="K6" s="1396" t="s">
        <v>5211</v>
      </c>
      <c r="L6" s="1157"/>
    </row>
    <row r="7" ht="15.75" customHeight="1">
      <c r="A7" s="1377" t="s">
        <v>51</v>
      </c>
      <c r="B7" s="1533" t="s">
        <v>4964</v>
      </c>
      <c r="C7" s="1291" t="s">
        <v>8401</v>
      </c>
      <c r="D7" s="1535" t="s">
        <v>8904</v>
      </c>
      <c r="E7" s="1537" t="s">
        <v>8908</v>
      </c>
      <c r="F7" s="1539" t="s">
        <v>8913</v>
      </c>
      <c r="G7" s="1540" t="s">
        <v>8915</v>
      </c>
      <c r="H7" s="1540" t="s">
        <v>8916</v>
      </c>
      <c r="I7" s="1541" t="s">
        <v>8917</v>
      </c>
      <c r="J7" s="1541" t="s">
        <v>8918</v>
      </c>
      <c r="K7" s="1541" t="s">
        <v>5336</v>
      </c>
      <c r="L7" s="1542" t="s">
        <v>8920</v>
      </c>
    </row>
    <row r="8" ht="15.75" customHeight="1">
      <c r="A8" s="1543" t="s">
        <v>5410</v>
      </c>
      <c r="B8" s="1126" t="s">
        <v>4964</v>
      </c>
      <c r="C8" s="1291" t="s">
        <v>8422</v>
      </c>
      <c r="D8" s="1093" t="s">
        <v>8921</v>
      </c>
      <c r="E8" s="1093" t="s">
        <v>8922</v>
      </c>
      <c r="F8" s="1093" t="s">
        <v>8923</v>
      </c>
      <c r="G8" s="1544" t="s">
        <v>8924</v>
      </c>
      <c r="H8" s="1545" t="s">
        <v>8925</v>
      </c>
      <c r="I8" s="1546" t="s">
        <v>8926</v>
      </c>
      <c r="J8" s="1547" t="s">
        <v>8927</v>
      </c>
      <c r="K8" s="1093" t="s">
        <v>5445</v>
      </c>
      <c r="L8" s="1157"/>
    </row>
    <row r="9" ht="15.75" customHeight="1">
      <c r="A9" s="1407" t="s">
        <v>599</v>
      </c>
      <c r="B9" s="1013" t="s">
        <v>4964</v>
      </c>
      <c r="C9" s="1291" t="s">
        <v>8412</v>
      </c>
      <c r="D9" s="1093" t="s">
        <v>8928</v>
      </c>
      <c r="E9" s="1093" t="s">
        <v>8929</v>
      </c>
      <c r="F9" s="1093" t="s">
        <v>8930</v>
      </c>
      <c r="G9" s="1541" t="s">
        <v>8931</v>
      </c>
      <c r="H9" s="1541" t="s">
        <v>8932</v>
      </c>
      <c r="I9" s="1541" t="s">
        <v>8933</v>
      </c>
      <c r="J9" s="1541" t="s">
        <v>8934</v>
      </c>
      <c r="K9" s="1093" t="s">
        <v>5245</v>
      </c>
      <c r="L9" s="1157"/>
    </row>
    <row r="10" ht="15.75" customHeight="1">
      <c r="A10" s="1377" t="s">
        <v>61</v>
      </c>
      <c r="B10" s="1013" t="s">
        <v>4964</v>
      </c>
      <c r="C10" s="1093" t="s">
        <v>8935</v>
      </c>
      <c r="D10" s="1093" t="s">
        <v>8936</v>
      </c>
      <c r="E10" s="1093" t="s">
        <v>8937</v>
      </c>
      <c r="F10" s="1096" t="s">
        <v>8938</v>
      </c>
      <c r="G10" s="1548" t="s">
        <v>8941</v>
      </c>
      <c r="H10" s="1549" t="s">
        <v>8942</v>
      </c>
      <c r="I10" s="1550" t="s">
        <v>8943</v>
      </c>
      <c r="J10" s="1551" t="s">
        <v>8945</v>
      </c>
      <c r="K10" s="1093" t="s">
        <v>5296</v>
      </c>
      <c r="L10" s="1157"/>
    </row>
    <row r="11" ht="15.75" customHeight="1">
      <c r="A11" s="617" t="s">
        <v>37</v>
      </c>
      <c r="B11" s="1126" t="s">
        <v>4964</v>
      </c>
      <c r="C11" s="1552" t="s">
        <v>8462</v>
      </c>
      <c r="D11" s="1418" t="s">
        <v>8948</v>
      </c>
      <c r="E11" s="1418" t="s">
        <v>8949</v>
      </c>
      <c r="F11" s="1093" t="s">
        <v>8950</v>
      </c>
      <c r="G11" s="1553" t="s">
        <v>8951</v>
      </c>
      <c r="H11" s="1553" t="s">
        <v>8952</v>
      </c>
      <c r="I11" s="1553" t="s">
        <v>8953</v>
      </c>
      <c r="J11" s="1553" t="s">
        <v>8954</v>
      </c>
      <c r="K11" s="1405" t="s">
        <v>5795</v>
      </c>
      <c r="L11" s="1157" t="s">
        <v>8956</v>
      </c>
    </row>
    <row r="12" ht="15.75" customHeight="1">
      <c r="A12" s="1161" t="s">
        <v>86</v>
      </c>
      <c r="B12" s="1244" t="s">
        <v>4964</v>
      </c>
      <c r="C12" s="1554" t="s">
        <v>8439</v>
      </c>
      <c r="D12" s="1093" t="s">
        <v>8957</v>
      </c>
      <c r="E12" s="1093" t="s">
        <v>8958</v>
      </c>
      <c r="F12" s="1093" t="s">
        <v>8959</v>
      </c>
      <c r="G12" s="1544" t="s">
        <v>8960</v>
      </c>
      <c r="H12" s="1545" t="s">
        <v>8961</v>
      </c>
      <c r="I12" s="1546" t="s">
        <v>8962</v>
      </c>
      <c r="J12" s="1547" t="s">
        <v>8963</v>
      </c>
      <c r="K12" s="1093" t="s">
        <v>8965</v>
      </c>
      <c r="L12" s="1157" t="s">
        <v>8966</v>
      </c>
    </row>
    <row r="13" ht="15.75" customHeight="1">
      <c r="A13" s="1382" t="s">
        <v>70</v>
      </c>
      <c r="B13" s="1013" t="s">
        <v>4964</v>
      </c>
      <c r="C13" s="1552" t="s">
        <v>8472</v>
      </c>
      <c r="D13" s="1093" t="s">
        <v>8967</v>
      </c>
      <c r="E13" s="1093" t="s">
        <v>8968</v>
      </c>
      <c r="F13" s="1093" t="s">
        <v>8969</v>
      </c>
      <c r="G13" s="1541" t="s">
        <v>8970</v>
      </c>
      <c r="H13" s="1541" t="s">
        <v>8971</v>
      </c>
      <c r="I13" s="1541" t="s">
        <v>8972</v>
      </c>
      <c r="J13" s="1541" t="s">
        <v>8973</v>
      </c>
      <c r="K13" s="1093" t="s">
        <v>5767</v>
      </c>
      <c r="L13" s="1157"/>
    </row>
    <row r="14" ht="15.75" customHeight="1">
      <c r="A14" s="1407" t="s">
        <v>1007</v>
      </c>
      <c r="B14" s="1013" t="s">
        <v>4964</v>
      </c>
      <c r="C14" s="1093" t="s">
        <v>8974</v>
      </c>
      <c r="D14" s="1093" t="s">
        <v>8975</v>
      </c>
      <c r="E14" s="1093" t="s">
        <v>8976</v>
      </c>
      <c r="F14" s="1093" t="s">
        <v>8977</v>
      </c>
      <c r="G14" s="1544" t="s">
        <v>8979</v>
      </c>
      <c r="H14" s="1545" t="s">
        <v>8980</v>
      </c>
      <c r="I14" s="1546" t="s">
        <v>8981</v>
      </c>
      <c r="J14" s="1547" t="s">
        <v>8982</v>
      </c>
      <c r="K14" s="1093" t="s">
        <v>5409</v>
      </c>
      <c r="L14" s="1157"/>
    </row>
    <row r="15" ht="16.5" customHeight="1">
      <c r="A15" s="1433" t="s">
        <v>3492</v>
      </c>
      <c r="B15" s="1013" t="s">
        <v>4964</v>
      </c>
      <c r="C15" s="1093" t="s">
        <v>8506</v>
      </c>
      <c r="D15" s="1093" t="s">
        <v>8983</v>
      </c>
      <c r="E15" s="1093" t="s">
        <v>8984</v>
      </c>
      <c r="F15" s="1093" t="s">
        <v>8985</v>
      </c>
      <c r="G15" s="1541" t="s">
        <v>8986</v>
      </c>
      <c r="H15" s="1541" t="s">
        <v>8987</v>
      </c>
      <c r="I15" s="1541" t="s">
        <v>8988</v>
      </c>
      <c r="J15" s="1541" t="s">
        <v>8989</v>
      </c>
      <c r="K15" s="1093" t="s">
        <v>8990</v>
      </c>
      <c r="L15" s="1157" t="s">
        <v>8991</v>
      </c>
    </row>
    <row r="16" ht="15.0" customHeight="1">
      <c r="A16" s="1449" t="s">
        <v>97</v>
      </c>
      <c r="B16" s="1232" t="s">
        <v>4964</v>
      </c>
      <c r="C16" s="1554" t="s">
        <v>8992</v>
      </c>
      <c r="D16" s="1093" t="s">
        <v>8993</v>
      </c>
      <c r="E16" s="1093" t="s">
        <v>8994</v>
      </c>
      <c r="F16" s="1093" t="s">
        <v>8995</v>
      </c>
      <c r="G16" s="1544" t="s">
        <v>8996</v>
      </c>
      <c r="H16" s="1545" t="s">
        <v>8997</v>
      </c>
      <c r="I16" s="1546" t="s">
        <v>8998</v>
      </c>
      <c r="J16" s="1547" t="s">
        <v>8999</v>
      </c>
      <c r="K16" s="1093" t="s">
        <v>6206</v>
      </c>
      <c r="L16" s="1157"/>
    </row>
    <row r="17" ht="15.75" customHeight="1">
      <c r="A17" s="617" t="s">
        <v>43</v>
      </c>
      <c r="B17" s="1013" t="s">
        <v>4964</v>
      </c>
      <c r="C17" s="1093" t="s">
        <v>8543</v>
      </c>
      <c r="D17" s="1093" t="s">
        <v>9000</v>
      </c>
      <c r="E17" s="1093" t="s">
        <v>9001</v>
      </c>
      <c r="F17" s="1093" t="s">
        <v>9002</v>
      </c>
      <c r="G17" s="1541" t="s">
        <v>9003</v>
      </c>
      <c r="H17" s="1541" t="s">
        <v>9004</v>
      </c>
      <c r="I17" s="1541" t="s">
        <v>9005</v>
      </c>
      <c r="J17" s="1541" t="s">
        <v>9006</v>
      </c>
      <c r="K17" s="1093" t="s">
        <v>5041</v>
      </c>
      <c r="L17" s="1157" t="s">
        <v>9007</v>
      </c>
    </row>
    <row r="18" ht="15.75" customHeight="1">
      <c r="A18" s="1407" t="s">
        <v>687</v>
      </c>
      <c r="B18" s="1013" t="s">
        <v>4964</v>
      </c>
      <c r="C18" s="1093" t="s">
        <v>9009</v>
      </c>
      <c r="D18" s="1093" t="s">
        <v>9010</v>
      </c>
      <c r="E18" s="1093" t="s">
        <v>9011</v>
      </c>
      <c r="F18" s="1093" t="s">
        <v>9012</v>
      </c>
      <c r="G18" s="1544" t="s">
        <v>9013</v>
      </c>
      <c r="H18" s="1545" t="s">
        <v>9014</v>
      </c>
      <c r="I18" s="1546" t="s">
        <v>9015</v>
      </c>
      <c r="J18" s="1547" t="s">
        <v>9016</v>
      </c>
      <c r="K18" s="1093" t="s">
        <v>6007</v>
      </c>
      <c r="L18" s="1157"/>
    </row>
    <row r="19" ht="15.75" customHeight="1">
      <c r="A19" s="617" t="s">
        <v>5830</v>
      </c>
      <c r="B19" s="1244" t="s">
        <v>4964</v>
      </c>
      <c r="C19" s="1554" t="s">
        <v>8515</v>
      </c>
      <c r="D19" s="1093" t="s">
        <v>9017</v>
      </c>
      <c r="E19" s="1093" t="s">
        <v>9018</v>
      </c>
      <c r="F19" s="1093" t="s">
        <v>9019</v>
      </c>
      <c r="G19" s="1541" t="s">
        <v>9020</v>
      </c>
      <c r="H19" s="1541" t="s">
        <v>9021</v>
      </c>
      <c r="I19" s="1541" t="s">
        <v>9022</v>
      </c>
      <c r="J19" s="1541" t="s">
        <v>9023</v>
      </c>
      <c r="K19" s="1093" t="s">
        <v>5409</v>
      </c>
      <c r="L19" s="1157" t="s">
        <v>9024</v>
      </c>
    </row>
    <row r="20" ht="15.75" customHeight="1">
      <c r="A20" s="1407" t="s">
        <v>536</v>
      </c>
      <c r="B20" s="1013" t="s">
        <v>4964</v>
      </c>
      <c r="C20" s="1093" t="s">
        <v>9025</v>
      </c>
      <c r="D20" s="1093" t="s">
        <v>9026</v>
      </c>
      <c r="E20" s="1093" t="s">
        <v>9027</v>
      </c>
      <c r="F20" s="1093" t="s">
        <v>9028</v>
      </c>
      <c r="G20" s="1544" t="s">
        <v>9029</v>
      </c>
      <c r="H20" s="1545" t="s">
        <v>9030</v>
      </c>
      <c r="I20" s="1546" t="s">
        <v>9031</v>
      </c>
      <c r="J20" s="1547" t="s">
        <v>9032</v>
      </c>
      <c r="K20" s="1093" t="s">
        <v>6447</v>
      </c>
      <c r="L20" s="1157"/>
    </row>
    <row r="21" ht="15.75" customHeight="1">
      <c r="A21" s="617" t="s">
        <v>68</v>
      </c>
      <c r="B21" s="1126" t="s">
        <v>4964</v>
      </c>
      <c r="C21" s="1093" t="s">
        <v>9033</v>
      </c>
      <c r="D21" s="1093" t="s">
        <v>9034</v>
      </c>
      <c r="E21" s="1405" t="s">
        <v>9035</v>
      </c>
      <c r="F21" s="1093" t="s">
        <v>9036</v>
      </c>
      <c r="G21" s="1541" t="s">
        <v>9037</v>
      </c>
      <c r="H21" s="1541" t="s">
        <v>9038</v>
      </c>
      <c r="I21" s="1541" t="s">
        <v>9039</v>
      </c>
      <c r="J21" s="1541" t="s">
        <v>9040</v>
      </c>
      <c r="K21" s="1093" t="s">
        <v>6073</v>
      </c>
      <c r="L21" s="1157"/>
    </row>
    <row r="22" ht="15.75" customHeight="1">
      <c r="A22" s="1377" t="s">
        <v>5863</v>
      </c>
      <c r="B22" s="1013" t="s">
        <v>4964</v>
      </c>
      <c r="C22" s="1093" t="s">
        <v>8555</v>
      </c>
      <c r="D22" s="1093" t="s">
        <v>9041</v>
      </c>
      <c r="E22" s="1093" t="s">
        <v>9042</v>
      </c>
      <c r="F22" s="1093" t="s">
        <v>9043</v>
      </c>
      <c r="G22" s="1544" t="s">
        <v>9044</v>
      </c>
      <c r="H22" s="1545" t="s">
        <v>9045</v>
      </c>
      <c r="I22" s="1546" t="s">
        <v>9046</v>
      </c>
      <c r="J22" s="1547" t="s">
        <v>9047</v>
      </c>
      <c r="K22" s="1093" t="s">
        <v>5889</v>
      </c>
      <c r="L22" s="1157"/>
    </row>
    <row r="23">
      <c r="A23" s="1391" t="s">
        <v>5447</v>
      </c>
      <c r="B23" s="1244" t="s">
        <v>5005</v>
      </c>
      <c r="C23" s="1093" t="s">
        <v>9048</v>
      </c>
      <c r="D23" s="1093" t="s">
        <v>9049</v>
      </c>
      <c r="E23" s="1093" t="s">
        <v>9050</v>
      </c>
      <c r="F23" s="1093" t="s">
        <v>9051</v>
      </c>
      <c r="G23" s="1541" t="s">
        <v>9052</v>
      </c>
      <c r="H23" s="1541" t="s">
        <v>9053</v>
      </c>
      <c r="I23" s="1541" t="s">
        <v>9054</v>
      </c>
      <c r="J23" s="1541" t="s">
        <v>9055</v>
      </c>
      <c r="K23" s="1093" t="s">
        <v>9056</v>
      </c>
      <c r="L23" s="1157" t="s">
        <v>9057</v>
      </c>
    </row>
    <row r="24" ht="15.75" customHeight="1">
      <c r="A24" s="617" t="s">
        <v>47</v>
      </c>
      <c r="B24" s="1126" t="s">
        <v>5005</v>
      </c>
      <c r="C24" s="1093" t="s">
        <v>9058</v>
      </c>
      <c r="D24" s="1428" t="s">
        <v>8867</v>
      </c>
      <c r="E24" s="1428" t="s">
        <v>8868</v>
      </c>
      <c r="F24" s="1428" t="s">
        <v>8869</v>
      </c>
      <c r="G24" s="1555" t="s">
        <v>8870</v>
      </c>
      <c r="H24" s="1556" t="s">
        <v>8872</v>
      </c>
      <c r="I24" s="1557" t="s">
        <v>8873</v>
      </c>
      <c r="J24" s="1558" t="s">
        <v>8874</v>
      </c>
      <c r="K24" s="1428" t="s">
        <v>5828</v>
      </c>
      <c r="L24" s="1157" t="s">
        <v>9059</v>
      </c>
    </row>
    <row r="25" ht="15.75" customHeight="1">
      <c r="A25" s="1161" t="s">
        <v>4665</v>
      </c>
      <c r="B25" s="1126" t="s">
        <v>5043</v>
      </c>
      <c r="C25" s="1234" t="s">
        <v>8610</v>
      </c>
      <c r="D25" s="1234" t="s">
        <v>8876</v>
      </c>
      <c r="E25" s="1234" t="s">
        <v>8877</v>
      </c>
      <c r="F25" s="1234" t="s">
        <v>8878</v>
      </c>
      <c r="G25" s="1559" t="s">
        <v>8879</v>
      </c>
      <c r="H25" s="1559" t="s">
        <v>8880</v>
      </c>
      <c r="I25" s="1559" t="s">
        <v>8881</v>
      </c>
      <c r="J25" s="1559" t="s">
        <v>8882</v>
      </c>
      <c r="K25" s="1234" t="s">
        <v>5828</v>
      </c>
      <c r="L25" s="1157"/>
    </row>
    <row r="26" ht="16.5" customHeight="1">
      <c r="A26" s="1161" t="s">
        <v>9060</v>
      </c>
      <c r="B26" s="1126" t="s">
        <v>4964</v>
      </c>
      <c r="C26" s="1101" t="s">
        <v>8590</v>
      </c>
      <c r="D26" s="1093" t="s">
        <v>9061</v>
      </c>
      <c r="E26" s="1093" t="s">
        <v>9062</v>
      </c>
      <c r="F26" s="1093" t="s">
        <v>9063</v>
      </c>
      <c r="G26" s="1544" t="s">
        <v>9044</v>
      </c>
      <c r="H26" s="1545" t="s">
        <v>9064</v>
      </c>
      <c r="I26" s="1546" t="s">
        <v>9065</v>
      </c>
      <c r="J26" s="1547" t="s">
        <v>9066</v>
      </c>
      <c r="K26" s="1093" t="s">
        <v>6732</v>
      </c>
      <c r="L26" s="1157"/>
    </row>
    <row r="27" ht="15.75" customHeight="1">
      <c r="A27" s="1161" t="s">
        <v>2596</v>
      </c>
      <c r="B27" s="1126" t="s">
        <v>4964</v>
      </c>
      <c r="C27" s="1093" t="s">
        <v>9067</v>
      </c>
      <c r="D27" s="1093" t="s">
        <v>9068</v>
      </c>
      <c r="E27" s="1093" t="s">
        <v>9069</v>
      </c>
      <c r="F27" s="1093" t="s">
        <v>9070</v>
      </c>
      <c r="G27" s="1541" t="s">
        <v>9071</v>
      </c>
      <c r="H27" s="1541" t="s">
        <v>9072</v>
      </c>
      <c r="I27" s="1541" t="s">
        <v>9073</v>
      </c>
      <c r="J27" s="1541" t="s">
        <v>9074</v>
      </c>
      <c r="K27" s="1093" t="s">
        <v>9075</v>
      </c>
      <c r="L27" s="1157" t="s">
        <v>9076</v>
      </c>
    </row>
    <row r="28">
      <c r="A28" s="1454" t="s">
        <v>4261</v>
      </c>
      <c r="B28" s="1412" t="s">
        <v>5005</v>
      </c>
      <c r="C28" s="1554" t="s">
        <v>9077</v>
      </c>
      <c r="D28" s="1093"/>
      <c r="E28" s="1093" t="s">
        <v>9078</v>
      </c>
      <c r="F28" s="1093" t="s">
        <v>9079</v>
      </c>
      <c r="G28" s="1544"/>
      <c r="H28" s="1545"/>
      <c r="I28" s="1546"/>
      <c r="J28" s="1547"/>
      <c r="K28" s="1093" t="s">
        <v>6889</v>
      </c>
      <c r="L28" s="1157"/>
    </row>
    <row r="29" ht="15.75" customHeight="1">
      <c r="A29" s="1161" t="s">
        <v>52</v>
      </c>
      <c r="B29" s="1126" t="s">
        <v>4964</v>
      </c>
      <c r="C29" s="1554" t="s">
        <v>9080</v>
      </c>
      <c r="D29" s="1093" t="s">
        <v>9081</v>
      </c>
      <c r="E29" s="1093" t="s">
        <v>9082</v>
      </c>
      <c r="F29" s="1093" t="s">
        <v>9083</v>
      </c>
      <c r="G29" s="1541" t="s">
        <v>9084</v>
      </c>
      <c r="H29" s="1541" t="s">
        <v>9085</v>
      </c>
      <c r="I29" s="1541" t="s">
        <v>9087</v>
      </c>
      <c r="J29" s="1541" t="s">
        <v>9088</v>
      </c>
      <c r="K29" s="1093" t="s">
        <v>6700</v>
      </c>
      <c r="L29" s="1157" t="s">
        <v>9089</v>
      </c>
    </row>
    <row r="30" ht="15.75" customHeight="1">
      <c r="A30" s="617" t="s">
        <v>731</v>
      </c>
      <c r="B30" s="1232" t="s">
        <v>5005</v>
      </c>
      <c r="C30" s="1428" t="s">
        <v>8619</v>
      </c>
      <c r="D30" s="1093" t="s">
        <v>9090</v>
      </c>
      <c r="E30" s="1093" t="s">
        <v>9091</v>
      </c>
      <c r="F30" s="1093" t="s">
        <v>9092</v>
      </c>
      <c r="G30" s="1544" t="s">
        <v>9093</v>
      </c>
      <c r="H30" s="1545" t="s">
        <v>9094</v>
      </c>
      <c r="I30" s="1546" t="s">
        <v>9095</v>
      </c>
      <c r="J30" s="1547" t="s">
        <v>9096</v>
      </c>
      <c r="K30" s="1093" t="s">
        <v>6663</v>
      </c>
      <c r="L30" s="1157"/>
    </row>
    <row r="31" ht="15.75" customHeight="1">
      <c r="A31" s="1161" t="s">
        <v>89</v>
      </c>
      <c r="B31" s="1126" t="s">
        <v>4964</v>
      </c>
      <c r="C31" s="1554" t="s">
        <v>9098</v>
      </c>
      <c r="D31" s="1093" t="s">
        <v>9099</v>
      </c>
      <c r="E31" s="1093" t="s">
        <v>9100</v>
      </c>
      <c r="F31" s="1093" t="s">
        <v>9101</v>
      </c>
      <c r="G31" s="1541" t="s">
        <v>9102</v>
      </c>
      <c r="H31" s="1541" t="s">
        <v>9103</v>
      </c>
      <c r="I31" s="1541" t="s">
        <v>9104</v>
      </c>
      <c r="J31" s="1541" t="s">
        <v>9105</v>
      </c>
      <c r="K31" s="1093" t="s">
        <v>9106</v>
      </c>
      <c r="L31" s="1157" t="s">
        <v>9107</v>
      </c>
    </row>
    <row r="32" ht="15.75" customHeight="1">
      <c r="A32" s="1161" t="s">
        <v>3970</v>
      </c>
      <c r="B32" s="1126" t="s">
        <v>5005</v>
      </c>
      <c r="C32" s="1554" t="s">
        <v>8721</v>
      </c>
      <c r="D32" s="1093" t="s">
        <v>9108</v>
      </c>
      <c r="E32" s="1093" t="s">
        <v>9109</v>
      </c>
      <c r="F32" s="1093" t="s">
        <v>9110</v>
      </c>
      <c r="G32" s="1544" t="s">
        <v>9111</v>
      </c>
      <c r="H32" s="1545" t="s">
        <v>9112</v>
      </c>
      <c r="I32" s="1546" t="s">
        <v>9113</v>
      </c>
      <c r="J32" s="1547" t="s">
        <v>9114</v>
      </c>
      <c r="K32" s="1093" t="s">
        <v>8199</v>
      </c>
      <c r="L32" s="1157" t="s">
        <v>9115</v>
      </c>
    </row>
    <row r="33" ht="15.75" customHeight="1">
      <c r="A33" s="617" t="s">
        <v>3714</v>
      </c>
      <c r="B33" s="1316" t="s">
        <v>8200</v>
      </c>
      <c r="C33" s="1561" t="s">
        <v>9116</v>
      </c>
      <c r="D33" s="1456" t="s">
        <v>9117</v>
      </c>
      <c r="E33" s="1456" t="s">
        <v>9118</v>
      </c>
      <c r="F33" s="1456" t="s">
        <v>9119</v>
      </c>
      <c r="G33" s="1562" t="s">
        <v>9120</v>
      </c>
      <c r="H33" s="1562" t="s">
        <v>9122</v>
      </c>
      <c r="I33" s="1562" t="s">
        <v>9123</v>
      </c>
      <c r="J33" s="1562" t="s">
        <v>9124</v>
      </c>
      <c r="K33" s="1456" t="s">
        <v>9125</v>
      </c>
      <c r="L33" s="1157" t="s">
        <v>9126</v>
      </c>
    </row>
    <row r="34" ht="15.75" customHeight="1">
      <c r="A34" s="1161" t="s">
        <v>3730</v>
      </c>
      <c r="B34" s="1316" t="s">
        <v>8200</v>
      </c>
      <c r="C34" s="1563" t="s">
        <v>9127</v>
      </c>
      <c r="D34" s="1429" t="s">
        <v>9128</v>
      </c>
      <c r="E34" s="1429" t="s">
        <v>9129</v>
      </c>
      <c r="F34" s="1429" t="s">
        <v>9130</v>
      </c>
      <c r="G34" s="1564" t="s">
        <v>9131</v>
      </c>
      <c r="K34" s="1429" t="s">
        <v>8307</v>
      </c>
      <c r="L34" s="1157" t="s">
        <v>9132</v>
      </c>
    </row>
    <row r="35" ht="15.75" customHeight="1">
      <c r="A35" s="1377"/>
      <c r="B35" s="1013"/>
      <c r="C35" s="1565"/>
      <c r="D35" s="1093"/>
      <c r="E35" s="1093"/>
      <c r="F35" s="1093"/>
      <c r="G35" s="1541"/>
      <c r="H35" s="1541"/>
      <c r="I35" s="1541"/>
      <c r="J35" s="1541"/>
      <c r="K35" s="1093"/>
      <c r="L35" s="1157"/>
    </row>
    <row r="36">
      <c r="A36" s="1391"/>
      <c r="B36" s="1392"/>
      <c r="C36" s="1565"/>
      <c r="D36" s="1093"/>
      <c r="E36" s="1093"/>
      <c r="F36" s="1093"/>
      <c r="G36" s="1544"/>
      <c r="H36" s="1545"/>
      <c r="I36" s="1546"/>
      <c r="J36" s="1547"/>
      <c r="K36" s="1093"/>
      <c r="L36" s="1157"/>
    </row>
    <row r="37" ht="15.75" customHeight="1">
      <c r="A37" s="1161"/>
      <c r="B37" s="1248"/>
      <c r="C37" s="1565"/>
      <c r="D37" s="1093"/>
      <c r="E37" s="1093"/>
      <c r="F37" s="1093"/>
      <c r="G37" s="1541"/>
      <c r="H37" s="1541"/>
      <c r="I37" s="1541"/>
      <c r="J37" s="1541"/>
      <c r="K37" s="1093"/>
      <c r="L37" s="1157"/>
    </row>
    <row r="38" ht="15.75" customHeight="1">
      <c r="A38" s="617"/>
      <c r="B38" s="1158"/>
      <c r="C38" s="1565"/>
      <c r="D38" s="1093"/>
      <c r="E38" s="1093"/>
      <c r="F38" s="1093"/>
      <c r="G38" s="1544"/>
      <c r="H38" s="1545"/>
      <c r="I38" s="1546"/>
      <c r="J38" s="1547"/>
      <c r="K38" s="1093"/>
      <c r="L38" s="1157"/>
    </row>
    <row r="39">
      <c r="A39" s="1454"/>
      <c r="B39" s="1412"/>
      <c r="C39" s="1565"/>
      <c r="D39" s="1093"/>
      <c r="E39" s="1093"/>
      <c r="F39" s="1093"/>
      <c r="G39" s="1541"/>
      <c r="H39" s="1541"/>
      <c r="I39" s="1541"/>
      <c r="J39" s="1541"/>
      <c r="K39" s="1093"/>
      <c r="L39" s="1157"/>
    </row>
    <row r="40" ht="15.75" customHeight="1">
      <c r="A40" s="1382"/>
      <c r="B40" s="1158"/>
      <c r="C40" s="1565"/>
      <c r="D40" s="1093"/>
      <c r="E40" s="1093"/>
      <c r="F40" s="1093"/>
      <c r="G40" s="1544"/>
      <c r="H40" s="1545"/>
      <c r="I40" s="1546"/>
      <c r="J40" s="1547"/>
      <c r="K40" s="1093"/>
      <c r="L40" s="1157"/>
    </row>
    <row r="41">
      <c r="A41" s="1161"/>
      <c r="B41" s="1567"/>
      <c r="C41" s="1565"/>
      <c r="D41" s="1093"/>
      <c r="E41" s="1093"/>
      <c r="F41" s="1093"/>
      <c r="G41" s="1541"/>
      <c r="H41" s="1541"/>
      <c r="I41" s="1541"/>
      <c r="J41" s="1541"/>
      <c r="K41" s="1093"/>
      <c r="L41" s="1157"/>
    </row>
    <row r="42" ht="15.75" customHeight="1">
      <c r="A42" s="1377"/>
      <c r="B42" s="1158"/>
      <c r="C42" s="1565"/>
      <c r="D42" s="1093"/>
      <c r="E42" s="1093"/>
      <c r="F42" s="1093"/>
      <c r="G42" s="1544"/>
      <c r="H42" s="1545"/>
      <c r="I42" s="1546"/>
      <c r="J42" s="1547"/>
      <c r="K42" s="1093"/>
      <c r="L42" s="1157"/>
    </row>
    <row r="43" ht="15.75" customHeight="1">
      <c r="A43" s="1382"/>
      <c r="B43" s="1013"/>
      <c r="C43" s="1565"/>
      <c r="D43" s="1093"/>
      <c r="E43" s="1093"/>
      <c r="F43" s="1093"/>
      <c r="G43" s="1541"/>
      <c r="H43" s="1541"/>
      <c r="I43" s="1541"/>
      <c r="J43" s="1541"/>
      <c r="K43" s="1093"/>
      <c r="L43" s="1157"/>
    </row>
    <row r="44">
      <c r="A44" s="1391"/>
      <c r="B44" s="1392"/>
      <c r="C44" s="1565"/>
      <c r="D44" s="1093"/>
      <c r="E44" s="1093"/>
      <c r="F44" s="1093"/>
      <c r="G44" s="1544"/>
      <c r="H44" s="1545"/>
      <c r="I44" s="1546"/>
      <c r="J44" s="1547"/>
      <c r="K44" s="1093"/>
      <c r="L44" s="1157"/>
    </row>
    <row r="45" ht="15.75" customHeight="1">
      <c r="A45" s="1382"/>
      <c r="B45" s="1013"/>
      <c r="C45" s="1565"/>
      <c r="D45" s="1093"/>
      <c r="E45" s="1093"/>
      <c r="F45" s="1093"/>
      <c r="G45" s="1541"/>
      <c r="H45" s="1541"/>
      <c r="I45" s="1541"/>
      <c r="J45" s="1541"/>
      <c r="K45" s="1093"/>
      <c r="L45" s="1157"/>
    </row>
    <row r="46" ht="15.75" customHeight="1">
      <c r="A46" s="1377"/>
      <c r="B46" s="1013"/>
      <c r="C46" s="1565"/>
      <c r="D46" s="1093"/>
      <c r="E46" s="1093"/>
      <c r="F46" s="1093"/>
      <c r="G46" s="1544"/>
      <c r="H46" s="1545"/>
      <c r="I46" s="1546"/>
      <c r="J46" s="1547"/>
      <c r="K46" s="1093"/>
      <c r="L46" s="1157"/>
    </row>
    <row r="47" ht="15.75" customHeight="1">
      <c r="A47" s="1382"/>
      <c r="B47" s="1158"/>
      <c r="C47" s="1565"/>
      <c r="D47" s="1093"/>
      <c r="E47" s="1093"/>
      <c r="F47" s="1093"/>
      <c r="G47" s="1541"/>
      <c r="H47" s="1541"/>
      <c r="I47" s="1541"/>
      <c r="J47" s="1541"/>
      <c r="K47" s="1093"/>
      <c r="L47" s="1157"/>
    </row>
    <row r="48" ht="15.0" customHeight="1">
      <c r="A48" s="1377"/>
      <c r="B48" s="1158"/>
      <c r="C48" s="1565"/>
      <c r="D48" s="1093"/>
      <c r="E48" s="1093"/>
      <c r="F48" s="1093"/>
      <c r="G48" s="1544"/>
      <c r="H48" s="1545"/>
      <c r="I48" s="1546"/>
      <c r="J48" s="1547"/>
      <c r="K48" s="1093"/>
      <c r="L48" s="1157"/>
    </row>
    <row r="49" ht="15.75" customHeight="1">
      <c r="A49" s="1161"/>
      <c r="B49" s="1126"/>
      <c r="C49" s="1565"/>
      <c r="D49" s="1093"/>
      <c r="E49" s="1093"/>
      <c r="F49" s="1093"/>
      <c r="G49" s="1541"/>
      <c r="H49" s="1541"/>
      <c r="I49" s="1541"/>
      <c r="J49" s="1541"/>
      <c r="K49" s="1093"/>
      <c r="L49" s="1157"/>
    </row>
    <row r="50" ht="15.75" customHeight="1">
      <c r="A50" s="1382"/>
      <c r="B50" s="1248"/>
      <c r="C50" s="1565"/>
      <c r="D50" s="1093"/>
      <c r="E50" s="1093"/>
      <c r="F50" s="1093"/>
      <c r="G50" s="1544"/>
      <c r="H50" s="1545"/>
      <c r="I50" s="1546"/>
      <c r="J50" s="1547"/>
      <c r="K50" s="1093"/>
      <c r="L50" s="1157"/>
    </row>
    <row r="51">
      <c r="A51" s="1454"/>
      <c r="B51" s="1412"/>
      <c r="C51" s="1565"/>
      <c r="D51" s="1093"/>
      <c r="E51" s="1093"/>
      <c r="F51" s="1093"/>
      <c r="G51" s="1541"/>
      <c r="H51" s="1541"/>
      <c r="I51" s="1541"/>
      <c r="J51" s="1541"/>
      <c r="K51" s="1093"/>
      <c r="L51" s="1157"/>
    </row>
    <row r="52" ht="15.75" customHeight="1">
      <c r="A52" s="1377"/>
      <c r="B52" s="1013"/>
      <c r="C52" s="1565"/>
      <c r="D52" s="1093"/>
      <c r="E52" s="1093"/>
      <c r="F52" s="1093"/>
      <c r="G52" s="1544"/>
      <c r="H52" s="1545"/>
      <c r="I52" s="1546"/>
      <c r="J52" s="1547"/>
      <c r="K52" s="1093"/>
      <c r="L52" s="1157"/>
    </row>
    <row r="53" ht="15.75" customHeight="1">
      <c r="A53" s="1382"/>
      <c r="B53" s="1013"/>
      <c r="C53" s="1565"/>
      <c r="D53" s="1093"/>
      <c r="E53" s="1093"/>
      <c r="F53" s="1093"/>
      <c r="G53" s="1541"/>
      <c r="H53" s="1541"/>
      <c r="I53" s="1541"/>
      <c r="J53" s="1541"/>
      <c r="K53" s="1093"/>
      <c r="L53" s="1157"/>
    </row>
    <row r="54" ht="15.75" customHeight="1">
      <c r="A54" s="1391"/>
      <c r="B54" s="1392"/>
      <c r="C54" s="1565"/>
      <c r="D54" s="1093"/>
      <c r="E54" s="1093"/>
      <c r="F54" s="1093"/>
      <c r="G54" s="1544"/>
      <c r="H54" s="1545"/>
      <c r="I54" s="1546"/>
      <c r="J54" s="1547"/>
      <c r="K54" s="1093"/>
      <c r="L54" s="1157"/>
    </row>
    <row r="55" ht="15.75" customHeight="1">
      <c r="A55" s="1377"/>
      <c r="B55" s="1158"/>
      <c r="C55" s="1565"/>
      <c r="D55" s="1093"/>
      <c r="E55" s="1093"/>
      <c r="F55" s="1093"/>
      <c r="G55" s="1541"/>
      <c r="H55" s="1541"/>
      <c r="I55" s="1541"/>
      <c r="J55" s="1541"/>
      <c r="K55" s="1093"/>
      <c r="L55" s="1157"/>
    </row>
    <row r="56" ht="15.75" customHeight="1">
      <c r="A56" s="1382"/>
      <c r="B56" s="1248"/>
      <c r="C56" s="1565"/>
      <c r="D56" s="1093"/>
      <c r="E56" s="1093"/>
      <c r="F56" s="1093"/>
      <c r="G56" s="1544"/>
      <c r="H56" s="1545"/>
      <c r="I56" s="1546"/>
      <c r="J56" s="1547"/>
      <c r="K56" s="1093"/>
      <c r="L56" s="1157"/>
    </row>
    <row r="57" ht="15.75" customHeight="1">
      <c r="A57" s="1391"/>
      <c r="B57" s="1126"/>
      <c r="C57" s="1565"/>
      <c r="D57" s="1093"/>
      <c r="E57" s="1093"/>
      <c r="F57" s="1093"/>
      <c r="G57" s="1541"/>
      <c r="H57" s="1541"/>
      <c r="I57" s="1541"/>
      <c r="J57" s="1541"/>
      <c r="K57" s="1093"/>
      <c r="L57" s="1157"/>
    </row>
    <row r="58" ht="15.75" customHeight="1">
      <c r="A58" s="1161"/>
      <c r="B58" s="1244"/>
      <c r="C58" s="1565"/>
      <c r="D58" s="1093"/>
      <c r="E58" s="1093"/>
      <c r="F58" s="1093"/>
      <c r="G58" s="1544"/>
      <c r="H58" s="1545"/>
      <c r="I58" s="1546"/>
      <c r="J58" s="1547"/>
      <c r="K58" s="1093"/>
      <c r="L58" s="1157"/>
    </row>
    <row r="59" ht="15.75" customHeight="1">
      <c r="A59" s="1391"/>
      <c r="B59" s="1392"/>
      <c r="C59" s="1565"/>
      <c r="D59" s="1093"/>
      <c r="E59" s="1093"/>
      <c r="F59" s="1093"/>
      <c r="G59" s="1541"/>
      <c r="H59" s="1541"/>
      <c r="I59" s="1541"/>
      <c r="J59" s="1541"/>
      <c r="K59" s="1093"/>
      <c r="L59" s="1157"/>
    </row>
    <row r="60" ht="15.75" customHeight="1">
      <c r="A60" s="1382"/>
      <c r="B60" s="1248"/>
      <c r="C60" s="1565"/>
      <c r="D60" s="1093"/>
      <c r="E60" s="1093"/>
      <c r="F60" s="1093"/>
      <c r="G60" s="1544"/>
      <c r="H60" s="1545"/>
      <c r="I60" s="1546"/>
      <c r="J60" s="1547"/>
      <c r="K60" s="1093"/>
      <c r="L60" s="1157"/>
    </row>
    <row r="61" ht="16.5" customHeight="1">
      <c r="A61" s="1377"/>
      <c r="B61" s="1248"/>
      <c r="C61" s="1565"/>
      <c r="D61" s="1093"/>
      <c r="E61" s="1093"/>
      <c r="F61" s="1093"/>
      <c r="G61" s="1541"/>
      <c r="H61" s="1541"/>
      <c r="I61" s="1541"/>
      <c r="J61" s="1541"/>
      <c r="K61" s="1093"/>
      <c r="L61" s="1157"/>
    </row>
    <row r="62">
      <c r="A62" s="1391"/>
      <c r="B62" s="1392"/>
      <c r="C62" s="1093"/>
      <c r="D62" s="1093"/>
      <c r="E62" s="1093"/>
      <c r="F62" s="1093"/>
      <c r="G62" s="1544"/>
      <c r="H62" s="1545"/>
      <c r="I62" s="1546"/>
      <c r="J62" s="1547"/>
      <c r="K62" s="1093"/>
      <c r="L62" s="1157"/>
    </row>
    <row r="63" ht="17.25" customHeight="1">
      <c r="A63" s="617"/>
      <c r="B63" s="1244"/>
      <c r="C63" s="1093"/>
      <c r="D63" s="1093"/>
      <c r="E63" s="1093"/>
      <c r="F63" s="1093"/>
      <c r="G63" s="1541"/>
      <c r="H63" s="1541"/>
      <c r="I63" s="1541"/>
      <c r="J63" s="1541"/>
      <c r="K63" s="1093"/>
      <c r="L63" s="1157"/>
    </row>
    <row r="64">
      <c r="A64" s="1454"/>
      <c r="B64" s="1232"/>
      <c r="C64" s="1093"/>
      <c r="D64" s="1093"/>
      <c r="E64" s="1093"/>
      <c r="F64" s="1093"/>
      <c r="G64" s="1544"/>
      <c r="H64" s="1545"/>
      <c r="I64" s="1546"/>
      <c r="J64" s="1547"/>
      <c r="K64" s="1093"/>
      <c r="L64" s="1157"/>
    </row>
    <row r="65">
      <c r="A65" s="1391"/>
      <c r="B65" s="1392"/>
      <c r="C65" s="1093"/>
      <c r="D65" s="1093"/>
      <c r="E65" s="1093"/>
      <c r="F65" s="1093"/>
      <c r="G65" s="1541"/>
      <c r="H65" s="1541"/>
      <c r="I65" s="1541"/>
      <c r="J65" s="1541"/>
      <c r="K65" s="1093"/>
      <c r="L65" s="1157"/>
    </row>
    <row r="66">
      <c r="A66" s="1382"/>
      <c r="B66" s="1158"/>
      <c r="C66" s="1093"/>
      <c r="D66" s="1093"/>
      <c r="E66" s="1093"/>
      <c r="F66" s="1093"/>
      <c r="G66" s="1544"/>
      <c r="H66" s="1545"/>
      <c r="I66" s="1546"/>
      <c r="J66" s="1547"/>
      <c r="K66" s="1093"/>
      <c r="L66" s="1157"/>
    </row>
    <row r="67">
      <c r="A67" s="1161"/>
      <c r="B67" s="1232"/>
      <c r="C67" s="1093"/>
      <c r="D67" s="1093"/>
      <c r="E67" s="1093"/>
      <c r="F67" s="1093"/>
      <c r="G67" s="1541"/>
      <c r="H67" s="1541"/>
      <c r="I67" s="1541"/>
      <c r="J67" s="1541"/>
      <c r="K67" s="1093"/>
      <c r="L67" s="1157"/>
    </row>
    <row r="68" ht="17.25" customHeight="1">
      <c r="A68" s="1454"/>
      <c r="B68" s="1158"/>
      <c r="C68" s="1093"/>
      <c r="D68" s="1093"/>
      <c r="E68" s="1093"/>
      <c r="F68" s="1093"/>
      <c r="G68" s="1544"/>
      <c r="H68" s="1545"/>
      <c r="I68" s="1546"/>
      <c r="J68" s="1547"/>
      <c r="K68" s="1093"/>
      <c r="L68" s="1157"/>
    </row>
    <row r="69">
      <c r="A69" s="1476"/>
      <c r="B69" s="1412"/>
      <c r="C69" s="1466"/>
      <c r="D69" s="1593"/>
      <c r="E69" s="1593"/>
      <c r="F69" s="1593"/>
      <c r="G69" s="1595"/>
      <c r="H69" s="1595"/>
      <c r="I69" s="1595"/>
      <c r="J69" s="1595"/>
      <c r="K69" s="1481"/>
      <c r="L69" s="1482"/>
    </row>
    <row r="70">
      <c r="A70" s="1463"/>
      <c r="B70" s="1464"/>
      <c r="C70" s="1466"/>
      <c r="D70" s="1596"/>
      <c r="E70" s="1468"/>
      <c r="F70" s="1469"/>
      <c r="G70" s="1597"/>
      <c r="H70" s="1598"/>
      <c r="I70" s="1599"/>
      <c r="J70" s="1600"/>
      <c r="K70" s="1474"/>
      <c r="L70" s="1475"/>
    </row>
    <row r="71">
      <c r="A71" s="1476"/>
      <c r="B71" s="1477"/>
      <c r="C71" s="1466"/>
      <c r="D71" s="1480"/>
      <c r="E71" s="1480"/>
      <c r="F71" s="1480"/>
      <c r="G71" s="1595"/>
      <c r="H71" s="1595"/>
      <c r="I71" s="1595"/>
      <c r="J71" s="1595"/>
      <c r="K71" s="1481"/>
      <c r="L71" s="1482"/>
    </row>
    <row r="72">
      <c r="A72" s="1463"/>
      <c r="B72" s="1464"/>
      <c r="C72" s="1466"/>
      <c r="D72" s="1596"/>
      <c r="E72" s="1468"/>
      <c r="F72" s="1469"/>
      <c r="G72" s="1597"/>
      <c r="H72" s="1598"/>
      <c r="I72" s="1599"/>
      <c r="J72" s="1600"/>
      <c r="K72" s="1474"/>
      <c r="L72" s="1475"/>
    </row>
    <row r="73">
      <c r="A73" s="1476"/>
      <c r="B73" s="1477"/>
      <c r="C73" s="1466"/>
      <c r="D73" s="1480"/>
      <c r="E73" s="1480"/>
      <c r="F73" s="1480"/>
      <c r="G73" s="1595"/>
      <c r="H73" s="1595"/>
      <c r="I73" s="1595"/>
      <c r="J73" s="1595"/>
      <c r="K73" s="1481"/>
      <c r="L73" s="1482"/>
    </row>
    <row r="74">
      <c r="A74" s="1463"/>
      <c r="B74" s="1464"/>
      <c r="C74" s="1466"/>
      <c r="D74" s="1596"/>
      <c r="E74" s="1468"/>
      <c r="F74" s="1469"/>
      <c r="G74" s="1597"/>
      <c r="H74" s="1598"/>
      <c r="I74" s="1599"/>
      <c r="J74" s="1600"/>
      <c r="K74" s="1474"/>
      <c r="L74" s="1475"/>
    </row>
    <row r="75">
      <c r="A75" s="1476"/>
      <c r="B75" s="1477"/>
      <c r="C75" s="1466"/>
      <c r="D75" s="1480"/>
      <c r="E75" s="1480"/>
      <c r="F75" s="1480"/>
      <c r="G75" s="1595"/>
      <c r="H75" s="1595"/>
      <c r="I75" s="1595"/>
      <c r="J75" s="1595"/>
      <c r="K75" s="1481"/>
      <c r="L75" s="1482"/>
    </row>
    <row r="76">
      <c r="A76" s="1463"/>
      <c r="B76" s="1464"/>
      <c r="C76" s="1466"/>
      <c r="D76" s="1596"/>
      <c r="E76" s="1468"/>
      <c r="F76" s="1469"/>
      <c r="G76" s="1597"/>
      <c r="H76" s="1598"/>
      <c r="I76" s="1599"/>
      <c r="J76" s="1600"/>
      <c r="K76" s="1474"/>
      <c r="L76" s="1475"/>
    </row>
    <row r="77">
      <c r="A77" s="1476"/>
      <c r="B77" s="1477"/>
      <c r="C77" s="1466"/>
      <c r="D77" s="1480"/>
      <c r="E77" s="1480"/>
      <c r="F77" s="1480"/>
      <c r="G77" s="1595"/>
      <c r="H77" s="1595"/>
      <c r="I77" s="1595"/>
      <c r="J77" s="1595"/>
      <c r="K77" s="1481"/>
      <c r="L77" s="1482"/>
    </row>
    <row r="78">
      <c r="A78" s="1463"/>
      <c r="B78" s="1464"/>
      <c r="C78" s="1466"/>
      <c r="D78" s="1596"/>
      <c r="E78" s="1468"/>
      <c r="F78" s="1469"/>
      <c r="G78" s="1597"/>
      <c r="H78" s="1598"/>
      <c r="I78" s="1599"/>
      <c r="J78" s="1600"/>
      <c r="K78" s="1474"/>
      <c r="L78" s="1475"/>
    </row>
    <row r="79">
      <c r="A79" s="1476"/>
      <c r="B79" s="1477"/>
      <c r="C79" s="1466"/>
      <c r="D79" s="1480"/>
      <c r="E79" s="1480"/>
      <c r="F79" s="1480"/>
      <c r="G79" s="1595"/>
      <c r="H79" s="1595"/>
      <c r="I79" s="1595"/>
      <c r="J79" s="1595"/>
      <c r="K79" s="1481"/>
      <c r="L79" s="1482"/>
    </row>
    <row r="80">
      <c r="A80" s="1463"/>
      <c r="B80" s="1464"/>
      <c r="C80" s="1466"/>
      <c r="D80" s="1596"/>
      <c r="E80" s="1468"/>
      <c r="F80" s="1469"/>
      <c r="G80" s="1597"/>
      <c r="H80" s="1598"/>
      <c r="I80" s="1599"/>
      <c r="J80" s="1600"/>
      <c r="K80" s="1474"/>
      <c r="L80" s="1475"/>
    </row>
    <row r="81">
      <c r="A81" s="1476"/>
      <c r="B81" s="1477"/>
      <c r="C81" s="1466"/>
      <c r="D81" s="1480"/>
      <c r="E81" s="1480"/>
      <c r="F81" s="1480"/>
      <c r="G81" s="1595"/>
      <c r="H81" s="1595"/>
      <c r="I81" s="1595"/>
      <c r="J81" s="1595"/>
      <c r="K81" s="1481"/>
      <c r="L81" s="1482"/>
    </row>
    <row r="82">
      <c r="A82" s="1463"/>
      <c r="B82" s="1464"/>
      <c r="C82" s="1466"/>
      <c r="D82" s="1596"/>
      <c r="E82" s="1468"/>
      <c r="F82" s="1469"/>
      <c r="G82" s="1597"/>
      <c r="H82" s="1598"/>
      <c r="I82" s="1599"/>
      <c r="J82" s="1600"/>
      <c r="K82" s="1474"/>
      <c r="L82" s="1475"/>
    </row>
    <row r="83">
      <c r="A83" s="1476"/>
      <c r="B83" s="1477"/>
      <c r="C83" s="1466"/>
      <c r="D83" s="1480"/>
      <c r="E83" s="1480"/>
      <c r="F83" s="1480"/>
      <c r="G83" s="1595"/>
      <c r="H83" s="1595"/>
      <c r="I83" s="1595"/>
      <c r="J83" s="1595"/>
      <c r="K83" s="1481"/>
      <c r="L83" s="1482"/>
    </row>
    <row r="84">
      <c r="A84" s="1463"/>
      <c r="B84" s="1464"/>
      <c r="C84" s="1466"/>
      <c r="D84" s="1596"/>
      <c r="E84" s="1468"/>
      <c r="F84" s="1469"/>
      <c r="G84" s="1597"/>
      <c r="H84" s="1598"/>
      <c r="I84" s="1599"/>
      <c r="J84" s="1600"/>
      <c r="K84" s="1474"/>
      <c r="L84" s="1475"/>
    </row>
    <row r="85">
      <c r="A85" s="1476"/>
      <c r="B85" s="1477"/>
      <c r="C85" s="1466"/>
      <c r="D85" s="1480"/>
      <c r="E85" s="1480"/>
      <c r="F85" s="1480"/>
      <c r="G85" s="1595"/>
      <c r="H85" s="1595"/>
      <c r="I85" s="1595"/>
      <c r="J85" s="1595"/>
      <c r="K85" s="1481"/>
      <c r="L85" s="1482"/>
    </row>
    <row r="86">
      <c r="A86" s="1463"/>
      <c r="B86" s="1464"/>
      <c r="C86" s="1466"/>
      <c r="D86" s="1596"/>
      <c r="E86" s="1468"/>
      <c r="F86" s="1469"/>
      <c r="G86" s="1597"/>
      <c r="H86" s="1598"/>
      <c r="I86" s="1599"/>
      <c r="J86" s="1600"/>
      <c r="K86" s="1474"/>
      <c r="L86" s="1475"/>
    </row>
    <row r="87">
      <c r="A87" s="1476"/>
      <c r="B87" s="1477"/>
      <c r="C87" s="1466"/>
      <c r="D87" s="1480"/>
      <c r="E87" s="1480"/>
      <c r="F87" s="1480"/>
      <c r="G87" s="1595"/>
      <c r="H87" s="1595"/>
      <c r="I87" s="1595"/>
      <c r="J87" s="1595"/>
      <c r="K87" s="1481"/>
      <c r="L87" s="1482"/>
    </row>
    <row r="88">
      <c r="A88" s="1463"/>
      <c r="B88" s="1464"/>
      <c r="C88" s="1466"/>
      <c r="D88" s="1596"/>
      <c r="E88" s="1468"/>
      <c r="F88" s="1469"/>
      <c r="G88" s="1597"/>
      <c r="H88" s="1598"/>
      <c r="I88" s="1599"/>
      <c r="J88" s="1600"/>
      <c r="K88" s="1474"/>
      <c r="L88" s="1475"/>
    </row>
    <row r="89">
      <c r="A89" s="1476"/>
      <c r="B89" s="1477"/>
      <c r="C89" s="1466"/>
      <c r="D89" s="1480"/>
      <c r="E89" s="1480"/>
      <c r="F89" s="1480"/>
      <c r="G89" s="1595"/>
      <c r="H89" s="1595"/>
      <c r="I89" s="1595"/>
      <c r="J89" s="1595"/>
      <c r="K89" s="1481"/>
      <c r="L89" s="1482"/>
    </row>
    <row r="90">
      <c r="A90" s="1463"/>
      <c r="B90" s="1464"/>
      <c r="C90" s="1466"/>
      <c r="D90" s="1596"/>
      <c r="E90" s="1468"/>
      <c r="F90" s="1469"/>
      <c r="G90" s="1597"/>
      <c r="H90" s="1598"/>
      <c r="I90" s="1599"/>
      <c r="J90" s="1600"/>
      <c r="K90" s="1474"/>
      <c r="L90" s="1475"/>
    </row>
    <row r="91">
      <c r="A91" s="1476"/>
      <c r="B91" s="1477"/>
      <c r="C91" s="1466"/>
      <c r="D91" s="1480"/>
      <c r="E91" s="1480"/>
      <c r="F91" s="1480"/>
      <c r="G91" s="1595"/>
      <c r="H91" s="1595"/>
      <c r="I91" s="1595"/>
      <c r="J91" s="1595"/>
      <c r="K91" s="1481"/>
      <c r="L91" s="1482"/>
    </row>
    <row r="92">
      <c r="A92" s="1463"/>
      <c r="B92" s="1464"/>
      <c r="C92" s="1466"/>
      <c r="D92" s="1596"/>
      <c r="E92" s="1468"/>
      <c r="F92" s="1469"/>
      <c r="G92" s="1597"/>
      <c r="H92" s="1598"/>
      <c r="I92" s="1599"/>
      <c r="J92" s="1600"/>
      <c r="K92" s="1474"/>
      <c r="L92" s="1475"/>
    </row>
    <row r="93">
      <c r="A93" s="1476"/>
      <c r="B93" s="1477"/>
      <c r="C93" s="1466"/>
      <c r="D93" s="1480"/>
      <c r="E93" s="1480"/>
      <c r="F93" s="1480"/>
      <c r="G93" s="1595"/>
      <c r="H93" s="1595"/>
      <c r="I93" s="1595"/>
      <c r="J93" s="1595"/>
      <c r="K93" s="1481"/>
      <c r="L93" s="1482"/>
    </row>
    <row r="94">
      <c r="A94" s="1463"/>
      <c r="B94" s="1464"/>
      <c r="C94" s="1466"/>
      <c r="D94" s="1596"/>
      <c r="E94" s="1468"/>
      <c r="F94" s="1469"/>
      <c r="G94" s="1597"/>
      <c r="H94" s="1598"/>
      <c r="I94" s="1599"/>
      <c r="J94" s="1600"/>
      <c r="K94" s="1474"/>
      <c r="L94" s="1475"/>
    </row>
    <row r="95">
      <c r="A95" s="1476"/>
      <c r="B95" s="1477"/>
      <c r="C95" s="1466"/>
      <c r="D95" s="1480"/>
      <c r="E95" s="1480"/>
      <c r="F95" s="1480"/>
      <c r="G95" s="1595"/>
      <c r="H95" s="1595"/>
      <c r="I95" s="1595"/>
      <c r="J95" s="1595"/>
      <c r="K95" s="1481"/>
      <c r="L95" s="1482"/>
    </row>
    <row r="96">
      <c r="A96" s="1463"/>
      <c r="B96" s="1464"/>
      <c r="C96" s="1466"/>
      <c r="D96" s="1596"/>
      <c r="E96" s="1468"/>
      <c r="F96" s="1469"/>
      <c r="G96" s="1597"/>
      <c r="H96" s="1598"/>
      <c r="I96" s="1599"/>
      <c r="J96" s="1600"/>
      <c r="K96" s="1474"/>
      <c r="L96" s="1475"/>
    </row>
    <row r="97">
      <c r="A97" s="1476"/>
      <c r="B97" s="1477"/>
      <c r="C97" s="1466"/>
      <c r="D97" s="1480"/>
      <c r="E97" s="1480"/>
      <c r="F97" s="1480"/>
      <c r="G97" s="1595"/>
      <c r="H97" s="1595"/>
      <c r="I97" s="1595"/>
      <c r="J97" s="1595"/>
      <c r="K97" s="1481"/>
      <c r="L97" s="1482"/>
    </row>
    <row r="98">
      <c r="A98" s="1463"/>
      <c r="B98" s="1464"/>
      <c r="C98" s="1471"/>
      <c r="D98" s="1596"/>
      <c r="E98" s="1468"/>
      <c r="F98" s="1469"/>
      <c r="G98" s="1597"/>
      <c r="H98" s="1598"/>
      <c r="I98" s="1599"/>
      <c r="J98" s="1600"/>
      <c r="K98" s="1474"/>
      <c r="L98" s="1475"/>
    </row>
    <row r="99">
      <c r="A99" s="1476"/>
      <c r="B99" s="1477"/>
      <c r="C99" s="1480"/>
      <c r="D99" s="1480"/>
      <c r="E99" s="1480"/>
      <c r="F99" s="1480"/>
      <c r="G99" s="1595"/>
      <c r="H99" s="1595"/>
      <c r="I99" s="1595"/>
      <c r="J99" s="1595"/>
      <c r="K99" s="1481"/>
      <c r="L99" s="1482"/>
    </row>
    <row r="100">
      <c r="A100" s="1463"/>
      <c r="B100" s="1464"/>
      <c r="C100" s="1471"/>
      <c r="D100" s="1596"/>
      <c r="E100" s="1468"/>
      <c r="F100" s="1469"/>
      <c r="G100" s="1597"/>
      <c r="H100" s="1598"/>
      <c r="I100" s="1599"/>
      <c r="J100" s="1600"/>
      <c r="K100" s="1474"/>
      <c r="L100" s="147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6"/>
      <c r="B1" s="1568" t="s">
        <v>9133</v>
      </c>
      <c r="C1" s="1568" t="s">
        <v>34</v>
      </c>
      <c r="D1" s="1569" t="s">
        <v>9134</v>
      </c>
      <c r="E1" s="1568" t="s">
        <v>9135</v>
      </c>
      <c r="F1" s="1570" t="s">
        <v>9136</v>
      </c>
    </row>
    <row r="2">
      <c r="A2" s="1571"/>
      <c r="B2" s="1572"/>
      <c r="C2" s="1572"/>
      <c r="D2" s="1572"/>
      <c r="E2" s="1572"/>
      <c r="F2" s="1572"/>
    </row>
    <row r="3">
      <c r="A3" s="1571"/>
      <c r="B3" s="1572"/>
      <c r="C3" s="1572"/>
      <c r="D3" s="1572"/>
      <c r="E3" s="1572"/>
      <c r="F3" s="1572"/>
    </row>
    <row r="4">
      <c r="A4" s="1573" t="s">
        <v>9137</v>
      </c>
      <c r="B4" s="1574" t="s">
        <v>9138</v>
      </c>
      <c r="C4" s="1575"/>
      <c r="D4" s="1575"/>
      <c r="E4" s="1575"/>
      <c r="F4" s="1576"/>
    </row>
    <row r="5">
      <c r="A5" s="1572"/>
      <c r="B5" s="1577"/>
      <c r="C5" s="1578"/>
      <c r="D5" s="1578"/>
      <c r="E5" s="1578"/>
      <c r="F5" s="1579"/>
    </row>
    <row r="6">
      <c r="A6" s="1580" t="s">
        <v>9138</v>
      </c>
      <c r="B6" s="1581" t="s">
        <v>9140</v>
      </c>
      <c r="C6" s="1582" t="s">
        <v>6113</v>
      </c>
      <c r="D6" s="1584" t="s">
        <v>9141</v>
      </c>
      <c r="E6" s="1582" t="s">
        <v>9142</v>
      </c>
      <c r="F6" s="1585">
        <v>44233.0</v>
      </c>
    </row>
    <row r="7">
      <c r="A7" s="1580" t="s">
        <v>9143</v>
      </c>
      <c r="B7" s="1586" t="s">
        <v>9144</v>
      </c>
      <c r="C7" s="1582" t="s">
        <v>536</v>
      </c>
      <c r="D7" s="1584" t="s">
        <v>9145</v>
      </c>
      <c r="E7" s="1582" t="s">
        <v>9142</v>
      </c>
      <c r="F7" s="1585">
        <v>43878.0</v>
      </c>
    </row>
    <row r="8">
      <c r="A8" s="1580" t="s">
        <v>9146</v>
      </c>
      <c r="B8" s="1587" t="s">
        <v>9147</v>
      </c>
      <c r="C8" s="1582" t="s">
        <v>1007</v>
      </c>
      <c r="D8" s="1584" t="s">
        <v>9148</v>
      </c>
      <c r="E8" s="1582" t="s">
        <v>9142</v>
      </c>
      <c r="F8" s="1585">
        <v>43879.0</v>
      </c>
    </row>
    <row r="9">
      <c r="A9" s="1580" t="s">
        <v>9149</v>
      </c>
      <c r="B9" s="1588" t="s">
        <v>9150</v>
      </c>
      <c r="C9" s="1582" t="s">
        <v>59</v>
      </c>
      <c r="D9" s="1584" t="s">
        <v>9151</v>
      </c>
      <c r="E9" s="1582" t="s">
        <v>9153</v>
      </c>
      <c r="F9" s="1585">
        <v>44084.0</v>
      </c>
    </row>
    <row r="10">
      <c r="A10" s="1580" t="s">
        <v>9154</v>
      </c>
      <c r="B10" s="1588" t="s">
        <v>9155</v>
      </c>
      <c r="C10" s="1589"/>
      <c r="D10" s="1590"/>
      <c r="E10" s="1589"/>
      <c r="F10" s="1589"/>
    </row>
    <row r="11">
      <c r="A11" s="1580" t="s">
        <v>9156</v>
      </c>
      <c r="B11" s="1574" t="s">
        <v>9143</v>
      </c>
      <c r="C11" s="1575"/>
      <c r="D11" s="1575"/>
      <c r="E11" s="1575"/>
      <c r="F11" s="1576"/>
    </row>
    <row r="12">
      <c r="A12" s="1580" t="s">
        <v>9158</v>
      </c>
      <c r="B12" s="1577"/>
      <c r="C12" s="1578"/>
      <c r="D12" s="1578"/>
      <c r="E12" s="1578"/>
      <c r="F12" s="1579"/>
    </row>
    <row r="13">
      <c r="A13" s="1580" t="s">
        <v>9160</v>
      </c>
      <c r="B13" s="1581" t="s">
        <v>9140</v>
      </c>
      <c r="C13" s="1582" t="s">
        <v>6113</v>
      </c>
      <c r="D13" s="1584" t="s">
        <v>9161</v>
      </c>
      <c r="E13" s="1582" t="s">
        <v>9142</v>
      </c>
      <c r="F13" s="1585">
        <v>44250.0</v>
      </c>
    </row>
    <row r="14" ht="15.75" customHeight="1">
      <c r="A14" s="1580" t="s">
        <v>9163</v>
      </c>
      <c r="B14" s="1586" t="s">
        <v>9144</v>
      </c>
      <c r="C14" s="1582" t="s">
        <v>228</v>
      </c>
      <c r="D14" s="1584" t="s">
        <v>9164</v>
      </c>
      <c r="E14" s="1582" t="s">
        <v>9142</v>
      </c>
      <c r="F14" s="1585">
        <v>43364.0</v>
      </c>
    </row>
    <row r="15">
      <c r="A15" s="1580" t="s">
        <v>9166</v>
      </c>
      <c r="B15" s="1587" t="s">
        <v>9147</v>
      </c>
      <c r="C15" s="1582" t="s">
        <v>9167</v>
      </c>
      <c r="D15" s="1584" t="s">
        <v>9168</v>
      </c>
      <c r="E15" s="1582" t="s">
        <v>9153</v>
      </c>
      <c r="F15" s="1585">
        <v>43757.0</v>
      </c>
    </row>
    <row r="16">
      <c r="A16" s="1580" t="s">
        <v>9169</v>
      </c>
      <c r="B16" s="1588" t="s">
        <v>9150</v>
      </c>
      <c r="C16" s="1582" t="s">
        <v>9170</v>
      </c>
      <c r="D16" s="1584" t="s">
        <v>9171</v>
      </c>
      <c r="E16" s="1582" t="s">
        <v>9153</v>
      </c>
      <c r="F16" s="1585">
        <v>43438.0</v>
      </c>
    </row>
    <row r="17">
      <c r="A17" s="1580" t="s">
        <v>9172</v>
      </c>
      <c r="B17" s="1588" t="s">
        <v>9155</v>
      </c>
      <c r="C17" s="1589"/>
      <c r="D17" s="1590"/>
      <c r="E17" s="1589"/>
      <c r="F17" s="1589"/>
    </row>
    <row r="18">
      <c r="A18" s="1580" t="s">
        <v>9173</v>
      </c>
      <c r="B18" s="1591" t="s">
        <v>9146</v>
      </c>
      <c r="C18" s="1575"/>
      <c r="D18" s="1575"/>
      <c r="E18" s="1575"/>
      <c r="F18" s="1576"/>
    </row>
    <row r="19">
      <c r="A19" s="1580" t="s">
        <v>9174</v>
      </c>
      <c r="B19" s="1578"/>
      <c r="C19" s="1578"/>
      <c r="D19" s="1578"/>
      <c r="E19" s="1578"/>
      <c r="F19" s="1579"/>
    </row>
    <row r="20">
      <c r="A20" s="1594"/>
      <c r="B20" s="1581" t="s">
        <v>9140</v>
      </c>
      <c r="C20" s="1582" t="s">
        <v>9177</v>
      </c>
      <c r="D20" s="1584" t="s">
        <v>9178</v>
      </c>
      <c r="E20" s="1582" t="s">
        <v>9142</v>
      </c>
      <c r="F20" s="1585">
        <v>44021.0</v>
      </c>
    </row>
    <row r="21">
      <c r="A21" s="1594"/>
      <c r="B21" s="1586" t="s">
        <v>9144</v>
      </c>
      <c r="C21" s="1582" t="s">
        <v>3505</v>
      </c>
      <c r="D21" s="1584" t="s">
        <v>9179</v>
      </c>
      <c r="E21" s="1582" t="s">
        <v>9153</v>
      </c>
      <c r="F21" s="1585">
        <v>44022.0</v>
      </c>
    </row>
    <row r="22">
      <c r="A22" s="1601"/>
      <c r="B22" s="1587" t="s">
        <v>9147</v>
      </c>
      <c r="C22" s="1582" t="s">
        <v>9182</v>
      </c>
      <c r="D22" s="1584" t="s">
        <v>9183</v>
      </c>
      <c r="E22" s="1582" t="s">
        <v>9185</v>
      </c>
      <c r="F22" s="1585">
        <v>43884.0</v>
      </c>
    </row>
    <row r="23">
      <c r="A23" s="1601"/>
      <c r="B23" s="1588" t="s">
        <v>9150</v>
      </c>
      <c r="C23" s="1582" t="s">
        <v>89</v>
      </c>
      <c r="D23" s="1584" t="s">
        <v>9186</v>
      </c>
      <c r="E23" s="1582" t="s">
        <v>9142</v>
      </c>
      <c r="F23" s="1585">
        <v>43892.0</v>
      </c>
    </row>
    <row r="24">
      <c r="A24" s="1601"/>
      <c r="B24" s="1588" t="s">
        <v>9155</v>
      </c>
      <c r="C24" s="1589"/>
      <c r="D24" s="1590"/>
      <c r="E24" s="1589"/>
      <c r="F24" s="1589"/>
    </row>
    <row r="25">
      <c r="A25" s="1601"/>
      <c r="B25" s="1574" t="s">
        <v>9149</v>
      </c>
      <c r="C25" s="1575"/>
      <c r="D25" s="1575"/>
      <c r="E25" s="1575"/>
      <c r="F25" s="1576"/>
    </row>
    <row r="26">
      <c r="A26" s="1601"/>
      <c r="B26" s="1577"/>
      <c r="C26" s="1578"/>
      <c r="D26" s="1578"/>
      <c r="E26" s="1578"/>
      <c r="F26" s="1579"/>
    </row>
    <row r="27">
      <c r="A27" s="1601"/>
      <c r="B27" s="1602" t="s">
        <v>9187</v>
      </c>
      <c r="C27" s="1575"/>
      <c r="D27" s="1575"/>
      <c r="E27" s="1575"/>
      <c r="F27" s="1576"/>
    </row>
    <row r="28">
      <c r="A28" s="1601"/>
      <c r="B28" s="1577"/>
      <c r="C28" s="1578"/>
      <c r="D28" s="1578"/>
      <c r="E28" s="1578"/>
      <c r="F28" s="1579"/>
    </row>
    <row r="29">
      <c r="A29" s="1601"/>
      <c r="B29" s="1581" t="s">
        <v>9140</v>
      </c>
      <c r="C29" s="1603" t="s">
        <v>599</v>
      </c>
      <c r="D29" s="1584" t="s">
        <v>9188</v>
      </c>
      <c r="E29" s="1582" t="s">
        <v>9142</v>
      </c>
      <c r="F29" s="1585">
        <v>43659.0</v>
      </c>
    </row>
    <row r="30">
      <c r="A30" s="1601"/>
      <c r="B30" s="1586" t="s">
        <v>9144</v>
      </c>
      <c r="C30" s="1582" t="s">
        <v>97</v>
      </c>
      <c r="D30" s="1584" t="s">
        <v>9190</v>
      </c>
      <c r="E30" s="1582" t="s">
        <v>9142</v>
      </c>
      <c r="F30" s="1585">
        <v>43228.0</v>
      </c>
    </row>
    <row r="31">
      <c r="A31" s="1601"/>
      <c r="B31" s="1587" t="s">
        <v>9147</v>
      </c>
      <c r="C31" s="1589"/>
      <c r="D31" s="1604"/>
      <c r="E31" s="1589"/>
      <c r="F31" s="1589"/>
    </row>
    <row r="32">
      <c r="A32" s="1601"/>
      <c r="B32" s="1588" t="s">
        <v>9150</v>
      </c>
      <c r="C32" s="1589"/>
      <c r="D32" s="1604"/>
      <c r="E32" s="1589"/>
      <c r="F32" s="1589"/>
    </row>
    <row r="33">
      <c r="A33" s="1601"/>
      <c r="B33" s="1588" t="s">
        <v>9155</v>
      </c>
      <c r="C33" s="1582"/>
      <c r="D33" s="1605"/>
      <c r="E33" s="1582"/>
      <c r="F33" s="1582"/>
    </row>
    <row r="34">
      <c r="A34" s="1601"/>
      <c r="B34" s="1602" t="s">
        <v>9191</v>
      </c>
      <c r="C34" s="1575"/>
      <c r="D34" s="1575"/>
      <c r="E34" s="1575"/>
      <c r="F34" s="1576"/>
    </row>
    <row r="35">
      <c r="A35" s="1601"/>
      <c r="B35" s="1577"/>
      <c r="C35" s="1578"/>
      <c r="D35" s="1578"/>
      <c r="E35" s="1578"/>
      <c r="F35" s="1579"/>
    </row>
    <row r="36">
      <c r="A36" s="1601"/>
      <c r="B36" s="1581" t="s">
        <v>9140</v>
      </c>
      <c r="C36" s="1582" t="s">
        <v>97</v>
      </c>
      <c r="D36" s="1584" t="s">
        <v>9192</v>
      </c>
      <c r="E36" s="1582" t="s">
        <v>9142</v>
      </c>
      <c r="F36" s="1585">
        <v>43352.0</v>
      </c>
    </row>
    <row r="37">
      <c r="A37" s="1601"/>
      <c r="B37" s="1586" t="s">
        <v>9144</v>
      </c>
      <c r="C37" s="1582" t="s">
        <v>9194</v>
      </c>
      <c r="D37" s="1584" t="s">
        <v>9195</v>
      </c>
      <c r="E37" s="1582" t="s">
        <v>9142</v>
      </c>
      <c r="F37" s="1585">
        <v>43799.0</v>
      </c>
    </row>
    <row r="38">
      <c r="A38" s="1601"/>
      <c r="B38" s="1587" t="s">
        <v>9147</v>
      </c>
      <c r="C38" s="1589"/>
      <c r="D38" s="1590"/>
      <c r="E38" s="1589"/>
      <c r="F38" s="1589"/>
    </row>
    <row r="39">
      <c r="A39" s="1601"/>
      <c r="B39" s="1588" t="s">
        <v>9150</v>
      </c>
      <c r="C39" s="1589"/>
      <c r="D39" s="1590"/>
      <c r="E39" s="1589"/>
      <c r="F39" s="1589"/>
    </row>
    <row r="40">
      <c r="A40" s="1601"/>
      <c r="B40" s="1588" t="s">
        <v>9155</v>
      </c>
      <c r="C40" s="1589"/>
      <c r="D40" s="1590"/>
      <c r="E40" s="1589"/>
      <c r="F40" s="1589"/>
    </row>
    <row r="41">
      <c r="A41" s="1601"/>
      <c r="B41" s="1574" t="s">
        <v>9154</v>
      </c>
      <c r="C41" s="1575"/>
      <c r="D41" s="1575"/>
      <c r="E41" s="1575"/>
      <c r="F41" s="1576"/>
    </row>
    <row r="42">
      <c r="A42" s="1601"/>
      <c r="B42" s="1577"/>
      <c r="C42" s="1578"/>
      <c r="D42" s="1578"/>
      <c r="E42" s="1578"/>
      <c r="F42" s="1579"/>
    </row>
    <row r="43">
      <c r="A43" s="1601"/>
      <c r="B43" s="1581" t="s">
        <v>9140</v>
      </c>
      <c r="C43" s="1582" t="s">
        <v>395</v>
      </c>
      <c r="D43" s="1607" t="s">
        <v>9197</v>
      </c>
      <c r="E43" s="1582" t="s">
        <v>9142</v>
      </c>
      <c r="F43" s="1608">
        <v>44511.0</v>
      </c>
    </row>
    <row r="44">
      <c r="A44" s="1601"/>
      <c r="B44" s="1586" t="s">
        <v>9144</v>
      </c>
      <c r="C44" s="1582" t="s">
        <v>9194</v>
      </c>
      <c r="D44" s="1607" t="s">
        <v>9200</v>
      </c>
      <c r="E44" s="1582" t="s">
        <v>9142</v>
      </c>
      <c r="F44" s="1608">
        <v>43740.0</v>
      </c>
    </row>
    <row r="45">
      <c r="A45" s="1601"/>
      <c r="B45" s="1587" t="s">
        <v>9147</v>
      </c>
      <c r="C45" s="1582" t="s">
        <v>7743</v>
      </c>
      <c r="D45" s="1607" t="s">
        <v>9201</v>
      </c>
      <c r="E45" s="1582" t="s">
        <v>9142</v>
      </c>
      <c r="F45" s="1608">
        <v>42098.0</v>
      </c>
    </row>
    <row r="46">
      <c r="A46" s="1601"/>
      <c r="B46" s="1588" t="s">
        <v>9150</v>
      </c>
      <c r="C46" s="1582"/>
      <c r="D46" s="1607"/>
      <c r="E46" s="1582"/>
      <c r="F46" s="1608"/>
    </row>
    <row r="47">
      <c r="A47" s="1601"/>
      <c r="B47" s="1588" t="s">
        <v>9155</v>
      </c>
      <c r="C47" s="1589"/>
      <c r="D47" s="1609"/>
      <c r="E47" s="1589"/>
      <c r="F47" s="1601"/>
    </row>
    <row r="48">
      <c r="A48" s="1601"/>
      <c r="B48" s="1574" t="s">
        <v>9156</v>
      </c>
      <c r="C48" s="1575"/>
      <c r="D48" s="1575"/>
      <c r="E48" s="1575"/>
      <c r="F48" s="1576"/>
    </row>
    <row r="49">
      <c r="A49" s="1601"/>
      <c r="B49" s="1577"/>
      <c r="C49" s="1578"/>
      <c r="D49" s="1578"/>
      <c r="E49" s="1578"/>
      <c r="F49" s="1579"/>
    </row>
    <row r="50">
      <c r="A50" s="1601"/>
      <c r="B50" s="1581" t="s">
        <v>9140</v>
      </c>
      <c r="C50" s="1582" t="s">
        <v>9203</v>
      </c>
      <c r="D50" s="1607" t="s">
        <v>9204</v>
      </c>
      <c r="E50" s="1582" t="s">
        <v>9205</v>
      </c>
      <c r="F50" s="1608">
        <v>43395.0</v>
      </c>
    </row>
    <row r="51">
      <c r="A51" s="1601"/>
      <c r="B51" s="1586" t="s">
        <v>9144</v>
      </c>
      <c r="C51" s="1582" t="s">
        <v>5830</v>
      </c>
      <c r="D51" s="1607" t="s">
        <v>9206</v>
      </c>
      <c r="E51" s="1582" t="s">
        <v>9153</v>
      </c>
      <c r="F51" s="1608">
        <v>43376.0</v>
      </c>
    </row>
    <row r="52">
      <c r="A52" s="1601"/>
      <c r="B52" s="1587" t="s">
        <v>9147</v>
      </c>
      <c r="C52" s="1589"/>
      <c r="D52" s="1609"/>
      <c r="E52" s="1589"/>
      <c r="F52" s="1601"/>
    </row>
    <row r="53">
      <c r="A53" s="1601"/>
      <c r="B53" s="1588" t="s">
        <v>9150</v>
      </c>
      <c r="C53" s="1589"/>
      <c r="D53" s="1609"/>
      <c r="E53" s="1589"/>
      <c r="F53" s="1601"/>
    </row>
    <row r="54">
      <c r="A54" s="1601"/>
      <c r="B54" s="1588" t="s">
        <v>9155</v>
      </c>
      <c r="C54" s="1589"/>
      <c r="D54" s="1609"/>
      <c r="E54" s="1589"/>
      <c r="F54" s="1601"/>
    </row>
    <row r="55">
      <c r="A55" s="1601"/>
      <c r="B55" s="1574" t="s">
        <v>9158</v>
      </c>
      <c r="C55" s="1575"/>
      <c r="D55" s="1575"/>
      <c r="E55" s="1575"/>
      <c r="F55" s="1576"/>
    </row>
    <row r="56">
      <c r="A56" s="1601"/>
      <c r="B56" s="1577"/>
      <c r="C56" s="1578"/>
      <c r="D56" s="1578"/>
      <c r="E56" s="1578"/>
      <c r="F56" s="1579"/>
    </row>
    <row r="57">
      <c r="A57" s="1601"/>
      <c r="B57" s="1610" t="s">
        <v>9207</v>
      </c>
      <c r="C57" s="1575"/>
      <c r="D57" s="1575"/>
      <c r="E57" s="1575"/>
      <c r="F57" s="1576"/>
    </row>
    <row r="58">
      <c r="A58" s="1601"/>
      <c r="B58" s="1577"/>
      <c r="C58" s="1578"/>
      <c r="D58" s="1578"/>
      <c r="E58" s="1578"/>
      <c r="F58" s="1579"/>
    </row>
    <row r="59">
      <c r="A59" s="1601"/>
      <c r="B59" s="1581" t="s">
        <v>9140</v>
      </c>
      <c r="C59" s="1611" t="s">
        <v>599</v>
      </c>
      <c r="D59" s="1607" t="s">
        <v>9208</v>
      </c>
      <c r="E59" s="1582" t="s">
        <v>9142</v>
      </c>
      <c r="F59" s="1608">
        <v>43758.0</v>
      </c>
    </row>
    <row r="60">
      <c r="A60" s="1601"/>
      <c r="B60" s="1586" t="s">
        <v>9144</v>
      </c>
      <c r="C60" s="1589"/>
      <c r="D60" s="1609"/>
      <c r="E60" s="1589"/>
      <c r="F60" s="1601"/>
    </row>
    <row r="61">
      <c r="A61" s="1601"/>
      <c r="B61" s="1587" t="s">
        <v>9147</v>
      </c>
      <c r="C61" s="1589"/>
      <c r="D61" s="1609"/>
      <c r="E61" s="1589"/>
      <c r="F61" s="1601"/>
    </row>
    <row r="62">
      <c r="A62" s="1601"/>
      <c r="B62" s="1588" t="s">
        <v>9150</v>
      </c>
      <c r="C62" s="1589"/>
      <c r="D62" s="1609"/>
      <c r="E62" s="1589"/>
      <c r="F62" s="1601"/>
    </row>
    <row r="63">
      <c r="A63" s="1601"/>
      <c r="B63" s="1588" t="s">
        <v>9155</v>
      </c>
      <c r="C63" s="1589"/>
      <c r="D63" s="1609"/>
      <c r="E63" s="1589"/>
      <c r="F63" s="1601"/>
    </row>
    <row r="64">
      <c r="A64" s="1601"/>
      <c r="B64" s="1610" t="s">
        <v>9191</v>
      </c>
      <c r="C64" s="1575"/>
      <c r="D64" s="1575"/>
      <c r="E64" s="1575"/>
      <c r="F64" s="1576"/>
    </row>
    <row r="65">
      <c r="A65" s="1601"/>
      <c r="B65" s="1577"/>
      <c r="C65" s="1578"/>
      <c r="D65" s="1578"/>
      <c r="E65" s="1578"/>
      <c r="F65" s="1579"/>
    </row>
    <row r="66">
      <c r="A66" s="1601"/>
      <c r="B66" s="1581" t="s">
        <v>9140</v>
      </c>
      <c r="C66" s="1582" t="s">
        <v>9210</v>
      </c>
      <c r="D66" s="1613" t="s">
        <v>9211</v>
      </c>
      <c r="E66" s="1582" t="s">
        <v>9142</v>
      </c>
      <c r="F66" s="1608">
        <v>44805.0</v>
      </c>
    </row>
    <row r="67">
      <c r="A67" s="1601"/>
      <c r="B67" s="1586" t="s">
        <v>9144</v>
      </c>
      <c r="C67" s="1582" t="s">
        <v>9212</v>
      </c>
      <c r="D67" s="1607" t="s">
        <v>9213</v>
      </c>
      <c r="E67" s="1582" t="s">
        <v>9142</v>
      </c>
      <c r="F67" s="1608">
        <v>43307.0</v>
      </c>
    </row>
    <row r="68">
      <c r="A68" s="1601"/>
      <c r="B68" s="1587" t="s">
        <v>9147</v>
      </c>
      <c r="C68" s="1589"/>
      <c r="D68" s="1609"/>
      <c r="E68" s="1589"/>
      <c r="F68" s="1601"/>
    </row>
    <row r="69">
      <c r="A69" s="1601"/>
      <c r="B69" s="1588" t="s">
        <v>9150</v>
      </c>
      <c r="C69" s="1589"/>
      <c r="D69" s="1609"/>
      <c r="E69" s="1589"/>
      <c r="F69" s="1601"/>
    </row>
    <row r="70">
      <c r="A70" s="1601"/>
      <c r="B70" s="1588" t="s">
        <v>9155</v>
      </c>
      <c r="C70" s="1589"/>
      <c r="D70" s="1609"/>
      <c r="E70" s="1589"/>
      <c r="F70" s="1601"/>
    </row>
    <row r="71">
      <c r="A71" s="1601"/>
      <c r="B71" s="1574" t="s">
        <v>9160</v>
      </c>
      <c r="C71" s="1575"/>
      <c r="D71" s="1575"/>
      <c r="E71" s="1575"/>
      <c r="F71" s="1576"/>
    </row>
    <row r="72">
      <c r="A72" s="1601"/>
      <c r="B72" s="1577"/>
      <c r="C72" s="1578"/>
      <c r="D72" s="1578"/>
      <c r="E72" s="1578"/>
      <c r="F72" s="1579"/>
    </row>
    <row r="73">
      <c r="A73" s="1601"/>
      <c r="B73" s="1610" t="s">
        <v>9218</v>
      </c>
      <c r="C73" s="1575"/>
      <c r="D73" s="1575"/>
      <c r="E73" s="1575"/>
      <c r="F73" s="1576"/>
    </row>
    <row r="74">
      <c r="A74" s="1601"/>
      <c r="B74" s="1577"/>
      <c r="C74" s="1578"/>
      <c r="D74" s="1578"/>
      <c r="E74" s="1578"/>
      <c r="F74" s="1579"/>
    </row>
    <row r="75">
      <c r="A75" s="1601"/>
      <c r="B75" s="1581" t="s">
        <v>9140</v>
      </c>
      <c r="C75" s="1582" t="s">
        <v>6113</v>
      </c>
      <c r="D75" s="1607" t="s">
        <v>9220</v>
      </c>
      <c r="E75" s="1582" t="s">
        <v>9142</v>
      </c>
      <c r="F75" s="1608">
        <v>44246.0</v>
      </c>
    </row>
    <row r="76">
      <c r="A76" s="1601"/>
      <c r="B76" s="1586" t="s">
        <v>9144</v>
      </c>
      <c r="C76" s="1582" t="s">
        <v>9203</v>
      </c>
      <c r="D76" s="1607" t="s">
        <v>9222</v>
      </c>
      <c r="E76" s="1582" t="s">
        <v>9205</v>
      </c>
      <c r="F76" s="1608">
        <v>43637.0</v>
      </c>
    </row>
    <row r="77">
      <c r="A77" s="1601"/>
      <c r="B77" s="1587" t="s">
        <v>9147</v>
      </c>
      <c r="C77" s="1589"/>
      <c r="D77" s="1609"/>
      <c r="E77" s="1589"/>
      <c r="F77" s="1601"/>
    </row>
    <row r="78">
      <c r="A78" s="1601"/>
      <c r="B78" s="1588" t="s">
        <v>9150</v>
      </c>
      <c r="C78" s="1589"/>
      <c r="D78" s="1609"/>
      <c r="E78" s="1589"/>
      <c r="F78" s="1601"/>
    </row>
    <row r="79">
      <c r="A79" s="1601"/>
      <c r="B79" s="1588" t="s">
        <v>9155</v>
      </c>
      <c r="C79" s="1589"/>
      <c r="D79" s="1609"/>
      <c r="E79" s="1589"/>
      <c r="F79" s="1601"/>
    </row>
    <row r="80">
      <c r="A80" s="1601"/>
      <c r="B80" s="1610" t="s">
        <v>9223</v>
      </c>
      <c r="C80" s="1575"/>
      <c r="D80" s="1575"/>
      <c r="E80" s="1575"/>
      <c r="F80" s="1576"/>
    </row>
    <row r="81">
      <c r="A81" s="1601"/>
      <c r="B81" s="1577"/>
      <c r="C81" s="1578"/>
      <c r="D81" s="1578"/>
      <c r="E81" s="1578"/>
      <c r="F81" s="1579"/>
    </row>
    <row r="82">
      <c r="A82" s="1601"/>
      <c r="B82" s="1581" t="s">
        <v>9140</v>
      </c>
      <c r="C82" s="1582" t="s">
        <v>753</v>
      </c>
      <c r="D82" s="1607" t="s">
        <v>9224</v>
      </c>
      <c r="E82" s="1582" t="s">
        <v>9142</v>
      </c>
      <c r="F82" s="1608">
        <v>43592.0</v>
      </c>
    </row>
    <row r="83">
      <c r="A83" s="1601"/>
      <c r="B83" s="1586" t="s">
        <v>9144</v>
      </c>
      <c r="C83" s="1582" t="s">
        <v>9225</v>
      </c>
      <c r="D83" s="1607" t="s">
        <v>9226</v>
      </c>
      <c r="E83" s="1582" t="s">
        <v>9142</v>
      </c>
      <c r="F83" s="1608">
        <v>43396.0</v>
      </c>
    </row>
    <row r="84">
      <c r="A84" s="1601"/>
      <c r="B84" s="1587" t="s">
        <v>9147</v>
      </c>
      <c r="C84" s="1589"/>
      <c r="D84" s="1609"/>
      <c r="E84" s="1589"/>
      <c r="F84" s="1601"/>
    </row>
    <row r="85">
      <c r="A85" s="1601"/>
      <c r="B85" s="1588" t="s">
        <v>9150</v>
      </c>
      <c r="C85" s="1589"/>
      <c r="D85" s="1609"/>
      <c r="E85" s="1589"/>
      <c r="F85" s="1601"/>
    </row>
    <row r="86">
      <c r="A86" s="1601"/>
      <c r="B86" s="1588" t="s">
        <v>9155</v>
      </c>
      <c r="C86" s="1589"/>
      <c r="D86" s="1609"/>
      <c r="E86" s="1589"/>
      <c r="F86" s="1601"/>
    </row>
    <row r="87">
      <c r="A87" s="1601"/>
      <c r="B87" s="1574" t="s">
        <v>9163</v>
      </c>
      <c r="C87" s="1575"/>
      <c r="D87" s="1575"/>
      <c r="E87" s="1575"/>
      <c r="F87" s="1576"/>
    </row>
    <row r="88">
      <c r="A88" s="1601"/>
      <c r="B88" s="1577"/>
      <c r="C88" s="1578"/>
      <c r="D88" s="1578"/>
      <c r="E88" s="1578"/>
      <c r="F88" s="1579"/>
    </row>
    <row r="89">
      <c r="A89" s="1601"/>
      <c r="B89" s="1581" t="s">
        <v>9140</v>
      </c>
      <c r="C89" s="1611" t="s">
        <v>599</v>
      </c>
      <c r="D89" s="1607" t="s">
        <v>9227</v>
      </c>
      <c r="E89" s="1582" t="s">
        <v>9142</v>
      </c>
      <c r="F89" s="1608">
        <v>43457.0</v>
      </c>
    </row>
    <row r="90">
      <c r="A90" s="1601"/>
      <c r="B90" s="1586" t="s">
        <v>9144</v>
      </c>
      <c r="C90" s="1582" t="s">
        <v>303</v>
      </c>
      <c r="D90" s="1613" t="s">
        <v>9229</v>
      </c>
      <c r="E90" s="1582" t="s">
        <v>9142</v>
      </c>
      <c r="F90" s="1608">
        <v>43925.0</v>
      </c>
    </row>
    <row r="91">
      <c r="A91" s="1601"/>
      <c r="B91" s="1587" t="s">
        <v>9147</v>
      </c>
      <c r="C91" s="1582" t="s">
        <v>3650</v>
      </c>
      <c r="D91" s="1607" t="s">
        <v>9230</v>
      </c>
      <c r="E91" s="1582" t="s">
        <v>9185</v>
      </c>
      <c r="F91" s="1608">
        <v>43433.0</v>
      </c>
    </row>
    <row r="92">
      <c r="A92" s="1601"/>
      <c r="B92" s="1588" t="s">
        <v>9150</v>
      </c>
      <c r="C92" s="1589"/>
      <c r="D92" s="1609"/>
      <c r="E92" s="1589"/>
      <c r="F92" s="1601"/>
    </row>
    <row r="93">
      <c r="A93" s="1601"/>
      <c r="B93" s="1588" t="s">
        <v>9155</v>
      </c>
      <c r="C93" s="1589"/>
      <c r="D93" s="1609"/>
      <c r="E93" s="1589"/>
      <c r="F93" s="1601"/>
    </row>
    <row r="94">
      <c r="A94" s="1601"/>
      <c r="B94" s="1574" t="s">
        <v>9166</v>
      </c>
      <c r="C94" s="1575"/>
      <c r="D94" s="1575"/>
      <c r="E94" s="1575"/>
      <c r="F94" s="1576"/>
    </row>
    <row r="95">
      <c r="A95" s="1601"/>
      <c r="B95" s="1577"/>
      <c r="C95" s="1578"/>
      <c r="D95" s="1578"/>
      <c r="E95" s="1578"/>
      <c r="F95" s="1579"/>
    </row>
    <row r="96">
      <c r="A96" s="1601"/>
      <c r="B96" s="1610" t="s">
        <v>9231</v>
      </c>
      <c r="C96" s="1575"/>
      <c r="D96" s="1575"/>
      <c r="E96" s="1575"/>
      <c r="F96" s="1576"/>
    </row>
    <row r="97">
      <c r="A97" s="1601"/>
      <c r="B97" s="1577"/>
      <c r="C97" s="1578"/>
      <c r="D97" s="1578"/>
      <c r="E97" s="1578"/>
      <c r="F97" s="1579"/>
    </row>
    <row r="98">
      <c r="A98" s="1601"/>
      <c r="B98" s="1581" t="s">
        <v>9140</v>
      </c>
      <c r="C98" s="1582" t="s">
        <v>9194</v>
      </c>
      <c r="D98" s="1607" t="s">
        <v>9232</v>
      </c>
      <c r="E98" s="1582" t="s">
        <v>9142</v>
      </c>
      <c r="F98" s="1608">
        <v>43862.0</v>
      </c>
    </row>
    <row r="99">
      <c r="A99" s="1601"/>
      <c r="B99" s="1586" t="s">
        <v>9144</v>
      </c>
      <c r="C99" s="1589"/>
      <c r="D99" s="1609"/>
      <c r="E99" s="1589"/>
      <c r="F99" s="1601"/>
    </row>
    <row r="100">
      <c r="A100" s="1601"/>
      <c r="B100" s="1587" t="s">
        <v>9147</v>
      </c>
      <c r="C100" s="1589"/>
      <c r="D100" s="1609"/>
      <c r="E100" s="1589"/>
      <c r="F100" s="1601"/>
    </row>
    <row r="101">
      <c r="A101" s="1601"/>
      <c r="B101" s="1588" t="s">
        <v>9150</v>
      </c>
      <c r="C101" s="1589"/>
      <c r="D101" s="1609"/>
      <c r="E101" s="1589"/>
      <c r="F101" s="1601"/>
    </row>
    <row r="102">
      <c r="A102" s="1601"/>
      <c r="B102" s="1588" t="s">
        <v>9155</v>
      </c>
      <c r="C102" s="1589"/>
      <c r="D102" s="1609"/>
      <c r="E102" s="1589"/>
      <c r="F102" s="1601"/>
    </row>
    <row r="103">
      <c r="A103" s="1601"/>
      <c r="B103" s="1610" t="s">
        <v>9233</v>
      </c>
      <c r="C103" s="1575"/>
      <c r="D103" s="1575"/>
      <c r="E103" s="1575"/>
      <c r="F103" s="1576"/>
    </row>
    <row r="104">
      <c r="A104" s="1601"/>
      <c r="B104" s="1577"/>
      <c r="C104" s="1578"/>
      <c r="D104" s="1578"/>
      <c r="E104" s="1578"/>
      <c r="F104" s="1579"/>
    </row>
    <row r="105">
      <c r="A105" s="1601"/>
      <c r="B105" s="1581" t="s">
        <v>9140</v>
      </c>
      <c r="C105" s="1582" t="s">
        <v>9194</v>
      </c>
      <c r="D105" s="1607" t="s">
        <v>9235</v>
      </c>
      <c r="E105" s="1582" t="s">
        <v>9142</v>
      </c>
      <c r="F105" s="1608">
        <v>43862.0</v>
      </c>
    </row>
    <row r="106">
      <c r="A106" s="1601"/>
      <c r="B106" s="1586" t="s">
        <v>9144</v>
      </c>
      <c r="C106" s="1615" t="s">
        <v>9236</v>
      </c>
      <c r="D106" s="1607" t="s">
        <v>9237</v>
      </c>
      <c r="E106" s="1582" t="s">
        <v>9205</v>
      </c>
      <c r="F106" s="1608">
        <v>43630.0</v>
      </c>
    </row>
    <row r="107">
      <c r="A107" s="1601"/>
      <c r="B107" s="1587" t="s">
        <v>9147</v>
      </c>
      <c r="C107" s="1589"/>
      <c r="D107" s="1609"/>
      <c r="E107" s="1589"/>
      <c r="F107" s="1601"/>
    </row>
    <row r="108">
      <c r="A108" s="1601"/>
      <c r="B108" s="1588" t="s">
        <v>9150</v>
      </c>
      <c r="C108" s="1589"/>
      <c r="D108" s="1609"/>
      <c r="E108" s="1589"/>
      <c r="F108" s="1601"/>
    </row>
    <row r="109">
      <c r="A109" s="1601"/>
      <c r="B109" s="1588" t="s">
        <v>9155</v>
      </c>
      <c r="C109" s="1589"/>
      <c r="D109" s="1609"/>
      <c r="E109" s="1589"/>
      <c r="F109" s="1601"/>
    </row>
    <row r="110">
      <c r="A110" s="1601"/>
      <c r="B110" s="1574" t="s">
        <v>9169</v>
      </c>
      <c r="C110" s="1575"/>
      <c r="D110" s="1575"/>
      <c r="E110" s="1575"/>
      <c r="F110" s="1576"/>
    </row>
    <row r="111">
      <c r="A111" s="1601"/>
      <c r="B111" s="1577"/>
      <c r="C111" s="1578"/>
      <c r="D111" s="1578"/>
      <c r="E111" s="1578"/>
      <c r="F111" s="1579"/>
    </row>
    <row r="112">
      <c r="A112" s="1601"/>
      <c r="B112" s="1581" t="s">
        <v>9140</v>
      </c>
      <c r="C112" s="1582" t="s">
        <v>3505</v>
      </c>
      <c r="D112" s="1607" t="s">
        <v>9238</v>
      </c>
      <c r="E112" s="1582" t="s">
        <v>9153</v>
      </c>
      <c r="F112" s="1608">
        <v>44132.0</v>
      </c>
    </row>
    <row r="113">
      <c r="A113" s="1601"/>
      <c r="B113" s="1586" t="s">
        <v>9144</v>
      </c>
      <c r="C113" s="1589"/>
      <c r="D113" s="1609"/>
      <c r="E113" s="1589"/>
      <c r="F113" s="1601"/>
    </row>
    <row r="114">
      <c r="A114" s="1601"/>
      <c r="B114" s="1587" t="s">
        <v>9147</v>
      </c>
      <c r="C114" s="1589"/>
      <c r="D114" s="1609"/>
      <c r="E114" s="1589"/>
      <c r="F114" s="1601"/>
    </row>
    <row r="115">
      <c r="A115" s="1601"/>
      <c r="B115" s="1588" t="s">
        <v>9150</v>
      </c>
      <c r="C115" s="1589"/>
      <c r="D115" s="1609"/>
      <c r="E115" s="1589"/>
      <c r="F115" s="1601"/>
    </row>
    <row r="116">
      <c r="A116" s="1601"/>
      <c r="B116" s="1588" t="s">
        <v>9155</v>
      </c>
      <c r="C116" s="1589"/>
      <c r="D116" s="1609"/>
      <c r="E116" s="1589"/>
      <c r="F116" s="1601"/>
    </row>
    <row r="117">
      <c r="A117" s="1601"/>
      <c r="B117" s="1574" t="s">
        <v>9172</v>
      </c>
      <c r="C117" s="1575"/>
      <c r="D117" s="1575"/>
      <c r="E117" s="1575"/>
      <c r="F117" s="1576"/>
    </row>
    <row r="118">
      <c r="A118" s="1601"/>
      <c r="B118" s="1577"/>
      <c r="C118" s="1578"/>
      <c r="D118" s="1578"/>
      <c r="E118" s="1578"/>
      <c r="F118" s="1579"/>
    </row>
    <row r="119">
      <c r="A119" s="1601"/>
      <c r="B119" s="1581" t="s">
        <v>9140</v>
      </c>
      <c r="C119" s="1582" t="s">
        <v>9240</v>
      </c>
      <c r="D119" s="1607" t="s">
        <v>9241</v>
      </c>
      <c r="E119" s="1582" t="s">
        <v>9142</v>
      </c>
      <c r="F119" s="1608">
        <v>43741.0</v>
      </c>
    </row>
    <row r="120">
      <c r="A120" s="1601"/>
      <c r="B120" s="1586" t="s">
        <v>9144</v>
      </c>
      <c r="C120" s="1582" t="s">
        <v>9242</v>
      </c>
      <c r="D120" s="1607" t="s">
        <v>9243</v>
      </c>
      <c r="E120" s="1582" t="s">
        <v>9185</v>
      </c>
      <c r="F120" s="1608">
        <v>43748.0</v>
      </c>
    </row>
    <row r="121">
      <c r="A121" s="1601"/>
      <c r="B121" s="1587" t="s">
        <v>9147</v>
      </c>
      <c r="C121" s="1582" t="s">
        <v>3164</v>
      </c>
      <c r="D121" s="1607" t="s">
        <v>9245</v>
      </c>
      <c r="E121" s="1582" t="s">
        <v>9205</v>
      </c>
      <c r="F121" s="1608">
        <v>43729.0</v>
      </c>
    </row>
    <row r="122">
      <c r="A122" s="1601"/>
      <c r="B122" s="1588" t="s">
        <v>9150</v>
      </c>
      <c r="C122" s="1611" t="s">
        <v>599</v>
      </c>
      <c r="D122" s="1607" t="s">
        <v>9247</v>
      </c>
      <c r="E122" s="1582" t="s">
        <v>9142</v>
      </c>
      <c r="F122" s="1608">
        <v>44470.0</v>
      </c>
    </row>
    <row r="123">
      <c r="A123" s="1601"/>
      <c r="B123" s="1588" t="s">
        <v>9155</v>
      </c>
      <c r="C123" s="1582" t="s">
        <v>3505</v>
      </c>
      <c r="D123" s="1607" t="s">
        <v>9248</v>
      </c>
      <c r="E123" s="1582" t="s">
        <v>9153</v>
      </c>
      <c r="F123" s="1608">
        <v>44020.0</v>
      </c>
    </row>
    <row r="124">
      <c r="A124" s="1616" t="s">
        <v>9249</v>
      </c>
      <c r="B124" s="1574" t="s">
        <v>9173</v>
      </c>
      <c r="C124" s="1575"/>
      <c r="D124" s="1575"/>
      <c r="E124" s="1575"/>
      <c r="F124" s="1576"/>
    </row>
    <row r="125">
      <c r="A125" s="1616" t="s">
        <v>9250</v>
      </c>
      <c r="B125" s="1577"/>
      <c r="C125" s="1578"/>
      <c r="D125" s="1578"/>
      <c r="E125" s="1578"/>
      <c r="F125" s="1579"/>
    </row>
    <row r="126">
      <c r="A126" s="1617"/>
      <c r="B126" s="1581" t="s">
        <v>9140</v>
      </c>
      <c r="C126" s="1582" t="s">
        <v>49</v>
      </c>
      <c r="D126" s="1618">
        <v>0.06525462962962963</v>
      </c>
      <c r="E126" s="1582" t="s">
        <v>9153</v>
      </c>
      <c r="F126" s="1585">
        <v>44652.0</v>
      </c>
    </row>
    <row r="127">
      <c r="A127" s="1617"/>
      <c r="B127" s="1586" t="s">
        <v>9144</v>
      </c>
      <c r="C127" s="1582" t="s">
        <v>4198</v>
      </c>
      <c r="D127" s="1618">
        <v>0.06892361111111112</v>
      </c>
      <c r="E127" s="1582" t="s">
        <v>9153</v>
      </c>
      <c r="F127" s="1585">
        <v>44652.0</v>
      </c>
    </row>
    <row r="128">
      <c r="A128" s="1617"/>
      <c r="B128" s="1587" t="s">
        <v>9147</v>
      </c>
      <c r="C128" s="1594" t="s">
        <v>7998</v>
      </c>
      <c r="D128" s="1619">
        <v>0.07195601851851852</v>
      </c>
      <c r="E128" s="1594" t="s">
        <v>9153</v>
      </c>
      <c r="F128" s="1608">
        <v>44652.0</v>
      </c>
    </row>
    <row r="129">
      <c r="A129" s="1617"/>
      <c r="B129" s="1588" t="s">
        <v>9150</v>
      </c>
      <c r="C129" s="1589" t="s">
        <v>9251</v>
      </c>
      <c r="D129" s="1620">
        <v>0.07211805555555556</v>
      </c>
      <c r="E129" s="1621" t="s">
        <v>9252</v>
      </c>
      <c r="F129" s="1608">
        <v>44652.0</v>
      </c>
    </row>
    <row r="130">
      <c r="A130" s="1617"/>
      <c r="B130" s="1588" t="s">
        <v>9155</v>
      </c>
      <c r="C130" s="1589"/>
      <c r="D130" s="1589"/>
      <c r="E130" s="1589"/>
      <c r="F130" s="1589"/>
    </row>
    <row r="131">
      <c r="A131" s="1622"/>
      <c r="B131" s="1574" t="s">
        <v>9174</v>
      </c>
      <c r="C131" s="1575"/>
      <c r="D131" s="1575"/>
      <c r="E131" s="1575"/>
      <c r="F131" s="1576"/>
    </row>
    <row r="132">
      <c r="A132" s="1617"/>
      <c r="B132" s="1577"/>
      <c r="C132" s="1578"/>
      <c r="D132" s="1578"/>
      <c r="E132" s="1578"/>
      <c r="F132" s="1579"/>
    </row>
    <row r="133">
      <c r="A133" s="1617"/>
      <c r="B133" s="1581" t="s">
        <v>9140</v>
      </c>
      <c r="C133" s="1582" t="s">
        <v>303</v>
      </c>
      <c r="D133" s="1623" t="s">
        <v>9253</v>
      </c>
      <c r="E133" s="1582" t="s">
        <v>9142</v>
      </c>
      <c r="F133" s="1585">
        <v>45152.0</v>
      </c>
    </row>
    <row r="134">
      <c r="A134" s="1617"/>
      <c r="B134" s="1586" t="s">
        <v>9144</v>
      </c>
      <c r="C134" s="1582" t="s">
        <v>228</v>
      </c>
      <c r="D134" s="1623" t="s">
        <v>9254</v>
      </c>
      <c r="E134" s="1582" t="s">
        <v>9142</v>
      </c>
      <c r="F134" s="1585">
        <v>44866.0</v>
      </c>
    </row>
    <row r="135">
      <c r="A135" s="1617"/>
      <c r="B135" s="1587" t="s">
        <v>9147</v>
      </c>
      <c r="C135" s="1589"/>
      <c r="D135" s="1620"/>
      <c r="E135" s="1621"/>
      <c r="F135" s="1608"/>
    </row>
    <row r="136">
      <c r="A136" s="1617"/>
      <c r="B136" s="1588" t="s">
        <v>9150</v>
      </c>
      <c r="C136" s="1589"/>
      <c r="D136" s="1620"/>
      <c r="E136" s="1621"/>
      <c r="F136" s="1608"/>
    </row>
    <row r="137">
      <c r="A137" s="1617"/>
      <c r="B137" s="1588" t="s">
        <v>9155</v>
      </c>
      <c r="C137" s="1589"/>
      <c r="D137" s="1589"/>
      <c r="E137" s="1589"/>
      <c r="F137" s="1589"/>
    </row>
    <row r="138">
      <c r="A138" s="1617"/>
      <c r="B138" s="1574" t="s">
        <v>9256</v>
      </c>
      <c r="C138" s="1575"/>
      <c r="D138" s="1575"/>
      <c r="E138" s="1575"/>
      <c r="F138" s="1576"/>
    </row>
    <row r="139">
      <c r="A139" s="1617"/>
      <c r="B139" s="1577"/>
      <c r="C139" s="1578"/>
      <c r="D139" s="1578"/>
      <c r="E139" s="1578"/>
      <c r="F139" s="1579"/>
    </row>
    <row r="140">
      <c r="A140" s="1617"/>
      <c r="B140" s="1581" t="s">
        <v>9140</v>
      </c>
      <c r="C140" s="1582" t="s">
        <v>303</v>
      </c>
      <c r="D140" s="1624">
        <v>0.1396990740740741</v>
      </c>
      <c r="E140" s="1582" t="s">
        <v>9142</v>
      </c>
      <c r="F140" s="1585">
        <v>45998.0</v>
      </c>
    </row>
    <row r="141">
      <c r="A141" s="1617"/>
      <c r="B141" s="1586" t="s">
        <v>9144</v>
      </c>
      <c r="C141" s="1582"/>
      <c r="D141" s="1625"/>
      <c r="E141" s="1582"/>
      <c r="F141" s="1585"/>
    </row>
    <row r="142">
      <c r="A142" s="1617"/>
      <c r="B142" s="1587" t="s">
        <v>9147</v>
      </c>
      <c r="C142" s="1589"/>
      <c r="D142" s="1620"/>
      <c r="E142" s="1621"/>
      <c r="F142" s="1608"/>
    </row>
    <row r="143">
      <c r="A143" s="1617"/>
      <c r="B143" s="1588" t="s">
        <v>9150</v>
      </c>
      <c r="C143" s="1589"/>
      <c r="D143" s="1620"/>
      <c r="E143" s="1621"/>
      <c r="F143" s="1608"/>
    </row>
    <row r="144">
      <c r="A144" s="1617"/>
      <c r="B144" s="1588" t="s">
        <v>9155</v>
      </c>
      <c r="C144" s="1589"/>
      <c r="D144" s="1589"/>
      <c r="E144" s="1589"/>
      <c r="F144" s="158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